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Questa_cartella_di_lavoro"/>
  <mc:AlternateContent xmlns:mc="http://schemas.openxmlformats.org/markup-compatibility/2006">
    <mc:Choice Requires="x15">
      <x15ac:absPath xmlns:x15ac="http://schemas.microsoft.com/office/spreadsheetml/2010/11/ac" url="D:\Documenti\GitHub\EmanueleTinari\Chiesa\"/>
    </mc:Choice>
  </mc:AlternateContent>
  <xr:revisionPtr revIDLastSave="0" documentId="13_ncr:1_{72297697-C77E-4EDB-BC51-03C7D8BB703C}" xr6:coauthVersionLast="47" xr6:coauthVersionMax="47" xr10:uidLastSave="{00000000-0000-0000-0000-000000000000}"/>
  <bookViews>
    <workbookView xWindow="-120" yWindow="-120" windowWidth="29040" windowHeight="15720" tabRatio="944" activeTab="1" xr2:uid="{00000000-000D-0000-FFFF-FFFF00000000}"/>
  </bookViews>
  <sheets>
    <sheet name="TipDoc" sheetId="3" r:id="rId1"/>
    <sheet name="Conc.Ecum.Vaticano I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Foglio1" sheetId="24" r:id="rId13"/>
    <sheet name="Elenco completo Papi x Obsidian" sheetId="25" r:id="rId14"/>
    <sheet name="Anni liturgici" sheetId="26" r:id="rId15"/>
    <sheet name="Pio VII" sheetId="8" r:id="rId16"/>
    <sheet name="BenedettoXIV" sheetId="7" r:id="rId17"/>
  </sheets>
  <functionGroups builtInGroupCount="19"/>
  <definedNames>
    <definedName name="_xlnm._FilterDatabase" localSheetId="8" hidden="1">DocDb!$B$1:$AL$1973</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 name="DatiEsterni_1" localSheetId="16" hidden="1">BenedettoXIV!$A$5:$D$25</definedName>
    <definedName name="DatiEsterni_1" localSheetId="15" hidden="1">'Pio VII'!$A$1:$D$19</definedName>
    <definedName name="DatiEsterni_2" localSheetId="16" hidden="1">BenedettoXIV!$F$5:$I$25</definedName>
    <definedName name="DatiEsterni_3" localSheetId="16" hidden="1">BenedettoXIV!$F$32:$I$35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 i="20" l="1"/>
  <c r="H16" i="20"/>
  <c r="H15" i="20"/>
  <c r="H14" i="20"/>
  <c r="H13" i="20"/>
  <c r="H12" i="20"/>
  <c r="H11" i="20"/>
  <c r="H10" i="20"/>
  <c r="H9" i="20"/>
  <c r="H8" i="20"/>
  <c r="H7" i="20"/>
  <c r="H6" i="20"/>
  <c r="H5" i="20"/>
  <c r="H4" i="20"/>
  <c r="H3" i="20"/>
  <c r="H2" i="20"/>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28" i="3"/>
  <c r="J27" i="3"/>
  <c r="J26" i="3"/>
  <c r="J25" i="3"/>
  <c r="J24" i="3"/>
  <c r="J23" i="3"/>
  <c r="J22" i="3"/>
  <c r="J21" i="3"/>
  <c r="J20" i="3"/>
  <c r="J19" i="3"/>
  <c r="J18" i="3"/>
  <c r="J17"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G3" i="20"/>
  <c r="G4" i="20"/>
  <c r="G5" i="20"/>
  <c r="G6" i="20"/>
  <c r="G7" i="20"/>
  <c r="G8" i="20"/>
  <c r="G9" i="20"/>
  <c r="G10" i="20"/>
  <c r="G11" i="20"/>
  <c r="G12" i="20"/>
  <c r="G13" i="20"/>
  <c r="G14" i="20"/>
  <c r="G15" i="20"/>
  <c r="G16" i="20"/>
  <c r="G17" i="20"/>
  <c r="G2"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1471" i="6"/>
  <c r="AB1471" i="6"/>
  <c r="AA1471" i="6"/>
  <c r="Z1471" i="6"/>
  <c r="W1471" i="6"/>
  <c r="V1471" i="6"/>
  <c r="U1471" i="6"/>
  <c r="AD1471" i="6" s="1"/>
  <c r="T1471" i="6"/>
  <c r="S1471" i="6"/>
  <c r="R1471" i="6"/>
  <c r="L1471" i="6"/>
  <c r="H1471" i="6"/>
  <c r="AE1470" i="6"/>
  <c r="AB1470" i="6"/>
  <c r="AA1470" i="6"/>
  <c r="Z1470" i="6"/>
  <c r="W1470" i="6"/>
  <c r="V1470" i="6"/>
  <c r="U1470" i="6"/>
  <c r="AD1470" i="6" s="1"/>
  <c r="T1470" i="6"/>
  <c r="S1470" i="6"/>
  <c r="R1470" i="6"/>
  <c r="L1470" i="6"/>
  <c r="H1470" i="6"/>
  <c r="AE1469" i="6"/>
  <c r="AB1469" i="6"/>
  <c r="AA1469" i="6"/>
  <c r="Z1469" i="6"/>
  <c r="W1469" i="6"/>
  <c r="V1469" i="6"/>
  <c r="U1469" i="6"/>
  <c r="AD1469" i="6" s="1"/>
  <c r="T1469" i="6"/>
  <c r="S1469" i="6"/>
  <c r="R1469" i="6"/>
  <c r="L1469" i="6"/>
  <c r="H1469" i="6"/>
  <c r="AE1468" i="6"/>
  <c r="AB1468" i="6"/>
  <c r="AA1468" i="6"/>
  <c r="Z1468" i="6"/>
  <c r="W1468" i="6"/>
  <c r="V1468" i="6"/>
  <c r="U1468" i="6"/>
  <c r="T1468" i="6"/>
  <c r="S1468" i="6"/>
  <c r="R1468" i="6"/>
  <c r="L1468" i="6"/>
  <c r="H1468" i="6"/>
  <c r="AE1467" i="6"/>
  <c r="AB1467" i="6"/>
  <c r="AA1467" i="6"/>
  <c r="Z1467" i="6"/>
  <c r="W1467" i="6"/>
  <c r="V1467" i="6"/>
  <c r="U1467" i="6"/>
  <c r="AD1467" i="6" s="1"/>
  <c r="T1467" i="6"/>
  <c r="S1467" i="6"/>
  <c r="R1467" i="6"/>
  <c r="L1467" i="6"/>
  <c r="H1467" i="6"/>
  <c r="AE1466" i="6"/>
  <c r="AB1466" i="6"/>
  <c r="AA1466" i="6"/>
  <c r="Z1466" i="6"/>
  <c r="W1466" i="6"/>
  <c r="V1466" i="6"/>
  <c r="U1466" i="6"/>
  <c r="AD1466" i="6" s="1"/>
  <c r="T1466" i="6"/>
  <c r="S1466" i="6"/>
  <c r="R1466" i="6"/>
  <c r="L1466" i="6"/>
  <c r="H1466" i="6"/>
  <c r="AE1465" i="6"/>
  <c r="AB1465" i="6"/>
  <c r="AA1465" i="6"/>
  <c r="Z1465" i="6"/>
  <c r="W1465" i="6"/>
  <c r="V1465" i="6"/>
  <c r="U1465" i="6"/>
  <c r="AD1465" i="6" s="1"/>
  <c r="T1465" i="6"/>
  <c r="S1465" i="6"/>
  <c r="R1465" i="6"/>
  <c r="L1465" i="6"/>
  <c r="H1465" i="6"/>
  <c r="AE1464" i="6"/>
  <c r="AB1464" i="6"/>
  <c r="AA1464" i="6"/>
  <c r="Z1464" i="6"/>
  <c r="W1464" i="6"/>
  <c r="V1464" i="6"/>
  <c r="U1464" i="6"/>
  <c r="AD1464" i="6" s="1"/>
  <c r="T1464" i="6"/>
  <c r="S1464" i="6"/>
  <c r="R1464" i="6"/>
  <c r="L1464" i="6"/>
  <c r="H1464" i="6"/>
  <c r="AE1463" i="6"/>
  <c r="AB1463" i="6"/>
  <c r="AA1463" i="6"/>
  <c r="Z1463" i="6"/>
  <c r="W1463" i="6"/>
  <c r="V1463" i="6"/>
  <c r="U1463" i="6"/>
  <c r="AD1463" i="6" s="1"/>
  <c r="T1463" i="6"/>
  <c r="S1463" i="6"/>
  <c r="R1463" i="6"/>
  <c r="L1463" i="6"/>
  <c r="H1463" i="6"/>
  <c r="AE1462" i="6"/>
  <c r="AB1462" i="6"/>
  <c r="AA1462" i="6"/>
  <c r="Z1462" i="6"/>
  <c r="W1462" i="6"/>
  <c r="V1462" i="6"/>
  <c r="U1462" i="6"/>
  <c r="AD1462" i="6" s="1"/>
  <c r="T1462" i="6"/>
  <c r="S1462" i="6"/>
  <c r="R1462" i="6"/>
  <c r="L1462" i="6"/>
  <c r="H1462" i="6"/>
  <c r="AE1461" i="6"/>
  <c r="AB1461" i="6"/>
  <c r="AA1461" i="6"/>
  <c r="Z1461" i="6"/>
  <c r="W1461" i="6"/>
  <c r="V1461" i="6"/>
  <c r="U1461" i="6"/>
  <c r="AD1461" i="6" s="1"/>
  <c r="T1461" i="6"/>
  <c r="S1461" i="6"/>
  <c r="R1461" i="6"/>
  <c r="L1461" i="6"/>
  <c r="H1461" i="6"/>
  <c r="AE1460" i="6"/>
  <c r="AB1460" i="6"/>
  <c r="AA1460" i="6"/>
  <c r="Z1460" i="6"/>
  <c r="W1460" i="6"/>
  <c r="V1460" i="6"/>
  <c r="U1460" i="6"/>
  <c r="AD1460" i="6" s="1"/>
  <c r="T1460" i="6"/>
  <c r="S1460" i="6"/>
  <c r="R1460" i="6"/>
  <c r="L1460" i="6"/>
  <c r="H1460" i="6"/>
  <c r="AE1459" i="6"/>
  <c r="AB1459" i="6"/>
  <c r="AA1459" i="6"/>
  <c r="Z1459" i="6"/>
  <c r="W1459" i="6"/>
  <c r="V1459" i="6"/>
  <c r="U1459" i="6"/>
  <c r="AD1459" i="6" s="1"/>
  <c r="T1459" i="6"/>
  <c r="S1459" i="6"/>
  <c r="R1459" i="6"/>
  <c r="L1459" i="6"/>
  <c r="H1459" i="6"/>
  <c r="AE1458" i="6"/>
  <c r="AB1458" i="6"/>
  <c r="AA1458" i="6"/>
  <c r="Z1458" i="6"/>
  <c r="W1458" i="6"/>
  <c r="V1458" i="6"/>
  <c r="U1458" i="6"/>
  <c r="T1458" i="6"/>
  <c r="S1458" i="6"/>
  <c r="R1458" i="6"/>
  <c r="L1458" i="6"/>
  <c r="H1458" i="6"/>
  <c r="AE1457" i="6"/>
  <c r="AB1457" i="6"/>
  <c r="AA1457" i="6"/>
  <c r="Z1457" i="6"/>
  <c r="W1457" i="6"/>
  <c r="V1457" i="6"/>
  <c r="U1457" i="6"/>
  <c r="AD1457" i="6" s="1"/>
  <c r="T1457" i="6"/>
  <c r="S1457" i="6"/>
  <c r="R1457" i="6"/>
  <c r="L1457" i="6"/>
  <c r="H1457" i="6"/>
  <c r="AE1456" i="6"/>
  <c r="AB1456" i="6"/>
  <c r="AA1456" i="6"/>
  <c r="Z1456" i="6"/>
  <c r="W1456" i="6"/>
  <c r="V1456" i="6"/>
  <c r="U1456" i="6"/>
  <c r="AD1456" i="6" s="1"/>
  <c r="T1456" i="6"/>
  <c r="S1456" i="6"/>
  <c r="R1456" i="6"/>
  <c r="L1456" i="6"/>
  <c r="H1456" i="6"/>
  <c r="AE1455" i="6"/>
  <c r="AB1455" i="6"/>
  <c r="AA1455" i="6"/>
  <c r="Z1455" i="6"/>
  <c r="W1455" i="6"/>
  <c r="V1455" i="6"/>
  <c r="U1455" i="6"/>
  <c r="AD1455" i="6" s="1"/>
  <c r="T1455" i="6"/>
  <c r="S1455" i="6"/>
  <c r="R1455" i="6"/>
  <c r="L1455" i="6"/>
  <c r="H1455" i="6"/>
  <c r="AF1462" i="6" l="1"/>
  <c r="AF1459" i="6"/>
  <c r="AF1464" i="6"/>
  <c r="AC1458" i="6"/>
  <c r="AC1468" i="6"/>
  <c r="AC1465" i="6"/>
  <c r="AF1470" i="6"/>
  <c r="AF1456" i="6"/>
  <c r="AF1461" i="6"/>
  <c r="AF1471" i="6"/>
  <c r="Y1464" i="6"/>
  <c r="Y1469" i="6"/>
  <c r="AF1455" i="6"/>
  <c r="AC1455" i="6"/>
  <c r="Y1459" i="6"/>
  <c r="AF1458" i="6"/>
  <c r="AF1463" i="6"/>
  <c r="AF1469" i="6"/>
  <c r="Y1465" i="6"/>
  <c r="Y1463" i="6"/>
  <c r="AC1459" i="6"/>
  <c r="AF1465" i="6"/>
  <c r="Y1456" i="6"/>
  <c r="Y1458" i="6"/>
  <c r="Y1468" i="6"/>
  <c r="AF1457" i="6"/>
  <c r="AF1460" i="6"/>
  <c r="AC1469" i="6"/>
  <c r="AC1464" i="6"/>
  <c r="Y1455" i="6"/>
  <c r="Y1461" i="6"/>
  <c r="AC1460" i="6"/>
  <c r="Y1467" i="6"/>
  <c r="Y1457" i="6"/>
  <c r="Y1460" i="6"/>
  <c r="Y1466" i="6"/>
  <c r="Y1462" i="6"/>
  <c r="AF1467" i="6"/>
  <c r="Y1471" i="6"/>
  <c r="AF1466" i="6"/>
  <c r="AC1470" i="6"/>
  <c r="AF1468" i="6"/>
  <c r="Y1470" i="6"/>
  <c r="AD1458" i="6"/>
  <c r="AD1468" i="6"/>
  <c r="AC1457" i="6"/>
  <c r="AC1462" i="6"/>
  <c r="AC1467" i="6"/>
  <c r="AC1463" i="6"/>
  <c r="AC1456" i="6"/>
  <c r="AC1471" i="6"/>
  <c r="AC1466" i="6"/>
  <c r="AC1461"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H894" i="6"/>
  <c r="H893" i="6"/>
  <c r="AF893" i="6" s="1"/>
  <c r="H892" i="6"/>
  <c r="H891" i="6"/>
  <c r="H890" i="6"/>
  <c r="AF890" i="6" s="1"/>
  <c r="H889" i="6"/>
  <c r="H888" i="6"/>
  <c r="H887" i="6"/>
  <c r="H886" i="6"/>
  <c r="H885" i="6"/>
  <c r="H884" i="6"/>
  <c r="H883" i="6"/>
  <c r="H882" i="6"/>
  <c r="H881" i="6"/>
  <c r="H880" i="6"/>
  <c r="H879" i="6"/>
  <c r="H878" i="6"/>
  <c r="H877" i="6"/>
  <c r="H876" i="6"/>
  <c r="H875" i="6"/>
  <c r="H874" i="6"/>
  <c r="H873" i="6"/>
  <c r="H872" i="6"/>
  <c r="H871" i="6"/>
  <c r="H870" i="6"/>
  <c r="AF870" i="6" s="1"/>
  <c r="H869" i="6"/>
  <c r="H868" i="6"/>
  <c r="H867" i="6"/>
  <c r="H866" i="6"/>
  <c r="H865" i="6"/>
  <c r="H864" i="6"/>
  <c r="H863" i="6"/>
  <c r="H862" i="6"/>
  <c r="H861" i="6"/>
  <c r="H860" i="6"/>
  <c r="H859" i="6"/>
  <c r="H858" i="6"/>
  <c r="H857" i="6"/>
  <c r="H856" i="6"/>
  <c r="H855" i="6"/>
  <c r="L897" i="6"/>
  <c r="AF897" i="6" s="1"/>
  <c r="R897" i="6"/>
  <c r="S897" i="6"/>
  <c r="T897" i="6"/>
  <c r="U897" i="6"/>
  <c r="V897" i="6"/>
  <c r="W897" i="6"/>
  <c r="Z897" i="6"/>
  <c r="AA897" i="6"/>
  <c r="AB897" i="6"/>
  <c r="AE897" i="6"/>
  <c r="L898" i="6"/>
  <c r="AF898" i="6" s="1"/>
  <c r="R898" i="6"/>
  <c r="S898" i="6"/>
  <c r="T898" i="6"/>
  <c r="U898" i="6"/>
  <c r="AD898" i="6" s="1"/>
  <c r="V898" i="6"/>
  <c r="W898" i="6"/>
  <c r="Z898" i="6"/>
  <c r="AA898" i="6"/>
  <c r="AB898" i="6"/>
  <c r="AE898" i="6"/>
  <c r="L899" i="6"/>
  <c r="R899" i="6"/>
  <c r="S899" i="6"/>
  <c r="T899" i="6"/>
  <c r="U899" i="6"/>
  <c r="AD899" i="6" s="1"/>
  <c r="V899" i="6"/>
  <c r="W899" i="6"/>
  <c r="Z899" i="6"/>
  <c r="AA899" i="6"/>
  <c r="AB899" i="6"/>
  <c r="AE899" i="6"/>
  <c r="L900" i="6"/>
  <c r="AF900" i="6" s="1"/>
  <c r="R900" i="6"/>
  <c r="S900" i="6"/>
  <c r="T900" i="6"/>
  <c r="U900" i="6"/>
  <c r="AD900" i="6" s="1"/>
  <c r="V900" i="6"/>
  <c r="W900" i="6"/>
  <c r="Z900" i="6"/>
  <c r="AA900" i="6"/>
  <c r="AB900" i="6"/>
  <c r="AE900" i="6"/>
  <c r="L901" i="6"/>
  <c r="AF901" i="6" s="1"/>
  <c r="R901" i="6"/>
  <c r="S901" i="6"/>
  <c r="T901" i="6"/>
  <c r="U901" i="6"/>
  <c r="V901" i="6"/>
  <c r="W901" i="6"/>
  <c r="Z901" i="6"/>
  <c r="AA901" i="6"/>
  <c r="AB901" i="6"/>
  <c r="AE901" i="6"/>
  <c r="L902" i="6"/>
  <c r="AF902" i="6" s="1"/>
  <c r="R902" i="6"/>
  <c r="S902" i="6"/>
  <c r="T902" i="6"/>
  <c r="U902" i="6"/>
  <c r="AD902" i="6" s="1"/>
  <c r="V902" i="6"/>
  <c r="W902" i="6"/>
  <c r="Z902" i="6"/>
  <c r="AA902" i="6"/>
  <c r="AB902" i="6"/>
  <c r="AE902" i="6"/>
  <c r="L903" i="6"/>
  <c r="R903" i="6"/>
  <c r="S903" i="6"/>
  <c r="T903" i="6"/>
  <c r="U903" i="6"/>
  <c r="AD903" i="6" s="1"/>
  <c r="V903" i="6"/>
  <c r="W903" i="6"/>
  <c r="Z903" i="6"/>
  <c r="AA903" i="6"/>
  <c r="AB903" i="6"/>
  <c r="AE903" i="6"/>
  <c r="L904" i="6"/>
  <c r="R904" i="6"/>
  <c r="S904" i="6"/>
  <c r="T904" i="6"/>
  <c r="U904" i="6"/>
  <c r="AD904" i="6" s="1"/>
  <c r="V904" i="6"/>
  <c r="W904" i="6"/>
  <c r="Z904" i="6"/>
  <c r="AA904" i="6"/>
  <c r="AB904" i="6"/>
  <c r="AE904" i="6"/>
  <c r="L905" i="6"/>
  <c r="R905" i="6"/>
  <c r="S905" i="6"/>
  <c r="T905" i="6"/>
  <c r="U905" i="6"/>
  <c r="AD905" i="6" s="1"/>
  <c r="V905" i="6"/>
  <c r="W905" i="6"/>
  <c r="Z905" i="6"/>
  <c r="AA905" i="6"/>
  <c r="AB905" i="6"/>
  <c r="AE905" i="6"/>
  <c r="L906" i="6"/>
  <c r="AF906" i="6" s="1"/>
  <c r="R906" i="6"/>
  <c r="S906" i="6"/>
  <c r="T906" i="6"/>
  <c r="U906" i="6"/>
  <c r="V906" i="6"/>
  <c r="W906" i="6"/>
  <c r="Z906" i="6"/>
  <c r="AA906" i="6"/>
  <c r="AB906" i="6"/>
  <c r="AE906" i="6"/>
  <c r="L907" i="6"/>
  <c r="AF907" i="6" s="1"/>
  <c r="R907" i="6"/>
  <c r="S907" i="6"/>
  <c r="T907" i="6"/>
  <c r="U907" i="6"/>
  <c r="V907" i="6"/>
  <c r="W907" i="6"/>
  <c r="Z907" i="6"/>
  <c r="AA907" i="6"/>
  <c r="AB907" i="6"/>
  <c r="AE907" i="6"/>
  <c r="L908" i="6"/>
  <c r="R908" i="6"/>
  <c r="S908" i="6"/>
  <c r="T908" i="6"/>
  <c r="U908" i="6"/>
  <c r="AD908" i="6" s="1"/>
  <c r="V908" i="6"/>
  <c r="W908" i="6"/>
  <c r="Z908" i="6"/>
  <c r="AA908" i="6"/>
  <c r="AB908" i="6"/>
  <c r="AE908" i="6"/>
  <c r="L909" i="6"/>
  <c r="R909" i="6"/>
  <c r="S909" i="6"/>
  <c r="T909" i="6"/>
  <c r="U909" i="6"/>
  <c r="AD909" i="6" s="1"/>
  <c r="V909" i="6"/>
  <c r="W909" i="6"/>
  <c r="Z909" i="6"/>
  <c r="AA909" i="6"/>
  <c r="AB909" i="6"/>
  <c r="AE909" i="6"/>
  <c r="L910" i="6"/>
  <c r="AF910" i="6" s="1"/>
  <c r="R910" i="6"/>
  <c r="S910" i="6"/>
  <c r="T910" i="6"/>
  <c r="U910" i="6"/>
  <c r="AD910" i="6" s="1"/>
  <c r="V910" i="6"/>
  <c r="W910" i="6"/>
  <c r="Z910" i="6"/>
  <c r="AA910" i="6"/>
  <c r="AB910" i="6"/>
  <c r="AE910" i="6"/>
  <c r="L911" i="6"/>
  <c r="R911" i="6"/>
  <c r="S911" i="6"/>
  <c r="T911" i="6"/>
  <c r="U911" i="6"/>
  <c r="AD911" i="6" s="1"/>
  <c r="V911" i="6"/>
  <c r="W911" i="6"/>
  <c r="Z911" i="6"/>
  <c r="AA911" i="6"/>
  <c r="AB911" i="6"/>
  <c r="AE911" i="6"/>
  <c r="L912" i="6"/>
  <c r="AF912" i="6" s="1"/>
  <c r="R912" i="6"/>
  <c r="S912" i="6"/>
  <c r="T912" i="6"/>
  <c r="U912" i="6"/>
  <c r="AD912" i="6" s="1"/>
  <c r="V912" i="6"/>
  <c r="W912" i="6"/>
  <c r="Z912" i="6"/>
  <c r="AA912" i="6"/>
  <c r="AB912" i="6"/>
  <c r="AE912" i="6"/>
  <c r="L913" i="6"/>
  <c r="R913" i="6"/>
  <c r="S913" i="6"/>
  <c r="T913" i="6"/>
  <c r="U913" i="6"/>
  <c r="AD913" i="6" s="1"/>
  <c r="V913" i="6"/>
  <c r="W913" i="6"/>
  <c r="Z913" i="6"/>
  <c r="AA913" i="6"/>
  <c r="AB913" i="6"/>
  <c r="AE913" i="6"/>
  <c r="L914" i="6"/>
  <c r="R914" i="6"/>
  <c r="S914" i="6"/>
  <c r="T914" i="6"/>
  <c r="U914" i="6"/>
  <c r="AD914" i="6" s="1"/>
  <c r="V914" i="6"/>
  <c r="W914" i="6"/>
  <c r="Z914" i="6"/>
  <c r="AA914" i="6"/>
  <c r="AB914" i="6"/>
  <c r="AE914" i="6"/>
  <c r="L915" i="6"/>
  <c r="AF915" i="6" s="1"/>
  <c r="R915" i="6"/>
  <c r="S915" i="6"/>
  <c r="T915" i="6"/>
  <c r="U915" i="6"/>
  <c r="AD915" i="6" s="1"/>
  <c r="V915" i="6"/>
  <c r="W915" i="6"/>
  <c r="Z915" i="6"/>
  <c r="AA915" i="6"/>
  <c r="AB915" i="6"/>
  <c r="AE915" i="6"/>
  <c r="L916" i="6"/>
  <c r="AF916" i="6" s="1"/>
  <c r="R916" i="6"/>
  <c r="S916" i="6"/>
  <c r="T916" i="6"/>
  <c r="U916" i="6"/>
  <c r="AD916" i="6" s="1"/>
  <c r="V916" i="6"/>
  <c r="W916" i="6"/>
  <c r="Z916" i="6"/>
  <c r="AA916" i="6"/>
  <c r="AB916" i="6"/>
  <c r="AE916" i="6"/>
  <c r="L917" i="6"/>
  <c r="AF917" i="6" s="1"/>
  <c r="R917" i="6"/>
  <c r="S917" i="6"/>
  <c r="T917" i="6"/>
  <c r="U917" i="6"/>
  <c r="V917" i="6"/>
  <c r="W917" i="6"/>
  <c r="Z917" i="6"/>
  <c r="AA917" i="6"/>
  <c r="AB917" i="6"/>
  <c r="AE917" i="6"/>
  <c r="L918" i="6"/>
  <c r="R918" i="6"/>
  <c r="S918" i="6"/>
  <c r="T918" i="6"/>
  <c r="U918" i="6"/>
  <c r="AD918" i="6" s="1"/>
  <c r="V918" i="6"/>
  <c r="W918" i="6"/>
  <c r="Z918" i="6"/>
  <c r="AA918" i="6"/>
  <c r="AB918" i="6"/>
  <c r="AE918" i="6"/>
  <c r="L919" i="6"/>
  <c r="R919" i="6"/>
  <c r="S919" i="6"/>
  <c r="T919" i="6"/>
  <c r="U919" i="6"/>
  <c r="AD919" i="6" s="1"/>
  <c r="V919" i="6"/>
  <c r="W919" i="6"/>
  <c r="Z919" i="6"/>
  <c r="AA919" i="6"/>
  <c r="AB919" i="6"/>
  <c r="AE919" i="6"/>
  <c r="L920" i="6"/>
  <c r="R920" i="6"/>
  <c r="S920" i="6"/>
  <c r="T920" i="6"/>
  <c r="U920" i="6"/>
  <c r="AD920" i="6" s="1"/>
  <c r="V920" i="6"/>
  <c r="W920" i="6"/>
  <c r="Z920" i="6"/>
  <c r="AA920" i="6"/>
  <c r="AB920" i="6"/>
  <c r="AE920" i="6"/>
  <c r="L921" i="6"/>
  <c r="AF921" i="6" s="1"/>
  <c r="R921" i="6"/>
  <c r="S921" i="6"/>
  <c r="T921" i="6"/>
  <c r="U921" i="6"/>
  <c r="AD921" i="6" s="1"/>
  <c r="V921" i="6"/>
  <c r="W921" i="6"/>
  <c r="Z921" i="6"/>
  <c r="AA921" i="6"/>
  <c r="AB921" i="6"/>
  <c r="AE921" i="6"/>
  <c r="L922" i="6"/>
  <c r="AF922" i="6" s="1"/>
  <c r="R922" i="6"/>
  <c r="S922" i="6"/>
  <c r="T922" i="6"/>
  <c r="U922" i="6"/>
  <c r="V922" i="6"/>
  <c r="W922" i="6"/>
  <c r="Z922" i="6"/>
  <c r="AA922" i="6"/>
  <c r="AB922" i="6"/>
  <c r="AE922" i="6"/>
  <c r="L923" i="6"/>
  <c r="R923" i="6"/>
  <c r="S923" i="6"/>
  <c r="T923" i="6"/>
  <c r="U923" i="6"/>
  <c r="AD923" i="6" s="1"/>
  <c r="V923" i="6"/>
  <c r="W923" i="6"/>
  <c r="Z923" i="6"/>
  <c r="AA923" i="6"/>
  <c r="AB923" i="6"/>
  <c r="AE923" i="6"/>
  <c r="L924" i="6"/>
  <c r="R924" i="6"/>
  <c r="S924" i="6"/>
  <c r="T924" i="6"/>
  <c r="U924" i="6"/>
  <c r="AD924" i="6" s="1"/>
  <c r="V924" i="6"/>
  <c r="W924" i="6"/>
  <c r="Z924" i="6"/>
  <c r="AA924" i="6"/>
  <c r="AB924" i="6"/>
  <c r="AE924" i="6"/>
  <c r="L925" i="6"/>
  <c r="R925" i="6"/>
  <c r="S925" i="6"/>
  <c r="T925" i="6"/>
  <c r="U925" i="6"/>
  <c r="AD925" i="6" s="1"/>
  <c r="V925" i="6"/>
  <c r="W925" i="6"/>
  <c r="Z925" i="6"/>
  <c r="AA925" i="6"/>
  <c r="AB925" i="6"/>
  <c r="AE925" i="6"/>
  <c r="L926" i="6"/>
  <c r="AF926" i="6" s="1"/>
  <c r="R926" i="6"/>
  <c r="S926" i="6"/>
  <c r="T926" i="6"/>
  <c r="U926" i="6"/>
  <c r="AD926" i="6" s="1"/>
  <c r="V926" i="6"/>
  <c r="W926" i="6"/>
  <c r="Z926" i="6"/>
  <c r="AA926" i="6"/>
  <c r="AB926" i="6"/>
  <c r="AE926" i="6"/>
  <c r="L927" i="6"/>
  <c r="AF927" i="6" s="1"/>
  <c r="R927" i="6"/>
  <c r="S927" i="6"/>
  <c r="T927" i="6"/>
  <c r="U927" i="6"/>
  <c r="AD927" i="6" s="1"/>
  <c r="V927" i="6"/>
  <c r="W927" i="6"/>
  <c r="Z927" i="6"/>
  <c r="AA927" i="6"/>
  <c r="AB927" i="6"/>
  <c r="AE927" i="6"/>
  <c r="L928" i="6"/>
  <c r="R928" i="6"/>
  <c r="S928" i="6"/>
  <c r="T928" i="6"/>
  <c r="U928" i="6"/>
  <c r="AD928" i="6" s="1"/>
  <c r="V928" i="6"/>
  <c r="W928" i="6"/>
  <c r="Z928" i="6"/>
  <c r="AA928" i="6"/>
  <c r="AB928" i="6"/>
  <c r="AE928" i="6"/>
  <c r="L929" i="6"/>
  <c r="R929" i="6"/>
  <c r="S929" i="6"/>
  <c r="T929" i="6"/>
  <c r="U929" i="6"/>
  <c r="AD929" i="6" s="1"/>
  <c r="V929" i="6"/>
  <c r="W929" i="6"/>
  <c r="Z929" i="6"/>
  <c r="AA929" i="6"/>
  <c r="AB929" i="6"/>
  <c r="AE929" i="6"/>
  <c r="L930" i="6"/>
  <c r="R930" i="6"/>
  <c r="S930" i="6"/>
  <c r="T930" i="6"/>
  <c r="U930" i="6"/>
  <c r="AD930" i="6" s="1"/>
  <c r="V930" i="6"/>
  <c r="W930" i="6"/>
  <c r="Z930" i="6"/>
  <c r="AA930" i="6"/>
  <c r="AB930" i="6"/>
  <c r="AE930" i="6"/>
  <c r="L931" i="6"/>
  <c r="AF931" i="6" s="1"/>
  <c r="R931" i="6"/>
  <c r="S931" i="6"/>
  <c r="T931" i="6"/>
  <c r="U931" i="6"/>
  <c r="AD931" i="6" s="1"/>
  <c r="V931" i="6"/>
  <c r="W931" i="6"/>
  <c r="Z931" i="6"/>
  <c r="AA931" i="6"/>
  <c r="AB931" i="6"/>
  <c r="AE931" i="6"/>
  <c r="L932" i="6"/>
  <c r="AF932" i="6" s="1"/>
  <c r="R932" i="6"/>
  <c r="S932" i="6"/>
  <c r="T932" i="6"/>
  <c r="U932" i="6"/>
  <c r="V932" i="6"/>
  <c r="W932" i="6"/>
  <c r="Z932" i="6"/>
  <c r="AA932" i="6"/>
  <c r="AB932" i="6"/>
  <c r="AE932" i="6"/>
  <c r="L933" i="6"/>
  <c r="R933" i="6"/>
  <c r="S933" i="6"/>
  <c r="T933" i="6"/>
  <c r="U933" i="6"/>
  <c r="AD933" i="6" s="1"/>
  <c r="V933" i="6"/>
  <c r="W933" i="6"/>
  <c r="Z933" i="6"/>
  <c r="AA933" i="6"/>
  <c r="AB933" i="6"/>
  <c r="AE933" i="6"/>
  <c r="L934" i="6"/>
  <c r="R934" i="6"/>
  <c r="S934" i="6"/>
  <c r="T934" i="6"/>
  <c r="U934" i="6"/>
  <c r="AD934" i="6" s="1"/>
  <c r="V934" i="6"/>
  <c r="W934" i="6"/>
  <c r="Z934" i="6"/>
  <c r="AA934" i="6"/>
  <c r="AB934" i="6"/>
  <c r="AE934" i="6"/>
  <c r="L935" i="6"/>
  <c r="AF935" i="6" s="1"/>
  <c r="R935" i="6"/>
  <c r="S935" i="6"/>
  <c r="T935" i="6"/>
  <c r="U935" i="6"/>
  <c r="AD935" i="6" s="1"/>
  <c r="V935" i="6"/>
  <c r="W935" i="6"/>
  <c r="Z935" i="6"/>
  <c r="AA935" i="6"/>
  <c r="AB935" i="6"/>
  <c r="AE935" i="6"/>
  <c r="L936" i="6"/>
  <c r="R936" i="6"/>
  <c r="S936" i="6"/>
  <c r="T936" i="6"/>
  <c r="U936" i="6"/>
  <c r="AD936" i="6" s="1"/>
  <c r="V936" i="6"/>
  <c r="W936" i="6"/>
  <c r="Z936" i="6"/>
  <c r="AA936" i="6"/>
  <c r="AB936" i="6"/>
  <c r="AE936" i="6"/>
  <c r="L937" i="6"/>
  <c r="AF937" i="6" s="1"/>
  <c r="R937" i="6"/>
  <c r="S937" i="6"/>
  <c r="T937" i="6"/>
  <c r="U937" i="6"/>
  <c r="AD937" i="6" s="1"/>
  <c r="V937" i="6"/>
  <c r="W937" i="6"/>
  <c r="Z937" i="6"/>
  <c r="AA937" i="6"/>
  <c r="AB937" i="6"/>
  <c r="AE937" i="6"/>
  <c r="L938" i="6"/>
  <c r="AF938" i="6" s="1"/>
  <c r="R938" i="6"/>
  <c r="S938" i="6"/>
  <c r="T938" i="6"/>
  <c r="U938" i="6"/>
  <c r="AD938" i="6" s="1"/>
  <c r="V938" i="6"/>
  <c r="W938" i="6"/>
  <c r="Z938" i="6"/>
  <c r="AA938" i="6"/>
  <c r="AB938" i="6"/>
  <c r="AE938" i="6"/>
  <c r="L939" i="6"/>
  <c r="R939" i="6"/>
  <c r="S939" i="6"/>
  <c r="T939" i="6"/>
  <c r="U939" i="6"/>
  <c r="AD939" i="6" s="1"/>
  <c r="V939" i="6"/>
  <c r="W939" i="6"/>
  <c r="Z939" i="6"/>
  <c r="AA939" i="6"/>
  <c r="AB939" i="6"/>
  <c r="AE939" i="6"/>
  <c r="L940" i="6"/>
  <c r="AF940" i="6" s="1"/>
  <c r="R940" i="6"/>
  <c r="S940" i="6"/>
  <c r="T940" i="6"/>
  <c r="U940" i="6"/>
  <c r="AD940" i="6" s="1"/>
  <c r="V940" i="6"/>
  <c r="W940" i="6"/>
  <c r="Z940" i="6"/>
  <c r="AA940" i="6"/>
  <c r="AB940" i="6"/>
  <c r="AE940" i="6"/>
  <c r="L941" i="6"/>
  <c r="R941" i="6"/>
  <c r="S941" i="6"/>
  <c r="T941" i="6"/>
  <c r="U941" i="6"/>
  <c r="AD941" i="6" s="1"/>
  <c r="V941" i="6"/>
  <c r="W941" i="6"/>
  <c r="Z941" i="6"/>
  <c r="AA941" i="6"/>
  <c r="AB941" i="6"/>
  <c r="AE941" i="6"/>
  <c r="L942" i="6"/>
  <c r="R942" i="6"/>
  <c r="S942" i="6"/>
  <c r="T942" i="6"/>
  <c r="U942" i="6"/>
  <c r="V942" i="6"/>
  <c r="W942" i="6"/>
  <c r="Z942" i="6"/>
  <c r="AA942" i="6"/>
  <c r="AB942" i="6"/>
  <c r="AE942" i="6"/>
  <c r="L943" i="6"/>
  <c r="R943" i="6"/>
  <c r="S943" i="6"/>
  <c r="T943" i="6"/>
  <c r="U943" i="6"/>
  <c r="AD943" i="6" s="1"/>
  <c r="V943" i="6"/>
  <c r="W943" i="6"/>
  <c r="Z943" i="6"/>
  <c r="AA943" i="6"/>
  <c r="AB943" i="6"/>
  <c r="AE943" i="6"/>
  <c r="L944" i="6"/>
  <c r="R944" i="6"/>
  <c r="S944" i="6"/>
  <c r="T944" i="6"/>
  <c r="U944" i="6"/>
  <c r="AD944" i="6" s="1"/>
  <c r="V944" i="6"/>
  <c r="W944" i="6"/>
  <c r="Z944" i="6"/>
  <c r="AA944" i="6"/>
  <c r="AB944" i="6"/>
  <c r="AE944" i="6"/>
  <c r="L945" i="6"/>
  <c r="R945" i="6"/>
  <c r="S945" i="6"/>
  <c r="T945" i="6"/>
  <c r="U945" i="6"/>
  <c r="AD945" i="6" s="1"/>
  <c r="V945" i="6"/>
  <c r="W945" i="6"/>
  <c r="Z945" i="6"/>
  <c r="AA945" i="6"/>
  <c r="AB945" i="6"/>
  <c r="AE945" i="6"/>
  <c r="L946" i="6"/>
  <c r="AF946" i="6" s="1"/>
  <c r="R946" i="6"/>
  <c r="S946" i="6"/>
  <c r="T946" i="6"/>
  <c r="U946" i="6"/>
  <c r="AD946" i="6" s="1"/>
  <c r="V946" i="6"/>
  <c r="W946" i="6"/>
  <c r="Z946" i="6"/>
  <c r="AA946" i="6"/>
  <c r="AB946" i="6"/>
  <c r="AE946" i="6"/>
  <c r="L947" i="6"/>
  <c r="R947" i="6"/>
  <c r="S947" i="6"/>
  <c r="T947" i="6"/>
  <c r="U947" i="6"/>
  <c r="AD947" i="6" s="1"/>
  <c r="V947" i="6"/>
  <c r="W947" i="6"/>
  <c r="Z947" i="6"/>
  <c r="AA947" i="6"/>
  <c r="AB947" i="6"/>
  <c r="AE947" i="6"/>
  <c r="L948" i="6"/>
  <c r="R948" i="6"/>
  <c r="S948" i="6"/>
  <c r="T948" i="6"/>
  <c r="U948" i="6"/>
  <c r="AD948" i="6" s="1"/>
  <c r="V948" i="6"/>
  <c r="W948" i="6"/>
  <c r="Z948" i="6"/>
  <c r="AA948" i="6"/>
  <c r="AB948" i="6"/>
  <c r="AE948" i="6"/>
  <c r="L949" i="6"/>
  <c r="R949" i="6"/>
  <c r="S949" i="6"/>
  <c r="T949" i="6"/>
  <c r="U949" i="6"/>
  <c r="AD949" i="6" s="1"/>
  <c r="V949" i="6"/>
  <c r="W949" i="6"/>
  <c r="Z949" i="6"/>
  <c r="AA949" i="6"/>
  <c r="AB949" i="6"/>
  <c r="AE949" i="6"/>
  <c r="L950" i="6"/>
  <c r="R950" i="6"/>
  <c r="S950" i="6"/>
  <c r="T950" i="6"/>
  <c r="U950" i="6"/>
  <c r="AD950" i="6" s="1"/>
  <c r="V950" i="6"/>
  <c r="W950" i="6"/>
  <c r="Z950" i="6"/>
  <c r="AA950" i="6"/>
  <c r="AB950" i="6"/>
  <c r="AE950" i="6"/>
  <c r="L951" i="6"/>
  <c r="R951" i="6"/>
  <c r="S951" i="6"/>
  <c r="T951" i="6"/>
  <c r="U951" i="6"/>
  <c r="AD951" i="6" s="1"/>
  <c r="V951" i="6"/>
  <c r="W951" i="6"/>
  <c r="Z951" i="6"/>
  <c r="AA951" i="6"/>
  <c r="AB951" i="6"/>
  <c r="AE951" i="6"/>
  <c r="L952" i="6"/>
  <c r="R952" i="6"/>
  <c r="S952" i="6"/>
  <c r="T952" i="6"/>
  <c r="U952" i="6"/>
  <c r="V952" i="6"/>
  <c r="W952" i="6"/>
  <c r="Z952" i="6"/>
  <c r="AA952" i="6"/>
  <c r="AB952" i="6"/>
  <c r="AE952" i="6"/>
  <c r="L953" i="6"/>
  <c r="R953" i="6"/>
  <c r="S953" i="6"/>
  <c r="T953" i="6"/>
  <c r="U953" i="6"/>
  <c r="AD953" i="6" s="1"/>
  <c r="V953" i="6"/>
  <c r="W953" i="6"/>
  <c r="Z953" i="6"/>
  <c r="AA953" i="6"/>
  <c r="AB953" i="6"/>
  <c r="AE953" i="6"/>
  <c r="L954" i="6"/>
  <c r="R954" i="6"/>
  <c r="S954" i="6"/>
  <c r="T954" i="6"/>
  <c r="U954" i="6"/>
  <c r="AD954" i="6" s="1"/>
  <c r="V954" i="6"/>
  <c r="W954" i="6"/>
  <c r="Z954" i="6"/>
  <c r="AA954" i="6"/>
  <c r="AB954" i="6"/>
  <c r="AE954" i="6"/>
  <c r="L955"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L895" i="6"/>
  <c r="R895" i="6"/>
  <c r="S895" i="6"/>
  <c r="T895" i="6"/>
  <c r="U895" i="6"/>
  <c r="AD895" i="6" s="1"/>
  <c r="V895" i="6"/>
  <c r="W895" i="6"/>
  <c r="Z895" i="6"/>
  <c r="AA895" i="6"/>
  <c r="AB895" i="6"/>
  <c r="AE895" i="6"/>
  <c r="L896" i="6"/>
  <c r="R896" i="6"/>
  <c r="S896" i="6"/>
  <c r="T896" i="6"/>
  <c r="U896" i="6"/>
  <c r="AD896" i="6" s="1"/>
  <c r="V896" i="6"/>
  <c r="W896" i="6"/>
  <c r="Z896" i="6"/>
  <c r="AA896" i="6"/>
  <c r="AB896" i="6"/>
  <c r="AE896" i="6"/>
  <c r="L841" i="6"/>
  <c r="L840" i="6"/>
  <c r="L839" i="6"/>
  <c r="L838" i="6"/>
  <c r="L837" i="6"/>
  <c r="L836" i="6"/>
  <c r="L835" i="6"/>
  <c r="L834" i="6"/>
  <c r="L833" i="6"/>
  <c r="L832" i="6"/>
  <c r="L831" i="6"/>
  <c r="L830" i="6"/>
  <c r="L829" i="6"/>
  <c r="L828" i="6"/>
  <c r="L827" i="6"/>
  <c r="L826" i="6"/>
  <c r="L825" i="6"/>
  <c r="L824" i="6"/>
  <c r="L823" i="6"/>
  <c r="H854" i="6"/>
  <c r="AF854" i="6" s="1"/>
  <c r="H853" i="6"/>
  <c r="H852" i="6"/>
  <c r="H851" i="6"/>
  <c r="H850" i="6"/>
  <c r="H849" i="6"/>
  <c r="H848" i="6"/>
  <c r="H847" i="6"/>
  <c r="H846" i="6"/>
  <c r="H845" i="6"/>
  <c r="H844" i="6"/>
  <c r="H843" i="6"/>
  <c r="H842" i="6"/>
  <c r="H841" i="6"/>
  <c r="H840" i="6"/>
  <c r="H839" i="6"/>
  <c r="H838" i="6"/>
  <c r="H837" i="6"/>
  <c r="H836" i="6"/>
  <c r="L821" i="6"/>
  <c r="H835" i="6"/>
  <c r="H834" i="6"/>
  <c r="H833" i="6"/>
  <c r="H832" i="6"/>
  <c r="H831" i="6"/>
  <c r="H830" i="6"/>
  <c r="H829" i="6"/>
  <c r="H828" i="6"/>
  <c r="H827" i="6"/>
  <c r="H826" i="6"/>
  <c r="H825" i="6"/>
  <c r="H824" i="6"/>
  <c r="H823" i="6"/>
  <c r="H822" i="6"/>
  <c r="H821" i="6"/>
  <c r="H820" i="6"/>
  <c r="H819" i="6"/>
  <c r="H818" i="6"/>
  <c r="H817" i="6"/>
  <c r="H816" i="6"/>
  <c r="L820" i="6"/>
  <c r="L819" i="6"/>
  <c r="L818" i="6"/>
  <c r="L817" i="6"/>
  <c r="L815" i="6"/>
  <c r="L814" i="6"/>
  <c r="L813" i="6"/>
  <c r="H815" i="6"/>
  <c r="H814" i="6"/>
  <c r="H813" i="6"/>
  <c r="H812" i="6"/>
  <c r="L844" i="6"/>
  <c r="R844" i="6"/>
  <c r="S844" i="6"/>
  <c r="T844" i="6"/>
  <c r="U844" i="6"/>
  <c r="AD844" i="6" s="1"/>
  <c r="V844" i="6"/>
  <c r="W844" i="6"/>
  <c r="Z844" i="6"/>
  <c r="AA844" i="6"/>
  <c r="AB844" i="6"/>
  <c r="AE844" i="6"/>
  <c r="L845" i="6"/>
  <c r="R845" i="6"/>
  <c r="S845" i="6"/>
  <c r="T845" i="6"/>
  <c r="U845" i="6"/>
  <c r="AD845" i="6" s="1"/>
  <c r="V845" i="6"/>
  <c r="W845" i="6"/>
  <c r="Z845" i="6"/>
  <c r="AA845" i="6"/>
  <c r="AB845" i="6"/>
  <c r="AE845" i="6"/>
  <c r="L846" i="6"/>
  <c r="R846" i="6"/>
  <c r="S846" i="6"/>
  <c r="T846" i="6"/>
  <c r="U846" i="6"/>
  <c r="AD846" i="6" s="1"/>
  <c r="V846" i="6"/>
  <c r="W846" i="6"/>
  <c r="Z846" i="6"/>
  <c r="AA846" i="6"/>
  <c r="AB846" i="6"/>
  <c r="AE846" i="6"/>
  <c r="L847" i="6"/>
  <c r="R847" i="6"/>
  <c r="S847" i="6"/>
  <c r="T847" i="6"/>
  <c r="U847" i="6"/>
  <c r="AD847" i="6" s="1"/>
  <c r="V847" i="6"/>
  <c r="W847" i="6"/>
  <c r="Z847" i="6"/>
  <c r="AA847" i="6"/>
  <c r="AB847" i="6"/>
  <c r="AE847" i="6"/>
  <c r="L848" i="6"/>
  <c r="R848" i="6"/>
  <c r="S848" i="6"/>
  <c r="T848" i="6"/>
  <c r="U848" i="6"/>
  <c r="V848" i="6"/>
  <c r="W848" i="6"/>
  <c r="Z848" i="6"/>
  <c r="AA848" i="6"/>
  <c r="AB848" i="6"/>
  <c r="AE848" i="6"/>
  <c r="L849" i="6"/>
  <c r="R849" i="6"/>
  <c r="S849" i="6"/>
  <c r="T849" i="6"/>
  <c r="U849" i="6"/>
  <c r="V849" i="6"/>
  <c r="W849" i="6"/>
  <c r="Z849" i="6"/>
  <c r="AA849" i="6"/>
  <c r="AB849" i="6"/>
  <c r="AE849" i="6"/>
  <c r="L850" i="6"/>
  <c r="R850" i="6"/>
  <c r="S850" i="6"/>
  <c r="T850" i="6"/>
  <c r="U850" i="6"/>
  <c r="AD850" i="6" s="1"/>
  <c r="V850" i="6"/>
  <c r="W850" i="6"/>
  <c r="Z850" i="6"/>
  <c r="AA850" i="6"/>
  <c r="AB850" i="6"/>
  <c r="AE850" i="6"/>
  <c r="L851" i="6"/>
  <c r="R851" i="6"/>
  <c r="S851" i="6"/>
  <c r="T851" i="6"/>
  <c r="U851" i="6"/>
  <c r="AD851" i="6" s="1"/>
  <c r="V851" i="6"/>
  <c r="W851" i="6"/>
  <c r="Z851" i="6"/>
  <c r="AA851" i="6"/>
  <c r="AB851" i="6"/>
  <c r="AE851" i="6"/>
  <c r="L852"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L842" i="6"/>
  <c r="R842" i="6"/>
  <c r="S842" i="6"/>
  <c r="T842" i="6"/>
  <c r="U842" i="6"/>
  <c r="V842" i="6"/>
  <c r="W842" i="6"/>
  <c r="Z842" i="6"/>
  <c r="AA842" i="6"/>
  <c r="AB842" i="6"/>
  <c r="AE842" i="6"/>
  <c r="L843"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L822"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L816"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812"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L770" i="6"/>
  <c r="L769" i="6"/>
  <c r="L768" i="6"/>
  <c r="L767" i="6"/>
  <c r="L766" i="6"/>
  <c r="L765" i="6"/>
  <c r="L764" i="6"/>
  <c r="L763" i="6"/>
  <c r="L762" i="6"/>
  <c r="L761" i="6"/>
  <c r="L760" i="6"/>
  <c r="L757" i="6"/>
  <c r="L756" i="6"/>
  <c r="L755" i="6"/>
  <c r="L750" i="6"/>
  <c r="L749" i="6"/>
  <c r="L748" i="6"/>
  <c r="L747" i="6"/>
  <c r="L746" i="6"/>
  <c r="L745" i="6"/>
  <c r="L744" i="6"/>
  <c r="L752" i="6"/>
  <c r="L751" i="6"/>
  <c r="L753" i="6"/>
  <c r="L754" i="6"/>
  <c r="L759" i="6"/>
  <c r="L758" i="6"/>
  <c r="AF889" i="6" l="1"/>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L692" i="6"/>
  <c r="L691" i="6"/>
  <c r="L690" i="6"/>
  <c r="L689" i="6"/>
  <c r="L688" i="6"/>
  <c r="L687" i="6"/>
  <c r="L686" i="6"/>
  <c r="L685" i="6"/>
  <c r="L684" i="6"/>
  <c r="L683" i="6"/>
  <c r="L682" i="6"/>
  <c r="L681" i="6"/>
  <c r="L680" i="6"/>
  <c r="L679" i="6"/>
  <c r="L678" i="6"/>
  <c r="L677" i="6"/>
  <c r="L676" i="6"/>
  <c r="L675" i="6"/>
  <c r="L673" i="6"/>
  <c r="L672" i="6"/>
  <c r="L671" i="6"/>
  <c r="L670" i="6"/>
  <c r="L669" i="6"/>
  <c r="L668" i="6"/>
  <c r="L667" i="6"/>
  <c r="L666" i="6"/>
  <c r="L665" i="6"/>
  <c r="L664" i="6"/>
  <c r="L663" i="6"/>
  <c r="L662" i="6"/>
  <c r="L661" i="6"/>
  <c r="L660" i="6"/>
  <c r="L659" i="6"/>
  <c r="L658" i="6"/>
  <c r="L657" i="6"/>
  <c r="L656" i="6"/>
  <c r="L655" i="6"/>
  <c r="L654" i="6"/>
  <c r="L653" i="6"/>
  <c r="L652" i="6"/>
  <c r="L651" i="6"/>
  <c r="L650" i="6"/>
  <c r="L647" i="6"/>
  <c r="L646" i="6"/>
  <c r="L645" i="6"/>
  <c r="H1973" i="6"/>
  <c r="H1972" i="6"/>
  <c r="H1971" i="6"/>
  <c r="H1970" i="6"/>
  <c r="H1969" i="6"/>
  <c r="H1968" i="6"/>
  <c r="H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H1858" i="6"/>
  <c r="H1857" i="6"/>
  <c r="H1856" i="6"/>
  <c r="H1855" i="6"/>
  <c r="H1854" i="6"/>
  <c r="H1853" i="6"/>
  <c r="H1852" i="6"/>
  <c r="H1851" i="6"/>
  <c r="H1850" i="6"/>
  <c r="H1849" i="6"/>
  <c r="H1848" i="6"/>
  <c r="H1847" i="6"/>
  <c r="H1846" i="6"/>
  <c r="H1845" i="6"/>
  <c r="H1844" i="6"/>
  <c r="H1843" i="6"/>
  <c r="H1842" i="6"/>
  <c r="H1841" i="6"/>
  <c r="H1840" i="6"/>
  <c r="H1839" i="6"/>
  <c r="H1838" i="6"/>
  <c r="H1837" i="6"/>
  <c r="H1836" i="6"/>
  <c r="H1835" i="6"/>
  <c r="H1834" i="6"/>
  <c r="H1833" i="6"/>
  <c r="H1832" i="6"/>
  <c r="H1831" i="6"/>
  <c r="H1830" i="6"/>
  <c r="H1829" i="6"/>
  <c r="H1828" i="6"/>
  <c r="H1827" i="6"/>
  <c r="H1826" i="6"/>
  <c r="H1825" i="6"/>
  <c r="H1824" i="6"/>
  <c r="H1823" i="6"/>
  <c r="H1822" i="6"/>
  <c r="H1821" i="6"/>
  <c r="H1820" i="6"/>
  <c r="H1819" i="6"/>
  <c r="H1818" i="6"/>
  <c r="H1817" i="6"/>
  <c r="H1816" i="6"/>
  <c r="H1815" i="6"/>
  <c r="H1814" i="6"/>
  <c r="H1813" i="6"/>
  <c r="H1812" i="6"/>
  <c r="H1811" i="6"/>
  <c r="H1810" i="6"/>
  <c r="H1809" i="6"/>
  <c r="H1808" i="6"/>
  <c r="H1807" i="6"/>
  <c r="H1806" i="6"/>
  <c r="H1805" i="6"/>
  <c r="H1804" i="6"/>
  <c r="H1803" i="6"/>
  <c r="H1802" i="6"/>
  <c r="H1801" i="6"/>
  <c r="H1800" i="6"/>
  <c r="H1799" i="6"/>
  <c r="H1798" i="6"/>
  <c r="H1797" i="6"/>
  <c r="H1796" i="6"/>
  <c r="H1795" i="6"/>
  <c r="H1794" i="6"/>
  <c r="H1793" i="6"/>
  <c r="H1792" i="6"/>
  <c r="H1791" i="6"/>
  <c r="H1790" i="6"/>
  <c r="H1789" i="6"/>
  <c r="H1788" i="6"/>
  <c r="H1787" i="6"/>
  <c r="H1786" i="6"/>
  <c r="H1785" i="6"/>
  <c r="H1784" i="6"/>
  <c r="H1783" i="6"/>
  <c r="H1782" i="6"/>
  <c r="H1781" i="6"/>
  <c r="H1780" i="6"/>
  <c r="H1779" i="6"/>
  <c r="H1778" i="6"/>
  <c r="H1777" i="6"/>
  <c r="H1776" i="6"/>
  <c r="H1775" i="6"/>
  <c r="H1774" i="6"/>
  <c r="H1773" i="6"/>
  <c r="H1772" i="6"/>
  <c r="H1771" i="6"/>
  <c r="H1770" i="6"/>
  <c r="H1769" i="6"/>
  <c r="H1768" i="6"/>
  <c r="H1767" i="6"/>
  <c r="H1766" i="6"/>
  <c r="H1765" i="6"/>
  <c r="H1764" i="6"/>
  <c r="H1763" i="6"/>
  <c r="H1762" i="6"/>
  <c r="H1761" i="6"/>
  <c r="H1760" i="6"/>
  <c r="H1759" i="6"/>
  <c r="H1758" i="6"/>
  <c r="H1757" i="6"/>
  <c r="H1756" i="6"/>
  <c r="H1755" i="6"/>
  <c r="H1754" i="6"/>
  <c r="H1753" i="6"/>
  <c r="H1752" i="6"/>
  <c r="H1751" i="6"/>
  <c r="H1750" i="6"/>
  <c r="H1749" i="6"/>
  <c r="H1748" i="6"/>
  <c r="H1747" i="6"/>
  <c r="H1746" i="6"/>
  <c r="H1745" i="6"/>
  <c r="H1744" i="6"/>
  <c r="H1743" i="6"/>
  <c r="H1742" i="6"/>
  <c r="H1741" i="6"/>
  <c r="H1740" i="6"/>
  <c r="H1739" i="6"/>
  <c r="H1738" i="6"/>
  <c r="H1737" i="6"/>
  <c r="H1736" i="6"/>
  <c r="H1735" i="6"/>
  <c r="H1734" i="6"/>
  <c r="H1733" i="6"/>
  <c r="H1732" i="6"/>
  <c r="H1731" i="6"/>
  <c r="H1730" i="6"/>
  <c r="H1729" i="6"/>
  <c r="H1728" i="6"/>
  <c r="H1727" i="6"/>
  <c r="H1726" i="6"/>
  <c r="H1725" i="6"/>
  <c r="H1724" i="6"/>
  <c r="H1723" i="6"/>
  <c r="H1722" i="6"/>
  <c r="H1721" i="6"/>
  <c r="H1720" i="6"/>
  <c r="H1719" i="6"/>
  <c r="H1718" i="6"/>
  <c r="H1717" i="6"/>
  <c r="H1716" i="6"/>
  <c r="H1715" i="6"/>
  <c r="H1714" i="6"/>
  <c r="H1713" i="6"/>
  <c r="H1712" i="6"/>
  <c r="H1711" i="6"/>
  <c r="H1710" i="6"/>
  <c r="H1709" i="6"/>
  <c r="H1708" i="6"/>
  <c r="H1707" i="6"/>
  <c r="H1706" i="6"/>
  <c r="H1705" i="6"/>
  <c r="H1704" i="6"/>
  <c r="H1703" i="6"/>
  <c r="H1702" i="6"/>
  <c r="H1701" i="6"/>
  <c r="H1700" i="6"/>
  <c r="H1699" i="6"/>
  <c r="H1698" i="6"/>
  <c r="H1697" i="6"/>
  <c r="H1696" i="6"/>
  <c r="H1695" i="6"/>
  <c r="H1694" i="6"/>
  <c r="H1693" i="6"/>
  <c r="H1692" i="6"/>
  <c r="H1691" i="6"/>
  <c r="H1690" i="6"/>
  <c r="H1689" i="6"/>
  <c r="H1688" i="6"/>
  <c r="H1687" i="6"/>
  <c r="H1686" i="6"/>
  <c r="H1685" i="6"/>
  <c r="H1684" i="6"/>
  <c r="H1683" i="6"/>
  <c r="H1682" i="6"/>
  <c r="H1681" i="6"/>
  <c r="H1680" i="6"/>
  <c r="H1679" i="6"/>
  <c r="H1678" i="6"/>
  <c r="H1677" i="6"/>
  <c r="H1676" i="6"/>
  <c r="H1675" i="6"/>
  <c r="H1674" i="6"/>
  <c r="H1673" i="6"/>
  <c r="H1672" i="6"/>
  <c r="H1671" i="6"/>
  <c r="H1670" i="6"/>
  <c r="H1669" i="6"/>
  <c r="H1668" i="6"/>
  <c r="H1667" i="6"/>
  <c r="H1666" i="6"/>
  <c r="H1665" i="6"/>
  <c r="H1664" i="6"/>
  <c r="H1663" i="6"/>
  <c r="H1662" i="6"/>
  <c r="H1661" i="6"/>
  <c r="H1660" i="6"/>
  <c r="H1659" i="6"/>
  <c r="H1658" i="6"/>
  <c r="H1657" i="6"/>
  <c r="H1656" i="6"/>
  <c r="H1655" i="6"/>
  <c r="H1654" i="6"/>
  <c r="H1653" i="6"/>
  <c r="H1652" i="6"/>
  <c r="H1651" i="6"/>
  <c r="H1650" i="6"/>
  <c r="H1649" i="6"/>
  <c r="H1648" i="6"/>
  <c r="H1647" i="6"/>
  <c r="H1646" i="6"/>
  <c r="H1645" i="6"/>
  <c r="H1644" i="6"/>
  <c r="H1643" i="6"/>
  <c r="H1642" i="6"/>
  <c r="H1641" i="6"/>
  <c r="H1640" i="6"/>
  <c r="H1639" i="6"/>
  <c r="H1638" i="6"/>
  <c r="H1637" i="6"/>
  <c r="H1636" i="6"/>
  <c r="H1635" i="6"/>
  <c r="H1634" i="6"/>
  <c r="H1633" i="6"/>
  <c r="H1632" i="6"/>
  <c r="H1631" i="6"/>
  <c r="H1630" i="6"/>
  <c r="H1629" i="6"/>
  <c r="H1628" i="6"/>
  <c r="H1627" i="6"/>
  <c r="H1626" i="6"/>
  <c r="H1625" i="6"/>
  <c r="H1624" i="6"/>
  <c r="H1623" i="6"/>
  <c r="H1622" i="6"/>
  <c r="H1621" i="6"/>
  <c r="H1620" i="6"/>
  <c r="H1619" i="6"/>
  <c r="H1618" i="6"/>
  <c r="H1617" i="6"/>
  <c r="H1616" i="6"/>
  <c r="H1615" i="6"/>
  <c r="H1614" i="6"/>
  <c r="H1613" i="6"/>
  <c r="H1612" i="6"/>
  <c r="H1611" i="6"/>
  <c r="H1610" i="6"/>
  <c r="H1609" i="6"/>
  <c r="H1608" i="6"/>
  <c r="H1607" i="6"/>
  <c r="H1606" i="6"/>
  <c r="H1605" i="6"/>
  <c r="H1604" i="6"/>
  <c r="H1603" i="6"/>
  <c r="H1602" i="6"/>
  <c r="H1601" i="6"/>
  <c r="H1600" i="6"/>
  <c r="H1599" i="6"/>
  <c r="H1598" i="6"/>
  <c r="H1597" i="6"/>
  <c r="H1596" i="6"/>
  <c r="H1595" i="6"/>
  <c r="H1594" i="6"/>
  <c r="H1593" i="6"/>
  <c r="H1592" i="6"/>
  <c r="H1591" i="6"/>
  <c r="H1590" i="6"/>
  <c r="H1589" i="6"/>
  <c r="H1588" i="6"/>
  <c r="H1587" i="6"/>
  <c r="H1586" i="6"/>
  <c r="H1585" i="6"/>
  <c r="H1584" i="6"/>
  <c r="H1583" i="6"/>
  <c r="H1582" i="6"/>
  <c r="H1581" i="6"/>
  <c r="H1580" i="6"/>
  <c r="H1579" i="6"/>
  <c r="H1578" i="6"/>
  <c r="H1577" i="6"/>
  <c r="H1576" i="6"/>
  <c r="H1575" i="6"/>
  <c r="H1574" i="6"/>
  <c r="H1573" i="6"/>
  <c r="H1572" i="6"/>
  <c r="H1571" i="6"/>
  <c r="H1570" i="6"/>
  <c r="H1569" i="6"/>
  <c r="H1568" i="6"/>
  <c r="H1567" i="6"/>
  <c r="H1566" i="6"/>
  <c r="H1565" i="6"/>
  <c r="H1564" i="6"/>
  <c r="H1563" i="6"/>
  <c r="H1562" i="6"/>
  <c r="H1561" i="6"/>
  <c r="H1560" i="6"/>
  <c r="H1559" i="6"/>
  <c r="H1558" i="6"/>
  <c r="H1557" i="6"/>
  <c r="H1556" i="6"/>
  <c r="H1555" i="6"/>
  <c r="H1554" i="6"/>
  <c r="H1553" i="6"/>
  <c r="H1552" i="6"/>
  <c r="H1551" i="6"/>
  <c r="H1550" i="6"/>
  <c r="H1549" i="6"/>
  <c r="H1548" i="6"/>
  <c r="H1547" i="6"/>
  <c r="H1546" i="6"/>
  <c r="H1545" i="6"/>
  <c r="H1544" i="6"/>
  <c r="H1543" i="6"/>
  <c r="H1542" i="6"/>
  <c r="H1541" i="6"/>
  <c r="H1540" i="6"/>
  <c r="H1539" i="6"/>
  <c r="H1538" i="6"/>
  <c r="H1537" i="6"/>
  <c r="H1536" i="6"/>
  <c r="H1535" i="6"/>
  <c r="H1534" i="6"/>
  <c r="H1533" i="6"/>
  <c r="H1532" i="6"/>
  <c r="H1531" i="6"/>
  <c r="H1530" i="6"/>
  <c r="H1529" i="6"/>
  <c r="H1528" i="6"/>
  <c r="H1527" i="6"/>
  <c r="H1526" i="6"/>
  <c r="H1525" i="6"/>
  <c r="H1524" i="6"/>
  <c r="H1523" i="6"/>
  <c r="H1522" i="6"/>
  <c r="H1521" i="6"/>
  <c r="H1520" i="6"/>
  <c r="H1519" i="6"/>
  <c r="H1518" i="6"/>
  <c r="H1517" i="6"/>
  <c r="H1516" i="6"/>
  <c r="H1515" i="6"/>
  <c r="H1514" i="6"/>
  <c r="H1513" i="6"/>
  <c r="H1512" i="6"/>
  <c r="H1511" i="6"/>
  <c r="H1510" i="6"/>
  <c r="H1509" i="6"/>
  <c r="H1508" i="6"/>
  <c r="H1507" i="6"/>
  <c r="H1506" i="6"/>
  <c r="H1505" i="6"/>
  <c r="H1504" i="6"/>
  <c r="H1503" i="6"/>
  <c r="H1502" i="6"/>
  <c r="H1501" i="6"/>
  <c r="H1500" i="6"/>
  <c r="H1499" i="6"/>
  <c r="H1498" i="6"/>
  <c r="H1497" i="6"/>
  <c r="H1496" i="6"/>
  <c r="H1495" i="6"/>
  <c r="H1494" i="6"/>
  <c r="H1493" i="6"/>
  <c r="H1492" i="6"/>
  <c r="H1491" i="6"/>
  <c r="H1490" i="6"/>
  <c r="H1489" i="6"/>
  <c r="H1488" i="6"/>
  <c r="H1487" i="6"/>
  <c r="H1486" i="6"/>
  <c r="H1485" i="6"/>
  <c r="H1484" i="6"/>
  <c r="H1483" i="6"/>
  <c r="H1482" i="6"/>
  <c r="H1481" i="6"/>
  <c r="H1480" i="6"/>
  <c r="H1479" i="6"/>
  <c r="H1478" i="6"/>
  <c r="H1477" i="6"/>
  <c r="H1476" i="6"/>
  <c r="H1475" i="6"/>
  <c r="H1474" i="6"/>
  <c r="H1473" i="6"/>
  <c r="H1472" i="6"/>
  <c r="H1454" i="6"/>
  <c r="H1453" i="6"/>
  <c r="H1452" i="6"/>
  <c r="H1451" i="6"/>
  <c r="H1450" i="6"/>
  <c r="H1449" i="6"/>
  <c r="H1448" i="6"/>
  <c r="H1447" i="6"/>
  <c r="H1446" i="6"/>
  <c r="H1445" i="6"/>
  <c r="H1444" i="6"/>
  <c r="H1443" i="6"/>
  <c r="H1442" i="6"/>
  <c r="H1441" i="6"/>
  <c r="H1440" i="6"/>
  <c r="H1439" i="6"/>
  <c r="H1438" i="6"/>
  <c r="H1437" i="6"/>
  <c r="H1436" i="6"/>
  <c r="H1435" i="6"/>
  <c r="H1434" i="6"/>
  <c r="H1433" i="6"/>
  <c r="H1432" i="6"/>
  <c r="H1431" i="6"/>
  <c r="H1430" i="6"/>
  <c r="H1429" i="6"/>
  <c r="H1428" i="6"/>
  <c r="H1427" i="6"/>
  <c r="H1426" i="6"/>
  <c r="H1425" i="6"/>
  <c r="H1424" i="6"/>
  <c r="H1423" i="6"/>
  <c r="H1422" i="6"/>
  <c r="H1421" i="6"/>
  <c r="H1420" i="6"/>
  <c r="H1419" i="6"/>
  <c r="H1418" i="6"/>
  <c r="H1417" i="6"/>
  <c r="H1416" i="6"/>
  <c r="H1415" i="6"/>
  <c r="H1414" i="6"/>
  <c r="H1413" i="6"/>
  <c r="H1412" i="6"/>
  <c r="H1411" i="6"/>
  <c r="H1410" i="6"/>
  <c r="H1409" i="6"/>
  <c r="H1408" i="6"/>
  <c r="H1407" i="6"/>
  <c r="H1406" i="6"/>
  <c r="H1405" i="6"/>
  <c r="H1404" i="6"/>
  <c r="H1403" i="6"/>
  <c r="H1402" i="6"/>
  <c r="H1401" i="6"/>
  <c r="H1400" i="6"/>
  <c r="H1399" i="6"/>
  <c r="H1398" i="6"/>
  <c r="H1397" i="6"/>
  <c r="H1396" i="6"/>
  <c r="H1395" i="6"/>
  <c r="H1394" i="6"/>
  <c r="H1393" i="6"/>
  <c r="H1392" i="6"/>
  <c r="H1391" i="6"/>
  <c r="H1390" i="6"/>
  <c r="H1389" i="6"/>
  <c r="H1388" i="6"/>
  <c r="H1387"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L635" i="6"/>
  <c r="H635" i="6"/>
  <c r="L634" i="6"/>
  <c r="H634" i="6"/>
  <c r="L633" i="6"/>
  <c r="H633" i="6"/>
  <c r="L632" i="6"/>
  <c r="H632" i="6"/>
  <c r="L631" i="6"/>
  <c r="H631" i="6"/>
  <c r="L630" i="6"/>
  <c r="H630" i="6"/>
  <c r="L629" i="6"/>
  <c r="H629" i="6"/>
  <c r="L628" i="6"/>
  <c r="H628" i="6"/>
  <c r="L627" i="6"/>
  <c r="H627" i="6"/>
  <c r="L626" i="6"/>
  <c r="H626" i="6"/>
  <c r="L625" i="6"/>
  <c r="H625" i="6"/>
  <c r="L624" i="6"/>
  <c r="H624" i="6"/>
  <c r="L623" i="6"/>
  <c r="H623" i="6"/>
  <c r="L622" i="6"/>
  <c r="H622" i="6"/>
  <c r="L621" i="6"/>
  <c r="H621" i="6"/>
  <c r="L620" i="6"/>
  <c r="H620" i="6"/>
  <c r="L619" i="6"/>
  <c r="H619" i="6"/>
  <c r="L618" i="6"/>
  <c r="H618" i="6"/>
  <c r="L617" i="6"/>
  <c r="H617" i="6"/>
  <c r="L616" i="6"/>
  <c r="H616" i="6"/>
  <c r="L615" i="6"/>
  <c r="H615" i="6"/>
  <c r="L614" i="6"/>
  <c r="H614" i="6"/>
  <c r="L613" i="6"/>
  <c r="H613" i="6"/>
  <c r="L612" i="6"/>
  <c r="H612" i="6"/>
  <c r="L611" i="6"/>
  <c r="H611" i="6"/>
  <c r="L610" i="6"/>
  <c r="H610" i="6"/>
  <c r="L609" i="6"/>
  <c r="H609" i="6"/>
  <c r="L608"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L607" i="6"/>
  <c r="H607" i="6"/>
  <c r="L606" i="6"/>
  <c r="H606" i="6"/>
  <c r="L605" i="6"/>
  <c r="H605" i="6"/>
  <c r="L604" i="6"/>
  <c r="H604" i="6"/>
  <c r="L603" i="6"/>
  <c r="H603" i="6"/>
  <c r="L602" i="6"/>
  <c r="H602" i="6"/>
  <c r="L601" i="6"/>
  <c r="H601" i="6"/>
  <c r="L600" i="6"/>
  <c r="H600" i="6"/>
  <c r="L599" i="6"/>
  <c r="H599" i="6"/>
  <c r="L598" i="6"/>
  <c r="H598" i="6"/>
  <c r="L597" i="6"/>
  <c r="H597" i="6"/>
  <c r="L596" i="6"/>
  <c r="H596" i="6"/>
  <c r="L595" i="6"/>
  <c r="H595" i="6"/>
  <c r="L594" i="6"/>
  <c r="H594" i="6"/>
  <c r="L593" i="6"/>
  <c r="H593" i="6"/>
  <c r="L592" i="6"/>
  <c r="H592" i="6"/>
  <c r="L591" i="6"/>
  <c r="H591" i="6"/>
  <c r="L590" i="6"/>
  <c r="H590" i="6"/>
  <c r="L589" i="6"/>
  <c r="H589" i="6"/>
  <c r="L588" i="6"/>
  <c r="H588" i="6"/>
  <c r="L587" i="6"/>
  <c r="H587" i="6"/>
  <c r="L586" i="6"/>
  <c r="H586" i="6"/>
  <c r="L585" i="6"/>
  <c r="H585" i="6"/>
  <c r="L584" i="6"/>
  <c r="H584" i="6"/>
  <c r="L583" i="6"/>
  <c r="H583" i="6"/>
  <c r="L582" i="6"/>
  <c r="H582" i="6"/>
  <c r="L581" i="6"/>
  <c r="H581" i="6"/>
  <c r="L580" i="6"/>
  <c r="H580" i="6"/>
  <c r="L579" i="6"/>
  <c r="H579" i="6"/>
  <c r="L578" i="6"/>
  <c r="H578" i="6"/>
  <c r="L577" i="6"/>
  <c r="H577" i="6"/>
  <c r="L576" i="6"/>
  <c r="H576" i="6"/>
  <c r="L575" i="6"/>
  <c r="L574" i="6"/>
  <c r="L573" i="6"/>
  <c r="L572" i="6"/>
  <c r="L571" i="6"/>
  <c r="L570" i="6"/>
  <c r="L569" i="6"/>
  <c r="L568" i="6"/>
  <c r="L567" i="6"/>
  <c r="L566" i="6"/>
  <c r="L565" i="6"/>
  <c r="L564" i="6"/>
  <c r="L563" i="6"/>
  <c r="L562" i="6"/>
  <c r="L561" i="6"/>
  <c r="L560" i="6"/>
  <c r="L559" i="6"/>
  <c r="L558" i="6"/>
  <c r="L557" i="6"/>
  <c r="L55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1973" i="6"/>
  <c r="V1973" i="6"/>
  <c r="U1973" i="6"/>
  <c r="W1972" i="6"/>
  <c r="V1972" i="6"/>
  <c r="U1972" i="6"/>
  <c r="W1971" i="6"/>
  <c r="V1971" i="6"/>
  <c r="U1971" i="6"/>
  <c r="W1970" i="6"/>
  <c r="V1970" i="6"/>
  <c r="U1970" i="6"/>
  <c r="W1969" i="6"/>
  <c r="V1969" i="6"/>
  <c r="U1969" i="6"/>
  <c r="W1968" i="6"/>
  <c r="V1968" i="6"/>
  <c r="U1968" i="6"/>
  <c r="W1967" i="6"/>
  <c r="V1967" i="6"/>
  <c r="U1967" i="6"/>
  <c r="W1966" i="6"/>
  <c r="V1966" i="6"/>
  <c r="U1966" i="6"/>
  <c r="W1965" i="6"/>
  <c r="V1965" i="6"/>
  <c r="U1965" i="6"/>
  <c r="W1964" i="6"/>
  <c r="V1964" i="6"/>
  <c r="U1964" i="6"/>
  <c r="W1963" i="6"/>
  <c r="V1963" i="6"/>
  <c r="U1963" i="6"/>
  <c r="W1962" i="6"/>
  <c r="V1962" i="6"/>
  <c r="U1962" i="6"/>
  <c r="W1961" i="6"/>
  <c r="V1961" i="6"/>
  <c r="U1961" i="6"/>
  <c r="W1960" i="6"/>
  <c r="V1960" i="6"/>
  <c r="U1960" i="6"/>
  <c r="W1959" i="6"/>
  <c r="V1959" i="6"/>
  <c r="U1959" i="6"/>
  <c r="W1958" i="6"/>
  <c r="V1958" i="6"/>
  <c r="U1958" i="6"/>
  <c r="W1957" i="6"/>
  <c r="V1957" i="6"/>
  <c r="U1957" i="6"/>
  <c r="W1956" i="6"/>
  <c r="V1956" i="6"/>
  <c r="U1956" i="6"/>
  <c r="W1955" i="6"/>
  <c r="V1955" i="6"/>
  <c r="U1955" i="6"/>
  <c r="W1954" i="6"/>
  <c r="V1954" i="6"/>
  <c r="U1954" i="6"/>
  <c r="W1953" i="6"/>
  <c r="V1953" i="6"/>
  <c r="U1953" i="6"/>
  <c r="W1952" i="6"/>
  <c r="V1952" i="6"/>
  <c r="U1952" i="6"/>
  <c r="W1951" i="6"/>
  <c r="V1951" i="6"/>
  <c r="U1951" i="6"/>
  <c r="W1950" i="6"/>
  <c r="V1950" i="6"/>
  <c r="U1950" i="6"/>
  <c r="W1949" i="6"/>
  <c r="V1949" i="6"/>
  <c r="U1949" i="6"/>
  <c r="W1948" i="6"/>
  <c r="V1948" i="6"/>
  <c r="U1948" i="6"/>
  <c r="W1947" i="6"/>
  <c r="V1947" i="6"/>
  <c r="U1947" i="6"/>
  <c r="W1946" i="6"/>
  <c r="V1946" i="6"/>
  <c r="U1946" i="6"/>
  <c r="W1945" i="6"/>
  <c r="V1945" i="6"/>
  <c r="U1945" i="6"/>
  <c r="W1944" i="6"/>
  <c r="V1944" i="6"/>
  <c r="U1944" i="6"/>
  <c r="W1943" i="6"/>
  <c r="V1943" i="6"/>
  <c r="U1943" i="6"/>
  <c r="W1942" i="6"/>
  <c r="V1942" i="6"/>
  <c r="U1942" i="6"/>
  <c r="W1941" i="6"/>
  <c r="V1941" i="6"/>
  <c r="U1941" i="6"/>
  <c r="W1940" i="6"/>
  <c r="V1940" i="6"/>
  <c r="U1940" i="6"/>
  <c r="W1939" i="6"/>
  <c r="V1939" i="6"/>
  <c r="U1939" i="6"/>
  <c r="W1938" i="6"/>
  <c r="V1938" i="6"/>
  <c r="U1938" i="6"/>
  <c r="W1937" i="6"/>
  <c r="V1937" i="6"/>
  <c r="U1937" i="6"/>
  <c r="W1936" i="6"/>
  <c r="V1936" i="6"/>
  <c r="U1936" i="6"/>
  <c r="W1935" i="6"/>
  <c r="V1935" i="6"/>
  <c r="U1935" i="6"/>
  <c r="W1934" i="6"/>
  <c r="V1934" i="6"/>
  <c r="U1934" i="6"/>
  <c r="W1933" i="6"/>
  <c r="V1933" i="6"/>
  <c r="U1933" i="6"/>
  <c r="W1932" i="6"/>
  <c r="V1932" i="6"/>
  <c r="U1932" i="6"/>
  <c r="W1931" i="6"/>
  <c r="V1931" i="6"/>
  <c r="U1931" i="6"/>
  <c r="W1930" i="6"/>
  <c r="V1930" i="6"/>
  <c r="U1930" i="6"/>
  <c r="W1929" i="6"/>
  <c r="V1929" i="6"/>
  <c r="U1929" i="6"/>
  <c r="W1928" i="6"/>
  <c r="V1928" i="6"/>
  <c r="U1928" i="6"/>
  <c r="W1927" i="6"/>
  <c r="V1927" i="6"/>
  <c r="U1927" i="6"/>
  <c r="W1926" i="6"/>
  <c r="V1926" i="6"/>
  <c r="U1926" i="6"/>
  <c r="W1925" i="6"/>
  <c r="V1925" i="6"/>
  <c r="U1925" i="6"/>
  <c r="W1924" i="6"/>
  <c r="V1924" i="6"/>
  <c r="U1924" i="6"/>
  <c r="W1923" i="6"/>
  <c r="V1923" i="6"/>
  <c r="U1923" i="6"/>
  <c r="W1922" i="6"/>
  <c r="V1922" i="6"/>
  <c r="U1922" i="6"/>
  <c r="W1921" i="6"/>
  <c r="V1921" i="6"/>
  <c r="U1921" i="6"/>
  <c r="W1920" i="6"/>
  <c r="V1920" i="6"/>
  <c r="U1920" i="6"/>
  <c r="W1919" i="6"/>
  <c r="V1919" i="6"/>
  <c r="U1919" i="6"/>
  <c r="W1918" i="6"/>
  <c r="V1918" i="6"/>
  <c r="U1918" i="6"/>
  <c r="W1917" i="6"/>
  <c r="V1917" i="6"/>
  <c r="U1917" i="6"/>
  <c r="W1916" i="6"/>
  <c r="V1916" i="6"/>
  <c r="U1916" i="6"/>
  <c r="W1915" i="6"/>
  <c r="V1915" i="6"/>
  <c r="U1915" i="6"/>
  <c r="W1914" i="6"/>
  <c r="V1914" i="6"/>
  <c r="U1914" i="6"/>
  <c r="W1913" i="6"/>
  <c r="V1913" i="6"/>
  <c r="U1913" i="6"/>
  <c r="W1912" i="6"/>
  <c r="V1912" i="6"/>
  <c r="U1912" i="6"/>
  <c r="W1911" i="6"/>
  <c r="V1911" i="6"/>
  <c r="U1911" i="6"/>
  <c r="W1910" i="6"/>
  <c r="V1910" i="6"/>
  <c r="U1910" i="6"/>
  <c r="W1909" i="6"/>
  <c r="V1909" i="6"/>
  <c r="U1909" i="6"/>
  <c r="W1908" i="6"/>
  <c r="V1908" i="6"/>
  <c r="U1908" i="6"/>
  <c r="W1907" i="6"/>
  <c r="V1907" i="6"/>
  <c r="U1907" i="6"/>
  <c r="W1906" i="6"/>
  <c r="V1906" i="6"/>
  <c r="U1906" i="6"/>
  <c r="W1905" i="6"/>
  <c r="V1905" i="6"/>
  <c r="U1905" i="6"/>
  <c r="W1904" i="6"/>
  <c r="V1904" i="6"/>
  <c r="U1904" i="6"/>
  <c r="W1903" i="6"/>
  <c r="V1903" i="6"/>
  <c r="U1903" i="6"/>
  <c r="W1902" i="6"/>
  <c r="V1902" i="6"/>
  <c r="U1902" i="6"/>
  <c r="W1901" i="6"/>
  <c r="V1901" i="6"/>
  <c r="U1901" i="6"/>
  <c r="W1900" i="6"/>
  <c r="V1900" i="6"/>
  <c r="U1900" i="6"/>
  <c r="W1899" i="6"/>
  <c r="V1899" i="6"/>
  <c r="U1899" i="6"/>
  <c r="W1898" i="6"/>
  <c r="V1898" i="6"/>
  <c r="U1898" i="6"/>
  <c r="W1897" i="6"/>
  <c r="V1897" i="6"/>
  <c r="U1897" i="6"/>
  <c r="W1896" i="6"/>
  <c r="V1896" i="6"/>
  <c r="U1896" i="6"/>
  <c r="W1895" i="6"/>
  <c r="V1895" i="6"/>
  <c r="U1895" i="6"/>
  <c r="W1894" i="6"/>
  <c r="V1894" i="6"/>
  <c r="U1894" i="6"/>
  <c r="W1893" i="6"/>
  <c r="V1893" i="6"/>
  <c r="U1893" i="6"/>
  <c r="W1892" i="6"/>
  <c r="V1892" i="6"/>
  <c r="U1892" i="6"/>
  <c r="W1891" i="6"/>
  <c r="V1891" i="6"/>
  <c r="U1891" i="6"/>
  <c r="W1890" i="6"/>
  <c r="V1890" i="6"/>
  <c r="U1890" i="6"/>
  <c r="W1889" i="6"/>
  <c r="V1889" i="6"/>
  <c r="U1889" i="6"/>
  <c r="W1888" i="6"/>
  <c r="V1888" i="6"/>
  <c r="U1888" i="6"/>
  <c r="W1887" i="6"/>
  <c r="V1887" i="6"/>
  <c r="U1887" i="6"/>
  <c r="W1886" i="6"/>
  <c r="V1886" i="6"/>
  <c r="U1886" i="6"/>
  <c r="W1885" i="6"/>
  <c r="V1885" i="6"/>
  <c r="U1885" i="6"/>
  <c r="W1884" i="6"/>
  <c r="V1884" i="6"/>
  <c r="U1884" i="6"/>
  <c r="W1883" i="6"/>
  <c r="V1883" i="6"/>
  <c r="U1883" i="6"/>
  <c r="W1882" i="6"/>
  <c r="V1882" i="6"/>
  <c r="U1882" i="6"/>
  <c r="W1881" i="6"/>
  <c r="V1881" i="6"/>
  <c r="U1881" i="6"/>
  <c r="W1880" i="6"/>
  <c r="V1880" i="6"/>
  <c r="U1880" i="6"/>
  <c r="W1879" i="6"/>
  <c r="V1879" i="6"/>
  <c r="U1879" i="6"/>
  <c r="W1878" i="6"/>
  <c r="V1878" i="6"/>
  <c r="U1878" i="6"/>
  <c r="W1877" i="6"/>
  <c r="V1877" i="6"/>
  <c r="U1877" i="6"/>
  <c r="W1876" i="6"/>
  <c r="V1876" i="6"/>
  <c r="U1876" i="6"/>
  <c r="W1875" i="6"/>
  <c r="V1875" i="6"/>
  <c r="U1875" i="6"/>
  <c r="W1874" i="6"/>
  <c r="V1874" i="6"/>
  <c r="U1874" i="6"/>
  <c r="W1873" i="6"/>
  <c r="V1873" i="6"/>
  <c r="U1873" i="6"/>
  <c r="W1872" i="6"/>
  <c r="V1872" i="6"/>
  <c r="U1872" i="6"/>
  <c r="W1871" i="6"/>
  <c r="V1871" i="6"/>
  <c r="U1871" i="6"/>
  <c r="W1870" i="6"/>
  <c r="V1870" i="6"/>
  <c r="U1870" i="6"/>
  <c r="W1869" i="6"/>
  <c r="V1869" i="6"/>
  <c r="U1869" i="6"/>
  <c r="W1868" i="6"/>
  <c r="V1868" i="6"/>
  <c r="U1868" i="6"/>
  <c r="W1867" i="6"/>
  <c r="V1867" i="6"/>
  <c r="U1867" i="6"/>
  <c r="W1866" i="6"/>
  <c r="V1866" i="6"/>
  <c r="U1866" i="6"/>
  <c r="W1865" i="6"/>
  <c r="V1865" i="6"/>
  <c r="U1865" i="6"/>
  <c r="W1864" i="6"/>
  <c r="V1864" i="6"/>
  <c r="U1864" i="6"/>
  <c r="W1863" i="6"/>
  <c r="V1863" i="6"/>
  <c r="U1863" i="6"/>
  <c r="W1862" i="6"/>
  <c r="V1862" i="6"/>
  <c r="U1862" i="6"/>
  <c r="W1861" i="6"/>
  <c r="V1861" i="6"/>
  <c r="U1861" i="6"/>
  <c r="W1860" i="6"/>
  <c r="V1860" i="6"/>
  <c r="U1860" i="6"/>
  <c r="W1859" i="6"/>
  <c r="V1859" i="6"/>
  <c r="U1859" i="6"/>
  <c r="W1858" i="6"/>
  <c r="V1858" i="6"/>
  <c r="U1858" i="6"/>
  <c r="W1857" i="6"/>
  <c r="V1857" i="6"/>
  <c r="U1857" i="6"/>
  <c r="W1856" i="6"/>
  <c r="V1856" i="6"/>
  <c r="U1856" i="6"/>
  <c r="W1855" i="6"/>
  <c r="V1855" i="6"/>
  <c r="U1855" i="6"/>
  <c r="W1854" i="6"/>
  <c r="V1854" i="6"/>
  <c r="U1854" i="6"/>
  <c r="W1853" i="6"/>
  <c r="V1853" i="6"/>
  <c r="U1853" i="6"/>
  <c r="W1852" i="6"/>
  <c r="V1852" i="6"/>
  <c r="U1852" i="6"/>
  <c r="W1851" i="6"/>
  <c r="V1851" i="6"/>
  <c r="U1851" i="6"/>
  <c r="W1850" i="6"/>
  <c r="V1850" i="6"/>
  <c r="U1850" i="6"/>
  <c r="W1849" i="6"/>
  <c r="V1849" i="6"/>
  <c r="U1849" i="6"/>
  <c r="W1848" i="6"/>
  <c r="V1848" i="6"/>
  <c r="U1848" i="6"/>
  <c r="W1847" i="6"/>
  <c r="V1847" i="6"/>
  <c r="U1847" i="6"/>
  <c r="W1846" i="6"/>
  <c r="V1846" i="6"/>
  <c r="U1846" i="6"/>
  <c r="W1845" i="6"/>
  <c r="V1845" i="6"/>
  <c r="U1845" i="6"/>
  <c r="W1844" i="6"/>
  <c r="V1844" i="6"/>
  <c r="U1844" i="6"/>
  <c r="W1843" i="6"/>
  <c r="V1843" i="6"/>
  <c r="U1843" i="6"/>
  <c r="W1842" i="6"/>
  <c r="V1842" i="6"/>
  <c r="U1842" i="6"/>
  <c r="W1841" i="6"/>
  <c r="V1841" i="6"/>
  <c r="U1841" i="6"/>
  <c r="W1840" i="6"/>
  <c r="V1840" i="6"/>
  <c r="U1840" i="6"/>
  <c r="W1839" i="6"/>
  <c r="V1839" i="6"/>
  <c r="U1839" i="6"/>
  <c r="W1838" i="6"/>
  <c r="V1838" i="6"/>
  <c r="U1838" i="6"/>
  <c r="W1837" i="6"/>
  <c r="V1837" i="6"/>
  <c r="U1837" i="6"/>
  <c r="W1836" i="6"/>
  <c r="V1836" i="6"/>
  <c r="U1836" i="6"/>
  <c r="W1835" i="6"/>
  <c r="V1835" i="6"/>
  <c r="U1835" i="6"/>
  <c r="W1834" i="6"/>
  <c r="V1834" i="6"/>
  <c r="U1834" i="6"/>
  <c r="W1833" i="6"/>
  <c r="V1833" i="6"/>
  <c r="U1833" i="6"/>
  <c r="W1832" i="6"/>
  <c r="V1832" i="6"/>
  <c r="U1832" i="6"/>
  <c r="W1831" i="6"/>
  <c r="V1831" i="6"/>
  <c r="U1831" i="6"/>
  <c r="W1830" i="6"/>
  <c r="V1830" i="6"/>
  <c r="U1830" i="6"/>
  <c r="W1829" i="6"/>
  <c r="V1829" i="6"/>
  <c r="U1829" i="6"/>
  <c r="W1828" i="6"/>
  <c r="V1828" i="6"/>
  <c r="U1828" i="6"/>
  <c r="W1827" i="6"/>
  <c r="V1827" i="6"/>
  <c r="U1827" i="6"/>
  <c r="W1826" i="6"/>
  <c r="V1826" i="6"/>
  <c r="U1826" i="6"/>
  <c r="W1825" i="6"/>
  <c r="V1825" i="6"/>
  <c r="U1825" i="6"/>
  <c r="W1824" i="6"/>
  <c r="V1824" i="6"/>
  <c r="U1824" i="6"/>
  <c r="W1823" i="6"/>
  <c r="V1823" i="6"/>
  <c r="U1823" i="6"/>
  <c r="W1822" i="6"/>
  <c r="V1822" i="6"/>
  <c r="U1822" i="6"/>
  <c r="W1821" i="6"/>
  <c r="V1821" i="6"/>
  <c r="U1821" i="6"/>
  <c r="W1820" i="6"/>
  <c r="V1820" i="6"/>
  <c r="U1820" i="6"/>
  <c r="W1819" i="6"/>
  <c r="V1819" i="6"/>
  <c r="U1819" i="6"/>
  <c r="W1818" i="6"/>
  <c r="V1818" i="6"/>
  <c r="U1818" i="6"/>
  <c r="W1817" i="6"/>
  <c r="V1817" i="6"/>
  <c r="U1817" i="6"/>
  <c r="W1816" i="6"/>
  <c r="V1816" i="6"/>
  <c r="U1816" i="6"/>
  <c r="W1815" i="6"/>
  <c r="V1815" i="6"/>
  <c r="U1815" i="6"/>
  <c r="W1814" i="6"/>
  <c r="V1814" i="6"/>
  <c r="U1814" i="6"/>
  <c r="W1813" i="6"/>
  <c r="V1813" i="6"/>
  <c r="U1813" i="6"/>
  <c r="W1812" i="6"/>
  <c r="V1812" i="6"/>
  <c r="U1812" i="6"/>
  <c r="W1811" i="6"/>
  <c r="V1811" i="6"/>
  <c r="U1811" i="6"/>
  <c r="W1810" i="6"/>
  <c r="V1810" i="6"/>
  <c r="U1810" i="6"/>
  <c r="W1809" i="6"/>
  <c r="V1809" i="6"/>
  <c r="U1809" i="6"/>
  <c r="W1808" i="6"/>
  <c r="V1808" i="6"/>
  <c r="U1808" i="6"/>
  <c r="W1807" i="6"/>
  <c r="V1807" i="6"/>
  <c r="U1807" i="6"/>
  <c r="W1806" i="6"/>
  <c r="V1806" i="6"/>
  <c r="U1806" i="6"/>
  <c r="W1805" i="6"/>
  <c r="V1805" i="6"/>
  <c r="U1805" i="6"/>
  <c r="W1804" i="6"/>
  <c r="V1804" i="6"/>
  <c r="U1804" i="6"/>
  <c r="W1803" i="6"/>
  <c r="V1803" i="6"/>
  <c r="U1803" i="6"/>
  <c r="W1802" i="6"/>
  <c r="V1802" i="6"/>
  <c r="U1802" i="6"/>
  <c r="W1801" i="6"/>
  <c r="V1801" i="6"/>
  <c r="U1801" i="6"/>
  <c r="W1800" i="6"/>
  <c r="V1800" i="6"/>
  <c r="U1800" i="6"/>
  <c r="W1799" i="6"/>
  <c r="V1799" i="6"/>
  <c r="U1799" i="6"/>
  <c r="W1798" i="6"/>
  <c r="V1798" i="6"/>
  <c r="U1798" i="6"/>
  <c r="W1797" i="6"/>
  <c r="V1797" i="6"/>
  <c r="U1797" i="6"/>
  <c r="W1796" i="6"/>
  <c r="V1796" i="6"/>
  <c r="U1796" i="6"/>
  <c r="W1795" i="6"/>
  <c r="V1795" i="6"/>
  <c r="U1795" i="6"/>
  <c r="W1794" i="6"/>
  <c r="V1794" i="6"/>
  <c r="U1794" i="6"/>
  <c r="W1793" i="6"/>
  <c r="V1793" i="6"/>
  <c r="U1793" i="6"/>
  <c r="W1792" i="6"/>
  <c r="V1792" i="6"/>
  <c r="U1792" i="6"/>
  <c r="W1791" i="6"/>
  <c r="V1791" i="6"/>
  <c r="U1791" i="6"/>
  <c r="W1790" i="6"/>
  <c r="V1790" i="6"/>
  <c r="U1790" i="6"/>
  <c r="W1789" i="6"/>
  <c r="V1789" i="6"/>
  <c r="U1789" i="6"/>
  <c r="W1788" i="6"/>
  <c r="V1788" i="6"/>
  <c r="U1788" i="6"/>
  <c r="W1787" i="6"/>
  <c r="V1787" i="6"/>
  <c r="U1787" i="6"/>
  <c r="W1786" i="6"/>
  <c r="V1786" i="6"/>
  <c r="U1786" i="6"/>
  <c r="W1785" i="6"/>
  <c r="V1785" i="6"/>
  <c r="U1785" i="6"/>
  <c r="W1784" i="6"/>
  <c r="V1784" i="6"/>
  <c r="U1784" i="6"/>
  <c r="W1783" i="6"/>
  <c r="V1783" i="6"/>
  <c r="U1783" i="6"/>
  <c r="W1782" i="6"/>
  <c r="V1782" i="6"/>
  <c r="U1782" i="6"/>
  <c r="W1781" i="6"/>
  <c r="V1781" i="6"/>
  <c r="U1781" i="6"/>
  <c r="W1780" i="6"/>
  <c r="V1780" i="6"/>
  <c r="U1780" i="6"/>
  <c r="W1779" i="6"/>
  <c r="V1779" i="6"/>
  <c r="U1779" i="6"/>
  <c r="W1778" i="6"/>
  <c r="V1778" i="6"/>
  <c r="U1778" i="6"/>
  <c r="W1777" i="6"/>
  <c r="V1777" i="6"/>
  <c r="U1777" i="6"/>
  <c r="W1776" i="6"/>
  <c r="V1776" i="6"/>
  <c r="U1776" i="6"/>
  <c r="W1775" i="6"/>
  <c r="V1775" i="6"/>
  <c r="U1775" i="6"/>
  <c r="W1774" i="6"/>
  <c r="V1774" i="6"/>
  <c r="U1774" i="6"/>
  <c r="W1773" i="6"/>
  <c r="V1773" i="6"/>
  <c r="U1773" i="6"/>
  <c r="W1772" i="6"/>
  <c r="V1772" i="6"/>
  <c r="U1772" i="6"/>
  <c r="W1771" i="6"/>
  <c r="V1771" i="6"/>
  <c r="U1771" i="6"/>
  <c r="W1770" i="6"/>
  <c r="V1770" i="6"/>
  <c r="U1770" i="6"/>
  <c r="W1769" i="6"/>
  <c r="V1769" i="6"/>
  <c r="U1769" i="6"/>
  <c r="W1768" i="6"/>
  <c r="V1768" i="6"/>
  <c r="U1768" i="6"/>
  <c r="W1767" i="6"/>
  <c r="V1767" i="6"/>
  <c r="U1767" i="6"/>
  <c r="W1766" i="6"/>
  <c r="V1766" i="6"/>
  <c r="U1766" i="6"/>
  <c r="W1765" i="6"/>
  <c r="V1765" i="6"/>
  <c r="U1765" i="6"/>
  <c r="W1764" i="6"/>
  <c r="V1764" i="6"/>
  <c r="U1764" i="6"/>
  <c r="W1763" i="6"/>
  <c r="V1763" i="6"/>
  <c r="U1763" i="6"/>
  <c r="W1762" i="6"/>
  <c r="V1762" i="6"/>
  <c r="U1762" i="6"/>
  <c r="W1761" i="6"/>
  <c r="V1761" i="6"/>
  <c r="U1761" i="6"/>
  <c r="W1760" i="6"/>
  <c r="V1760" i="6"/>
  <c r="U1760" i="6"/>
  <c r="W1759" i="6"/>
  <c r="V1759" i="6"/>
  <c r="U1759" i="6"/>
  <c r="W1758" i="6"/>
  <c r="V1758" i="6"/>
  <c r="U1758" i="6"/>
  <c r="W1757" i="6"/>
  <c r="V1757" i="6"/>
  <c r="U1757" i="6"/>
  <c r="W1756" i="6"/>
  <c r="V1756" i="6"/>
  <c r="U1756" i="6"/>
  <c r="W1755" i="6"/>
  <c r="V1755" i="6"/>
  <c r="U1755" i="6"/>
  <c r="W1754" i="6"/>
  <c r="V1754" i="6"/>
  <c r="U1754" i="6"/>
  <c r="W1753" i="6"/>
  <c r="V1753" i="6"/>
  <c r="U1753" i="6"/>
  <c r="W1752" i="6"/>
  <c r="V1752" i="6"/>
  <c r="U1752" i="6"/>
  <c r="W1751" i="6"/>
  <c r="V1751" i="6"/>
  <c r="U1751" i="6"/>
  <c r="W1750" i="6"/>
  <c r="V1750" i="6"/>
  <c r="U1750" i="6"/>
  <c r="W1749" i="6"/>
  <c r="V1749" i="6"/>
  <c r="U1749" i="6"/>
  <c r="W1748" i="6"/>
  <c r="V1748" i="6"/>
  <c r="U1748" i="6"/>
  <c r="W1747" i="6"/>
  <c r="V1747" i="6"/>
  <c r="U1747" i="6"/>
  <c r="W1746" i="6"/>
  <c r="V1746" i="6"/>
  <c r="U1746" i="6"/>
  <c r="W1745" i="6"/>
  <c r="V1745" i="6"/>
  <c r="U1745" i="6"/>
  <c r="W1744" i="6"/>
  <c r="V1744" i="6"/>
  <c r="U1744" i="6"/>
  <c r="W1743" i="6"/>
  <c r="V1743" i="6"/>
  <c r="U1743" i="6"/>
  <c r="W1742" i="6"/>
  <c r="V1742" i="6"/>
  <c r="U1742" i="6"/>
  <c r="W1741" i="6"/>
  <c r="V1741" i="6"/>
  <c r="U1741" i="6"/>
  <c r="W1740" i="6"/>
  <c r="V1740" i="6"/>
  <c r="U1740" i="6"/>
  <c r="W1739" i="6"/>
  <c r="V1739" i="6"/>
  <c r="U1739" i="6"/>
  <c r="W1738" i="6"/>
  <c r="V1738" i="6"/>
  <c r="U1738" i="6"/>
  <c r="W1737" i="6"/>
  <c r="V1737" i="6"/>
  <c r="U1737" i="6"/>
  <c r="W1736" i="6"/>
  <c r="V1736" i="6"/>
  <c r="U1736" i="6"/>
  <c r="W1735" i="6"/>
  <c r="V1735" i="6"/>
  <c r="U1735" i="6"/>
  <c r="W1734" i="6"/>
  <c r="V1734" i="6"/>
  <c r="U1734" i="6"/>
  <c r="W1733" i="6"/>
  <c r="V1733" i="6"/>
  <c r="U1733" i="6"/>
  <c r="W1732" i="6"/>
  <c r="V1732" i="6"/>
  <c r="U1732" i="6"/>
  <c r="W1731" i="6"/>
  <c r="V1731" i="6"/>
  <c r="U1731" i="6"/>
  <c r="W1730" i="6"/>
  <c r="V1730" i="6"/>
  <c r="U1730" i="6"/>
  <c r="W1729" i="6"/>
  <c r="V1729" i="6"/>
  <c r="U1729" i="6"/>
  <c r="W1728" i="6"/>
  <c r="V1728" i="6"/>
  <c r="U1728" i="6"/>
  <c r="W1727" i="6"/>
  <c r="V1727" i="6"/>
  <c r="U1727" i="6"/>
  <c r="W1726" i="6"/>
  <c r="V1726" i="6"/>
  <c r="U1726" i="6"/>
  <c r="W1725" i="6"/>
  <c r="V1725" i="6"/>
  <c r="U1725" i="6"/>
  <c r="W1724" i="6"/>
  <c r="V1724" i="6"/>
  <c r="U1724" i="6"/>
  <c r="W1723" i="6"/>
  <c r="V1723" i="6"/>
  <c r="U1723" i="6"/>
  <c r="W1722" i="6"/>
  <c r="V1722" i="6"/>
  <c r="U1722" i="6"/>
  <c r="W1721" i="6"/>
  <c r="V1721" i="6"/>
  <c r="U1721" i="6"/>
  <c r="W1720" i="6"/>
  <c r="V1720" i="6"/>
  <c r="U1720" i="6"/>
  <c r="W1719" i="6"/>
  <c r="V1719" i="6"/>
  <c r="U1719" i="6"/>
  <c r="W1718" i="6"/>
  <c r="V1718" i="6"/>
  <c r="U1718" i="6"/>
  <c r="W1717" i="6"/>
  <c r="V1717" i="6"/>
  <c r="U1717" i="6"/>
  <c r="W1716" i="6"/>
  <c r="V1716" i="6"/>
  <c r="U1716" i="6"/>
  <c r="W1715" i="6"/>
  <c r="V1715" i="6"/>
  <c r="U1715" i="6"/>
  <c r="W1714" i="6"/>
  <c r="V1714" i="6"/>
  <c r="U1714" i="6"/>
  <c r="W1713" i="6"/>
  <c r="V1713" i="6"/>
  <c r="U1713" i="6"/>
  <c r="W1712" i="6"/>
  <c r="V1712" i="6"/>
  <c r="U1712" i="6"/>
  <c r="W1711" i="6"/>
  <c r="V1711" i="6"/>
  <c r="U1711" i="6"/>
  <c r="W1710" i="6"/>
  <c r="V1710" i="6"/>
  <c r="U1710" i="6"/>
  <c r="W1709" i="6"/>
  <c r="V1709" i="6"/>
  <c r="U1709" i="6"/>
  <c r="W1708" i="6"/>
  <c r="V1708" i="6"/>
  <c r="U1708" i="6"/>
  <c r="W1707" i="6"/>
  <c r="V1707" i="6"/>
  <c r="U1707" i="6"/>
  <c r="W1706" i="6"/>
  <c r="V1706" i="6"/>
  <c r="U1706" i="6"/>
  <c r="W1705" i="6"/>
  <c r="V1705" i="6"/>
  <c r="U1705" i="6"/>
  <c r="W1704" i="6"/>
  <c r="V1704" i="6"/>
  <c r="U1704" i="6"/>
  <c r="W1703" i="6"/>
  <c r="V1703" i="6"/>
  <c r="U1703" i="6"/>
  <c r="W1702" i="6"/>
  <c r="V1702" i="6"/>
  <c r="U1702" i="6"/>
  <c r="W1701" i="6"/>
  <c r="V1701" i="6"/>
  <c r="U1701" i="6"/>
  <c r="W1700" i="6"/>
  <c r="V1700" i="6"/>
  <c r="U1700" i="6"/>
  <c r="W1699" i="6"/>
  <c r="V1699" i="6"/>
  <c r="U1699" i="6"/>
  <c r="W1698" i="6"/>
  <c r="V1698" i="6"/>
  <c r="U1698" i="6"/>
  <c r="W1697" i="6"/>
  <c r="V1697" i="6"/>
  <c r="U1697" i="6"/>
  <c r="W1696" i="6"/>
  <c r="V1696" i="6"/>
  <c r="U1696" i="6"/>
  <c r="W1695" i="6"/>
  <c r="V1695" i="6"/>
  <c r="U1695" i="6"/>
  <c r="W1694" i="6"/>
  <c r="V1694" i="6"/>
  <c r="U1694" i="6"/>
  <c r="W1693" i="6"/>
  <c r="V1693" i="6"/>
  <c r="U1693" i="6"/>
  <c r="W1692" i="6"/>
  <c r="V1692" i="6"/>
  <c r="U1692" i="6"/>
  <c r="W1691" i="6"/>
  <c r="V1691" i="6"/>
  <c r="U1691" i="6"/>
  <c r="W1690" i="6"/>
  <c r="V1690" i="6"/>
  <c r="U1690" i="6"/>
  <c r="W1689" i="6"/>
  <c r="V1689" i="6"/>
  <c r="U1689" i="6"/>
  <c r="W1688" i="6"/>
  <c r="V1688" i="6"/>
  <c r="U1688" i="6"/>
  <c r="W1687" i="6"/>
  <c r="V1687" i="6"/>
  <c r="U1687" i="6"/>
  <c r="W1686" i="6"/>
  <c r="V1686" i="6"/>
  <c r="U1686" i="6"/>
  <c r="W1685" i="6"/>
  <c r="V1685" i="6"/>
  <c r="U1685" i="6"/>
  <c r="W1684" i="6"/>
  <c r="V1684" i="6"/>
  <c r="U1684" i="6"/>
  <c r="W1683" i="6"/>
  <c r="V1683" i="6"/>
  <c r="U1683" i="6"/>
  <c r="W1682" i="6"/>
  <c r="V1682" i="6"/>
  <c r="U1682" i="6"/>
  <c r="W1681" i="6"/>
  <c r="V1681" i="6"/>
  <c r="U1681" i="6"/>
  <c r="W1680" i="6"/>
  <c r="V1680" i="6"/>
  <c r="U1680" i="6"/>
  <c r="W1679" i="6"/>
  <c r="V1679" i="6"/>
  <c r="U1679" i="6"/>
  <c r="W1678" i="6"/>
  <c r="V1678" i="6"/>
  <c r="U1678" i="6"/>
  <c r="W1677" i="6"/>
  <c r="V1677" i="6"/>
  <c r="U1677" i="6"/>
  <c r="W1676" i="6"/>
  <c r="V1676" i="6"/>
  <c r="U1676" i="6"/>
  <c r="W1675" i="6"/>
  <c r="V1675" i="6"/>
  <c r="U1675" i="6"/>
  <c r="W1674" i="6"/>
  <c r="V1674" i="6"/>
  <c r="U1674" i="6"/>
  <c r="W1673" i="6"/>
  <c r="V1673" i="6"/>
  <c r="U1673" i="6"/>
  <c r="W1672" i="6"/>
  <c r="V1672" i="6"/>
  <c r="U1672" i="6"/>
  <c r="W1671" i="6"/>
  <c r="V1671" i="6"/>
  <c r="U1671" i="6"/>
  <c r="W1670" i="6"/>
  <c r="V1670" i="6"/>
  <c r="U1670" i="6"/>
  <c r="W1669" i="6"/>
  <c r="V1669" i="6"/>
  <c r="U1669" i="6"/>
  <c r="W1668" i="6"/>
  <c r="V1668" i="6"/>
  <c r="U1668" i="6"/>
  <c r="W1667" i="6"/>
  <c r="V1667" i="6"/>
  <c r="U1667" i="6"/>
  <c r="W1666" i="6"/>
  <c r="V1666" i="6"/>
  <c r="U1666" i="6"/>
  <c r="W1665" i="6"/>
  <c r="V1665" i="6"/>
  <c r="U1665" i="6"/>
  <c r="W1664" i="6"/>
  <c r="V1664" i="6"/>
  <c r="U1664" i="6"/>
  <c r="W1663" i="6"/>
  <c r="V1663" i="6"/>
  <c r="U1663" i="6"/>
  <c r="W1662" i="6"/>
  <c r="V1662" i="6"/>
  <c r="U1662" i="6"/>
  <c r="W1661" i="6"/>
  <c r="V1661" i="6"/>
  <c r="U1661" i="6"/>
  <c r="W1660" i="6"/>
  <c r="V1660" i="6"/>
  <c r="U1660" i="6"/>
  <c r="W1659" i="6"/>
  <c r="V1659" i="6"/>
  <c r="U1659" i="6"/>
  <c r="W1658" i="6"/>
  <c r="V1658" i="6"/>
  <c r="U1658" i="6"/>
  <c r="W1657" i="6"/>
  <c r="V1657" i="6"/>
  <c r="U1657" i="6"/>
  <c r="W1656" i="6"/>
  <c r="V1656" i="6"/>
  <c r="U1656" i="6"/>
  <c r="W1655" i="6"/>
  <c r="V1655" i="6"/>
  <c r="U1655" i="6"/>
  <c r="W1654" i="6"/>
  <c r="V1654" i="6"/>
  <c r="U1654" i="6"/>
  <c r="W1653" i="6"/>
  <c r="V1653" i="6"/>
  <c r="U1653" i="6"/>
  <c r="W1652" i="6"/>
  <c r="V1652" i="6"/>
  <c r="U1652" i="6"/>
  <c r="W1651" i="6"/>
  <c r="V1651" i="6"/>
  <c r="U1651" i="6"/>
  <c r="W1650" i="6"/>
  <c r="V1650" i="6"/>
  <c r="U1650" i="6"/>
  <c r="W1649" i="6"/>
  <c r="V1649" i="6"/>
  <c r="U1649" i="6"/>
  <c r="W1648" i="6"/>
  <c r="V1648" i="6"/>
  <c r="U1648" i="6"/>
  <c r="W1647" i="6"/>
  <c r="V1647" i="6"/>
  <c r="U1647" i="6"/>
  <c r="W1646" i="6"/>
  <c r="V1646" i="6"/>
  <c r="U1646" i="6"/>
  <c r="W1645" i="6"/>
  <c r="V1645" i="6"/>
  <c r="U1645" i="6"/>
  <c r="W1644" i="6"/>
  <c r="V1644" i="6"/>
  <c r="U1644" i="6"/>
  <c r="W1643" i="6"/>
  <c r="V1643" i="6"/>
  <c r="U1643" i="6"/>
  <c r="W1642" i="6"/>
  <c r="V1642" i="6"/>
  <c r="U1642" i="6"/>
  <c r="W1641" i="6"/>
  <c r="V1641" i="6"/>
  <c r="U1641" i="6"/>
  <c r="W1640" i="6"/>
  <c r="V1640" i="6"/>
  <c r="U1640" i="6"/>
  <c r="W1639" i="6"/>
  <c r="V1639" i="6"/>
  <c r="U1639" i="6"/>
  <c r="W1638" i="6"/>
  <c r="V1638" i="6"/>
  <c r="U1638" i="6"/>
  <c r="W1637" i="6"/>
  <c r="V1637" i="6"/>
  <c r="U1637" i="6"/>
  <c r="W1636" i="6"/>
  <c r="V1636" i="6"/>
  <c r="U1636" i="6"/>
  <c r="W1635" i="6"/>
  <c r="V1635" i="6"/>
  <c r="U1635" i="6"/>
  <c r="W1634" i="6"/>
  <c r="V1634" i="6"/>
  <c r="U1634" i="6"/>
  <c r="W1633" i="6"/>
  <c r="V1633" i="6"/>
  <c r="U1633" i="6"/>
  <c r="W1632" i="6"/>
  <c r="V1632" i="6"/>
  <c r="U1632" i="6"/>
  <c r="W1631" i="6"/>
  <c r="V1631" i="6"/>
  <c r="U1631" i="6"/>
  <c r="W1630" i="6"/>
  <c r="V1630" i="6"/>
  <c r="U1630" i="6"/>
  <c r="W1629" i="6"/>
  <c r="V1629" i="6"/>
  <c r="U1629" i="6"/>
  <c r="W1628" i="6"/>
  <c r="V1628" i="6"/>
  <c r="U1628" i="6"/>
  <c r="W1627" i="6"/>
  <c r="V1627" i="6"/>
  <c r="U1627" i="6"/>
  <c r="W1626" i="6"/>
  <c r="V1626" i="6"/>
  <c r="U1626" i="6"/>
  <c r="W1625" i="6"/>
  <c r="V1625" i="6"/>
  <c r="U1625" i="6"/>
  <c r="W1624" i="6"/>
  <c r="V1624" i="6"/>
  <c r="U1624" i="6"/>
  <c r="W1623" i="6"/>
  <c r="V1623" i="6"/>
  <c r="U1623" i="6"/>
  <c r="W1622" i="6"/>
  <c r="V1622" i="6"/>
  <c r="U1622" i="6"/>
  <c r="W1621" i="6"/>
  <c r="V1621" i="6"/>
  <c r="U1621" i="6"/>
  <c r="W1620" i="6"/>
  <c r="V1620" i="6"/>
  <c r="U1620" i="6"/>
  <c r="W1619" i="6"/>
  <c r="V1619" i="6"/>
  <c r="U1619" i="6"/>
  <c r="W1618" i="6"/>
  <c r="V1618" i="6"/>
  <c r="U1618" i="6"/>
  <c r="W1617" i="6"/>
  <c r="V1617" i="6"/>
  <c r="U1617" i="6"/>
  <c r="W1616" i="6"/>
  <c r="V1616" i="6"/>
  <c r="U1616" i="6"/>
  <c r="W1615" i="6"/>
  <c r="V1615" i="6"/>
  <c r="U1615" i="6"/>
  <c r="W1614" i="6"/>
  <c r="V1614" i="6"/>
  <c r="U1614" i="6"/>
  <c r="W1613" i="6"/>
  <c r="V1613" i="6"/>
  <c r="U1613" i="6"/>
  <c r="W1612" i="6"/>
  <c r="V1612" i="6"/>
  <c r="U1612" i="6"/>
  <c r="W1611" i="6"/>
  <c r="V1611" i="6"/>
  <c r="U1611" i="6"/>
  <c r="W1610" i="6"/>
  <c r="V1610" i="6"/>
  <c r="U1610" i="6"/>
  <c r="W1609" i="6"/>
  <c r="V1609" i="6"/>
  <c r="U1609" i="6"/>
  <c r="W1608" i="6"/>
  <c r="V1608" i="6"/>
  <c r="U1608" i="6"/>
  <c r="W1607" i="6"/>
  <c r="V1607" i="6"/>
  <c r="U1607" i="6"/>
  <c r="W1606" i="6"/>
  <c r="V1606" i="6"/>
  <c r="U1606" i="6"/>
  <c r="W1605" i="6"/>
  <c r="V1605" i="6"/>
  <c r="U1605" i="6"/>
  <c r="W1604" i="6"/>
  <c r="V1604" i="6"/>
  <c r="U1604" i="6"/>
  <c r="W1603" i="6"/>
  <c r="V1603" i="6"/>
  <c r="U1603" i="6"/>
  <c r="W1602" i="6"/>
  <c r="V1602" i="6"/>
  <c r="U1602" i="6"/>
  <c r="W1601" i="6"/>
  <c r="V1601" i="6"/>
  <c r="U1601" i="6"/>
  <c r="W1600" i="6"/>
  <c r="V1600" i="6"/>
  <c r="U1600" i="6"/>
  <c r="W1599" i="6"/>
  <c r="V1599" i="6"/>
  <c r="U1599" i="6"/>
  <c r="W1598" i="6"/>
  <c r="V1598" i="6"/>
  <c r="U1598" i="6"/>
  <c r="W1597" i="6"/>
  <c r="V1597" i="6"/>
  <c r="U1597" i="6"/>
  <c r="W1596" i="6"/>
  <c r="V1596" i="6"/>
  <c r="U1596" i="6"/>
  <c r="W1595" i="6"/>
  <c r="V1595" i="6"/>
  <c r="U1595" i="6"/>
  <c r="W1594" i="6"/>
  <c r="V1594" i="6"/>
  <c r="U1594" i="6"/>
  <c r="W1593" i="6"/>
  <c r="V1593" i="6"/>
  <c r="U1593" i="6"/>
  <c r="W1592" i="6"/>
  <c r="V1592" i="6"/>
  <c r="U1592" i="6"/>
  <c r="W1591" i="6"/>
  <c r="V1591" i="6"/>
  <c r="U1591" i="6"/>
  <c r="W1590" i="6"/>
  <c r="V1590" i="6"/>
  <c r="U1590" i="6"/>
  <c r="W1589" i="6"/>
  <c r="V1589" i="6"/>
  <c r="U1589" i="6"/>
  <c r="W1588" i="6"/>
  <c r="V1588" i="6"/>
  <c r="U1588" i="6"/>
  <c r="W1587" i="6"/>
  <c r="V1587" i="6"/>
  <c r="U1587" i="6"/>
  <c r="W1586" i="6"/>
  <c r="V1586" i="6"/>
  <c r="U1586" i="6"/>
  <c r="W1585" i="6"/>
  <c r="V1585" i="6"/>
  <c r="U1585" i="6"/>
  <c r="W1584" i="6"/>
  <c r="V1584" i="6"/>
  <c r="U1584" i="6"/>
  <c r="W1583" i="6"/>
  <c r="V1583" i="6"/>
  <c r="U1583" i="6"/>
  <c r="W1582" i="6"/>
  <c r="V1582" i="6"/>
  <c r="U1582" i="6"/>
  <c r="W1581" i="6"/>
  <c r="V1581" i="6"/>
  <c r="U1581" i="6"/>
  <c r="W1580" i="6"/>
  <c r="V1580" i="6"/>
  <c r="U1580" i="6"/>
  <c r="W1579" i="6"/>
  <c r="V1579" i="6"/>
  <c r="U1579" i="6"/>
  <c r="W1578" i="6"/>
  <c r="V1578" i="6"/>
  <c r="U1578" i="6"/>
  <c r="W1577" i="6"/>
  <c r="V1577" i="6"/>
  <c r="U1577" i="6"/>
  <c r="W1576" i="6"/>
  <c r="V1576" i="6"/>
  <c r="U1576" i="6"/>
  <c r="W1575" i="6"/>
  <c r="V1575" i="6"/>
  <c r="U1575" i="6"/>
  <c r="W1574" i="6"/>
  <c r="V1574" i="6"/>
  <c r="U1574" i="6"/>
  <c r="W1573" i="6"/>
  <c r="V1573" i="6"/>
  <c r="U1573" i="6"/>
  <c r="W1572" i="6"/>
  <c r="V1572" i="6"/>
  <c r="U1572" i="6"/>
  <c r="W1571" i="6"/>
  <c r="V1571" i="6"/>
  <c r="U1571" i="6"/>
  <c r="W1570" i="6"/>
  <c r="V1570" i="6"/>
  <c r="U1570" i="6"/>
  <c r="W1569" i="6"/>
  <c r="V1569" i="6"/>
  <c r="U1569" i="6"/>
  <c r="W1568" i="6"/>
  <c r="V1568" i="6"/>
  <c r="U1568" i="6"/>
  <c r="W1567" i="6"/>
  <c r="V1567" i="6"/>
  <c r="U1567" i="6"/>
  <c r="W1566" i="6"/>
  <c r="V1566" i="6"/>
  <c r="U1566" i="6"/>
  <c r="W1565" i="6"/>
  <c r="V1565" i="6"/>
  <c r="U1565" i="6"/>
  <c r="W1564" i="6"/>
  <c r="V1564" i="6"/>
  <c r="U1564" i="6"/>
  <c r="W1563" i="6"/>
  <c r="V1563" i="6"/>
  <c r="U1563" i="6"/>
  <c r="W1562" i="6"/>
  <c r="V1562" i="6"/>
  <c r="U1562" i="6"/>
  <c r="W1561" i="6"/>
  <c r="V1561" i="6"/>
  <c r="U1561" i="6"/>
  <c r="W1560" i="6"/>
  <c r="V1560" i="6"/>
  <c r="U1560" i="6"/>
  <c r="W1559" i="6"/>
  <c r="V1559" i="6"/>
  <c r="U1559" i="6"/>
  <c r="W1558" i="6"/>
  <c r="V1558" i="6"/>
  <c r="U1558" i="6"/>
  <c r="W1557" i="6"/>
  <c r="V1557" i="6"/>
  <c r="U1557" i="6"/>
  <c r="W1556" i="6"/>
  <c r="V1556" i="6"/>
  <c r="U1556" i="6"/>
  <c r="W1555" i="6"/>
  <c r="V1555" i="6"/>
  <c r="U1555" i="6"/>
  <c r="W1554" i="6"/>
  <c r="V1554" i="6"/>
  <c r="U1554" i="6"/>
  <c r="W1553" i="6"/>
  <c r="V1553" i="6"/>
  <c r="U1553" i="6"/>
  <c r="W1552" i="6"/>
  <c r="V1552" i="6"/>
  <c r="U1552" i="6"/>
  <c r="W1551" i="6"/>
  <c r="V1551" i="6"/>
  <c r="U1551" i="6"/>
  <c r="W1550" i="6"/>
  <c r="V1550" i="6"/>
  <c r="U1550" i="6"/>
  <c r="W1549" i="6"/>
  <c r="V1549" i="6"/>
  <c r="U1549" i="6"/>
  <c r="W1548" i="6"/>
  <c r="V1548" i="6"/>
  <c r="U1548" i="6"/>
  <c r="W1547" i="6"/>
  <c r="V1547" i="6"/>
  <c r="U1547" i="6"/>
  <c r="W1546" i="6"/>
  <c r="V1546" i="6"/>
  <c r="U1546" i="6"/>
  <c r="W1545" i="6"/>
  <c r="V1545" i="6"/>
  <c r="U1545" i="6"/>
  <c r="W1544" i="6"/>
  <c r="V1544" i="6"/>
  <c r="U1544" i="6"/>
  <c r="W1543" i="6"/>
  <c r="V1543" i="6"/>
  <c r="U1543" i="6"/>
  <c r="W1542" i="6"/>
  <c r="V1542" i="6"/>
  <c r="U1542" i="6"/>
  <c r="W1541" i="6"/>
  <c r="V1541" i="6"/>
  <c r="U1541" i="6"/>
  <c r="W1540" i="6"/>
  <c r="V1540" i="6"/>
  <c r="U1540" i="6"/>
  <c r="W1539" i="6"/>
  <c r="V1539" i="6"/>
  <c r="U1539" i="6"/>
  <c r="W1538" i="6"/>
  <c r="V1538" i="6"/>
  <c r="U1538" i="6"/>
  <c r="W1537" i="6"/>
  <c r="V1537" i="6"/>
  <c r="U1537" i="6"/>
  <c r="W1536" i="6"/>
  <c r="V1536" i="6"/>
  <c r="U1536" i="6"/>
  <c r="W1535" i="6"/>
  <c r="V1535" i="6"/>
  <c r="U1535" i="6"/>
  <c r="W1534" i="6"/>
  <c r="V1534" i="6"/>
  <c r="U1534" i="6"/>
  <c r="W1533" i="6"/>
  <c r="V1533" i="6"/>
  <c r="U1533" i="6"/>
  <c r="W1532" i="6"/>
  <c r="V1532" i="6"/>
  <c r="U1532" i="6"/>
  <c r="W1531" i="6"/>
  <c r="V1531" i="6"/>
  <c r="U1531" i="6"/>
  <c r="W1530" i="6"/>
  <c r="V1530" i="6"/>
  <c r="U1530" i="6"/>
  <c r="W1529" i="6"/>
  <c r="V1529" i="6"/>
  <c r="U1529" i="6"/>
  <c r="W1528" i="6"/>
  <c r="V1528" i="6"/>
  <c r="U1528" i="6"/>
  <c r="W1527" i="6"/>
  <c r="V1527" i="6"/>
  <c r="U1527" i="6"/>
  <c r="W1526" i="6"/>
  <c r="V1526" i="6"/>
  <c r="U1526" i="6"/>
  <c r="W1525" i="6"/>
  <c r="V1525" i="6"/>
  <c r="U1525" i="6"/>
  <c r="W1524" i="6"/>
  <c r="V1524" i="6"/>
  <c r="U1524" i="6"/>
  <c r="W1523" i="6"/>
  <c r="V1523" i="6"/>
  <c r="U1523" i="6"/>
  <c r="W1522" i="6"/>
  <c r="V1522" i="6"/>
  <c r="U1522" i="6"/>
  <c r="W1521" i="6"/>
  <c r="V1521" i="6"/>
  <c r="U1521" i="6"/>
  <c r="W1520" i="6"/>
  <c r="V1520" i="6"/>
  <c r="U1520" i="6"/>
  <c r="W1519" i="6"/>
  <c r="V1519" i="6"/>
  <c r="U1519" i="6"/>
  <c r="W1518" i="6"/>
  <c r="V1518" i="6"/>
  <c r="U1518" i="6"/>
  <c r="W1517" i="6"/>
  <c r="V1517" i="6"/>
  <c r="U1517" i="6"/>
  <c r="W1516" i="6"/>
  <c r="V1516" i="6"/>
  <c r="U1516" i="6"/>
  <c r="W1515" i="6"/>
  <c r="V1515" i="6"/>
  <c r="U1515" i="6"/>
  <c r="W1514" i="6"/>
  <c r="V1514" i="6"/>
  <c r="U1514" i="6"/>
  <c r="W1513" i="6"/>
  <c r="V1513" i="6"/>
  <c r="U1513" i="6"/>
  <c r="W1512" i="6"/>
  <c r="V1512" i="6"/>
  <c r="U1512" i="6"/>
  <c r="W1511" i="6"/>
  <c r="V1511" i="6"/>
  <c r="U1511" i="6"/>
  <c r="W1510" i="6"/>
  <c r="V1510" i="6"/>
  <c r="U1510" i="6"/>
  <c r="W1509" i="6"/>
  <c r="V1509" i="6"/>
  <c r="U1509" i="6"/>
  <c r="W1508" i="6"/>
  <c r="V1508" i="6"/>
  <c r="U1508" i="6"/>
  <c r="W1507" i="6"/>
  <c r="V1507" i="6"/>
  <c r="U1507" i="6"/>
  <c r="W1506" i="6"/>
  <c r="V1506" i="6"/>
  <c r="U1506" i="6"/>
  <c r="W1505" i="6"/>
  <c r="V1505" i="6"/>
  <c r="U1505" i="6"/>
  <c r="W1504" i="6"/>
  <c r="V1504" i="6"/>
  <c r="U1504" i="6"/>
  <c r="W1503" i="6"/>
  <c r="V1503" i="6"/>
  <c r="U1503" i="6"/>
  <c r="W1502" i="6"/>
  <c r="V1502" i="6"/>
  <c r="U1502" i="6"/>
  <c r="W1501" i="6"/>
  <c r="V1501" i="6"/>
  <c r="U1501" i="6"/>
  <c r="W1500" i="6"/>
  <c r="V1500" i="6"/>
  <c r="U1500" i="6"/>
  <c r="W1499" i="6"/>
  <c r="V1499" i="6"/>
  <c r="U1499" i="6"/>
  <c r="W1498" i="6"/>
  <c r="V1498" i="6"/>
  <c r="U1498" i="6"/>
  <c r="W1497" i="6"/>
  <c r="V1497" i="6"/>
  <c r="U1497" i="6"/>
  <c r="W1496" i="6"/>
  <c r="V1496" i="6"/>
  <c r="U1496" i="6"/>
  <c r="W1495" i="6"/>
  <c r="V1495" i="6"/>
  <c r="U1495" i="6"/>
  <c r="W1494" i="6"/>
  <c r="V1494" i="6"/>
  <c r="U1494" i="6"/>
  <c r="W1493" i="6"/>
  <c r="V1493" i="6"/>
  <c r="U1493" i="6"/>
  <c r="W1492" i="6"/>
  <c r="V1492" i="6"/>
  <c r="U1492" i="6"/>
  <c r="W1491" i="6"/>
  <c r="V1491" i="6"/>
  <c r="U1491" i="6"/>
  <c r="W1490" i="6"/>
  <c r="V1490" i="6"/>
  <c r="U1490" i="6"/>
  <c r="W1489" i="6"/>
  <c r="V1489" i="6"/>
  <c r="U1489" i="6"/>
  <c r="W1488" i="6"/>
  <c r="V1488" i="6"/>
  <c r="U1488" i="6"/>
  <c r="W1487" i="6"/>
  <c r="V1487" i="6"/>
  <c r="U1487" i="6"/>
  <c r="W1486" i="6"/>
  <c r="V1486" i="6"/>
  <c r="U1486" i="6"/>
  <c r="W1485" i="6"/>
  <c r="V1485" i="6"/>
  <c r="U1485" i="6"/>
  <c r="W1484" i="6"/>
  <c r="V1484" i="6"/>
  <c r="U1484" i="6"/>
  <c r="W1483" i="6"/>
  <c r="V1483" i="6"/>
  <c r="U1483" i="6"/>
  <c r="W1482" i="6"/>
  <c r="V1482" i="6"/>
  <c r="U1482" i="6"/>
  <c r="W1481" i="6"/>
  <c r="V1481" i="6"/>
  <c r="U1481" i="6"/>
  <c r="W1480" i="6"/>
  <c r="V1480" i="6"/>
  <c r="U1480" i="6"/>
  <c r="W1479" i="6"/>
  <c r="V1479" i="6"/>
  <c r="U1479" i="6"/>
  <c r="W1478" i="6"/>
  <c r="V1478" i="6"/>
  <c r="U1478" i="6"/>
  <c r="W1477" i="6"/>
  <c r="V1477" i="6"/>
  <c r="U1477" i="6"/>
  <c r="W1476" i="6"/>
  <c r="V1476" i="6"/>
  <c r="U1476" i="6"/>
  <c r="W1475" i="6"/>
  <c r="V1475" i="6"/>
  <c r="U1475" i="6"/>
  <c r="W1474" i="6"/>
  <c r="V1474" i="6"/>
  <c r="U1474" i="6"/>
  <c r="W1473" i="6"/>
  <c r="V1473" i="6"/>
  <c r="U1473" i="6"/>
  <c r="W1472" i="6"/>
  <c r="V1472" i="6"/>
  <c r="U1472" i="6"/>
  <c r="W1454" i="6"/>
  <c r="V1454" i="6"/>
  <c r="U1454" i="6"/>
  <c r="W1453" i="6"/>
  <c r="V1453" i="6"/>
  <c r="U1453" i="6"/>
  <c r="W1452" i="6"/>
  <c r="V1452" i="6"/>
  <c r="U1452" i="6"/>
  <c r="W1451" i="6"/>
  <c r="V1451" i="6"/>
  <c r="U1451" i="6"/>
  <c r="W1450" i="6"/>
  <c r="V1450" i="6"/>
  <c r="U1450" i="6"/>
  <c r="W1449" i="6"/>
  <c r="V1449" i="6"/>
  <c r="U1449" i="6"/>
  <c r="W1448" i="6"/>
  <c r="V1448" i="6"/>
  <c r="U1448" i="6"/>
  <c r="W1447" i="6"/>
  <c r="V1447" i="6"/>
  <c r="U1447" i="6"/>
  <c r="W1446" i="6"/>
  <c r="V1446" i="6"/>
  <c r="U1446" i="6"/>
  <c r="W1445" i="6"/>
  <c r="V1445" i="6"/>
  <c r="U1445" i="6"/>
  <c r="W1444" i="6"/>
  <c r="V1444" i="6"/>
  <c r="U1444" i="6"/>
  <c r="W1443" i="6"/>
  <c r="V1443" i="6"/>
  <c r="U1443" i="6"/>
  <c r="W1442" i="6"/>
  <c r="V1442" i="6"/>
  <c r="U1442" i="6"/>
  <c r="W1441" i="6"/>
  <c r="V1441" i="6"/>
  <c r="U1441" i="6"/>
  <c r="W1440" i="6"/>
  <c r="V1440" i="6"/>
  <c r="U1440" i="6"/>
  <c r="W1439" i="6"/>
  <c r="V1439" i="6"/>
  <c r="U1439" i="6"/>
  <c r="W1438" i="6"/>
  <c r="V1438" i="6"/>
  <c r="U1438" i="6"/>
  <c r="W1437" i="6"/>
  <c r="V1437" i="6"/>
  <c r="U1437" i="6"/>
  <c r="W1436" i="6"/>
  <c r="V1436" i="6"/>
  <c r="U1436" i="6"/>
  <c r="W1435" i="6"/>
  <c r="V1435" i="6"/>
  <c r="U1435" i="6"/>
  <c r="W1434" i="6"/>
  <c r="V1434" i="6"/>
  <c r="U1434" i="6"/>
  <c r="W1433" i="6"/>
  <c r="V1433" i="6"/>
  <c r="U1433" i="6"/>
  <c r="W1432" i="6"/>
  <c r="V1432" i="6"/>
  <c r="U1432" i="6"/>
  <c r="W1431" i="6"/>
  <c r="V1431" i="6"/>
  <c r="U1431" i="6"/>
  <c r="W1430" i="6"/>
  <c r="V1430" i="6"/>
  <c r="U1430" i="6"/>
  <c r="W1429" i="6"/>
  <c r="V1429" i="6"/>
  <c r="U1429" i="6"/>
  <c r="W1428" i="6"/>
  <c r="V1428" i="6"/>
  <c r="U1428" i="6"/>
  <c r="W1427" i="6"/>
  <c r="V1427" i="6"/>
  <c r="U1427" i="6"/>
  <c r="W1426" i="6"/>
  <c r="V1426" i="6"/>
  <c r="U1426" i="6"/>
  <c r="W1425" i="6"/>
  <c r="V1425" i="6"/>
  <c r="U1425" i="6"/>
  <c r="W1424" i="6"/>
  <c r="V1424" i="6"/>
  <c r="U1424" i="6"/>
  <c r="W1423" i="6"/>
  <c r="V1423" i="6"/>
  <c r="U1423" i="6"/>
  <c r="W1422" i="6"/>
  <c r="V1422" i="6"/>
  <c r="U1422" i="6"/>
  <c r="W1421" i="6"/>
  <c r="V1421" i="6"/>
  <c r="U1421" i="6"/>
  <c r="W1420" i="6"/>
  <c r="V1420" i="6"/>
  <c r="U1420" i="6"/>
  <c r="W1419" i="6"/>
  <c r="V1419" i="6"/>
  <c r="U1419" i="6"/>
  <c r="W1418" i="6"/>
  <c r="V1418" i="6"/>
  <c r="U1418" i="6"/>
  <c r="W1417" i="6"/>
  <c r="V1417" i="6"/>
  <c r="U1417" i="6"/>
  <c r="W1416" i="6"/>
  <c r="V1416" i="6"/>
  <c r="U1416" i="6"/>
  <c r="W1415" i="6"/>
  <c r="V1415" i="6"/>
  <c r="U1415" i="6"/>
  <c r="W1414" i="6"/>
  <c r="V1414" i="6"/>
  <c r="U1414" i="6"/>
  <c r="W1413" i="6"/>
  <c r="V1413" i="6"/>
  <c r="U1413" i="6"/>
  <c r="W1412" i="6"/>
  <c r="V1412" i="6"/>
  <c r="U1412" i="6"/>
  <c r="W1411" i="6"/>
  <c r="V1411" i="6"/>
  <c r="U1411" i="6"/>
  <c r="W1410" i="6"/>
  <c r="V1410" i="6"/>
  <c r="U1410" i="6"/>
  <c r="W1409" i="6"/>
  <c r="V1409" i="6"/>
  <c r="U1409" i="6"/>
  <c r="W1408" i="6"/>
  <c r="V1408" i="6"/>
  <c r="U1408" i="6"/>
  <c r="W1407" i="6"/>
  <c r="V1407" i="6"/>
  <c r="U1407" i="6"/>
  <c r="W1406" i="6"/>
  <c r="V1406" i="6"/>
  <c r="U1406" i="6"/>
  <c r="W1405" i="6"/>
  <c r="V1405" i="6"/>
  <c r="U1405" i="6"/>
  <c r="W1404" i="6"/>
  <c r="V1404" i="6"/>
  <c r="U1404" i="6"/>
  <c r="W1403" i="6"/>
  <c r="V1403" i="6"/>
  <c r="U1403" i="6"/>
  <c r="W1402" i="6"/>
  <c r="V1402" i="6"/>
  <c r="U1402" i="6"/>
  <c r="W1401" i="6"/>
  <c r="V1401" i="6"/>
  <c r="U1401" i="6"/>
  <c r="W1400" i="6"/>
  <c r="V1400" i="6"/>
  <c r="U1400" i="6"/>
  <c r="W1399" i="6"/>
  <c r="V1399" i="6"/>
  <c r="U1399" i="6"/>
  <c r="W1398" i="6"/>
  <c r="V1398" i="6"/>
  <c r="U1398" i="6"/>
  <c r="W1397" i="6"/>
  <c r="V1397" i="6"/>
  <c r="U1397" i="6"/>
  <c r="W1396" i="6"/>
  <c r="V1396" i="6"/>
  <c r="U1396" i="6"/>
  <c r="W1395" i="6"/>
  <c r="V1395" i="6"/>
  <c r="U1395" i="6"/>
  <c r="W1394" i="6"/>
  <c r="V1394" i="6"/>
  <c r="U1394" i="6"/>
  <c r="W1393" i="6"/>
  <c r="V1393" i="6"/>
  <c r="U1393" i="6"/>
  <c r="W1392" i="6"/>
  <c r="V1392" i="6"/>
  <c r="U1392" i="6"/>
  <c r="W1391" i="6"/>
  <c r="V1391" i="6"/>
  <c r="U1391" i="6"/>
  <c r="W1390" i="6"/>
  <c r="V1390" i="6"/>
  <c r="U1390" i="6"/>
  <c r="W1389" i="6"/>
  <c r="V1389" i="6"/>
  <c r="U1389" i="6"/>
  <c r="W1388" i="6"/>
  <c r="V1388" i="6"/>
  <c r="U138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L474" i="6"/>
  <c r="L473" i="6"/>
  <c r="L472" i="6"/>
  <c r="L471"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1973" i="6" l="1"/>
  <c r="Y1973" i="6" s="1"/>
  <c r="AE1972" i="6"/>
  <c r="Y1972" i="6" s="1"/>
  <c r="AE1971" i="6"/>
  <c r="Y1971" i="6" s="1"/>
  <c r="AE1970" i="6"/>
  <c r="Y1970" i="6" s="1"/>
  <c r="AE1969" i="6"/>
  <c r="Y1969" i="6" s="1"/>
  <c r="AE1968" i="6"/>
  <c r="Y1968" i="6" s="1"/>
  <c r="AE1967" i="6"/>
  <c r="Y1967" i="6" s="1"/>
  <c r="AE1966" i="6"/>
  <c r="Y1966" i="6" s="1"/>
  <c r="AE1965" i="6"/>
  <c r="Y1965" i="6" s="1"/>
  <c r="AE1964" i="6"/>
  <c r="Y1964" i="6" s="1"/>
  <c r="AE1963" i="6"/>
  <c r="Y1963" i="6" s="1"/>
  <c r="AE1962" i="6"/>
  <c r="Y1962" i="6" s="1"/>
  <c r="AE1961" i="6"/>
  <c r="Y1961" i="6" s="1"/>
  <c r="AE1960" i="6"/>
  <c r="Y1960" i="6" s="1"/>
  <c r="AE1959" i="6"/>
  <c r="Y1959" i="6" s="1"/>
  <c r="AE1958" i="6"/>
  <c r="Y1958" i="6" s="1"/>
  <c r="AE1957" i="6"/>
  <c r="Y1957" i="6" s="1"/>
  <c r="AE1956" i="6"/>
  <c r="Y1956" i="6" s="1"/>
  <c r="AE1955" i="6"/>
  <c r="Y1955" i="6" s="1"/>
  <c r="AE1954" i="6"/>
  <c r="Y1954" i="6" s="1"/>
  <c r="AE1953" i="6"/>
  <c r="Y1953" i="6" s="1"/>
  <c r="AE1952" i="6"/>
  <c r="Y1952" i="6" s="1"/>
  <c r="AE1951" i="6"/>
  <c r="Y1951" i="6" s="1"/>
  <c r="AE1950" i="6"/>
  <c r="Y1950" i="6" s="1"/>
  <c r="AE1949" i="6"/>
  <c r="Y1949" i="6" s="1"/>
  <c r="AE1948" i="6"/>
  <c r="Y1948" i="6" s="1"/>
  <c r="AE1947" i="6"/>
  <c r="Y1947" i="6" s="1"/>
  <c r="AE1946" i="6"/>
  <c r="Y1946" i="6" s="1"/>
  <c r="AE1945" i="6"/>
  <c r="Y1945" i="6" s="1"/>
  <c r="AE1944" i="6"/>
  <c r="Y1944" i="6" s="1"/>
  <c r="AE1943" i="6"/>
  <c r="Y1943" i="6" s="1"/>
  <c r="AE1942" i="6"/>
  <c r="Y1942" i="6" s="1"/>
  <c r="AE1941" i="6"/>
  <c r="Y1941" i="6" s="1"/>
  <c r="AE1940" i="6"/>
  <c r="Y1940" i="6" s="1"/>
  <c r="AE1939" i="6"/>
  <c r="Y1939" i="6" s="1"/>
  <c r="AE1938" i="6"/>
  <c r="Y1938" i="6" s="1"/>
  <c r="AE1937" i="6"/>
  <c r="Y1937" i="6" s="1"/>
  <c r="AE1936" i="6"/>
  <c r="Y1936" i="6" s="1"/>
  <c r="AE1935" i="6"/>
  <c r="Y1935" i="6" s="1"/>
  <c r="AE1934" i="6"/>
  <c r="Y1934" i="6" s="1"/>
  <c r="AE1933" i="6"/>
  <c r="Y1933" i="6" s="1"/>
  <c r="AE1932" i="6"/>
  <c r="Y1932" i="6" s="1"/>
  <c r="AE1931" i="6"/>
  <c r="Y1931" i="6" s="1"/>
  <c r="AE1930" i="6"/>
  <c r="Y1930" i="6" s="1"/>
  <c r="AE1929" i="6"/>
  <c r="Y1929" i="6" s="1"/>
  <c r="AE1928" i="6"/>
  <c r="Y1928" i="6" s="1"/>
  <c r="AE1927" i="6"/>
  <c r="Y1927" i="6" s="1"/>
  <c r="AE1926" i="6"/>
  <c r="Y1926" i="6" s="1"/>
  <c r="AE1925" i="6"/>
  <c r="Y1925" i="6" s="1"/>
  <c r="AE1924" i="6"/>
  <c r="Y1924" i="6" s="1"/>
  <c r="AE1923" i="6"/>
  <c r="Y1923" i="6" s="1"/>
  <c r="AE1922" i="6"/>
  <c r="Y1922" i="6" s="1"/>
  <c r="AE1921" i="6"/>
  <c r="Y1921" i="6" s="1"/>
  <c r="AE1920" i="6"/>
  <c r="Y1920" i="6" s="1"/>
  <c r="AE1919" i="6"/>
  <c r="Y1919" i="6" s="1"/>
  <c r="AE1918" i="6"/>
  <c r="Y1918" i="6" s="1"/>
  <c r="AE1917" i="6"/>
  <c r="Y1917" i="6" s="1"/>
  <c r="AE1916" i="6"/>
  <c r="Y1916" i="6" s="1"/>
  <c r="AE1915" i="6"/>
  <c r="Y1915" i="6" s="1"/>
  <c r="AE1914" i="6"/>
  <c r="Y1914" i="6" s="1"/>
  <c r="AE1913" i="6"/>
  <c r="Y1913" i="6" s="1"/>
  <c r="AE1912" i="6"/>
  <c r="Y1912" i="6" s="1"/>
  <c r="AE1911" i="6"/>
  <c r="Y1911" i="6" s="1"/>
  <c r="AE1910" i="6"/>
  <c r="Y1910" i="6" s="1"/>
  <c r="AE1909" i="6"/>
  <c r="Y1909" i="6" s="1"/>
  <c r="AE1908" i="6"/>
  <c r="Y1908" i="6" s="1"/>
  <c r="AE1907" i="6"/>
  <c r="Y1907" i="6" s="1"/>
  <c r="AE1906" i="6"/>
  <c r="Y1906" i="6" s="1"/>
  <c r="AE1905" i="6"/>
  <c r="Y1905" i="6" s="1"/>
  <c r="AE1904" i="6"/>
  <c r="Y1904" i="6" s="1"/>
  <c r="AE1903" i="6"/>
  <c r="Y1903" i="6" s="1"/>
  <c r="AE1902" i="6"/>
  <c r="Y1902" i="6" s="1"/>
  <c r="AE1901" i="6"/>
  <c r="Y1901" i="6" s="1"/>
  <c r="AE1900" i="6"/>
  <c r="Y1900" i="6" s="1"/>
  <c r="AE1899" i="6"/>
  <c r="Y1899" i="6" s="1"/>
  <c r="AE1898" i="6"/>
  <c r="Y1898" i="6" s="1"/>
  <c r="AE1897" i="6"/>
  <c r="Y1897" i="6" s="1"/>
  <c r="AE1896" i="6"/>
  <c r="Y1896" i="6" s="1"/>
  <c r="AE1895" i="6"/>
  <c r="Y1895" i="6" s="1"/>
  <c r="AE1894" i="6"/>
  <c r="Y1894" i="6" s="1"/>
  <c r="AE1893" i="6"/>
  <c r="Y1893" i="6" s="1"/>
  <c r="AE1892" i="6"/>
  <c r="Y1892" i="6" s="1"/>
  <c r="AE1891" i="6"/>
  <c r="Y1891" i="6" s="1"/>
  <c r="AE1890" i="6"/>
  <c r="Y1890" i="6" s="1"/>
  <c r="AE1889" i="6"/>
  <c r="Y1889" i="6" s="1"/>
  <c r="AE1888" i="6"/>
  <c r="Y1888" i="6" s="1"/>
  <c r="AE1887" i="6"/>
  <c r="Y1887" i="6" s="1"/>
  <c r="AE1886" i="6"/>
  <c r="Y1886" i="6" s="1"/>
  <c r="AE1885" i="6"/>
  <c r="Y1885" i="6" s="1"/>
  <c r="AE1884" i="6"/>
  <c r="Y1884" i="6" s="1"/>
  <c r="AE1883" i="6"/>
  <c r="Y1883" i="6" s="1"/>
  <c r="AE1882" i="6"/>
  <c r="Y1882" i="6" s="1"/>
  <c r="AE1881" i="6"/>
  <c r="Y1881" i="6" s="1"/>
  <c r="AE1880" i="6"/>
  <c r="Y1880" i="6" s="1"/>
  <c r="AE1879" i="6"/>
  <c r="Y1879" i="6" s="1"/>
  <c r="AE1878" i="6"/>
  <c r="Y1878" i="6" s="1"/>
  <c r="AE1877" i="6"/>
  <c r="Y1877" i="6" s="1"/>
  <c r="AE1876" i="6"/>
  <c r="Y1876" i="6" s="1"/>
  <c r="AE1875" i="6"/>
  <c r="Y1875" i="6" s="1"/>
  <c r="AE1874" i="6"/>
  <c r="Y1874" i="6" s="1"/>
  <c r="AE1873" i="6"/>
  <c r="Y1873" i="6" s="1"/>
  <c r="AE1872" i="6"/>
  <c r="Y1872" i="6" s="1"/>
  <c r="AE1871" i="6"/>
  <c r="Y1871" i="6" s="1"/>
  <c r="AE1870" i="6"/>
  <c r="Y1870" i="6" s="1"/>
  <c r="AE1869" i="6"/>
  <c r="Y1869" i="6" s="1"/>
  <c r="AE1868" i="6"/>
  <c r="Y1868" i="6" s="1"/>
  <c r="AE1867" i="6"/>
  <c r="Y1867" i="6" s="1"/>
  <c r="AE1866" i="6"/>
  <c r="Y1866" i="6" s="1"/>
  <c r="AE1865" i="6"/>
  <c r="Y1865" i="6" s="1"/>
  <c r="AE1864" i="6"/>
  <c r="Y1864" i="6" s="1"/>
  <c r="AE1863" i="6"/>
  <c r="Y1863" i="6" s="1"/>
  <c r="AE1862" i="6"/>
  <c r="Y1862" i="6" s="1"/>
  <c r="AE1861" i="6"/>
  <c r="Y1861" i="6" s="1"/>
  <c r="AE1860" i="6"/>
  <c r="Y1860" i="6" s="1"/>
  <c r="AE1859" i="6"/>
  <c r="Y1859" i="6" s="1"/>
  <c r="AE1858" i="6"/>
  <c r="Y1858" i="6" s="1"/>
  <c r="AE1857" i="6"/>
  <c r="Y1857" i="6" s="1"/>
  <c r="AE1856" i="6"/>
  <c r="Y1856" i="6" s="1"/>
  <c r="AE1855" i="6"/>
  <c r="Y1855" i="6" s="1"/>
  <c r="AE1854" i="6"/>
  <c r="Y1854" i="6" s="1"/>
  <c r="AE1853" i="6"/>
  <c r="Y1853" i="6" s="1"/>
  <c r="AE1852" i="6"/>
  <c r="Y1852" i="6" s="1"/>
  <c r="AE1851" i="6"/>
  <c r="Y1851" i="6" s="1"/>
  <c r="AE1850" i="6"/>
  <c r="Y1850" i="6" s="1"/>
  <c r="AE1849" i="6"/>
  <c r="Y1849" i="6" s="1"/>
  <c r="AE1848" i="6"/>
  <c r="Y1848" i="6" s="1"/>
  <c r="AE1847" i="6"/>
  <c r="Y1847" i="6" s="1"/>
  <c r="AE1846" i="6"/>
  <c r="Y1846" i="6" s="1"/>
  <c r="AE1845" i="6"/>
  <c r="Y1845" i="6" s="1"/>
  <c r="AE1844" i="6"/>
  <c r="Y1844" i="6" s="1"/>
  <c r="AE1843" i="6"/>
  <c r="Y1843" i="6" s="1"/>
  <c r="AE1842" i="6"/>
  <c r="Y1842" i="6" s="1"/>
  <c r="AE1841" i="6"/>
  <c r="Y1841" i="6" s="1"/>
  <c r="AE1840" i="6"/>
  <c r="Y1840" i="6" s="1"/>
  <c r="AE1839" i="6"/>
  <c r="Y1839" i="6" s="1"/>
  <c r="AE1838" i="6"/>
  <c r="Y1838" i="6" s="1"/>
  <c r="AE1837" i="6"/>
  <c r="Y1837" i="6" s="1"/>
  <c r="AE1836" i="6"/>
  <c r="Y1836" i="6" s="1"/>
  <c r="AE1835" i="6"/>
  <c r="Y1835" i="6" s="1"/>
  <c r="AE1834" i="6"/>
  <c r="Y1834" i="6" s="1"/>
  <c r="AE1833" i="6"/>
  <c r="Y1833" i="6" s="1"/>
  <c r="AE1832" i="6"/>
  <c r="Y1832" i="6" s="1"/>
  <c r="AE1831" i="6"/>
  <c r="Y1831" i="6" s="1"/>
  <c r="AE1830" i="6"/>
  <c r="Y1830" i="6" s="1"/>
  <c r="AE1829" i="6"/>
  <c r="Y1829" i="6" s="1"/>
  <c r="AE1828" i="6"/>
  <c r="Y1828" i="6" s="1"/>
  <c r="AE1827" i="6"/>
  <c r="Y1827" i="6" s="1"/>
  <c r="AE1826" i="6"/>
  <c r="Y1826" i="6" s="1"/>
  <c r="AE1825" i="6"/>
  <c r="Y1825" i="6" s="1"/>
  <c r="AE1824" i="6"/>
  <c r="Y1824" i="6" s="1"/>
  <c r="AE1823" i="6"/>
  <c r="Y1823" i="6" s="1"/>
  <c r="AE1822" i="6"/>
  <c r="Y1822" i="6" s="1"/>
  <c r="AE1821" i="6"/>
  <c r="Y1821" i="6" s="1"/>
  <c r="AE1820" i="6"/>
  <c r="Y1820" i="6" s="1"/>
  <c r="AE1819" i="6"/>
  <c r="Y1819" i="6" s="1"/>
  <c r="AE1818" i="6"/>
  <c r="Y1818" i="6" s="1"/>
  <c r="AE1817" i="6"/>
  <c r="Y1817" i="6" s="1"/>
  <c r="AE1816" i="6"/>
  <c r="Y1816" i="6" s="1"/>
  <c r="AE1815" i="6"/>
  <c r="Y1815" i="6" s="1"/>
  <c r="AE1814" i="6"/>
  <c r="Y1814" i="6" s="1"/>
  <c r="AE1813" i="6"/>
  <c r="Y1813" i="6" s="1"/>
  <c r="AE1812" i="6"/>
  <c r="Y1812" i="6" s="1"/>
  <c r="AE1811" i="6"/>
  <c r="Y1811" i="6" s="1"/>
  <c r="AE1810" i="6"/>
  <c r="Y1810" i="6" s="1"/>
  <c r="AE1809" i="6"/>
  <c r="Y1809" i="6" s="1"/>
  <c r="AE1808" i="6"/>
  <c r="Y1808" i="6" s="1"/>
  <c r="AE1807" i="6"/>
  <c r="Y1807" i="6" s="1"/>
  <c r="AE1806" i="6"/>
  <c r="Y1806" i="6" s="1"/>
  <c r="AE1805" i="6"/>
  <c r="Y1805" i="6" s="1"/>
  <c r="AE1804" i="6"/>
  <c r="Y1804" i="6" s="1"/>
  <c r="AE1803" i="6"/>
  <c r="Y1803" i="6" s="1"/>
  <c r="AE1802" i="6"/>
  <c r="Y1802" i="6" s="1"/>
  <c r="AE1801" i="6"/>
  <c r="Y1801" i="6" s="1"/>
  <c r="AE1800" i="6"/>
  <c r="Y1800" i="6" s="1"/>
  <c r="AE1799" i="6"/>
  <c r="Y1799" i="6" s="1"/>
  <c r="AE1798" i="6"/>
  <c r="Y1798" i="6" s="1"/>
  <c r="AE1797" i="6"/>
  <c r="Y1797" i="6" s="1"/>
  <c r="AE1796" i="6"/>
  <c r="Y1796" i="6" s="1"/>
  <c r="AE1795" i="6"/>
  <c r="Y1795" i="6" s="1"/>
  <c r="AE1794" i="6"/>
  <c r="Y1794" i="6" s="1"/>
  <c r="AE1793" i="6"/>
  <c r="Y1793" i="6" s="1"/>
  <c r="AE1792" i="6"/>
  <c r="Y1792" i="6" s="1"/>
  <c r="AE1791" i="6"/>
  <c r="Y1791" i="6" s="1"/>
  <c r="AE1790" i="6"/>
  <c r="Y1790" i="6" s="1"/>
  <c r="AE1789" i="6"/>
  <c r="Y1789" i="6" s="1"/>
  <c r="AE1788" i="6"/>
  <c r="Y1788" i="6" s="1"/>
  <c r="AE1787" i="6"/>
  <c r="Y1787" i="6" s="1"/>
  <c r="AE1786" i="6"/>
  <c r="Y1786" i="6" s="1"/>
  <c r="AE1785" i="6"/>
  <c r="Y1785" i="6" s="1"/>
  <c r="AE1784" i="6"/>
  <c r="Y1784" i="6" s="1"/>
  <c r="AE1783" i="6"/>
  <c r="Y1783" i="6" s="1"/>
  <c r="AE1782" i="6"/>
  <c r="Y1782" i="6" s="1"/>
  <c r="AE1781" i="6"/>
  <c r="Y1781" i="6" s="1"/>
  <c r="AE1780" i="6"/>
  <c r="Y1780" i="6" s="1"/>
  <c r="AE1779" i="6"/>
  <c r="Y1779" i="6" s="1"/>
  <c r="AE1778" i="6"/>
  <c r="Y1778" i="6" s="1"/>
  <c r="AE1777" i="6"/>
  <c r="Y1777" i="6" s="1"/>
  <c r="AE1776" i="6"/>
  <c r="Y1776" i="6" s="1"/>
  <c r="AE1775" i="6"/>
  <c r="Y1775" i="6" s="1"/>
  <c r="AE1774" i="6"/>
  <c r="Y1774" i="6" s="1"/>
  <c r="AE1773" i="6"/>
  <c r="Y1773" i="6" s="1"/>
  <c r="AE1772" i="6"/>
  <c r="Y1772" i="6" s="1"/>
  <c r="AE1771" i="6"/>
  <c r="Y1771" i="6" s="1"/>
  <c r="AE1770" i="6"/>
  <c r="Y1770" i="6" s="1"/>
  <c r="AE1769" i="6"/>
  <c r="Y1769" i="6" s="1"/>
  <c r="AE1768" i="6"/>
  <c r="Y1768" i="6" s="1"/>
  <c r="AE1767" i="6"/>
  <c r="Y1767" i="6" s="1"/>
  <c r="AE1766" i="6"/>
  <c r="Y1766" i="6" s="1"/>
  <c r="AE1765" i="6"/>
  <c r="Y1765" i="6" s="1"/>
  <c r="AE1764" i="6"/>
  <c r="Y1764" i="6" s="1"/>
  <c r="AE1763" i="6"/>
  <c r="Y1763" i="6" s="1"/>
  <c r="AE1762" i="6"/>
  <c r="Y1762" i="6" s="1"/>
  <c r="AE1761" i="6"/>
  <c r="Y1761" i="6" s="1"/>
  <c r="AE1760" i="6"/>
  <c r="Y1760" i="6" s="1"/>
  <c r="AE1759" i="6"/>
  <c r="Y1759" i="6" s="1"/>
  <c r="AE1758" i="6"/>
  <c r="Y1758" i="6" s="1"/>
  <c r="AE1757" i="6"/>
  <c r="Y1757" i="6" s="1"/>
  <c r="AE1756" i="6"/>
  <c r="Y1756" i="6" s="1"/>
  <c r="AE1755" i="6"/>
  <c r="Y1755" i="6" s="1"/>
  <c r="AE1754" i="6"/>
  <c r="Y1754" i="6" s="1"/>
  <c r="AE1753" i="6"/>
  <c r="Y1753" i="6" s="1"/>
  <c r="AE1752" i="6"/>
  <c r="Y1752" i="6" s="1"/>
  <c r="AE1751" i="6"/>
  <c r="Y1751" i="6" s="1"/>
  <c r="AE1750" i="6"/>
  <c r="Y1750" i="6" s="1"/>
  <c r="AE1749" i="6"/>
  <c r="Y1749" i="6" s="1"/>
  <c r="AE1748" i="6"/>
  <c r="Y1748" i="6" s="1"/>
  <c r="AE1747" i="6"/>
  <c r="Y1747" i="6" s="1"/>
  <c r="AE1746" i="6"/>
  <c r="Y1746" i="6" s="1"/>
  <c r="AE1745" i="6"/>
  <c r="Y1745" i="6" s="1"/>
  <c r="AE1744" i="6"/>
  <c r="Y1744" i="6" s="1"/>
  <c r="AE1743" i="6"/>
  <c r="Y1743" i="6" s="1"/>
  <c r="AE1742" i="6"/>
  <c r="Y1742" i="6" s="1"/>
  <c r="AE1741" i="6"/>
  <c r="Y1741" i="6" s="1"/>
  <c r="AE1740" i="6"/>
  <c r="Y1740" i="6" s="1"/>
  <c r="AE1739" i="6"/>
  <c r="Y1739" i="6" s="1"/>
  <c r="AE1738" i="6"/>
  <c r="Y1738" i="6" s="1"/>
  <c r="AE1737" i="6"/>
  <c r="Y1737" i="6" s="1"/>
  <c r="AE1736" i="6"/>
  <c r="Y1736" i="6" s="1"/>
  <c r="AE1735" i="6"/>
  <c r="Y1735" i="6" s="1"/>
  <c r="AE1734" i="6"/>
  <c r="Y1734" i="6" s="1"/>
  <c r="AE1733" i="6"/>
  <c r="Y1733" i="6" s="1"/>
  <c r="AE1732" i="6"/>
  <c r="Y1732" i="6" s="1"/>
  <c r="AE1731" i="6"/>
  <c r="Y1731" i="6" s="1"/>
  <c r="AE1730" i="6"/>
  <c r="Y1730" i="6" s="1"/>
  <c r="AE1729" i="6"/>
  <c r="Y1729" i="6" s="1"/>
  <c r="AE1728" i="6"/>
  <c r="Y1728" i="6" s="1"/>
  <c r="AE1727" i="6"/>
  <c r="Y1727" i="6" s="1"/>
  <c r="AE1726" i="6"/>
  <c r="Y1726" i="6" s="1"/>
  <c r="AE1725" i="6"/>
  <c r="Y1725" i="6" s="1"/>
  <c r="AE1724" i="6"/>
  <c r="Y1724" i="6" s="1"/>
  <c r="AE1723" i="6"/>
  <c r="Y1723" i="6" s="1"/>
  <c r="AE1722" i="6"/>
  <c r="Y1722" i="6" s="1"/>
  <c r="AE1721" i="6"/>
  <c r="Y1721" i="6" s="1"/>
  <c r="AE1720" i="6"/>
  <c r="Y1720" i="6" s="1"/>
  <c r="AE1719" i="6"/>
  <c r="Y1719" i="6" s="1"/>
  <c r="AE1718" i="6"/>
  <c r="Y1718" i="6" s="1"/>
  <c r="AE1717" i="6"/>
  <c r="Y1717" i="6" s="1"/>
  <c r="AE1716" i="6"/>
  <c r="Y1716" i="6" s="1"/>
  <c r="AE1715" i="6"/>
  <c r="Y1715" i="6" s="1"/>
  <c r="AE1714" i="6"/>
  <c r="Y1714" i="6" s="1"/>
  <c r="AE1713" i="6"/>
  <c r="Y1713" i="6" s="1"/>
  <c r="AE1712" i="6"/>
  <c r="Y1712" i="6" s="1"/>
  <c r="AE1711" i="6"/>
  <c r="Y1711" i="6" s="1"/>
  <c r="AE1710" i="6"/>
  <c r="Y1710" i="6" s="1"/>
  <c r="AE1709" i="6"/>
  <c r="Y1709" i="6" s="1"/>
  <c r="AE1708" i="6"/>
  <c r="Y1708" i="6" s="1"/>
  <c r="AE1707" i="6"/>
  <c r="Y1707" i="6" s="1"/>
  <c r="AE1706" i="6"/>
  <c r="Y1706" i="6" s="1"/>
  <c r="AE1705" i="6"/>
  <c r="Y1705" i="6" s="1"/>
  <c r="AE1704" i="6"/>
  <c r="Y1704" i="6" s="1"/>
  <c r="AE1703" i="6"/>
  <c r="Y1703" i="6" s="1"/>
  <c r="AE1702" i="6"/>
  <c r="Y1702" i="6" s="1"/>
  <c r="AE1701" i="6"/>
  <c r="Y1701" i="6" s="1"/>
  <c r="AE1700" i="6"/>
  <c r="Y1700" i="6" s="1"/>
  <c r="AE1699" i="6"/>
  <c r="Y1699" i="6" s="1"/>
  <c r="AE1698" i="6"/>
  <c r="Y1698" i="6" s="1"/>
  <c r="AE1697" i="6"/>
  <c r="Y1697" i="6" s="1"/>
  <c r="AE1696" i="6"/>
  <c r="Y1696" i="6" s="1"/>
  <c r="AE1695" i="6"/>
  <c r="Y1695" i="6" s="1"/>
  <c r="AE1694" i="6"/>
  <c r="Y1694" i="6" s="1"/>
  <c r="AE1693" i="6"/>
  <c r="Y1693" i="6" s="1"/>
  <c r="AE1692" i="6"/>
  <c r="Y1692" i="6" s="1"/>
  <c r="AE1691" i="6"/>
  <c r="Y1691" i="6" s="1"/>
  <c r="AE1690" i="6"/>
  <c r="Y1690" i="6" s="1"/>
  <c r="AE1689" i="6"/>
  <c r="Y1689" i="6" s="1"/>
  <c r="AE1688" i="6"/>
  <c r="Y1688" i="6" s="1"/>
  <c r="AE1687" i="6"/>
  <c r="Y1687" i="6" s="1"/>
  <c r="AE1686" i="6"/>
  <c r="Y1686" i="6" s="1"/>
  <c r="AE1685" i="6"/>
  <c r="Y1685" i="6" s="1"/>
  <c r="AE1684" i="6"/>
  <c r="Y1684" i="6" s="1"/>
  <c r="AE1683" i="6"/>
  <c r="Y1683" i="6" s="1"/>
  <c r="AE1682" i="6"/>
  <c r="Y1682" i="6" s="1"/>
  <c r="AE1681" i="6"/>
  <c r="Y1681" i="6" s="1"/>
  <c r="AE1680" i="6"/>
  <c r="Y1680" i="6" s="1"/>
  <c r="AE1679" i="6"/>
  <c r="Y1679" i="6" s="1"/>
  <c r="AE1678" i="6"/>
  <c r="Y1678" i="6" s="1"/>
  <c r="AE1677" i="6"/>
  <c r="Y1677" i="6" s="1"/>
  <c r="AE1676" i="6"/>
  <c r="Y1676" i="6" s="1"/>
  <c r="AE1675" i="6"/>
  <c r="Y1675" i="6" s="1"/>
  <c r="AE1674" i="6"/>
  <c r="Y1674" i="6" s="1"/>
  <c r="AE1673" i="6"/>
  <c r="Y1673" i="6" s="1"/>
  <c r="AE1672" i="6"/>
  <c r="Y1672" i="6" s="1"/>
  <c r="AE1671" i="6"/>
  <c r="Y1671" i="6" s="1"/>
  <c r="AE1670" i="6"/>
  <c r="Y1670" i="6" s="1"/>
  <c r="AE1669" i="6"/>
  <c r="Y1669" i="6" s="1"/>
  <c r="AE1668" i="6"/>
  <c r="Y1668" i="6" s="1"/>
  <c r="AE1667" i="6"/>
  <c r="Y1667" i="6" s="1"/>
  <c r="AE1666" i="6"/>
  <c r="Y1666" i="6" s="1"/>
  <c r="AE1665" i="6"/>
  <c r="Y1665" i="6" s="1"/>
  <c r="AE1664" i="6"/>
  <c r="Y1664" i="6" s="1"/>
  <c r="AE1663" i="6"/>
  <c r="Y1663" i="6" s="1"/>
  <c r="AE1662" i="6"/>
  <c r="Y1662" i="6" s="1"/>
  <c r="AE1661" i="6"/>
  <c r="Y1661" i="6" s="1"/>
  <c r="AE1660" i="6"/>
  <c r="Y1660" i="6" s="1"/>
  <c r="AE1659" i="6"/>
  <c r="Y1659" i="6" s="1"/>
  <c r="AE1658" i="6"/>
  <c r="Y1658" i="6" s="1"/>
  <c r="AE1657" i="6"/>
  <c r="Y1657" i="6" s="1"/>
  <c r="AE1656" i="6"/>
  <c r="Y1656" i="6" s="1"/>
  <c r="AE1655" i="6"/>
  <c r="Y1655" i="6" s="1"/>
  <c r="AE1654" i="6"/>
  <c r="Y1654" i="6" s="1"/>
  <c r="AE1653" i="6"/>
  <c r="Y1653" i="6" s="1"/>
  <c r="AE1652" i="6"/>
  <c r="Y1652" i="6" s="1"/>
  <c r="AE1651" i="6"/>
  <c r="Y1651" i="6" s="1"/>
  <c r="AE1650" i="6"/>
  <c r="Y1650" i="6" s="1"/>
  <c r="AE1649" i="6"/>
  <c r="Y1649" i="6" s="1"/>
  <c r="AE1648" i="6"/>
  <c r="Y1648" i="6" s="1"/>
  <c r="AE1647" i="6"/>
  <c r="Y1647" i="6" s="1"/>
  <c r="AE1646" i="6"/>
  <c r="Y1646" i="6" s="1"/>
  <c r="AE1645" i="6"/>
  <c r="Y1645" i="6" s="1"/>
  <c r="AE1644" i="6"/>
  <c r="Y1644" i="6" s="1"/>
  <c r="AE1643" i="6"/>
  <c r="Y1643" i="6" s="1"/>
  <c r="AE1642" i="6"/>
  <c r="Y1642" i="6" s="1"/>
  <c r="AE1641" i="6"/>
  <c r="Y1641" i="6" s="1"/>
  <c r="AE1640" i="6"/>
  <c r="Y1640" i="6" s="1"/>
  <c r="AE1639" i="6"/>
  <c r="Y1639" i="6" s="1"/>
  <c r="AE1638" i="6"/>
  <c r="Y1638" i="6" s="1"/>
  <c r="AE1637" i="6"/>
  <c r="Y1637" i="6" s="1"/>
  <c r="AE1636" i="6"/>
  <c r="Y1636" i="6" s="1"/>
  <c r="AE1635" i="6"/>
  <c r="Y1635" i="6" s="1"/>
  <c r="AE1634" i="6"/>
  <c r="Y1634" i="6" s="1"/>
  <c r="AE1633" i="6"/>
  <c r="Y1633" i="6" s="1"/>
  <c r="AE1632" i="6"/>
  <c r="Y1632" i="6" s="1"/>
  <c r="AE1631" i="6"/>
  <c r="Y1631" i="6" s="1"/>
  <c r="AE1630" i="6"/>
  <c r="Y1630" i="6" s="1"/>
  <c r="AE1629" i="6"/>
  <c r="Y1629" i="6" s="1"/>
  <c r="AE1628" i="6"/>
  <c r="Y1628" i="6" s="1"/>
  <c r="AE1627" i="6"/>
  <c r="Y1627" i="6" s="1"/>
  <c r="AE1626" i="6"/>
  <c r="Y1626" i="6" s="1"/>
  <c r="AE1625" i="6"/>
  <c r="Y1625" i="6" s="1"/>
  <c r="AE1624" i="6"/>
  <c r="Y1624" i="6" s="1"/>
  <c r="AE1623" i="6"/>
  <c r="Y1623" i="6" s="1"/>
  <c r="AE1622" i="6"/>
  <c r="Y1622" i="6" s="1"/>
  <c r="AE1621" i="6"/>
  <c r="Y1621" i="6" s="1"/>
  <c r="AE1620" i="6"/>
  <c r="Y1620" i="6" s="1"/>
  <c r="AE1619" i="6"/>
  <c r="Y1619" i="6" s="1"/>
  <c r="AE1618" i="6"/>
  <c r="Y1618" i="6" s="1"/>
  <c r="AE1617" i="6"/>
  <c r="Y1617" i="6" s="1"/>
  <c r="AE1616" i="6"/>
  <c r="Y1616" i="6" s="1"/>
  <c r="AE1615" i="6"/>
  <c r="Y1615" i="6" s="1"/>
  <c r="AE1614" i="6"/>
  <c r="Y1614" i="6" s="1"/>
  <c r="AE1613" i="6"/>
  <c r="Y1613" i="6" s="1"/>
  <c r="AE1612" i="6"/>
  <c r="Y1612" i="6" s="1"/>
  <c r="AE1611" i="6"/>
  <c r="Y1611" i="6" s="1"/>
  <c r="AE1610" i="6"/>
  <c r="Y1610" i="6" s="1"/>
  <c r="AE1609" i="6"/>
  <c r="Y1609" i="6" s="1"/>
  <c r="AE1608" i="6"/>
  <c r="Y1608" i="6" s="1"/>
  <c r="AE1607" i="6"/>
  <c r="Y1607" i="6" s="1"/>
  <c r="AE1606" i="6"/>
  <c r="Y1606" i="6" s="1"/>
  <c r="AE1605" i="6"/>
  <c r="Y1605" i="6" s="1"/>
  <c r="AE1604" i="6"/>
  <c r="Y1604" i="6" s="1"/>
  <c r="AE1603" i="6"/>
  <c r="Y1603" i="6" s="1"/>
  <c r="AE1602" i="6"/>
  <c r="Y1602" i="6" s="1"/>
  <c r="AE1601" i="6"/>
  <c r="Y1601" i="6" s="1"/>
  <c r="AE1600" i="6"/>
  <c r="Y1600" i="6" s="1"/>
  <c r="AE1599" i="6"/>
  <c r="Y1599" i="6" s="1"/>
  <c r="AE1598" i="6"/>
  <c r="Y1598" i="6" s="1"/>
  <c r="AE1597" i="6"/>
  <c r="Y1597" i="6" s="1"/>
  <c r="AE1596" i="6"/>
  <c r="Y1596" i="6" s="1"/>
  <c r="AE1595" i="6"/>
  <c r="Y1595" i="6" s="1"/>
  <c r="AE1594" i="6"/>
  <c r="Y1594" i="6" s="1"/>
  <c r="AE1593" i="6"/>
  <c r="Y1593" i="6" s="1"/>
  <c r="AE1592" i="6"/>
  <c r="Y1592" i="6" s="1"/>
  <c r="AE1591" i="6"/>
  <c r="Y1591" i="6" s="1"/>
  <c r="AE1590" i="6"/>
  <c r="Y1590" i="6" s="1"/>
  <c r="AE1589" i="6"/>
  <c r="Y1589" i="6" s="1"/>
  <c r="AE1588" i="6"/>
  <c r="Y1588" i="6" s="1"/>
  <c r="AE1587" i="6"/>
  <c r="Y1587" i="6" s="1"/>
  <c r="AE1586" i="6"/>
  <c r="Y1586" i="6" s="1"/>
  <c r="AE1585" i="6"/>
  <c r="Y1585" i="6" s="1"/>
  <c r="AE1584" i="6"/>
  <c r="Y1584" i="6" s="1"/>
  <c r="AE1583" i="6"/>
  <c r="Y1583" i="6" s="1"/>
  <c r="AE1582" i="6"/>
  <c r="Y1582" i="6" s="1"/>
  <c r="AE1581" i="6"/>
  <c r="Y1581" i="6" s="1"/>
  <c r="AE1580" i="6"/>
  <c r="Y1580" i="6" s="1"/>
  <c r="AE1579" i="6"/>
  <c r="Y1579" i="6" s="1"/>
  <c r="AE1578" i="6"/>
  <c r="Y1578" i="6" s="1"/>
  <c r="AE1577" i="6"/>
  <c r="Y1577" i="6" s="1"/>
  <c r="AE1576" i="6"/>
  <c r="Y1576" i="6" s="1"/>
  <c r="AE1575" i="6"/>
  <c r="Y1575" i="6" s="1"/>
  <c r="AE1574" i="6"/>
  <c r="Y1574" i="6" s="1"/>
  <c r="AE1573" i="6"/>
  <c r="Y1573" i="6" s="1"/>
  <c r="AE1572" i="6"/>
  <c r="Y1572" i="6" s="1"/>
  <c r="AE1571" i="6"/>
  <c r="Y1571" i="6" s="1"/>
  <c r="AE1570" i="6"/>
  <c r="Y1570" i="6" s="1"/>
  <c r="AE1569" i="6"/>
  <c r="Y1569" i="6" s="1"/>
  <c r="AE1568" i="6"/>
  <c r="Y1568" i="6" s="1"/>
  <c r="AE1567" i="6"/>
  <c r="Y1567" i="6" s="1"/>
  <c r="AE1566" i="6"/>
  <c r="Y1566" i="6" s="1"/>
  <c r="AE1565" i="6"/>
  <c r="Y1565" i="6" s="1"/>
  <c r="AE1564" i="6"/>
  <c r="Y1564" i="6" s="1"/>
  <c r="AE1563" i="6"/>
  <c r="Y1563" i="6" s="1"/>
  <c r="AE1562" i="6"/>
  <c r="Y1562" i="6" s="1"/>
  <c r="AE1561" i="6"/>
  <c r="Y1561" i="6" s="1"/>
  <c r="AE1560" i="6"/>
  <c r="Y1560" i="6" s="1"/>
  <c r="AE1559" i="6"/>
  <c r="Y1559" i="6" s="1"/>
  <c r="AE1558" i="6"/>
  <c r="Y1558" i="6" s="1"/>
  <c r="AE1557" i="6"/>
  <c r="Y1557" i="6" s="1"/>
  <c r="AE1556" i="6"/>
  <c r="Y1556" i="6" s="1"/>
  <c r="AE1555" i="6"/>
  <c r="Y1555" i="6" s="1"/>
  <c r="AE1554" i="6"/>
  <c r="Y1554" i="6" s="1"/>
  <c r="AE1553" i="6"/>
  <c r="Y1553" i="6" s="1"/>
  <c r="AE1552" i="6"/>
  <c r="Y1552" i="6" s="1"/>
  <c r="AE1551" i="6"/>
  <c r="Y1551" i="6" s="1"/>
  <c r="AE1550" i="6"/>
  <c r="Y1550" i="6" s="1"/>
  <c r="AE1549" i="6"/>
  <c r="Y1549" i="6" s="1"/>
  <c r="AE1548" i="6"/>
  <c r="Y1548" i="6" s="1"/>
  <c r="AE1547" i="6"/>
  <c r="Y1547" i="6" s="1"/>
  <c r="AE1546" i="6"/>
  <c r="Y1546" i="6" s="1"/>
  <c r="AE1545" i="6"/>
  <c r="Y1545" i="6" s="1"/>
  <c r="AE1544" i="6"/>
  <c r="Y1544" i="6" s="1"/>
  <c r="AE1543" i="6"/>
  <c r="Y1543" i="6" s="1"/>
  <c r="AE1542" i="6"/>
  <c r="Y1542" i="6" s="1"/>
  <c r="AE1541" i="6"/>
  <c r="Y1541" i="6" s="1"/>
  <c r="AE1540" i="6"/>
  <c r="Y1540" i="6" s="1"/>
  <c r="AE1539" i="6"/>
  <c r="Y1539" i="6" s="1"/>
  <c r="AE1538" i="6"/>
  <c r="Y1538" i="6" s="1"/>
  <c r="AE1537" i="6"/>
  <c r="Y1537" i="6" s="1"/>
  <c r="AE1536" i="6"/>
  <c r="Y1536" i="6" s="1"/>
  <c r="AE1535" i="6"/>
  <c r="Y1535" i="6" s="1"/>
  <c r="AE1534" i="6"/>
  <c r="Y1534" i="6" s="1"/>
  <c r="AE1533" i="6"/>
  <c r="Y1533" i="6" s="1"/>
  <c r="AE1532" i="6"/>
  <c r="Y1532" i="6" s="1"/>
  <c r="AE1531" i="6"/>
  <c r="Y1531" i="6" s="1"/>
  <c r="AE1530" i="6"/>
  <c r="Y1530" i="6" s="1"/>
  <c r="AE1529" i="6"/>
  <c r="Y1529" i="6" s="1"/>
  <c r="AE1528" i="6"/>
  <c r="Y1528" i="6" s="1"/>
  <c r="AE1527" i="6"/>
  <c r="Y1527" i="6" s="1"/>
  <c r="AE1526" i="6"/>
  <c r="Y1526" i="6" s="1"/>
  <c r="AE1525" i="6"/>
  <c r="Y1525" i="6" s="1"/>
  <c r="AE1524" i="6"/>
  <c r="Y1524" i="6" s="1"/>
  <c r="AE1523" i="6"/>
  <c r="Y1523" i="6" s="1"/>
  <c r="AE1522" i="6"/>
  <c r="Y1522" i="6" s="1"/>
  <c r="AE1521" i="6"/>
  <c r="Y1521" i="6" s="1"/>
  <c r="AE1520" i="6"/>
  <c r="Y1520" i="6" s="1"/>
  <c r="AE1519" i="6"/>
  <c r="Y1519" i="6" s="1"/>
  <c r="AE1518" i="6"/>
  <c r="Y1518" i="6" s="1"/>
  <c r="AE1517" i="6"/>
  <c r="Y1517" i="6" s="1"/>
  <c r="AE1516" i="6"/>
  <c r="Y1516" i="6" s="1"/>
  <c r="AE1515" i="6"/>
  <c r="Y1515" i="6" s="1"/>
  <c r="AE1514" i="6"/>
  <c r="Y1514" i="6" s="1"/>
  <c r="AE1513" i="6"/>
  <c r="Y1513" i="6" s="1"/>
  <c r="AE1512" i="6"/>
  <c r="Y1512" i="6" s="1"/>
  <c r="AE1511" i="6"/>
  <c r="Y1511" i="6" s="1"/>
  <c r="AE1510" i="6"/>
  <c r="Y1510" i="6" s="1"/>
  <c r="AE1509" i="6"/>
  <c r="Y1509" i="6" s="1"/>
  <c r="AE1508" i="6"/>
  <c r="Y1508" i="6" s="1"/>
  <c r="AE1507" i="6"/>
  <c r="Y1507" i="6" s="1"/>
  <c r="AE1506" i="6"/>
  <c r="Y1506" i="6" s="1"/>
  <c r="AE1505" i="6"/>
  <c r="Y1505" i="6" s="1"/>
  <c r="AE1504" i="6"/>
  <c r="Y1504" i="6" s="1"/>
  <c r="AE1503" i="6"/>
  <c r="Y1503" i="6" s="1"/>
  <c r="AE1502" i="6"/>
  <c r="Y1502" i="6" s="1"/>
  <c r="AE1501" i="6"/>
  <c r="Y1501" i="6" s="1"/>
  <c r="AE1500" i="6"/>
  <c r="Y1500" i="6" s="1"/>
  <c r="AE1499" i="6"/>
  <c r="Y1499" i="6" s="1"/>
  <c r="AE1498" i="6"/>
  <c r="Y1498" i="6" s="1"/>
  <c r="AE1497" i="6"/>
  <c r="Y1497" i="6" s="1"/>
  <c r="AE1496" i="6"/>
  <c r="Y1496" i="6" s="1"/>
  <c r="AE1495" i="6"/>
  <c r="Y1495" i="6" s="1"/>
  <c r="AE1494" i="6"/>
  <c r="Y1494" i="6" s="1"/>
  <c r="AE1493" i="6"/>
  <c r="Y1493" i="6" s="1"/>
  <c r="AE1492" i="6"/>
  <c r="Y1492" i="6" s="1"/>
  <c r="AE1491" i="6"/>
  <c r="Y1491" i="6" s="1"/>
  <c r="AE1490" i="6"/>
  <c r="Y1490" i="6" s="1"/>
  <c r="AE1489" i="6"/>
  <c r="Y1489" i="6" s="1"/>
  <c r="AE1488" i="6"/>
  <c r="Y1488" i="6" s="1"/>
  <c r="AE1487" i="6"/>
  <c r="Y1487" i="6" s="1"/>
  <c r="AE1486" i="6"/>
  <c r="Y1486" i="6" s="1"/>
  <c r="AE1485" i="6"/>
  <c r="Y1485" i="6" s="1"/>
  <c r="AE1484" i="6"/>
  <c r="Y1484" i="6" s="1"/>
  <c r="AE1483" i="6"/>
  <c r="Y1483" i="6" s="1"/>
  <c r="AE1482" i="6"/>
  <c r="Y1482" i="6" s="1"/>
  <c r="AE1481" i="6"/>
  <c r="Y1481" i="6" s="1"/>
  <c r="AE1480" i="6"/>
  <c r="Y1480" i="6" s="1"/>
  <c r="AE1479" i="6"/>
  <c r="Y1479" i="6" s="1"/>
  <c r="AE1478" i="6"/>
  <c r="Y1478" i="6" s="1"/>
  <c r="AE1477" i="6"/>
  <c r="Y1477" i="6" s="1"/>
  <c r="AE1476" i="6"/>
  <c r="Y1476" i="6" s="1"/>
  <c r="AE1475" i="6"/>
  <c r="Y1475" i="6" s="1"/>
  <c r="AE1474" i="6"/>
  <c r="Y1474" i="6" s="1"/>
  <c r="AE1473" i="6"/>
  <c r="Y1473" i="6" s="1"/>
  <c r="AE1472" i="6"/>
  <c r="Y1472" i="6" s="1"/>
  <c r="AE1454" i="6"/>
  <c r="Y1454" i="6" s="1"/>
  <c r="AE1453" i="6"/>
  <c r="Y1453" i="6" s="1"/>
  <c r="AE1452" i="6"/>
  <c r="Y1452" i="6" s="1"/>
  <c r="AE1451" i="6"/>
  <c r="Y1451" i="6" s="1"/>
  <c r="AE1450" i="6"/>
  <c r="Y1450" i="6" s="1"/>
  <c r="AE1449" i="6"/>
  <c r="Y1449" i="6" s="1"/>
  <c r="AE1448" i="6"/>
  <c r="Y1448" i="6" s="1"/>
  <c r="AE1447" i="6"/>
  <c r="Y1447" i="6" s="1"/>
  <c r="AE1446" i="6"/>
  <c r="Y1446" i="6" s="1"/>
  <c r="AE1445" i="6"/>
  <c r="Y1445" i="6" s="1"/>
  <c r="AE1444" i="6"/>
  <c r="Y1444" i="6" s="1"/>
  <c r="AE1443" i="6"/>
  <c r="Y1443" i="6" s="1"/>
  <c r="AE1442" i="6"/>
  <c r="Y1442" i="6" s="1"/>
  <c r="AE1441" i="6"/>
  <c r="Y1441" i="6" s="1"/>
  <c r="AE1440" i="6"/>
  <c r="Y1440" i="6" s="1"/>
  <c r="AE1439" i="6"/>
  <c r="Y1439" i="6" s="1"/>
  <c r="AE1438" i="6"/>
  <c r="Y1438" i="6" s="1"/>
  <c r="AE1437" i="6"/>
  <c r="Y1437" i="6" s="1"/>
  <c r="AE1436" i="6"/>
  <c r="Y1436" i="6" s="1"/>
  <c r="AE1435" i="6"/>
  <c r="Y1435" i="6" s="1"/>
  <c r="AE1434" i="6"/>
  <c r="Y1434" i="6" s="1"/>
  <c r="AE1433" i="6"/>
  <c r="Y1433" i="6" s="1"/>
  <c r="AE1432" i="6"/>
  <c r="Y1432" i="6" s="1"/>
  <c r="AE1431" i="6"/>
  <c r="Y1431" i="6" s="1"/>
  <c r="AE1430" i="6"/>
  <c r="Y1430" i="6" s="1"/>
  <c r="AE1429" i="6"/>
  <c r="Y1429" i="6" s="1"/>
  <c r="AE1428" i="6"/>
  <c r="Y1428" i="6" s="1"/>
  <c r="AE1427" i="6"/>
  <c r="Y1427" i="6" s="1"/>
  <c r="AE1426" i="6"/>
  <c r="Y1426" i="6" s="1"/>
  <c r="AE1425" i="6"/>
  <c r="Y1425" i="6" s="1"/>
  <c r="AE1424" i="6"/>
  <c r="Y1424" i="6" s="1"/>
  <c r="AE1423" i="6"/>
  <c r="Y1423" i="6" s="1"/>
  <c r="AE1422" i="6"/>
  <c r="Y1422" i="6" s="1"/>
  <c r="AE1421" i="6"/>
  <c r="Y1421" i="6" s="1"/>
  <c r="AE1420" i="6"/>
  <c r="Y1420" i="6" s="1"/>
  <c r="AE1419" i="6"/>
  <c r="Y1419" i="6" s="1"/>
  <c r="AE1418" i="6"/>
  <c r="Y1418" i="6" s="1"/>
  <c r="AE1417" i="6"/>
  <c r="Y1417" i="6" s="1"/>
  <c r="AE1416" i="6"/>
  <c r="Y1416" i="6" s="1"/>
  <c r="AE1415" i="6"/>
  <c r="Y1415" i="6" s="1"/>
  <c r="AE1414" i="6"/>
  <c r="Y1414" i="6" s="1"/>
  <c r="AE1413" i="6"/>
  <c r="Y1413" i="6" s="1"/>
  <c r="AE1412" i="6"/>
  <c r="Y1412" i="6" s="1"/>
  <c r="AE1411" i="6"/>
  <c r="Y1411" i="6" s="1"/>
  <c r="AE1410" i="6"/>
  <c r="Y1410" i="6" s="1"/>
  <c r="AE1409" i="6"/>
  <c r="Y1409" i="6" s="1"/>
  <c r="AE1408" i="6"/>
  <c r="Y1408" i="6" s="1"/>
  <c r="AE1407" i="6"/>
  <c r="Y1407" i="6" s="1"/>
  <c r="AE1406" i="6"/>
  <c r="Y1406" i="6" s="1"/>
  <c r="AE1405" i="6"/>
  <c r="Y1405" i="6" s="1"/>
  <c r="AE1404" i="6"/>
  <c r="Y1404" i="6" s="1"/>
  <c r="AE1403" i="6"/>
  <c r="Y1403" i="6" s="1"/>
  <c r="AE1402" i="6"/>
  <c r="Y1402" i="6" s="1"/>
  <c r="AE1401" i="6"/>
  <c r="Y1401" i="6" s="1"/>
  <c r="AE1400" i="6"/>
  <c r="Y1400" i="6" s="1"/>
  <c r="AE1399" i="6"/>
  <c r="Y1399" i="6" s="1"/>
  <c r="AE1398" i="6"/>
  <c r="Y1398" i="6" s="1"/>
  <c r="AE1397" i="6"/>
  <c r="Y1397" i="6" s="1"/>
  <c r="AE1396" i="6"/>
  <c r="Y1396" i="6" s="1"/>
  <c r="AE1395" i="6"/>
  <c r="Y1395" i="6" s="1"/>
  <c r="AE1394" i="6"/>
  <c r="Y1394" i="6" s="1"/>
  <c r="AE1393" i="6"/>
  <c r="Y1393" i="6" s="1"/>
  <c r="AE1392" i="6"/>
  <c r="Y1392" i="6" s="1"/>
  <c r="AE1391" i="6"/>
  <c r="Y1391" i="6" s="1"/>
  <c r="AE1390" i="6"/>
  <c r="Y1390" i="6" s="1"/>
  <c r="AE1389" i="6"/>
  <c r="Y1389" i="6" s="1"/>
  <c r="AE1388" i="6"/>
  <c r="Y138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L275" i="6"/>
  <c r="L281" i="6"/>
  <c r="L280" i="6"/>
  <c r="L279" i="6"/>
  <c r="L278" i="6"/>
  <c r="L277" i="6"/>
  <c r="L276" i="6"/>
  <c r="AD432" i="6"/>
  <c r="S432" i="6"/>
  <c r="R432" i="6"/>
  <c r="T432" i="6"/>
  <c r="Z432" i="6"/>
  <c r="AA432" i="6"/>
  <c r="AB432" i="6"/>
  <c r="L432" i="6"/>
  <c r="H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1973" i="6"/>
  <c r="R1972" i="6"/>
  <c r="R1971" i="6"/>
  <c r="R1970" i="6"/>
  <c r="R1969" i="6"/>
  <c r="R1968" i="6"/>
  <c r="R1967" i="6"/>
  <c r="R1966" i="6"/>
  <c r="R1965" i="6"/>
  <c r="R1964" i="6"/>
  <c r="R1963" i="6"/>
  <c r="R1962" i="6"/>
  <c r="R1961" i="6"/>
  <c r="R1960" i="6"/>
  <c r="R1959" i="6"/>
  <c r="R1958" i="6"/>
  <c r="R1957" i="6"/>
  <c r="R1956" i="6"/>
  <c r="R1955" i="6"/>
  <c r="R1954" i="6"/>
  <c r="R1953" i="6"/>
  <c r="R1952" i="6"/>
  <c r="R1951" i="6"/>
  <c r="R1950" i="6"/>
  <c r="R1949" i="6"/>
  <c r="R1948" i="6"/>
  <c r="R1947" i="6"/>
  <c r="R1946" i="6"/>
  <c r="R1945" i="6"/>
  <c r="R1944" i="6"/>
  <c r="R1943" i="6"/>
  <c r="R1942" i="6"/>
  <c r="R1941" i="6"/>
  <c r="R1940" i="6"/>
  <c r="R1939" i="6"/>
  <c r="R1938" i="6"/>
  <c r="R1937" i="6"/>
  <c r="R1936" i="6"/>
  <c r="R1935" i="6"/>
  <c r="R1934" i="6"/>
  <c r="R1933" i="6"/>
  <c r="R1932" i="6"/>
  <c r="R1931" i="6"/>
  <c r="R1930" i="6"/>
  <c r="R1929" i="6"/>
  <c r="R1928" i="6"/>
  <c r="R1927" i="6"/>
  <c r="R1926" i="6"/>
  <c r="R1925" i="6"/>
  <c r="R1924" i="6"/>
  <c r="R1923" i="6"/>
  <c r="R1922" i="6"/>
  <c r="R1921" i="6"/>
  <c r="R1920" i="6"/>
  <c r="R1919" i="6"/>
  <c r="R1918" i="6"/>
  <c r="R1917" i="6"/>
  <c r="R1916" i="6"/>
  <c r="R1915" i="6"/>
  <c r="R1914" i="6"/>
  <c r="R1913" i="6"/>
  <c r="R1912" i="6"/>
  <c r="R1911" i="6"/>
  <c r="R1910" i="6"/>
  <c r="R1909" i="6"/>
  <c r="R1908" i="6"/>
  <c r="R1907" i="6"/>
  <c r="R1906" i="6"/>
  <c r="R1905" i="6"/>
  <c r="R1904" i="6"/>
  <c r="R1903" i="6"/>
  <c r="R1902" i="6"/>
  <c r="R1901" i="6"/>
  <c r="R1900" i="6"/>
  <c r="R1899" i="6"/>
  <c r="R1898" i="6"/>
  <c r="R1897" i="6"/>
  <c r="R1896" i="6"/>
  <c r="R1895" i="6"/>
  <c r="R1894" i="6"/>
  <c r="R1893" i="6"/>
  <c r="R1892" i="6"/>
  <c r="R1891" i="6"/>
  <c r="R1890" i="6"/>
  <c r="R1889" i="6"/>
  <c r="R1888" i="6"/>
  <c r="R1887" i="6"/>
  <c r="R1886" i="6"/>
  <c r="R1885" i="6"/>
  <c r="R1884" i="6"/>
  <c r="R1883" i="6"/>
  <c r="R1882" i="6"/>
  <c r="R1881" i="6"/>
  <c r="R1880" i="6"/>
  <c r="R1879" i="6"/>
  <c r="R1878" i="6"/>
  <c r="R1877" i="6"/>
  <c r="R1876" i="6"/>
  <c r="R1875" i="6"/>
  <c r="R1874" i="6"/>
  <c r="R1873" i="6"/>
  <c r="R1872" i="6"/>
  <c r="R1871" i="6"/>
  <c r="R1870" i="6"/>
  <c r="R1869" i="6"/>
  <c r="R1868" i="6"/>
  <c r="R1867" i="6"/>
  <c r="R1866" i="6"/>
  <c r="R1865" i="6"/>
  <c r="R1864" i="6"/>
  <c r="R1863" i="6"/>
  <c r="R1862" i="6"/>
  <c r="R1861" i="6"/>
  <c r="R1860" i="6"/>
  <c r="R1859" i="6"/>
  <c r="R1858" i="6"/>
  <c r="R1857" i="6"/>
  <c r="R1856" i="6"/>
  <c r="R1855" i="6"/>
  <c r="R1854" i="6"/>
  <c r="R1853" i="6"/>
  <c r="R1852" i="6"/>
  <c r="R1851" i="6"/>
  <c r="R1850" i="6"/>
  <c r="R1849" i="6"/>
  <c r="R1848" i="6"/>
  <c r="R1847" i="6"/>
  <c r="R1846" i="6"/>
  <c r="R1845" i="6"/>
  <c r="R1844" i="6"/>
  <c r="R1843" i="6"/>
  <c r="R1842" i="6"/>
  <c r="R1841" i="6"/>
  <c r="R1840" i="6"/>
  <c r="R1839" i="6"/>
  <c r="R1838" i="6"/>
  <c r="R1837" i="6"/>
  <c r="R1836" i="6"/>
  <c r="R1835" i="6"/>
  <c r="R1834" i="6"/>
  <c r="R1833" i="6"/>
  <c r="R1832" i="6"/>
  <c r="R1831" i="6"/>
  <c r="R1830" i="6"/>
  <c r="R1829" i="6"/>
  <c r="R1828" i="6"/>
  <c r="R1827" i="6"/>
  <c r="R1826" i="6"/>
  <c r="R1825" i="6"/>
  <c r="R1824" i="6"/>
  <c r="R1823" i="6"/>
  <c r="R1822" i="6"/>
  <c r="R1821" i="6"/>
  <c r="R1820" i="6"/>
  <c r="R1819" i="6"/>
  <c r="R1818" i="6"/>
  <c r="R1817" i="6"/>
  <c r="R1816" i="6"/>
  <c r="R1815" i="6"/>
  <c r="R1814" i="6"/>
  <c r="R1813" i="6"/>
  <c r="R1812" i="6"/>
  <c r="R1811" i="6"/>
  <c r="R1810" i="6"/>
  <c r="R1809" i="6"/>
  <c r="R1808" i="6"/>
  <c r="R1807" i="6"/>
  <c r="R1806" i="6"/>
  <c r="R1805" i="6"/>
  <c r="R1804" i="6"/>
  <c r="R1803" i="6"/>
  <c r="R1802" i="6"/>
  <c r="R1801" i="6"/>
  <c r="R1800" i="6"/>
  <c r="R1799" i="6"/>
  <c r="R1798" i="6"/>
  <c r="R1797" i="6"/>
  <c r="R1796" i="6"/>
  <c r="R1795" i="6"/>
  <c r="R1794" i="6"/>
  <c r="R1793" i="6"/>
  <c r="R1792" i="6"/>
  <c r="R1791" i="6"/>
  <c r="R1790" i="6"/>
  <c r="R1789" i="6"/>
  <c r="R1788" i="6"/>
  <c r="R1787" i="6"/>
  <c r="R1786" i="6"/>
  <c r="R1785" i="6"/>
  <c r="R1784" i="6"/>
  <c r="R1783" i="6"/>
  <c r="R1782" i="6"/>
  <c r="R1781" i="6"/>
  <c r="R1780" i="6"/>
  <c r="R1779" i="6"/>
  <c r="R1778" i="6"/>
  <c r="R1777" i="6"/>
  <c r="R1776" i="6"/>
  <c r="R1775" i="6"/>
  <c r="R1774" i="6"/>
  <c r="R1773" i="6"/>
  <c r="R1772" i="6"/>
  <c r="R1771" i="6"/>
  <c r="R1770" i="6"/>
  <c r="R1769" i="6"/>
  <c r="R1768" i="6"/>
  <c r="R1767" i="6"/>
  <c r="R1766" i="6"/>
  <c r="R1765" i="6"/>
  <c r="R1764" i="6"/>
  <c r="R1763" i="6"/>
  <c r="R1762" i="6"/>
  <c r="R1761" i="6"/>
  <c r="R1760" i="6"/>
  <c r="R1759" i="6"/>
  <c r="R1758" i="6"/>
  <c r="R1757" i="6"/>
  <c r="R1756" i="6"/>
  <c r="R1755" i="6"/>
  <c r="R1754" i="6"/>
  <c r="R1753" i="6"/>
  <c r="R1752" i="6"/>
  <c r="R1751" i="6"/>
  <c r="R1750" i="6"/>
  <c r="R1749" i="6"/>
  <c r="R1748" i="6"/>
  <c r="R1747" i="6"/>
  <c r="R1746" i="6"/>
  <c r="R1745" i="6"/>
  <c r="R1744" i="6"/>
  <c r="R1743" i="6"/>
  <c r="R1742" i="6"/>
  <c r="R1741" i="6"/>
  <c r="R1740" i="6"/>
  <c r="R1739" i="6"/>
  <c r="R1738" i="6"/>
  <c r="R1737" i="6"/>
  <c r="R1736" i="6"/>
  <c r="R1735" i="6"/>
  <c r="R1734" i="6"/>
  <c r="R1733" i="6"/>
  <c r="R1732" i="6"/>
  <c r="R1731" i="6"/>
  <c r="R1730" i="6"/>
  <c r="R1729" i="6"/>
  <c r="R1728" i="6"/>
  <c r="R1727" i="6"/>
  <c r="R1726" i="6"/>
  <c r="R1725" i="6"/>
  <c r="R1724" i="6"/>
  <c r="R1723" i="6"/>
  <c r="R1722" i="6"/>
  <c r="R1721" i="6"/>
  <c r="R1720" i="6"/>
  <c r="R1719" i="6"/>
  <c r="R1718" i="6"/>
  <c r="R1717" i="6"/>
  <c r="R1716" i="6"/>
  <c r="R1715" i="6"/>
  <c r="R1714" i="6"/>
  <c r="R1713" i="6"/>
  <c r="R1712" i="6"/>
  <c r="R1711" i="6"/>
  <c r="R1710" i="6"/>
  <c r="R1709" i="6"/>
  <c r="R1708" i="6"/>
  <c r="R1707" i="6"/>
  <c r="R1706" i="6"/>
  <c r="R1705" i="6"/>
  <c r="R1704" i="6"/>
  <c r="R1703" i="6"/>
  <c r="R1702" i="6"/>
  <c r="R1701" i="6"/>
  <c r="R1700" i="6"/>
  <c r="R1699" i="6"/>
  <c r="R1698" i="6"/>
  <c r="R1697" i="6"/>
  <c r="R1696" i="6"/>
  <c r="R1695" i="6"/>
  <c r="R1694" i="6"/>
  <c r="R1693" i="6"/>
  <c r="R1692" i="6"/>
  <c r="R1691" i="6"/>
  <c r="R1690" i="6"/>
  <c r="R1689" i="6"/>
  <c r="R1688" i="6"/>
  <c r="R1687" i="6"/>
  <c r="R1686" i="6"/>
  <c r="R1685" i="6"/>
  <c r="R1684" i="6"/>
  <c r="R1683" i="6"/>
  <c r="R1682" i="6"/>
  <c r="R1681" i="6"/>
  <c r="R1680" i="6"/>
  <c r="R1679" i="6"/>
  <c r="R1678" i="6"/>
  <c r="R1677" i="6"/>
  <c r="R1676" i="6"/>
  <c r="R1675" i="6"/>
  <c r="R1674" i="6"/>
  <c r="R1673" i="6"/>
  <c r="R1672" i="6"/>
  <c r="R1671" i="6"/>
  <c r="R1670" i="6"/>
  <c r="R1669" i="6"/>
  <c r="R1668" i="6"/>
  <c r="R1667" i="6"/>
  <c r="R1666" i="6"/>
  <c r="R1665" i="6"/>
  <c r="R1664" i="6"/>
  <c r="R1663" i="6"/>
  <c r="R1662" i="6"/>
  <c r="R1661" i="6"/>
  <c r="R1660" i="6"/>
  <c r="R1659" i="6"/>
  <c r="R1658" i="6"/>
  <c r="R1657" i="6"/>
  <c r="R1656" i="6"/>
  <c r="R1655" i="6"/>
  <c r="R1654" i="6"/>
  <c r="R1653" i="6"/>
  <c r="R1652" i="6"/>
  <c r="R1651" i="6"/>
  <c r="R1650" i="6"/>
  <c r="R1649" i="6"/>
  <c r="R1648" i="6"/>
  <c r="R1647" i="6"/>
  <c r="R1646" i="6"/>
  <c r="R1645" i="6"/>
  <c r="R1644" i="6"/>
  <c r="R1643" i="6"/>
  <c r="R1642" i="6"/>
  <c r="R1641" i="6"/>
  <c r="R1640" i="6"/>
  <c r="R1639" i="6"/>
  <c r="R1638" i="6"/>
  <c r="R1637" i="6"/>
  <c r="R1636" i="6"/>
  <c r="R1635" i="6"/>
  <c r="R1634" i="6"/>
  <c r="R1633" i="6"/>
  <c r="R1632" i="6"/>
  <c r="R1631" i="6"/>
  <c r="R1630" i="6"/>
  <c r="R1629" i="6"/>
  <c r="R1628" i="6"/>
  <c r="R1627" i="6"/>
  <c r="R1626" i="6"/>
  <c r="R1625" i="6"/>
  <c r="R1624" i="6"/>
  <c r="R1623" i="6"/>
  <c r="R1622" i="6"/>
  <c r="R1621" i="6"/>
  <c r="R1620" i="6"/>
  <c r="R1619" i="6"/>
  <c r="R1618" i="6"/>
  <c r="R1617" i="6"/>
  <c r="R1616" i="6"/>
  <c r="R1615" i="6"/>
  <c r="R1614" i="6"/>
  <c r="R1613" i="6"/>
  <c r="R1612" i="6"/>
  <c r="R1611" i="6"/>
  <c r="R1610" i="6"/>
  <c r="R1609" i="6"/>
  <c r="R1608" i="6"/>
  <c r="R1607" i="6"/>
  <c r="R1606" i="6"/>
  <c r="R1605" i="6"/>
  <c r="R1604" i="6"/>
  <c r="R1603" i="6"/>
  <c r="R1602" i="6"/>
  <c r="R1601" i="6"/>
  <c r="R1600" i="6"/>
  <c r="R1599" i="6"/>
  <c r="R1598" i="6"/>
  <c r="R1597" i="6"/>
  <c r="R1596" i="6"/>
  <c r="R1595" i="6"/>
  <c r="R1594" i="6"/>
  <c r="R1593" i="6"/>
  <c r="R1592" i="6"/>
  <c r="R1591" i="6"/>
  <c r="R1590" i="6"/>
  <c r="R1589" i="6"/>
  <c r="R1588" i="6"/>
  <c r="R1587" i="6"/>
  <c r="R1586" i="6"/>
  <c r="R1585" i="6"/>
  <c r="R1584" i="6"/>
  <c r="R1583" i="6"/>
  <c r="R1582" i="6"/>
  <c r="R1581" i="6"/>
  <c r="R1580" i="6"/>
  <c r="R1579" i="6"/>
  <c r="R1578" i="6"/>
  <c r="R1577" i="6"/>
  <c r="R1576" i="6"/>
  <c r="R1575" i="6"/>
  <c r="R1574" i="6"/>
  <c r="R1573" i="6"/>
  <c r="R1572" i="6"/>
  <c r="R1571" i="6"/>
  <c r="R1570" i="6"/>
  <c r="R1569" i="6"/>
  <c r="R1568" i="6"/>
  <c r="R1567" i="6"/>
  <c r="R1566" i="6"/>
  <c r="R1565" i="6"/>
  <c r="R1564" i="6"/>
  <c r="R1563" i="6"/>
  <c r="R1562" i="6"/>
  <c r="R1561" i="6"/>
  <c r="R1560" i="6"/>
  <c r="R1559" i="6"/>
  <c r="R1558" i="6"/>
  <c r="R1557" i="6"/>
  <c r="R1556" i="6"/>
  <c r="R1555" i="6"/>
  <c r="R1554" i="6"/>
  <c r="R1553" i="6"/>
  <c r="R1552" i="6"/>
  <c r="R1551" i="6"/>
  <c r="R1550" i="6"/>
  <c r="R1549" i="6"/>
  <c r="R1548" i="6"/>
  <c r="R1547" i="6"/>
  <c r="R1546" i="6"/>
  <c r="R1545" i="6"/>
  <c r="R1544" i="6"/>
  <c r="R1543" i="6"/>
  <c r="R1542" i="6"/>
  <c r="R1541" i="6"/>
  <c r="R1540" i="6"/>
  <c r="R1539" i="6"/>
  <c r="R1538" i="6"/>
  <c r="R1537" i="6"/>
  <c r="R1536" i="6"/>
  <c r="R1535" i="6"/>
  <c r="R1534" i="6"/>
  <c r="R1533" i="6"/>
  <c r="R1532" i="6"/>
  <c r="R1531" i="6"/>
  <c r="R1530" i="6"/>
  <c r="R1529" i="6"/>
  <c r="R1528" i="6"/>
  <c r="R1527" i="6"/>
  <c r="R1526" i="6"/>
  <c r="R1525" i="6"/>
  <c r="R1524" i="6"/>
  <c r="R1523" i="6"/>
  <c r="R1522" i="6"/>
  <c r="R1521" i="6"/>
  <c r="R1520" i="6"/>
  <c r="R1519" i="6"/>
  <c r="R1518" i="6"/>
  <c r="R1517" i="6"/>
  <c r="R1516" i="6"/>
  <c r="R1515" i="6"/>
  <c r="R1514" i="6"/>
  <c r="R1513" i="6"/>
  <c r="R1512" i="6"/>
  <c r="R1511" i="6"/>
  <c r="R1510" i="6"/>
  <c r="R1509" i="6"/>
  <c r="R1508" i="6"/>
  <c r="R1507" i="6"/>
  <c r="R1506" i="6"/>
  <c r="R1505" i="6"/>
  <c r="R1504" i="6"/>
  <c r="R1503" i="6"/>
  <c r="R1502" i="6"/>
  <c r="R1501" i="6"/>
  <c r="R1500" i="6"/>
  <c r="R1499" i="6"/>
  <c r="R1498" i="6"/>
  <c r="R1497" i="6"/>
  <c r="R1496" i="6"/>
  <c r="R1495" i="6"/>
  <c r="R1494" i="6"/>
  <c r="R1493" i="6"/>
  <c r="R1492" i="6"/>
  <c r="R1491" i="6"/>
  <c r="R1490" i="6"/>
  <c r="R1489" i="6"/>
  <c r="R1488" i="6"/>
  <c r="R1487" i="6"/>
  <c r="R1486" i="6"/>
  <c r="R1485" i="6"/>
  <c r="R1484" i="6"/>
  <c r="R1483" i="6"/>
  <c r="R1482" i="6"/>
  <c r="R1481" i="6"/>
  <c r="R1480" i="6"/>
  <c r="R1479" i="6"/>
  <c r="R1478" i="6"/>
  <c r="R1477" i="6"/>
  <c r="R1476" i="6"/>
  <c r="R1475" i="6"/>
  <c r="R1474" i="6"/>
  <c r="R1473" i="6"/>
  <c r="R1472" i="6"/>
  <c r="R1454" i="6"/>
  <c r="R1453" i="6"/>
  <c r="R1452" i="6"/>
  <c r="R1451" i="6"/>
  <c r="R1450" i="6"/>
  <c r="R1449" i="6"/>
  <c r="R1448" i="6"/>
  <c r="R1447" i="6"/>
  <c r="R1446" i="6"/>
  <c r="R1445" i="6"/>
  <c r="R1444" i="6"/>
  <c r="R1443" i="6"/>
  <c r="R1442" i="6"/>
  <c r="R1441" i="6"/>
  <c r="R1440" i="6"/>
  <c r="R1439" i="6"/>
  <c r="R1438" i="6"/>
  <c r="R1437" i="6"/>
  <c r="R1436" i="6"/>
  <c r="R1435" i="6"/>
  <c r="R1434" i="6"/>
  <c r="R1433" i="6"/>
  <c r="R1432" i="6"/>
  <c r="R1431" i="6"/>
  <c r="R1430" i="6"/>
  <c r="R1429" i="6"/>
  <c r="R1428" i="6"/>
  <c r="R1427" i="6"/>
  <c r="R1426" i="6"/>
  <c r="R1425" i="6"/>
  <c r="R1424" i="6"/>
  <c r="R1423" i="6"/>
  <c r="R1422" i="6"/>
  <c r="R1421" i="6"/>
  <c r="R1420" i="6"/>
  <c r="R1419" i="6"/>
  <c r="R1418" i="6"/>
  <c r="R1417" i="6"/>
  <c r="R1416" i="6"/>
  <c r="R1415" i="6"/>
  <c r="R1414" i="6"/>
  <c r="R1413" i="6"/>
  <c r="R1412" i="6"/>
  <c r="R1411" i="6"/>
  <c r="R1410" i="6"/>
  <c r="R1409" i="6"/>
  <c r="R1408" i="6"/>
  <c r="R1407" i="6"/>
  <c r="R1406" i="6"/>
  <c r="R1405" i="6"/>
  <c r="R1404" i="6"/>
  <c r="R1403" i="6"/>
  <c r="R1402" i="6"/>
  <c r="R1401" i="6"/>
  <c r="R1400" i="6"/>
  <c r="R1399" i="6"/>
  <c r="R1398" i="6"/>
  <c r="R1397" i="6"/>
  <c r="R1396" i="6"/>
  <c r="R1395" i="6"/>
  <c r="R1394" i="6"/>
  <c r="R1393" i="6"/>
  <c r="R1392" i="6"/>
  <c r="R1391" i="6"/>
  <c r="R1390" i="6"/>
  <c r="R1389" i="6"/>
  <c r="R138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1973" i="6"/>
  <c r="S1972" i="6"/>
  <c r="S1971" i="6"/>
  <c r="S1970" i="6"/>
  <c r="S1969" i="6"/>
  <c r="S1968" i="6"/>
  <c r="S1967" i="6"/>
  <c r="S1966" i="6"/>
  <c r="S1965" i="6"/>
  <c r="S1964" i="6"/>
  <c r="S1963" i="6"/>
  <c r="S1962" i="6"/>
  <c r="S1961" i="6"/>
  <c r="S1960" i="6"/>
  <c r="S1959" i="6"/>
  <c r="S1958" i="6"/>
  <c r="S1957" i="6"/>
  <c r="S1956" i="6"/>
  <c r="S1955" i="6"/>
  <c r="S1954" i="6"/>
  <c r="S1953" i="6"/>
  <c r="S1952" i="6"/>
  <c r="S1951" i="6"/>
  <c r="S1950" i="6"/>
  <c r="S1949" i="6"/>
  <c r="S1948" i="6"/>
  <c r="S1947" i="6"/>
  <c r="S1946" i="6"/>
  <c r="S1945" i="6"/>
  <c r="S1944" i="6"/>
  <c r="S1943" i="6"/>
  <c r="S1942" i="6"/>
  <c r="S1941" i="6"/>
  <c r="S1940" i="6"/>
  <c r="S1939" i="6"/>
  <c r="S1938" i="6"/>
  <c r="S1937" i="6"/>
  <c r="S1936" i="6"/>
  <c r="S1935" i="6"/>
  <c r="S1934" i="6"/>
  <c r="S1933" i="6"/>
  <c r="S1932" i="6"/>
  <c r="S1931" i="6"/>
  <c r="S1930" i="6"/>
  <c r="S1929" i="6"/>
  <c r="S1928" i="6"/>
  <c r="S1927" i="6"/>
  <c r="S1926" i="6"/>
  <c r="S1925" i="6"/>
  <c r="S1924" i="6"/>
  <c r="S1923" i="6"/>
  <c r="S1922" i="6"/>
  <c r="S1921" i="6"/>
  <c r="S1920" i="6"/>
  <c r="S1919" i="6"/>
  <c r="S1918" i="6"/>
  <c r="S1917" i="6"/>
  <c r="S1916" i="6"/>
  <c r="S1915" i="6"/>
  <c r="S1914" i="6"/>
  <c r="S1913" i="6"/>
  <c r="S1912" i="6"/>
  <c r="S1911" i="6"/>
  <c r="S1910" i="6"/>
  <c r="S1909" i="6"/>
  <c r="S1908" i="6"/>
  <c r="S1907" i="6"/>
  <c r="S1906" i="6"/>
  <c r="S1905" i="6"/>
  <c r="S1904" i="6"/>
  <c r="S1903" i="6"/>
  <c r="S1902" i="6"/>
  <c r="S1901" i="6"/>
  <c r="S1900" i="6"/>
  <c r="S1899" i="6"/>
  <c r="S1898" i="6"/>
  <c r="S1897" i="6"/>
  <c r="S1896" i="6"/>
  <c r="S1895" i="6"/>
  <c r="S1894" i="6"/>
  <c r="S1893" i="6"/>
  <c r="S1892" i="6"/>
  <c r="S1891" i="6"/>
  <c r="S1890" i="6"/>
  <c r="S1889" i="6"/>
  <c r="S1888" i="6"/>
  <c r="S1887" i="6"/>
  <c r="S1886" i="6"/>
  <c r="S1885" i="6"/>
  <c r="S1884" i="6"/>
  <c r="S1883" i="6"/>
  <c r="S1882" i="6"/>
  <c r="S1881" i="6"/>
  <c r="S1880" i="6"/>
  <c r="S1879" i="6"/>
  <c r="S1878" i="6"/>
  <c r="S1877" i="6"/>
  <c r="S1876" i="6"/>
  <c r="S1875" i="6"/>
  <c r="S1874" i="6"/>
  <c r="S1873" i="6"/>
  <c r="S1872" i="6"/>
  <c r="S1871" i="6"/>
  <c r="S1870" i="6"/>
  <c r="S1869" i="6"/>
  <c r="S1868" i="6"/>
  <c r="S1867" i="6"/>
  <c r="S1866" i="6"/>
  <c r="S1865" i="6"/>
  <c r="S1864" i="6"/>
  <c r="S1863" i="6"/>
  <c r="S1862" i="6"/>
  <c r="S1861" i="6"/>
  <c r="S1860" i="6"/>
  <c r="S1859" i="6"/>
  <c r="S1858" i="6"/>
  <c r="S1857" i="6"/>
  <c r="S1856" i="6"/>
  <c r="S1855" i="6"/>
  <c r="S1854" i="6"/>
  <c r="S1853" i="6"/>
  <c r="S1852" i="6"/>
  <c r="S1851" i="6"/>
  <c r="S1850" i="6"/>
  <c r="S1849" i="6"/>
  <c r="S1848" i="6"/>
  <c r="S1847" i="6"/>
  <c r="S1846" i="6"/>
  <c r="S1845" i="6"/>
  <c r="S1844" i="6"/>
  <c r="S1843" i="6"/>
  <c r="S1842" i="6"/>
  <c r="S1841" i="6"/>
  <c r="S1840" i="6"/>
  <c r="S1839" i="6"/>
  <c r="S1838" i="6"/>
  <c r="S1837" i="6"/>
  <c r="S1836" i="6"/>
  <c r="S1835" i="6"/>
  <c r="S1834" i="6"/>
  <c r="S1833" i="6"/>
  <c r="S1832" i="6"/>
  <c r="S1831" i="6"/>
  <c r="S1830" i="6"/>
  <c r="S1829" i="6"/>
  <c r="S1828" i="6"/>
  <c r="S1827" i="6"/>
  <c r="S1826" i="6"/>
  <c r="S1825" i="6"/>
  <c r="S1824" i="6"/>
  <c r="S1823" i="6"/>
  <c r="S1822" i="6"/>
  <c r="S1821" i="6"/>
  <c r="S1820" i="6"/>
  <c r="S1819" i="6"/>
  <c r="S1818" i="6"/>
  <c r="S1817" i="6"/>
  <c r="S1816" i="6"/>
  <c r="S1815" i="6"/>
  <c r="S1814" i="6"/>
  <c r="S1813" i="6"/>
  <c r="S1812" i="6"/>
  <c r="S1811" i="6"/>
  <c r="S1810" i="6"/>
  <c r="S1809" i="6"/>
  <c r="S1808" i="6"/>
  <c r="S1807" i="6"/>
  <c r="S1806" i="6"/>
  <c r="S1805" i="6"/>
  <c r="S1804" i="6"/>
  <c r="S1803" i="6"/>
  <c r="S1802" i="6"/>
  <c r="S1801" i="6"/>
  <c r="S1800" i="6"/>
  <c r="S1799" i="6"/>
  <c r="S1798" i="6"/>
  <c r="S1797" i="6"/>
  <c r="S1796" i="6"/>
  <c r="S1795" i="6"/>
  <c r="S1794" i="6"/>
  <c r="S1793" i="6"/>
  <c r="S1792" i="6"/>
  <c r="S1791" i="6"/>
  <c r="S1790" i="6"/>
  <c r="S1789" i="6"/>
  <c r="S1788" i="6"/>
  <c r="S1787" i="6"/>
  <c r="S1786" i="6"/>
  <c r="S1785" i="6"/>
  <c r="S1784" i="6"/>
  <c r="S1783" i="6"/>
  <c r="S1782" i="6"/>
  <c r="S1781" i="6"/>
  <c r="S1780" i="6"/>
  <c r="S1779" i="6"/>
  <c r="S1778" i="6"/>
  <c r="S1777" i="6"/>
  <c r="S1776" i="6"/>
  <c r="S1775" i="6"/>
  <c r="S1774" i="6"/>
  <c r="S1773" i="6"/>
  <c r="S1772" i="6"/>
  <c r="S1771" i="6"/>
  <c r="S1770" i="6"/>
  <c r="S1769" i="6"/>
  <c r="S1768" i="6"/>
  <c r="S1767" i="6"/>
  <c r="S1766" i="6"/>
  <c r="S1765" i="6"/>
  <c r="S1764" i="6"/>
  <c r="S1763" i="6"/>
  <c r="S1762" i="6"/>
  <c r="S1761" i="6"/>
  <c r="S1760" i="6"/>
  <c r="S1759" i="6"/>
  <c r="S1758" i="6"/>
  <c r="S1757" i="6"/>
  <c r="S1756" i="6"/>
  <c r="S1755" i="6"/>
  <c r="S1754" i="6"/>
  <c r="S1753" i="6"/>
  <c r="S1752" i="6"/>
  <c r="S1751" i="6"/>
  <c r="S1750" i="6"/>
  <c r="S1749" i="6"/>
  <c r="S1748" i="6"/>
  <c r="S1747" i="6"/>
  <c r="S1746" i="6"/>
  <c r="S1745" i="6"/>
  <c r="S1744" i="6"/>
  <c r="S1743" i="6"/>
  <c r="S1742" i="6"/>
  <c r="S1741" i="6"/>
  <c r="S1740" i="6"/>
  <c r="S1739" i="6"/>
  <c r="S1738" i="6"/>
  <c r="S1737" i="6"/>
  <c r="S1736" i="6"/>
  <c r="S1735" i="6"/>
  <c r="S1734" i="6"/>
  <c r="S1733" i="6"/>
  <c r="S1732" i="6"/>
  <c r="S1731" i="6"/>
  <c r="S1730" i="6"/>
  <c r="S1729" i="6"/>
  <c r="S1728" i="6"/>
  <c r="S1727" i="6"/>
  <c r="S1726" i="6"/>
  <c r="S1725" i="6"/>
  <c r="S1724" i="6"/>
  <c r="S1723" i="6"/>
  <c r="S1722" i="6"/>
  <c r="S1721" i="6"/>
  <c r="S1720" i="6"/>
  <c r="S1719" i="6"/>
  <c r="S1718" i="6"/>
  <c r="S1717" i="6"/>
  <c r="S1716" i="6"/>
  <c r="S1715" i="6"/>
  <c r="S1714" i="6"/>
  <c r="S1713" i="6"/>
  <c r="S1712" i="6"/>
  <c r="S1711" i="6"/>
  <c r="S1710" i="6"/>
  <c r="S1709" i="6"/>
  <c r="S1708" i="6"/>
  <c r="S1707" i="6"/>
  <c r="S1706" i="6"/>
  <c r="S1705" i="6"/>
  <c r="S1704" i="6"/>
  <c r="S1703" i="6"/>
  <c r="S1702" i="6"/>
  <c r="S1701" i="6"/>
  <c r="S1700" i="6"/>
  <c r="S1699" i="6"/>
  <c r="S1698" i="6"/>
  <c r="S1697" i="6"/>
  <c r="S1696" i="6"/>
  <c r="S1695" i="6"/>
  <c r="S1694" i="6"/>
  <c r="S1693" i="6"/>
  <c r="S1692" i="6"/>
  <c r="S1691" i="6"/>
  <c r="S1690" i="6"/>
  <c r="S1689" i="6"/>
  <c r="S1688" i="6"/>
  <c r="S1687" i="6"/>
  <c r="S1686" i="6"/>
  <c r="S1685" i="6"/>
  <c r="S1684" i="6"/>
  <c r="S1683" i="6"/>
  <c r="S1682" i="6"/>
  <c r="S1681" i="6"/>
  <c r="S1680" i="6"/>
  <c r="S1679" i="6"/>
  <c r="S1678" i="6"/>
  <c r="S1677" i="6"/>
  <c r="S1676" i="6"/>
  <c r="S1675" i="6"/>
  <c r="S1674" i="6"/>
  <c r="S1673" i="6"/>
  <c r="S1672" i="6"/>
  <c r="S1671" i="6"/>
  <c r="S1670" i="6"/>
  <c r="S1669" i="6"/>
  <c r="S1668" i="6"/>
  <c r="S1667" i="6"/>
  <c r="S1666" i="6"/>
  <c r="S1665" i="6"/>
  <c r="S1664" i="6"/>
  <c r="S1663" i="6"/>
  <c r="S1662" i="6"/>
  <c r="S1661" i="6"/>
  <c r="S1660" i="6"/>
  <c r="S1659" i="6"/>
  <c r="S1658" i="6"/>
  <c r="S1657" i="6"/>
  <c r="S1656" i="6"/>
  <c r="S1655" i="6"/>
  <c r="S1654" i="6"/>
  <c r="S1653" i="6"/>
  <c r="S1652" i="6"/>
  <c r="S1651" i="6"/>
  <c r="S1650" i="6"/>
  <c r="S1649" i="6"/>
  <c r="S1648" i="6"/>
  <c r="S1647" i="6"/>
  <c r="S1646" i="6"/>
  <c r="S1645" i="6"/>
  <c r="S1644" i="6"/>
  <c r="S1643" i="6"/>
  <c r="S1642" i="6"/>
  <c r="S1641" i="6"/>
  <c r="S1640" i="6"/>
  <c r="S1639" i="6"/>
  <c r="S1638" i="6"/>
  <c r="S1637" i="6"/>
  <c r="S1636" i="6"/>
  <c r="S1635" i="6"/>
  <c r="S1634" i="6"/>
  <c r="S1633" i="6"/>
  <c r="S1632" i="6"/>
  <c r="S1631" i="6"/>
  <c r="S1630" i="6"/>
  <c r="S1629" i="6"/>
  <c r="S1628" i="6"/>
  <c r="S1627" i="6"/>
  <c r="S1626" i="6"/>
  <c r="S1625" i="6"/>
  <c r="S1624" i="6"/>
  <c r="S1623" i="6"/>
  <c r="S1622" i="6"/>
  <c r="S1621" i="6"/>
  <c r="S1620" i="6"/>
  <c r="S1619" i="6"/>
  <c r="S1618" i="6"/>
  <c r="S1617" i="6"/>
  <c r="S1616" i="6"/>
  <c r="S1615" i="6"/>
  <c r="S1614" i="6"/>
  <c r="S1613" i="6"/>
  <c r="S1612" i="6"/>
  <c r="S1611" i="6"/>
  <c r="S1610" i="6"/>
  <c r="S1609" i="6"/>
  <c r="S1608" i="6"/>
  <c r="S1607" i="6"/>
  <c r="S1606" i="6"/>
  <c r="S1605" i="6"/>
  <c r="S1604" i="6"/>
  <c r="S1603" i="6"/>
  <c r="S1602" i="6"/>
  <c r="S1601" i="6"/>
  <c r="S1600" i="6"/>
  <c r="S1599" i="6"/>
  <c r="S1598" i="6"/>
  <c r="S1597" i="6"/>
  <c r="S1596" i="6"/>
  <c r="S1595" i="6"/>
  <c r="S1594" i="6"/>
  <c r="S1593" i="6"/>
  <c r="S1592" i="6"/>
  <c r="S1591" i="6"/>
  <c r="S1590" i="6"/>
  <c r="S1589" i="6"/>
  <c r="S1588" i="6"/>
  <c r="S1587" i="6"/>
  <c r="S1586" i="6"/>
  <c r="S1585" i="6"/>
  <c r="S1584" i="6"/>
  <c r="S1583" i="6"/>
  <c r="S1582" i="6"/>
  <c r="S1581" i="6"/>
  <c r="S1580" i="6"/>
  <c r="S1579" i="6"/>
  <c r="S1578" i="6"/>
  <c r="S1577" i="6"/>
  <c r="S1576" i="6"/>
  <c r="S1575" i="6"/>
  <c r="S1574" i="6"/>
  <c r="S1573" i="6"/>
  <c r="S1572" i="6"/>
  <c r="S1571" i="6"/>
  <c r="S1570" i="6"/>
  <c r="S1569" i="6"/>
  <c r="S1568" i="6"/>
  <c r="S1567" i="6"/>
  <c r="S1566" i="6"/>
  <c r="S1565" i="6"/>
  <c r="S1564" i="6"/>
  <c r="S1563" i="6"/>
  <c r="S1562" i="6"/>
  <c r="S1561" i="6"/>
  <c r="S1560" i="6"/>
  <c r="S1559" i="6"/>
  <c r="S1558" i="6"/>
  <c r="S1557" i="6"/>
  <c r="S1556" i="6"/>
  <c r="S1555" i="6"/>
  <c r="S1554" i="6"/>
  <c r="S1553" i="6"/>
  <c r="S1552" i="6"/>
  <c r="S1551" i="6"/>
  <c r="S1550" i="6"/>
  <c r="S1549" i="6"/>
  <c r="S1548" i="6"/>
  <c r="S1547" i="6"/>
  <c r="S1546" i="6"/>
  <c r="S1545" i="6"/>
  <c r="S1544" i="6"/>
  <c r="S1543" i="6"/>
  <c r="S1542" i="6"/>
  <c r="S1541" i="6"/>
  <c r="S1540" i="6"/>
  <c r="S1539" i="6"/>
  <c r="S1538" i="6"/>
  <c r="S1537" i="6"/>
  <c r="S1536" i="6"/>
  <c r="S1535" i="6"/>
  <c r="S1534" i="6"/>
  <c r="S1533" i="6"/>
  <c r="S1532" i="6"/>
  <c r="S1531" i="6"/>
  <c r="S1530" i="6"/>
  <c r="S1529" i="6"/>
  <c r="S1528" i="6"/>
  <c r="S1527" i="6"/>
  <c r="S1526" i="6"/>
  <c r="S1525" i="6"/>
  <c r="S1524" i="6"/>
  <c r="S1523" i="6"/>
  <c r="S1522" i="6"/>
  <c r="S1521" i="6"/>
  <c r="S1520" i="6"/>
  <c r="S1519" i="6"/>
  <c r="S1518" i="6"/>
  <c r="S1517" i="6"/>
  <c r="S1516" i="6"/>
  <c r="S1515" i="6"/>
  <c r="S1514" i="6"/>
  <c r="S1513" i="6"/>
  <c r="S1512" i="6"/>
  <c r="S1511" i="6"/>
  <c r="S1510" i="6"/>
  <c r="S1509" i="6"/>
  <c r="S1508" i="6"/>
  <c r="S1507" i="6"/>
  <c r="S1506" i="6"/>
  <c r="S1505" i="6"/>
  <c r="S1504" i="6"/>
  <c r="S1503" i="6"/>
  <c r="S1502" i="6"/>
  <c r="S1501" i="6"/>
  <c r="S1500" i="6"/>
  <c r="S1499" i="6"/>
  <c r="S1498" i="6"/>
  <c r="S1497" i="6"/>
  <c r="S1496" i="6"/>
  <c r="S1495" i="6"/>
  <c r="S1494" i="6"/>
  <c r="S1493" i="6"/>
  <c r="S1492" i="6"/>
  <c r="S1491" i="6"/>
  <c r="S1490" i="6"/>
  <c r="S1489" i="6"/>
  <c r="S1488" i="6"/>
  <c r="S1487" i="6"/>
  <c r="S1486" i="6"/>
  <c r="S1485" i="6"/>
  <c r="S1484" i="6"/>
  <c r="S1483" i="6"/>
  <c r="S1482" i="6"/>
  <c r="S1481" i="6"/>
  <c r="S1480" i="6"/>
  <c r="S1479" i="6"/>
  <c r="S1478" i="6"/>
  <c r="S1477" i="6"/>
  <c r="S1476" i="6"/>
  <c r="S1475" i="6"/>
  <c r="S1474" i="6"/>
  <c r="S1473" i="6"/>
  <c r="S1472" i="6"/>
  <c r="S1454" i="6"/>
  <c r="S1453" i="6"/>
  <c r="S1452" i="6"/>
  <c r="S1451" i="6"/>
  <c r="S1450" i="6"/>
  <c r="S1449" i="6"/>
  <c r="S1448" i="6"/>
  <c r="S1447" i="6"/>
  <c r="S1446" i="6"/>
  <c r="S1445" i="6"/>
  <c r="S1444" i="6"/>
  <c r="S1443" i="6"/>
  <c r="S1442" i="6"/>
  <c r="S1441" i="6"/>
  <c r="S1440" i="6"/>
  <c r="S1439" i="6"/>
  <c r="S1438" i="6"/>
  <c r="S1437" i="6"/>
  <c r="S1436" i="6"/>
  <c r="S1435" i="6"/>
  <c r="S1434" i="6"/>
  <c r="S1433" i="6"/>
  <c r="S1432" i="6"/>
  <c r="S1431" i="6"/>
  <c r="S1430" i="6"/>
  <c r="S1429" i="6"/>
  <c r="S1428" i="6"/>
  <c r="S1427" i="6"/>
  <c r="S1426" i="6"/>
  <c r="S1425" i="6"/>
  <c r="S1424" i="6"/>
  <c r="S1423" i="6"/>
  <c r="S1422" i="6"/>
  <c r="S1421" i="6"/>
  <c r="S1420" i="6"/>
  <c r="S1419" i="6"/>
  <c r="S1418" i="6"/>
  <c r="S1417" i="6"/>
  <c r="S1416" i="6"/>
  <c r="S1415" i="6"/>
  <c r="S1414" i="6"/>
  <c r="S1413" i="6"/>
  <c r="S1412" i="6"/>
  <c r="S1411" i="6"/>
  <c r="S1410" i="6"/>
  <c r="S1409" i="6"/>
  <c r="S1408" i="6"/>
  <c r="S1407" i="6"/>
  <c r="S1406" i="6"/>
  <c r="S1405" i="6"/>
  <c r="S1404" i="6"/>
  <c r="S1403" i="6"/>
  <c r="S1402" i="6"/>
  <c r="S1401" i="6"/>
  <c r="S1400" i="6"/>
  <c r="S1399" i="6"/>
  <c r="S1398" i="6"/>
  <c r="S1397" i="6"/>
  <c r="S1396" i="6"/>
  <c r="S1395" i="6"/>
  <c r="S1394" i="6"/>
  <c r="S1393" i="6"/>
  <c r="S1392" i="6"/>
  <c r="S1391" i="6"/>
  <c r="S1390" i="6"/>
  <c r="S1389" i="6"/>
  <c r="S138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1973" i="6"/>
  <c r="T1972" i="6"/>
  <c r="T1971" i="6"/>
  <c r="T1970" i="6"/>
  <c r="T1969" i="6"/>
  <c r="T1968" i="6"/>
  <c r="T1967" i="6"/>
  <c r="T1966" i="6"/>
  <c r="T1965" i="6"/>
  <c r="T1964" i="6"/>
  <c r="T1963" i="6"/>
  <c r="T1962" i="6"/>
  <c r="T1961" i="6"/>
  <c r="T1960" i="6"/>
  <c r="T1959" i="6"/>
  <c r="T1958" i="6"/>
  <c r="T1957" i="6"/>
  <c r="T1956" i="6"/>
  <c r="T1955" i="6"/>
  <c r="T1954" i="6"/>
  <c r="T1953" i="6"/>
  <c r="T1952" i="6"/>
  <c r="T1951" i="6"/>
  <c r="T1950" i="6"/>
  <c r="T1949" i="6"/>
  <c r="T1948" i="6"/>
  <c r="T1947" i="6"/>
  <c r="T1946" i="6"/>
  <c r="T1945" i="6"/>
  <c r="T1944" i="6"/>
  <c r="T1943" i="6"/>
  <c r="T1942" i="6"/>
  <c r="T1941" i="6"/>
  <c r="T1940" i="6"/>
  <c r="T1939" i="6"/>
  <c r="T1938" i="6"/>
  <c r="T1937" i="6"/>
  <c r="T1936" i="6"/>
  <c r="T1935" i="6"/>
  <c r="T1934" i="6"/>
  <c r="T1933" i="6"/>
  <c r="T1932" i="6"/>
  <c r="T1931" i="6"/>
  <c r="T1930" i="6"/>
  <c r="T1929" i="6"/>
  <c r="T1928" i="6"/>
  <c r="T1927" i="6"/>
  <c r="T1926" i="6"/>
  <c r="T1925" i="6"/>
  <c r="T1924" i="6"/>
  <c r="T1923" i="6"/>
  <c r="T1922" i="6"/>
  <c r="T1921" i="6"/>
  <c r="T1920" i="6"/>
  <c r="T1919" i="6"/>
  <c r="T1918" i="6"/>
  <c r="T1917" i="6"/>
  <c r="T1916" i="6"/>
  <c r="T1915" i="6"/>
  <c r="T1914" i="6"/>
  <c r="T1913" i="6"/>
  <c r="T1912" i="6"/>
  <c r="T1911" i="6"/>
  <c r="T1910" i="6"/>
  <c r="T1909" i="6"/>
  <c r="T1908" i="6"/>
  <c r="T1907" i="6"/>
  <c r="T1906" i="6"/>
  <c r="T1905" i="6"/>
  <c r="T1904" i="6"/>
  <c r="T1903" i="6"/>
  <c r="T1902" i="6"/>
  <c r="T1901" i="6"/>
  <c r="T1900" i="6"/>
  <c r="T1899" i="6"/>
  <c r="T1898" i="6"/>
  <c r="T1897" i="6"/>
  <c r="T1896" i="6"/>
  <c r="T1895" i="6"/>
  <c r="T1894" i="6"/>
  <c r="T1893" i="6"/>
  <c r="T1892" i="6"/>
  <c r="T1891" i="6"/>
  <c r="T1890" i="6"/>
  <c r="T1889" i="6"/>
  <c r="T1888" i="6"/>
  <c r="T1887" i="6"/>
  <c r="T1886" i="6"/>
  <c r="T1885" i="6"/>
  <c r="T1884" i="6"/>
  <c r="T1883" i="6"/>
  <c r="T1882" i="6"/>
  <c r="T1881" i="6"/>
  <c r="T1880" i="6"/>
  <c r="T1879" i="6"/>
  <c r="T1878" i="6"/>
  <c r="T1877" i="6"/>
  <c r="T1876" i="6"/>
  <c r="T1875" i="6"/>
  <c r="T1874" i="6"/>
  <c r="T1873" i="6"/>
  <c r="T1872" i="6"/>
  <c r="T1871" i="6"/>
  <c r="T1870" i="6"/>
  <c r="T1869" i="6"/>
  <c r="T1868" i="6"/>
  <c r="T1867" i="6"/>
  <c r="T1866" i="6"/>
  <c r="T1865" i="6"/>
  <c r="T1864" i="6"/>
  <c r="T1863" i="6"/>
  <c r="T1862" i="6"/>
  <c r="T1861" i="6"/>
  <c r="T1860" i="6"/>
  <c r="T1859" i="6"/>
  <c r="T1858" i="6"/>
  <c r="T1857" i="6"/>
  <c r="T1856" i="6"/>
  <c r="T1855" i="6"/>
  <c r="T1854" i="6"/>
  <c r="T1853" i="6"/>
  <c r="T1852" i="6"/>
  <c r="T1851" i="6"/>
  <c r="T1850" i="6"/>
  <c r="T1849" i="6"/>
  <c r="T1848" i="6"/>
  <c r="T1847" i="6"/>
  <c r="T1846" i="6"/>
  <c r="T1845" i="6"/>
  <c r="T1844" i="6"/>
  <c r="T1843" i="6"/>
  <c r="T1842" i="6"/>
  <c r="T1841" i="6"/>
  <c r="T1840" i="6"/>
  <c r="T1839" i="6"/>
  <c r="T1838" i="6"/>
  <c r="T1837" i="6"/>
  <c r="T1836" i="6"/>
  <c r="T1835" i="6"/>
  <c r="T1834" i="6"/>
  <c r="T1833" i="6"/>
  <c r="T1832" i="6"/>
  <c r="T1831" i="6"/>
  <c r="T1830" i="6"/>
  <c r="T1829" i="6"/>
  <c r="T1828" i="6"/>
  <c r="T1827" i="6"/>
  <c r="T1826" i="6"/>
  <c r="T1825" i="6"/>
  <c r="T1824" i="6"/>
  <c r="T1823" i="6"/>
  <c r="T1822" i="6"/>
  <c r="T1821" i="6"/>
  <c r="T1820" i="6"/>
  <c r="T1819" i="6"/>
  <c r="T1818" i="6"/>
  <c r="T1817" i="6"/>
  <c r="T1816" i="6"/>
  <c r="T1815" i="6"/>
  <c r="T1814" i="6"/>
  <c r="T1813" i="6"/>
  <c r="T1812" i="6"/>
  <c r="T1811" i="6"/>
  <c r="T1810" i="6"/>
  <c r="T1809" i="6"/>
  <c r="T1808" i="6"/>
  <c r="T1807" i="6"/>
  <c r="T1806" i="6"/>
  <c r="T1805" i="6"/>
  <c r="T1804" i="6"/>
  <c r="T1803" i="6"/>
  <c r="T1802" i="6"/>
  <c r="T1801" i="6"/>
  <c r="T1800" i="6"/>
  <c r="T1799" i="6"/>
  <c r="T1798" i="6"/>
  <c r="T1797" i="6"/>
  <c r="T1796" i="6"/>
  <c r="T1795" i="6"/>
  <c r="T1794" i="6"/>
  <c r="T1793" i="6"/>
  <c r="T1792" i="6"/>
  <c r="T1791" i="6"/>
  <c r="T1790" i="6"/>
  <c r="T1789" i="6"/>
  <c r="T1788" i="6"/>
  <c r="T1787" i="6"/>
  <c r="T1786" i="6"/>
  <c r="T1785" i="6"/>
  <c r="T1784" i="6"/>
  <c r="T1783" i="6"/>
  <c r="T1782" i="6"/>
  <c r="T1781" i="6"/>
  <c r="T1780" i="6"/>
  <c r="T1779" i="6"/>
  <c r="T1778" i="6"/>
  <c r="T1777" i="6"/>
  <c r="T1776" i="6"/>
  <c r="T1775" i="6"/>
  <c r="T1774" i="6"/>
  <c r="T1773" i="6"/>
  <c r="T1772" i="6"/>
  <c r="T1771" i="6"/>
  <c r="T1770" i="6"/>
  <c r="T1769" i="6"/>
  <c r="T1768" i="6"/>
  <c r="T1767" i="6"/>
  <c r="T1766" i="6"/>
  <c r="T1765" i="6"/>
  <c r="T1764" i="6"/>
  <c r="T1763" i="6"/>
  <c r="T1762" i="6"/>
  <c r="T1761" i="6"/>
  <c r="T1760" i="6"/>
  <c r="T1759" i="6"/>
  <c r="T1758" i="6"/>
  <c r="T1757" i="6"/>
  <c r="T1756" i="6"/>
  <c r="T1755" i="6"/>
  <c r="T1754" i="6"/>
  <c r="T1753" i="6"/>
  <c r="T1752" i="6"/>
  <c r="T1751" i="6"/>
  <c r="T1750" i="6"/>
  <c r="T1749" i="6"/>
  <c r="T1748" i="6"/>
  <c r="T1747" i="6"/>
  <c r="T1746" i="6"/>
  <c r="T1745" i="6"/>
  <c r="T1744" i="6"/>
  <c r="T1743" i="6"/>
  <c r="T1742" i="6"/>
  <c r="T1741" i="6"/>
  <c r="T1740" i="6"/>
  <c r="T1739" i="6"/>
  <c r="T1738" i="6"/>
  <c r="T1737" i="6"/>
  <c r="T1736" i="6"/>
  <c r="T1735" i="6"/>
  <c r="T1734" i="6"/>
  <c r="T1733" i="6"/>
  <c r="T1732" i="6"/>
  <c r="T1731" i="6"/>
  <c r="T1730" i="6"/>
  <c r="T1729" i="6"/>
  <c r="T1728" i="6"/>
  <c r="T1727" i="6"/>
  <c r="T1726" i="6"/>
  <c r="T1725" i="6"/>
  <c r="T1724" i="6"/>
  <c r="T1723" i="6"/>
  <c r="T1722" i="6"/>
  <c r="T1721" i="6"/>
  <c r="T1720" i="6"/>
  <c r="T1719" i="6"/>
  <c r="T1718" i="6"/>
  <c r="T1717" i="6"/>
  <c r="T1716" i="6"/>
  <c r="T1715" i="6"/>
  <c r="T1714" i="6"/>
  <c r="T1713" i="6"/>
  <c r="T1712" i="6"/>
  <c r="T1711" i="6"/>
  <c r="T1710" i="6"/>
  <c r="T1709" i="6"/>
  <c r="T1708" i="6"/>
  <c r="T1707" i="6"/>
  <c r="T1706" i="6"/>
  <c r="T1705" i="6"/>
  <c r="T1704" i="6"/>
  <c r="T1703" i="6"/>
  <c r="T1702" i="6"/>
  <c r="T1701" i="6"/>
  <c r="T1700" i="6"/>
  <c r="T1699" i="6"/>
  <c r="T1698" i="6"/>
  <c r="T1697" i="6"/>
  <c r="T1696" i="6"/>
  <c r="T1695" i="6"/>
  <c r="T1694" i="6"/>
  <c r="T1693" i="6"/>
  <c r="T1692" i="6"/>
  <c r="T1691" i="6"/>
  <c r="T1690" i="6"/>
  <c r="T1689" i="6"/>
  <c r="T1688" i="6"/>
  <c r="T1687" i="6"/>
  <c r="T1686" i="6"/>
  <c r="T1685" i="6"/>
  <c r="T1684" i="6"/>
  <c r="T1683" i="6"/>
  <c r="T1682" i="6"/>
  <c r="T1681" i="6"/>
  <c r="T1680" i="6"/>
  <c r="T1679" i="6"/>
  <c r="T1678" i="6"/>
  <c r="T1677" i="6"/>
  <c r="T1676" i="6"/>
  <c r="T1675" i="6"/>
  <c r="T1674" i="6"/>
  <c r="T1673" i="6"/>
  <c r="T1672" i="6"/>
  <c r="T1671" i="6"/>
  <c r="T1670" i="6"/>
  <c r="T1669" i="6"/>
  <c r="T1668" i="6"/>
  <c r="T1667" i="6"/>
  <c r="T1666" i="6"/>
  <c r="T1665" i="6"/>
  <c r="T1664" i="6"/>
  <c r="T1663" i="6"/>
  <c r="T1662" i="6"/>
  <c r="T1661" i="6"/>
  <c r="T1660" i="6"/>
  <c r="T1659" i="6"/>
  <c r="T1658" i="6"/>
  <c r="T1657" i="6"/>
  <c r="T1656" i="6"/>
  <c r="T1655" i="6"/>
  <c r="T1654" i="6"/>
  <c r="T1653" i="6"/>
  <c r="T1652" i="6"/>
  <c r="T1651" i="6"/>
  <c r="T1650" i="6"/>
  <c r="T1649" i="6"/>
  <c r="T1648" i="6"/>
  <c r="T1647" i="6"/>
  <c r="T1646" i="6"/>
  <c r="T1645" i="6"/>
  <c r="T1644" i="6"/>
  <c r="T1643" i="6"/>
  <c r="T1642" i="6"/>
  <c r="T1641" i="6"/>
  <c r="T1640" i="6"/>
  <c r="T1639" i="6"/>
  <c r="T1638" i="6"/>
  <c r="T1637" i="6"/>
  <c r="T1636" i="6"/>
  <c r="T1635" i="6"/>
  <c r="T1634" i="6"/>
  <c r="T1633" i="6"/>
  <c r="T1632" i="6"/>
  <c r="T1631" i="6"/>
  <c r="T1630" i="6"/>
  <c r="T1629" i="6"/>
  <c r="T1628" i="6"/>
  <c r="T1627" i="6"/>
  <c r="T1626" i="6"/>
  <c r="T1625" i="6"/>
  <c r="T1624" i="6"/>
  <c r="T1623" i="6"/>
  <c r="T1622" i="6"/>
  <c r="T1621" i="6"/>
  <c r="T1620" i="6"/>
  <c r="T1619" i="6"/>
  <c r="T1618" i="6"/>
  <c r="T1617" i="6"/>
  <c r="T1616" i="6"/>
  <c r="T1615" i="6"/>
  <c r="T1614" i="6"/>
  <c r="T1613" i="6"/>
  <c r="T1612" i="6"/>
  <c r="T1611" i="6"/>
  <c r="T1610" i="6"/>
  <c r="T1609" i="6"/>
  <c r="T1608" i="6"/>
  <c r="T1607" i="6"/>
  <c r="T1606" i="6"/>
  <c r="T1605" i="6"/>
  <c r="T1604" i="6"/>
  <c r="T1603" i="6"/>
  <c r="T1602" i="6"/>
  <c r="T1601" i="6"/>
  <c r="T1600" i="6"/>
  <c r="T1599" i="6"/>
  <c r="T1598" i="6"/>
  <c r="T1597" i="6"/>
  <c r="T1596" i="6"/>
  <c r="T1595" i="6"/>
  <c r="T1594" i="6"/>
  <c r="T1593" i="6"/>
  <c r="T1592" i="6"/>
  <c r="T1591" i="6"/>
  <c r="T1590" i="6"/>
  <c r="T1589" i="6"/>
  <c r="T1588" i="6"/>
  <c r="T1587" i="6"/>
  <c r="T1586" i="6"/>
  <c r="T1585" i="6"/>
  <c r="T1584" i="6"/>
  <c r="T1583" i="6"/>
  <c r="T1582" i="6"/>
  <c r="T1581" i="6"/>
  <c r="T1580" i="6"/>
  <c r="T1579" i="6"/>
  <c r="T1578" i="6"/>
  <c r="T1577" i="6"/>
  <c r="T1576" i="6"/>
  <c r="T1575" i="6"/>
  <c r="T1574" i="6"/>
  <c r="T1573" i="6"/>
  <c r="T1572" i="6"/>
  <c r="T1571" i="6"/>
  <c r="T1570" i="6"/>
  <c r="T1569" i="6"/>
  <c r="T1568" i="6"/>
  <c r="T1567" i="6"/>
  <c r="T1566" i="6"/>
  <c r="T1565" i="6"/>
  <c r="T1564" i="6"/>
  <c r="T1563" i="6"/>
  <c r="T1562" i="6"/>
  <c r="T1561" i="6"/>
  <c r="T1560" i="6"/>
  <c r="T1559" i="6"/>
  <c r="T1558" i="6"/>
  <c r="T1557" i="6"/>
  <c r="T1556" i="6"/>
  <c r="T1555" i="6"/>
  <c r="T1554" i="6"/>
  <c r="T1553" i="6"/>
  <c r="T1552" i="6"/>
  <c r="T1551" i="6"/>
  <c r="T1550" i="6"/>
  <c r="T1549" i="6"/>
  <c r="T1548" i="6"/>
  <c r="T1547" i="6"/>
  <c r="T1546" i="6"/>
  <c r="T1545" i="6"/>
  <c r="T1544" i="6"/>
  <c r="T1543" i="6"/>
  <c r="T1542" i="6"/>
  <c r="T1541" i="6"/>
  <c r="T1540" i="6"/>
  <c r="T1539" i="6"/>
  <c r="T1538" i="6"/>
  <c r="T1537" i="6"/>
  <c r="T1536" i="6"/>
  <c r="T1535" i="6"/>
  <c r="T1534" i="6"/>
  <c r="T1533" i="6"/>
  <c r="T1532" i="6"/>
  <c r="T1531" i="6"/>
  <c r="T1530" i="6"/>
  <c r="T1529" i="6"/>
  <c r="T1528" i="6"/>
  <c r="T1527" i="6"/>
  <c r="T1526" i="6"/>
  <c r="T1525" i="6"/>
  <c r="T1524" i="6"/>
  <c r="T1523" i="6"/>
  <c r="T1522" i="6"/>
  <c r="T1521" i="6"/>
  <c r="T1520" i="6"/>
  <c r="T1519" i="6"/>
  <c r="T1518" i="6"/>
  <c r="T1517" i="6"/>
  <c r="T1516" i="6"/>
  <c r="T1515" i="6"/>
  <c r="T1514" i="6"/>
  <c r="T1513" i="6"/>
  <c r="T1512" i="6"/>
  <c r="T1511" i="6"/>
  <c r="T1510" i="6"/>
  <c r="T1509" i="6"/>
  <c r="T1508" i="6"/>
  <c r="T1507" i="6"/>
  <c r="T1506" i="6"/>
  <c r="T1505" i="6"/>
  <c r="T1504" i="6"/>
  <c r="T1503" i="6"/>
  <c r="T1502" i="6"/>
  <c r="T1501" i="6"/>
  <c r="T1500" i="6"/>
  <c r="T1499" i="6"/>
  <c r="T1498" i="6"/>
  <c r="T1497" i="6"/>
  <c r="T1496" i="6"/>
  <c r="T1495" i="6"/>
  <c r="T1494" i="6"/>
  <c r="T1493" i="6"/>
  <c r="T1492" i="6"/>
  <c r="T1491" i="6"/>
  <c r="T1490" i="6"/>
  <c r="T1489" i="6"/>
  <c r="T1488" i="6"/>
  <c r="T1487" i="6"/>
  <c r="T1486" i="6"/>
  <c r="T1485" i="6"/>
  <c r="T1484" i="6"/>
  <c r="T1483" i="6"/>
  <c r="T1482" i="6"/>
  <c r="T1481" i="6"/>
  <c r="T1480" i="6"/>
  <c r="T1479" i="6"/>
  <c r="T1478" i="6"/>
  <c r="T1477" i="6"/>
  <c r="T1476" i="6"/>
  <c r="T1475" i="6"/>
  <c r="T1474" i="6"/>
  <c r="T1473" i="6"/>
  <c r="T1472" i="6"/>
  <c r="T1454" i="6"/>
  <c r="T1453" i="6"/>
  <c r="T1452" i="6"/>
  <c r="T1451" i="6"/>
  <c r="T1450" i="6"/>
  <c r="T1449" i="6"/>
  <c r="T1448" i="6"/>
  <c r="T1447" i="6"/>
  <c r="T1446" i="6"/>
  <c r="T1445" i="6"/>
  <c r="T1444" i="6"/>
  <c r="T1443" i="6"/>
  <c r="T1442" i="6"/>
  <c r="T1441" i="6"/>
  <c r="T1440" i="6"/>
  <c r="T1439" i="6"/>
  <c r="T1438" i="6"/>
  <c r="T1437" i="6"/>
  <c r="T1436" i="6"/>
  <c r="T1435" i="6"/>
  <c r="T1434" i="6"/>
  <c r="T1433" i="6"/>
  <c r="T1432" i="6"/>
  <c r="T1431" i="6"/>
  <c r="T1430" i="6"/>
  <c r="T1429" i="6"/>
  <c r="T1428" i="6"/>
  <c r="T1427" i="6"/>
  <c r="T1426" i="6"/>
  <c r="T1425" i="6"/>
  <c r="T1424" i="6"/>
  <c r="T1423" i="6"/>
  <c r="T1422" i="6"/>
  <c r="T1421" i="6"/>
  <c r="T1420" i="6"/>
  <c r="T1419" i="6"/>
  <c r="T1418" i="6"/>
  <c r="T1417" i="6"/>
  <c r="T1416" i="6"/>
  <c r="T1415" i="6"/>
  <c r="T1414" i="6"/>
  <c r="T1413" i="6"/>
  <c r="T1412" i="6"/>
  <c r="T1411" i="6"/>
  <c r="T1410" i="6"/>
  <c r="T1409" i="6"/>
  <c r="T1408" i="6"/>
  <c r="T1407" i="6"/>
  <c r="T1406" i="6"/>
  <c r="T1405" i="6"/>
  <c r="T1404" i="6"/>
  <c r="T1403" i="6"/>
  <c r="T1402" i="6"/>
  <c r="T1401" i="6"/>
  <c r="T1400" i="6"/>
  <c r="T1399" i="6"/>
  <c r="T1398" i="6"/>
  <c r="T1397" i="6"/>
  <c r="T1396" i="6"/>
  <c r="T1395" i="6"/>
  <c r="T1394" i="6"/>
  <c r="T1393" i="6"/>
  <c r="T1392" i="6"/>
  <c r="T1391" i="6"/>
  <c r="T1390" i="6"/>
  <c r="T1389" i="6"/>
  <c r="T138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AF281" i="6" s="1"/>
  <c r="H280" i="6"/>
  <c r="H279" i="6"/>
  <c r="H278" i="6"/>
  <c r="AF278" i="6" s="1"/>
  <c r="H277" i="6"/>
  <c r="H276" i="6"/>
  <c r="H275" i="6"/>
  <c r="H274" i="6"/>
  <c r="H273" i="6"/>
  <c r="AB1973" i="6"/>
  <c r="AA1973" i="6"/>
  <c r="Z1973" i="6"/>
  <c r="AB1972" i="6"/>
  <c r="AA1972" i="6"/>
  <c r="Z1972" i="6"/>
  <c r="AB1971" i="6"/>
  <c r="AA1971" i="6"/>
  <c r="Z1971" i="6"/>
  <c r="AB1970" i="6"/>
  <c r="AA1970" i="6"/>
  <c r="Z1970" i="6"/>
  <c r="AB1969" i="6"/>
  <c r="AA1969" i="6"/>
  <c r="Z1969" i="6"/>
  <c r="AB1968" i="6"/>
  <c r="AA1968" i="6"/>
  <c r="Z1968" i="6"/>
  <c r="AB1967" i="6"/>
  <c r="AA1967" i="6"/>
  <c r="Z1967" i="6"/>
  <c r="AB1966" i="6"/>
  <c r="AA1966" i="6"/>
  <c r="Z1966" i="6"/>
  <c r="AB1965" i="6"/>
  <c r="AA1965" i="6"/>
  <c r="Z1965" i="6"/>
  <c r="AB1964" i="6"/>
  <c r="AA1964" i="6"/>
  <c r="Z1964" i="6"/>
  <c r="AB1963" i="6"/>
  <c r="AA1963" i="6"/>
  <c r="Z1963" i="6"/>
  <c r="AB1962" i="6"/>
  <c r="AA1962" i="6"/>
  <c r="Z1962" i="6"/>
  <c r="AB1961" i="6"/>
  <c r="AA1961" i="6"/>
  <c r="Z1961" i="6"/>
  <c r="AB1960" i="6"/>
  <c r="AA1960" i="6"/>
  <c r="Z1960" i="6"/>
  <c r="AB1959" i="6"/>
  <c r="AA1959" i="6"/>
  <c r="Z1959" i="6"/>
  <c r="AB1958" i="6"/>
  <c r="AA1958" i="6"/>
  <c r="Z1958" i="6"/>
  <c r="AB1957" i="6"/>
  <c r="AA1957" i="6"/>
  <c r="Z1957" i="6"/>
  <c r="AB1956" i="6"/>
  <c r="AA1956" i="6"/>
  <c r="Z1956" i="6"/>
  <c r="AB1955" i="6"/>
  <c r="AA1955" i="6"/>
  <c r="Z1955" i="6"/>
  <c r="AB1954" i="6"/>
  <c r="AA1954" i="6"/>
  <c r="Z1954" i="6"/>
  <c r="AB1953" i="6"/>
  <c r="AA1953" i="6"/>
  <c r="Z1953" i="6"/>
  <c r="AB1952" i="6"/>
  <c r="AA1952" i="6"/>
  <c r="Z1952" i="6"/>
  <c r="AB1951" i="6"/>
  <c r="AA1951" i="6"/>
  <c r="Z1951" i="6"/>
  <c r="AB1950" i="6"/>
  <c r="AA1950" i="6"/>
  <c r="Z1950" i="6"/>
  <c r="AB1949" i="6"/>
  <c r="AA1949" i="6"/>
  <c r="Z1949" i="6"/>
  <c r="AB1948" i="6"/>
  <c r="AA1948" i="6"/>
  <c r="Z1948" i="6"/>
  <c r="AB1947" i="6"/>
  <c r="AA1947" i="6"/>
  <c r="Z1947" i="6"/>
  <c r="AB1946" i="6"/>
  <c r="AA1946" i="6"/>
  <c r="Z1946" i="6"/>
  <c r="AB1945" i="6"/>
  <c r="AA1945" i="6"/>
  <c r="Z1945" i="6"/>
  <c r="AB1944" i="6"/>
  <c r="AA1944" i="6"/>
  <c r="Z1944" i="6"/>
  <c r="AB1943" i="6"/>
  <c r="AA1943" i="6"/>
  <c r="Z1943" i="6"/>
  <c r="AB1942" i="6"/>
  <c r="AA1942" i="6"/>
  <c r="Z1942" i="6"/>
  <c r="AB1941" i="6"/>
  <c r="AA1941" i="6"/>
  <c r="Z1941" i="6"/>
  <c r="AB1940" i="6"/>
  <c r="AA1940" i="6"/>
  <c r="Z1940" i="6"/>
  <c r="AB1939" i="6"/>
  <c r="AA1939" i="6"/>
  <c r="Z1939" i="6"/>
  <c r="AB1938" i="6"/>
  <c r="AA1938" i="6"/>
  <c r="Z1938" i="6"/>
  <c r="AB1937" i="6"/>
  <c r="AA1937" i="6"/>
  <c r="Z1937" i="6"/>
  <c r="AB1936" i="6"/>
  <c r="AA1936" i="6"/>
  <c r="Z1936" i="6"/>
  <c r="AB1935" i="6"/>
  <c r="AA1935" i="6"/>
  <c r="Z1935" i="6"/>
  <c r="AB1934" i="6"/>
  <c r="AA1934" i="6"/>
  <c r="Z1934" i="6"/>
  <c r="AB1933" i="6"/>
  <c r="AA1933" i="6"/>
  <c r="Z1933" i="6"/>
  <c r="AB1932" i="6"/>
  <c r="AA1932" i="6"/>
  <c r="Z1932" i="6"/>
  <c r="AB1931" i="6"/>
  <c r="AA1931" i="6"/>
  <c r="Z1931" i="6"/>
  <c r="AB1930" i="6"/>
  <c r="AA1930" i="6"/>
  <c r="Z1930" i="6"/>
  <c r="AB1929" i="6"/>
  <c r="AA1929" i="6"/>
  <c r="Z1929" i="6"/>
  <c r="AB1928" i="6"/>
  <c r="AA1928" i="6"/>
  <c r="Z1928" i="6"/>
  <c r="AB1927" i="6"/>
  <c r="AA1927" i="6"/>
  <c r="Z1927" i="6"/>
  <c r="AB1926" i="6"/>
  <c r="AA1926" i="6"/>
  <c r="Z1926" i="6"/>
  <c r="AB1925" i="6"/>
  <c r="AA1925" i="6"/>
  <c r="Z1925" i="6"/>
  <c r="AB1924" i="6"/>
  <c r="AA1924" i="6"/>
  <c r="Z1924" i="6"/>
  <c r="AB1923" i="6"/>
  <c r="AA1923" i="6"/>
  <c r="Z1923" i="6"/>
  <c r="AB1922" i="6"/>
  <c r="AA1922" i="6"/>
  <c r="Z1922" i="6"/>
  <c r="AB1921" i="6"/>
  <c r="AA1921" i="6"/>
  <c r="Z1921" i="6"/>
  <c r="AB1920" i="6"/>
  <c r="AA1920" i="6"/>
  <c r="Z1920" i="6"/>
  <c r="AB1919" i="6"/>
  <c r="AA1919" i="6"/>
  <c r="Z1919" i="6"/>
  <c r="AB1918" i="6"/>
  <c r="AA1918" i="6"/>
  <c r="Z1918" i="6"/>
  <c r="AB1917" i="6"/>
  <c r="AA1917" i="6"/>
  <c r="Z1917" i="6"/>
  <c r="AB1916" i="6"/>
  <c r="AA1916" i="6"/>
  <c r="Z1916" i="6"/>
  <c r="AB1915" i="6"/>
  <c r="AA1915" i="6"/>
  <c r="Z1915" i="6"/>
  <c r="AB1914" i="6"/>
  <c r="AA1914" i="6"/>
  <c r="Z1914" i="6"/>
  <c r="AB1913" i="6"/>
  <c r="AA1913" i="6"/>
  <c r="Z1913" i="6"/>
  <c r="AB1912" i="6"/>
  <c r="AA1912" i="6"/>
  <c r="Z1912" i="6"/>
  <c r="AB1911" i="6"/>
  <c r="AA1911" i="6"/>
  <c r="Z1911" i="6"/>
  <c r="AB1910" i="6"/>
  <c r="AA1910" i="6"/>
  <c r="Z1910" i="6"/>
  <c r="AB1909" i="6"/>
  <c r="AA1909" i="6"/>
  <c r="Z1909" i="6"/>
  <c r="AB1908" i="6"/>
  <c r="AA1908" i="6"/>
  <c r="Z1908" i="6"/>
  <c r="AB1907" i="6"/>
  <c r="AA1907" i="6"/>
  <c r="Z1907" i="6"/>
  <c r="AB1906" i="6"/>
  <c r="AA1906" i="6"/>
  <c r="Z1906" i="6"/>
  <c r="AB1905" i="6"/>
  <c r="AA1905" i="6"/>
  <c r="Z1905" i="6"/>
  <c r="AB1904" i="6"/>
  <c r="AA1904" i="6"/>
  <c r="Z1904" i="6"/>
  <c r="AB1903" i="6"/>
  <c r="AA1903" i="6"/>
  <c r="Z1903" i="6"/>
  <c r="AB1902" i="6"/>
  <c r="AA1902" i="6"/>
  <c r="Z1902" i="6"/>
  <c r="AB1901" i="6"/>
  <c r="AA1901" i="6"/>
  <c r="Z1901" i="6"/>
  <c r="AB1900" i="6"/>
  <c r="AA1900" i="6"/>
  <c r="Z1900" i="6"/>
  <c r="AB1899" i="6"/>
  <c r="AA1899" i="6"/>
  <c r="Z1899" i="6"/>
  <c r="AB1898" i="6"/>
  <c r="AA1898" i="6"/>
  <c r="Z1898" i="6"/>
  <c r="AB1897" i="6"/>
  <c r="AA1897" i="6"/>
  <c r="Z1897" i="6"/>
  <c r="AB1896" i="6"/>
  <c r="AA1896" i="6"/>
  <c r="Z1896" i="6"/>
  <c r="AB1895" i="6"/>
  <c r="AA1895" i="6"/>
  <c r="Z1895" i="6"/>
  <c r="AB1894" i="6"/>
  <c r="AA1894" i="6"/>
  <c r="Z1894" i="6"/>
  <c r="AB1893" i="6"/>
  <c r="AA1893" i="6"/>
  <c r="Z1893" i="6"/>
  <c r="AB1892" i="6"/>
  <c r="AA1892" i="6"/>
  <c r="Z1892" i="6"/>
  <c r="AB1891" i="6"/>
  <c r="AA1891" i="6"/>
  <c r="Z1891" i="6"/>
  <c r="AB1890" i="6"/>
  <c r="AA1890" i="6"/>
  <c r="Z1890" i="6"/>
  <c r="AB1889" i="6"/>
  <c r="AA1889" i="6"/>
  <c r="Z1889" i="6"/>
  <c r="AB1888" i="6"/>
  <c r="AA1888" i="6"/>
  <c r="Z1888" i="6"/>
  <c r="AB1887" i="6"/>
  <c r="AA1887" i="6"/>
  <c r="Z1887" i="6"/>
  <c r="AB1886" i="6"/>
  <c r="AA1886" i="6"/>
  <c r="Z1886" i="6"/>
  <c r="AB1885" i="6"/>
  <c r="AA1885" i="6"/>
  <c r="Z1885" i="6"/>
  <c r="AB1884" i="6"/>
  <c r="AA1884" i="6"/>
  <c r="Z1884" i="6"/>
  <c r="AB1883" i="6"/>
  <c r="AA1883" i="6"/>
  <c r="Z1883" i="6"/>
  <c r="AB1882" i="6"/>
  <c r="AA1882" i="6"/>
  <c r="Z1882" i="6"/>
  <c r="AB1881" i="6"/>
  <c r="AA1881" i="6"/>
  <c r="Z1881" i="6"/>
  <c r="AB1880" i="6"/>
  <c r="AA1880" i="6"/>
  <c r="Z1880" i="6"/>
  <c r="AB1879" i="6"/>
  <c r="AA1879" i="6"/>
  <c r="Z1879" i="6"/>
  <c r="AB1878" i="6"/>
  <c r="AA1878" i="6"/>
  <c r="Z1878" i="6"/>
  <c r="AB1877" i="6"/>
  <c r="AA1877" i="6"/>
  <c r="Z1877" i="6"/>
  <c r="AB1876" i="6"/>
  <c r="AA1876" i="6"/>
  <c r="Z1876" i="6"/>
  <c r="AB1875" i="6"/>
  <c r="AA1875" i="6"/>
  <c r="Z1875" i="6"/>
  <c r="AB1874" i="6"/>
  <c r="AA1874" i="6"/>
  <c r="Z1874" i="6"/>
  <c r="AB1873" i="6"/>
  <c r="AA1873" i="6"/>
  <c r="Z1873" i="6"/>
  <c r="AB1872" i="6"/>
  <c r="AA1872" i="6"/>
  <c r="Z1872" i="6"/>
  <c r="AB1871" i="6"/>
  <c r="AA1871" i="6"/>
  <c r="Z1871" i="6"/>
  <c r="AB1870" i="6"/>
  <c r="AA1870" i="6"/>
  <c r="Z1870" i="6"/>
  <c r="AB1869" i="6"/>
  <c r="AA1869" i="6"/>
  <c r="Z1869" i="6"/>
  <c r="AB1868" i="6"/>
  <c r="AA1868" i="6"/>
  <c r="Z1868" i="6"/>
  <c r="AB1867" i="6"/>
  <c r="AA1867" i="6"/>
  <c r="Z1867" i="6"/>
  <c r="AB1866" i="6"/>
  <c r="AA1866" i="6"/>
  <c r="Z1866" i="6"/>
  <c r="AB1865" i="6"/>
  <c r="AA1865" i="6"/>
  <c r="Z1865" i="6"/>
  <c r="AB1864" i="6"/>
  <c r="AA1864" i="6"/>
  <c r="Z1864" i="6"/>
  <c r="AB1863" i="6"/>
  <c r="AA1863" i="6"/>
  <c r="Z1863" i="6"/>
  <c r="AB1862" i="6"/>
  <c r="AA1862" i="6"/>
  <c r="Z1862" i="6"/>
  <c r="AB1861" i="6"/>
  <c r="AA1861" i="6"/>
  <c r="Z1861" i="6"/>
  <c r="AB1860" i="6"/>
  <c r="AA1860" i="6"/>
  <c r="Z1860" i="6"/>
  <c r="AB1859" i="6"/>
  <c r="AA1859" i="6"/>
  <c r="Z1859" i="6"/>
  <c r="AB1858" i="6"/>
  <c r="AA1858" i="6"/>
  <c r="Z1858" i="6"/>
  <c r="AB1857" i="6"/>
  <c r="AA1857" i="6"/>
  <c r="Z1857" i="6"/>
  <c r="AB1856" i="6"/>
  <c r="AA1856" i="6"/>
  <c r="Z1856" i="6"/>
  <c r="AB1855" i="6"/>
  <c r="AA1855" i="6"/>
  <c r="Z1855" i="6"/>
  <c r="AB1854" i="6"/>
  <c r="AA1854" i="6"/>
  <c r="Z1854" i="6"/>
  <c r="AB1853" i="6"/>
  <c r="AA1853" i="6"/>
  <c r="Z1853" i="6"/>
  <c r="AB1852" i="6"/>
  <c r="AA1852" i="6"/>
  <c r="Z1852" i="6"/>
  <c r="AB1851" i="6"/>
  <c r="AA1851" i="6"/>
  <c r="Z1851" i="6"/>
  <c r="AB1850" i="6"/>
  <c r="AA1850" i="6"/>
  <c r="Z1850" i="6"/>
  <c r="AB1849" i="6"/>
  <c r="AA1849" i="6"/>
  <c r="Z1849" i="6"/>
  <c r="AB1848" i="6"/>
  <c r="AA1848" i="6"/>
  <c r="Z1848" i="6"/>
  <c r="AB1847" i="6"/>
  <c r="AA1847" i="6"/>
  <c r="Z1847" i="6"/>
  <c r="AB1846" i="6"/>
  <c r="AA1846" i="6"/>
  <c r="Z1846" i="6"/>
  <c r="AB1845" i="6"/>
  <c r="AA1845" i="6"/>
  <c r="Z1845" i="6"/>
  <c r="AB1844" i="6"/>
  <c r="AA1844" i="6"/>
  <c r="Z1844" i="6"/>
  <c r="AB1843" i="6"/>
  <c r="AA1843" i="6"/>
  <c r="Z1843" i="6"/>
  <c r="AB1842" i="6"/>
  <c r="AA1842" i="6"/>
  <c r="Z1842" i="6"/>
  <c r="AB1841" i="6"/>
  <c r="AA1841" i="6"/>
  <c r="Z1841" i="6"/>
  <c r="AB1840" i="6"/>
  <c r="AA1840" i="6"/>
  <c r="Z1840" i="6"/>
  <c r="AB1839" i="6"/>
  <c r="AA1839" i="6"/>
  <c r="Z1839" i="6"/>
  <c r="AB1838" i="6"/>
  <c r="AA1838" i="6"/>
  <c r="Z1838" i="6"/>
  <c r="AB1837" i="6"/>
  <c r="AA1837" i="6"/>
  <c r="Z1837" i="6"/>
  <c r="AB1836" i="6"/>
  <c r="AA1836" i="6"/>
  <c r="Z1836" i="6"/>
  <c r="AB1835" i="6"/>
  <c r="AA1835" i="6"/>
  <c r="Z1835" i="6"/>
  <c r="AB1834" i="6"/>
  <c r="AA1834" i="6"/>
  <c r="Z1834" i="6"/>
  <c r="AB1833" i="6"/>
  <c r="AA1833" i="6"/>
  <c r="Z1833" i="6"/>
  <c r="AB1832" i="6"/>
  <c r="AA1832" i="6"/>
  <c r="Z1832" i="6"/>
  <c r="AB1831" i="6"/>
  <c r="AA1831" i="6"/>
  <c r="Z1831" i="6"/>
  <c r="AB1830" i="6"/>
  <c r="AA1830" i="6"/>
  <c r="Z1830" i="6"/>
  <c r="AB1829" i="6"/>
  <c r="AA1829" i="6"/>
  <c r="Z1829" i="6"/>
  <c r="AB1828" i="6"/>
  <c r="AA1828" i="6"/>
  <c r="Z1828" i="6"/>
  <c r="AB1827" i="6"/>
  <c r="AA1827" i="6"/>
  <c r="Z1827" i="6"/>
  <c r="AB1826" i="6"/>
  <c r="AA1826" i="6"/>
  <c r="Z1826" i="6"/>
  <c r="AB1825" i="6"/>
  <c r="AA1825" i="6"/>
  <c r="Z1825" i="6"/>
  <c r="AB1824" i="6"/>
  <c r="AA1824" i="6"/>
  <c r="Z1824" i="6"/>
  <c r="AB1823" i="6"/>
  <c r="AA1823" i="6"/>
  <c r="Z1823" i="6"/>
  <c r="AB1822" i="6"/>
  <c r="AA1822" i="6"/>
  <c r="Z1822" i="6"/>
  <c r="AB1821" i="6"/>
  <c r="AA1821" i="6"/>
  <c r="Z1821" i="6"/>
  <c r="AB1820" i="6"/>
  <c r="AA1820" i="6"/>
  <c r="Z1820" i="6"/>
  <c r="AB1819" i="6"/>
  <c r="AA1819" i="6"/>
  <c r="Z1819" i="6"/>
  <c r="AB1818" i="6"/>
  <c r="AA1818" i="6"/>
  <c r="Z1818" i="6"/>
  <c r="AB1817" i="6"/>
  <c r="AA1817" i="6"/>
  <c r="Z1817" i="6"/>
  <c r="AB1816" i="6"/>
  <c r="AA1816" i="6"/>
  <c r="Z1816" i="6"/>
  <c r="AB1815" i="6"/>
  <c r="AA1815" i="6"/>
  <c r="Z1815" i="6"/>
  <c r="AB1814" i="6"/>
  <c r="AA1814" i="6"/>
  <c r="Z1814" i="6"/>
  <c r="AB1813" i="6"/>
  <c r="AA1813" i="6"/>
  <c r="Z1813" i="6"/>
  <c r="AB1812" i="6"/>
  <c r="AA1812" i="6"/>
  <c r="Z1812" i="6"/>
  <c r="AB1811" i="6"/>
  <c r="AA1811" i="6"/>
  <c r="Z1811" i="6"/>
  <c r="AB1810" i="6"/>
  <c r="AA1810" i="6"/>
  <c r="Z1810" i="6"/>
  <c r="AB1809" i="6"/>
  <c r="AA1809" i="6"/>
  <c r="Z1809" i="6"/>
  <c r="AB1808" i="6"/>
  <c r="AA1808" i="6"/>
  <c r="Z1808" i="6"/>
  <c r="AB1807" i="6"/>
  <c r="AA1807" i="6"/>
  <c r="Z1807" i="6"/>
  <c r="AB1806" i="6"/>
  <c r="AA1806" i="6"/>
  <c r="Z1806" i="6"/>
  <c r="AB1805" i="6"/>
  <c r="AA1805" i="6"/>
  <c r="Z1805" i="6"/>
  <c r="AB1804" i="6"/>
  <c r="AA1804" i="6"/>
  <c r="Z1804" i="6"/>
  <c r="AB1803" i="6"/>
  <c r="AA1803" i="6"/>
  <c r="Z1803" i="6"/>
  <c r="AB1802" i="6"/>
  <c r="AA1802" i="6"/>
  <c r="Z1802" i="6"/>
  <c r="AB1801" i="6"/>
  <c r="AA1801" i="6"/>
  <c r="Z1801" i="6"/>
  <c r="AB1800" i="6"/>
  <c r="AA1800" i="6"/>
  <c r="Z1800" i="6"/>
  <c r="AB1799" i="6"/>
  <c r="AA1799" i="6"/>
  <c r="Z1799" i="6"/>
  <c r="AB1798" i="6"/>
  <c r="AA1798" i="6"/>
  <c r="Z1798" i="6"/>
  <c r="AB1797" i="6"/>
  <c r="AA1797" i="6"/>
  <c r="Z1797" i="6"/>
  <c r="AB1796" i="6"/>
  <c r="AA1796" i="6"/>
  <c r="Z1796" i="6"/>
  <c r="AB1795" i="6"/>
  <c r="AA1795" i="6"/>
  <c r="Z1795" i="6"/>
  <c r="AB1794" i="6"/>
  <c r="AA1794" i="6"/>
  <c r="Z1794" i="6"/>
  <c r="AB1793" i="6"/>
  <c r="AA1793" i="6"/>
  <c r="Z1793" i="6"/>
  <c r="AB1792" i="6"/>
  <c r="AA1792" i="6"/>
  <c r="Z1792" i="6"/>
  <c r="AB1791" i="6"/>
  <c r="AA1791" i="6"/>
  <c r="Z1791" i="6"/>
  <c r="AB1790" i="6"/>
  <c r="AA1790" i="6"/>
  <c r="Z1790" i="6"/>
  <c r="AB1789" i="6"/>
  <c r="AA1789" i="6"/>
  <c r="Z1789" i="6"/>
  <c r="AB1788" i="6"/>
  <c r="AA1788" i="6"/>
  <c r="Z1788" i="6"/>
  <c r="AB1787" i="6"/>
  <c r="AA1787" i="6"/>
  <c r="Z1787" i="6"/>
  <c r="AB1786" i="6"/>
  <c r="AA1786" i="6"/>
  <c r="Z1786" i="6"/>
  <c r="AB1785" i="6"/>
  <c r="AA1785" i="6"/>
  <c r="Z1785" i="6"/>
  <c r="AB1784" i="6"/>
  <c r="AA1784" i="6"/>
  <c r="Z1784" i="6"/>
  <c r="AB1783" i="6"/>
  <c r="AA1783" i="6"/>
  <c r="Z1783" i="6"/>
  <c r="AB1782" i="6"/>
  <c r="AA1782" i="6"/>
  <c r="Z1782" i="6"/>
  <c r="AB1781" i="6"/>
  <c r="AA1781" i="6"/>
  <c r="Z1781" i="6"/>
  <c r="AB1780" i="6"/>
  <c r="AA1780" i="6"/>
  <c r="Z1780" i="6"/>
  <c r="AB1779" i="6"/>
  <c r="AA1779" i="6"/>
  <c r="Z1779" i="6"/>
  <c r="AB1778" i="6"/>
  <c r="AA1778" i="6"/>
  <c r="Z1778" i="6"/>
  <c r="AB1777" i="6"/>
  <c r="AA1777" i="6"/>
  <c r="Z1777" i="6"/>
  <c r="AB1776" i="6"/>
  <c r="AA1776" i="6"/>
  <c r="Z1776" i="6"/>
  <c r="AB1775" i="6"/>
  <c r="AA1775" i="6"/>
  <c r="Z1775" i="6"/>
  <c r="AB1774" i="6"/>
  <c r="AA1774" i="6"/>
  <c r="Z1774" i="6"/>
  <c r="AB1773" i="6"/>
  <c r="AA1773" i="6"/>
  <c r="Z1773" i="6"/>
  <c r="AB1772" i="6"/>
  <c r="AA1772" i="6"/>
  <c r="Z1772" i="6"/>
  <c r="AB1771" i="6"/>
  <c r="AA1771" i="6"/>
  <c r="Z1771" i="6"/>
  <c r="AB1770" i="6"/>
  <c r="AA1770" i="6"/>
  <c r="Z1770" i="6"/>
  <c r="AB1769" i="6"/>
  <c r="AA1769" i="6"/>
  <c r="Z1769" i="6"/>
  <c r="AB1768" i="6"/>
  <c r="AA1768" i="6"/>
  <c r="Z1768" i="6"/>
  <c r="AB1767" i="6"/>
  <c r="AA1767" i="6"/>
  <c r="Z1767" i="6"/>
  <c r="AB1766" i="6"/>
  <c r="AA1766" i="6"/>
  <c r="Z1766" i="6"/>
  <c r="AB1765" i="6"/>
  <c r="AA1765" i="6"/>
  <c r="Z1765" i="6"/>
  <c r="AB1764" i="6"/>
  <c r="AA1764" i="6"/>
  <c r="Z1764" i="6"/>
  <c r="AB1763" i="6"/>
  <c r="AA1763" i="6"/>
  <c r="Z1763" i="6"/>
  <c r="AB1762" i="6"/>
  <c r="AA1762" i="6"/>
  <c r="Z1762" i="6"/>
  <c r="AB1761" i="6"/>
  <c r="AA1761" i="6"/>
  <c r="Z1761" i="6"/>
  <c r="AB1760" i="6"/>
  <c r="AA1760" i="6"/>
  <c r="Z1760" i="6"/>
  <c r="AB1759" i="6"/>
  <c r="AA1759" i="6"/>
  <c r="Z1759" i="6"/>
  <c r="AB1758" i="6"/>
  <c r="AA1758" i="6"/>
  <c r="Z1758" i="6"/>
  <c r="AB1757" i="6"/>
  <c r="AA1757" i="6"/>
  <c r="Z1757" i="6"/>
  <c r="AB1756" i="6"/>
  <c r="AA1756" i="6"/>
  <c r="Z1756" i="6"/>
  <c r="AB1755" i="6"/>
  <c r="AA1755" i="6"/>
  <c r="Z1755" i="6"/>
  <c r="AB1754" i="6"/>
  <c r="AA1754" i="6"/>
  <c r="Z1754" i="6"/>
  <c r="AB1753" i="6"/>
  <c r="AA1753" i="6"/>
  <c r="Z1753" i="6"/>
  <c r="AB1752" i="6"/>
  <c r="AA1752" i="6"/>
  <c r="Z1752" i="6"/>
  <c r="AB1751" i="6"/>
  <c r="AA1751" i="6"/>
  <c r="Z1751" i="6"/>
  <c r="AB1750" i="6"/>
  <c r="AA1750" i="6"/>
  <c r="Z1750" i="6"/>
  <c r="AB1749" i="6"/>
  <c r="AA1749" i="6"/>
  <c r="Z1749" i="6"/>
  <c r="AB1748" i="6"/>
  <c r="AA1748" i="6"/>
  <c r="Z1748" i="6"/>
  <c r="AB1747" i="6"/>
  <c r="AA1747" i="6"/>
  <c r="Z1747"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B1734" i="6"/>
  <c r="AA1734" i="6"/>
  <c r="Z1734" i="6"/>
  <c r="AB1733" i="6"/>
  <c r="AA1733" i="6"/>
  <c r="Z1733"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B1716" i="6"/>
  <c r="AA1716" i="6"/>
  <c r="Z1716" i="6"/>
  <c r="AB1715" i="6"/>
  <c r="AA1715" i="6"/>
  <c r="Z1715" i="6"/>
  <c r="AB1714" i="6"/>
  <c r="AA1714" i="6"/>
  <c r="Z1714" i="6"/>
  <c r="AB1713" i="6"/>
  <c r="AA1713" i="6"/>
  <c r="Z1713" i="6"/>
  <c r="AB1712" i="6"/>
  <c r="AA1712" i="6"/>
  <c r="Z1712" i="6"/>
  <c r="AB1711" i="6"/>
  <c r="AA1711" i="6"/>
  <c r="Z1711" i="6"/>
  <c r="AB1710" i="6"/>
  <c r="AA1710" i="6"/>
  <c r="Z1710" i="6"/>
  <c r="AB1709" i="6"/>
  <c r="AA1709" i="6"/>
  <c r="Z1709" i="6"/>
  <c r="AB1708" i="6"/>
  <c r="AA1708" i="6"/>
  <c r="Z1708" i="6"/>
  <c r="AB1707" i="6"/>
  <c r="AA1707" i="6"/>
  <c r="Z1707" i="6"/>
  <c r="AB1706" i="6"/>
  <c r="AA1706" i="6"/>
  <c r="Z1706" i="6"/>
  <c r="AB1705" i="6"/>
  <c r="AA1705" i="6"/>
  <c r="Z1705" i="6"/>
  <c r="AB1704" i="6"/>
  <c r="AA1704" i="6"/>
  <c r="Z1704" i="6"/>
  <c r="AB1703" i="6"/>
  <c r="AA1703" i="6"/>
  <c r="Z1703" i="6"/>
  <c r="AB1702" i="6"/>
  <c r="AA1702" i="6"/>
  <c r="Z1702" i="6"/>
  <c r="AB1701" i="6"/>
  <c r="AA1701" i="6"/>
  <c r="Z1701" i="6"/>
  <c r="AB1700" i="6"/>
  <c r="AA1700" i="6"/>
  <c r="Z1700" i="6"/>
  <c r="AB1699" i="6"/>
  <c r="AA1699" i="6"/>
  <c r="Z1699" i="6"/>
  <c r="AB1698" i="6"/>
  <c r="AA1698" i="6"/>
  <c r="Z1698" i="6"/>
  <c r="AB1697" i="6"/>
  <c r="AA1697" i="6"/>
  <c r="Z1697" i="6"/>
  <c r="AB1696" i="6"/>
  <c r="AA1696" i="6"/>
  <c r="Z1696" i="6"/>
  <c r="AB1695" i="6"/>
  <c r="AA1695" i="6"/>
  <c r="Z1695" i="6"/>
  <c r="AB1694" i="6"/>
  <c r="AA1694" i="6"/>
  <c r="Z1694"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B1684" i="6"/>
  <c r="AA1684" i="6"/>
  <c r="Z1684" i="6"/>
  <c r="AB1683" i="6"/>
  <c r="AA1683" i="6"/>
  <c r="Z1683" i="6"/>
  <c r="AB1682" i="6"/>
  <c r="AA1682" i="6"/>
  <c r="Z1682" i="6"/>
  <c r="AB1681" i="6"/>
  <c r="AA1681" i="6"/>
  <c r="Z1681" i="6"/>
  <c r="AB1680" i="6"/>
  <c r="AA1680" i="6"/>
  <c r="Z1680" i="6"/>
  <c r="AB1679" i="6"/>
  <c r="AA1679" i="6"/>
  <c r="Z1679" i="6"/>
  <c r="AB1678" i="6"/>
  <c r="AA1678" i="6"/>
  <c r="Z1678" i="6"/>
  <c r="AB1677" i="6"/>
  <c r="AA1677" i="6"/>
  <c r="Z1677" i="6"/>
  <c r="AB1676" i="6"/>
  <c r="AA1676" i="6"/>
  <c r="Z1676" i="6"/>
  <c r="AB1675" i="6"/>
  <c r="AA1675" i="6"/>
  <c r="Z1675" i="6"/>
  <c r="AB1674" i="6"/>
  <c r="AA1674" i="6"/>
  <c r="Z1674" i="6"/>
  <c r="AB1673" i="6"/>
  <c r="AA1673" i="6"/>
  <c r="Z1673" i="6"/>
  <c r="AB1672" i="6"/>
  <c r="AA1672" i="6"/>
  <c r="Z1672" i="6"/>
  <c r="AB1671" i="6"/>
  <c r="AA1671" i="6"/>
  <c r="Z1671" i="6"/>
  <c r="AB1670" i="6"/>
  <c r="AA1670" i="6"/>
  <c r="Z1670" i="6"/>
  <c r="AB1669" i="6"/>
  <c r="AA1669" i="6"/>
  <c r="Z1669" i="6"/>
  <c r="AB1668" i="6"/>
  <c r="AA1668" i="6"/>
  <c r="Z1668" i="6"/>
  <c r="AB1667" i="6"/>
  <c r="AA1667" i="6"/>
  <c r="Z1667" i="6"/>
  <c r="AB1666" i="6"/>
  <c r="AA1666" i="6"/>
  <c r="Z1666" i="6"/>
  <c r="AB1665" i="6"/>
  <c r="AA1665" i="6"/>
  <c r="Z1665" i="6"/>
  <c r="AB1664" i="6"/>
  <c r="AA1664" i="6"/>
  <c r="Z1664" i="6"/>
  <c r="AB1663" i="6"/>
  <c r="AA1663" i="6"/>
  <c r="Z1663" i="6"/>
  <c r="AB1662" i="6"/>
  <c r="AA1662" i="6"/>
  <c r="Z1662" i="6"/>
  <c r="AB1661" i="6"/>
  <c r="AA1661" i="6"/>
  <c r="Z1661" i="6"/>
  <c r="AB1660" i="6"/>
  <c r="AA1660" i="6"/>
  <c r="Z1660" i="6"/>
  <c r="AB1659" i="6"/>
  <c r="AA1659" i="6"/>
  <c r="Z1659" i="6"/>
  <c r="AB1658" i="6"/>
  <c r="AA1658" i="6"/>
  <c r="Z1658" i="6"/>
  <c r="AB1657" i="6"/>
  <c r="AA1657" i="6"/>
  <c r="Z1657" i="6"/>
  <c r="AB1656" i="6"/>
  <c r="AA1656" i="6"/>
  <c r="Z1656" i="6"/>
  <c r="AB1655" i="6"/>
  <c r="AA1655" i="6"/>
  <c r="Z1655" i="6"/>
  <c r="AB1654" i="6"/>
  <c r="AA1654" i="6"/>
  <c r="Z1654" i="6"/>
  <c r="AB1653" i="6"/>
  <c r="AA1653" i="6"/>
  <c r="Z1653" i="6"/>
  <c r="AB1652" i="6"/>
  <c r="AA1652" i="6"/>
  <c r="Z1652" i="6"/>
  <c r="AB1651" i="6"/>
  <c r="AA1651" i="6"/>
  <c r="Z1651" i="6"/>
  <c r="AB1650" i="6"/>
  <c r="AA1650" i="6"/>
  <c r="Z1650" i="6"/>
  <c r="AB1649" i="6"/>
  <c r="AA1649" i="6"/>
  <c r="Z1649" i="6"/>
  <c r="AB1648" i="6"/>
  <c r="AA1648" i="6"/>
  <c r="Z1648" i="6"/>
  <c r="AB1647" i="6"/>
  <c r="AA1647" i="6"/>
  <c r="Z1647" i="6"/>
  <c r="AB1646" i="6"/>
  <c r="AA1646" i="6"/>
  <c r="Z1646" i="6"/>
  <c r="AB1645" i="6"/>
  <c r="AA1645" i="6"/>
  <c r="Z1645" i="6"/>
  <c r="AB1644" i="6"/>
  <c r="AA1644" i="6"/>
  <c r="Z1644" i="6"/>
  <c r="AB1643" i="6"/>
  <c r="AA1643" i="6"/>
  <c r="Z1643" i="6"/>
  <c r="AB1642" i="6"/>
  <c r="AA1642" i="6"/>
  <c r="Z1642" i="6"/>
  <c r="AB1641" i="6"/>
  <c r="AA1641" i="6"/>
  <c r="Z1641" i="6"/>
  <c r="AB1640" i="6"/>
  <c r="AA1640" i="6"/>
  <c r="Z1640" i="6"/>
  <c r="AB1639" i="6"/>
  <c r="AA1639" i="6"/>
  <c r="Z1639" i="6"/>
  <c r="AB1638" i="6"/>
  <c r="AA1638" i="6"/>
  <c r="Z1638"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B1626" i="6"/>
  <c r="AA1626" i="6"/>
  <c r="Z1626" i="6"/>
  <c r="AB1625" i="6"/>
  <c r="AA1625" i="6"/>
  <c r="Z1625" i="6"/>
  <c r="AB1624" i="6"/>
  <c r="AA1624" i="6"/>
  <c r="Z1624" i="6"/>
  <c r="AB1623" i="6"/>
  <c r="AA1623" i="6"/>
  <c r="Z1623" i="6"/>
  <c r="AB1622" i="6"/>
  <c r="AA1622" i="6"/>
  <c r="Z1622" i="6"/>
  <c r="AB1621" i="6"/>
  <c r="AA1621" i="6"/>
  <c r="Z1621" i="6"/>
  <c r="AB1620" i="6"/>
  <c r="AA1620" i="6"/>
  <c r="Z1620" i="6"/>
  <c r="AB1619" i="6"/>
  <c r="AA1619" i="6"/>
  <c r="Z1619" i="6"/>
  <c r="AB1618" i="6"/>
  <c r="AA1618" i="6"/>
  <c r="Z1618" i="6"/>
  <c r="AB1617" i="6"/>
  <c r="AA1617" i="6"/>
  <c r="Z1617" i="6"/>
  <c r="AB1616" i="6"/>
  <c r="AA1616" i="6"/>
  <c r="Z1616" i="6"/>
  <c r="AB1615" i="6"/>
  <c r="AA1615" i="6"/>
  <c r="Z1615"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B1550" i="6"/>
  <c r="AA1550" i="6"/>
  <c r="Z1550"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B1517" i="6"/>
  <c r="AA1517" i="6"/>
  <c r="Z1517" i="6"/>
  <c r="AB1516" i="6"/>
  <c r="AA1516" i="6"/>
  <c r="Z1516" i="6"/>
  <c r="AB1515" i="6"/>
  <c r="AA1515" i="6"/>
  <c r="Z1515" i="6"/>
  <c r="AB1514" i="6"/>
  <c r="AA1514" i="6"/>
  <c r="Z1514" i="6"/>
  <c r="AB1513" i="6"/>
  <c r="AA1513" i="6"/>
  <c r="Z1513" i="6"/>
  <c r="AB1512" i="6"/>
  <c r="AA1512" i="6"/>
  <c r="Z1512" i="6"/>
  <c r="AB1511" i="6"/>
  <c r="AA1511" i="6"/>
  <c r="Z1511" i="6"/>
  <c r="AB1510" i="6"/>
  <c r="AA1510" i="6"/>
  <c r="Z1510" i="6"/>
  <c r="AB1509" i="6"/>
  <c r="AA1509" i="6"/>
  <c r="Z1509" i="6"/>
  <c r="AB1508" i="6"/>
  <c r="AA1508" i="6"/>
  <c r="Z1508" i="6"/>
  <c r="AB1507" i="6"/>
  <c r="AA1507" i="6"/>
  <c r="Z1507" i="6"/>
  <c r="AB1506" i="6"/>
  <c r="AA1506" i="6"/>
  <c r="Z1506" i="6"/>
  <c r="AB1505" i="6"/>
  <c r="AA1505" i="6"/>
  <c r="Z1505"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B1492" i="6"/>
  <c r="AA1492" i="6"/>
  <c r="Z1492" i="6"/>
  <c r="AB1491" i="6"/>
  <c r="AA1491" i="6"/>
  <c r="Z1491" i="6"/>
  <c r="AB1490" i="6"/>
  <c r="AA1490" i="6"/>
  <c r="Z1490" i="6"/>
  <c r="AB1489" i="6"/>
  <c r="AA1489" i="6"/>
  <c r="Z1489" i="6"/>
  <c r="AB1488" i="6"/>
  <c r="AA1488" i="6"/>
  <c r="Z1488" i="6"/>
  <c r="AB1487" i="6"/>
  <c r="AA1487" i="6"/>
  <c r="Z1487"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B1477" i="6"/>
  <c r="AA1477" i="6"/>
  <c r="Z1477" i="6"/>
  <c r="AB1476" i="6"/>
  <c r="AA1476" i="6"/>
  <c r="Z1476" i="6"/>
  <c r="AB1475" i="6"/>
  <c r="AA1475" i="6"/>
  <c r="Z1475" i="6"/>
  <c r="AB1474" i="6"/>
  <c r="AA1474" i="6"/>
  <c r="Z1474" i="6"/>
  <c r="AB1473" i="6"/>
  <c r="AA1473" i="6"/>
  <c r="Z1473" i="6"/>
  <c r="AB1472" i="6"/>
  <c r="AA1472" i="6"/>
  <c r="Z1472"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B1442" i="6"/>
  <c r="AA1442" i="6"/>
  <c r="Z1442" i="6"/>
  <c r="AB1441" i="6"/>
  <c r="AA1441" i="6"/>
  <c r="Z1441" i="6"/>
  <c r="AB1440" i="6"/>
  <c r="AA1440" i="6"/>
  <c r="Z1440" i="6"/>
  <c r="AB1439" i="6"/>
  <c r="AA1439" i="6"/>
  <c r="Z1439" i="6"/>
  <c r="AB1438" i="6"/>
  <c r="AA1438" i="6"/>
  <c r="Z1438" i="6"/>
  <c r="AB1437" i="6"/>
  <c r="AA1437" i="6"/>
  <c r="Z1437" i="6"/>
  <c r="AB1436" i="6"/>
  <c r="AA1436" i="6"/>
  <c r="Z1436" i="6"/>
  <c r="AB1435" i="6"/>
  <c r="AA1435" i="6"/>
  <c r="Z1435" i="6"/>
  <c r="AB1434" i="6"/>
  <c r="AA1434" i="6"/>
  <c r="Z1434" i="6"/>
  <c r="AB1433" i="6"/>
  <c r="AA1433" i="6"/>
  <c r="Z1433" i="6"/>
  <c r="AB1432" i="6"/>
  <c r="AA1432" i="6"/>
  <c r="Z1432" i="6"/>
  <c r="AB1431" i="6"/>
  <c r="AA1431" i="6"/>
  <c r="Z1431" i="6"/>
  <c r="AB1430" i="6"/>
  <c r="AA1430" i="6"/>
  <c r="Z1430" i="6"/>
  <c r="AB1429" i="6"/>
  <c r="AA1429" i="6"/>
  <c r="Z1429" i="6"/>
  <c r="AB1428" i="6"/>
  <c r="AA1428" i="6"/>
  <c r="Z1428" i="6"/>
  <c r="AB1427" i="6"/>
  <c r="AA1427" i="6"/>
  <c r="Z1427" i="6"/>
  <c r="AB1426" i="6"/>
  <c r="AA1426" i="6"/>
  <c r="Z1426" i="6"/>
  <c r="AB1425" i="6"/>
  <c r="AA1425" i="6"/>
  <c r="Z1425" i="6"/>
  <c r="AB1424" i="6"/>
  <c r="AA1424" i="6"/>
  <c r="Z1424" i="6"/>
  <c r="AB1423" i="6"/>
  <c r="AA1423" i="6"/>
  <c r="Z1423" i="6"/>
  <c r="AB1422" i="6"/>
  <c r="AA1422" i="6"/>
  <c r="Z1422" i="6"/>
  <c r="AB1421" i="6"/>
  <c r="AA1421" i="6"/>
  <c r="Z1421" i="6"/>
  <c r="AB1420" i="6"/>
  <c r="AA1420" i="6"/>
  <c r="Z1420" i="6"/>
  <c r="AB1419" i="6"/>
  <c r="AA1419" i="6"/>
  <c r="Z1419" i="6"/>
  <c r="AB1418" i="6"/>
  <c r="AA1418" i="6"/>
  <c r="Z1418" i="6"/>
  <c r="AB1417" i="6"/>
  <c r="AA1417" i="6"/>
  <c r="Z1417" i="6"/>
  <c r="AB1416" i="6"/>
  <c r="AA1416" i="6"/>
  <c r="Z1416" i="6"/>
  <c r="AB1415" i="6"/>
  <c r="AA1415" i="6"/>
  <c r="Z1415" i="6"/>
  <c r="AB1414" i="6"/>
  <c r="AA1414" i="6"/>
  <c r="Z1414" i="6"/>
  <c r="AB1413" i="6"/>
  <c r="AA1413" i="6"/>
  <c r="Z1413" i="6"/>
  <c r="AB1412" i="6"/>
  <c r="AA1412" i="6"/>
  <c r="Z1412" i="6"/>
  <c r="AB1411" i="6"/>
  <c r="AA1411" i="6"/>
  <c r="Z1411" i="6"/>
  <c r="AB1410" i="6"/>
  <c r="AA1410" i="6"/>
  <c r="Z1410"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1973" i="6"/>
  <c r="AD1972" i="6"/>
  <c r="AD1971" i="6"/>
  <c r="AD1970" i="6"/>
  <c r="AD1969" i="6"/>
  <c r="AD1968" i="6"/>
  <c r="AD1967" i="6"/>
  <c r="AD1966" i="6"/>
  <c r="AD1965" i="6"/>
  <c r="AD1964" i="6"/>
  <c r="AD1963" i="6"/>
  <c r="AD1962" i="6"/>
  <c r="AD1961" i="6"/>
  <c r="AD1960" i="6"/>
  <c r="AD1959" i="6"/>
  <c r="AD1958" i="6"/>
  <c r="AD1957" i="6"/>
  <c r="AD1956" i="6"/>
  <c r="AD1955" i="6"/>
  <c r="AD1954" i="6"/>
  <c r="AD1953" i="6"/>
  <c r="AD1952" i="6"/>
  <c r="AD1951" i="6"/>
  <c r="AD1950" i="6"/>
  <c r="AD1949" i="6"/>
  <c r="AD1948" i="6"/>
  <c r="AD1947" i="6"/>
  <c r="AD1946" i="6"/>
  <c r="AD1945" i="6"/>
  <c r="AD1944" i="6"/>
  <c r="AD1943" i="6"/>
  <c r="AD1942" i="6"/>
  <c r="AD1941" i="6"/>
  <c r="AD1940" i="6"/>
  <c r="AD1939" i="6"/>
  <c r="AD1938" i="6"/>
  <c r="AD1937" i="6"/>
  <c r="AD1936" i="6"/>
  <c r="AD1935" i="6"/>
  <c r="AD1934" i="6"/>
  <c r="AD1933" i="6"/>
  <c r="AD1932" i="6"/>
  <c r="AD1931" i="6"/>
  <c r="AD1930" i="6"/>
  <c r="AD1929" i="6"/>
  <c r="AD1928" i="6"/>
  <c r="AD1927" i="6"/>
  <c r="AD1926" i="6"/>
  <c r="AD1925" i="6"/>
  <c r="AD1924" i="6"/>
  <c r="AD1923" i="6"/>
  <c r="AD1922" i="6"/>
  <c r="AD1921" i="6"/>
  <c r="AD1920" i="6"/>
  <c r="AD1919" i="6"/>
  <c r="AD1918" i="6"/>
  <c r="AD1917" i="6"/>
  <c r="AD1916" i="6"/>
  <c r="AD1915" i="6"/>
  <c r="AD1914" i="6"/>
  <c r="AD1913" i="6"/>
  <c r="AD1912" i="6"/>
  <c r="AD1911" i="6"/>
  <c r="AD1910" i="6"/>
  <c r="AD1909" i="6"/>
  <c r="AD1908" i="6"/>
  <c r="AD1907" i="6"/>
  <c r="AD1906" i="6"/>
  <c r="AD1905" i="6"/>
  <c r="AD1904" i="6"/>
  <c r="AD1903" i="6"/>
  <c r="AD1902" i="6"/>
  <c r="AD1901" i="6"/>
  <c r="AD1900" i="6"/>
  <c r="AD1899" i="6"/>
  <c r="AD1898" i="6"/>
  <c r="AD1897" i="6"/>
  <c r="AD1896" i="6"/>
  <c r="AD1895" i="6"/>
  <c r="AD1894" i="6"/>
  <c r="AD1893" i="6"/>
  <c r="AD1892" i="6"/>
  <c r="AD1891" i="6"/>
  <c r="AD1890" i="6"/>
  <c r="AD1889" i="6"/>
  <c r="AD1888" i="6"/>
  <c r="AD1887" i="6"/>
  <c r="AD1886" i="6"/>
  <c r="AD1885" i="6"/>
  <c r="AD1884" i="6"/>
  <c r="AD1883" i="6"/>
  <c r="AD1882" i="6"/>
  <c r="AD1881" i="6"/>
  <c r="AD1880" i="6"/>
  <c r="AD1879" i="6"/>
  <c r="AD1878" i="6"/>
  <c r="AD1877" i="6"/>
  <c r="AD1876" i="6"/>
  <c r="AD1875" i="6"/>
  <c r="AD1874" i="6"/>
  <c r="AD1873" i="6"/>
  <c r="AD1872" i="6"/>
  <c r="AD1871" i="6"/>
  <c r="AD1870" i="6"/>
  <c r="AD1869" i="6"/>
  <c r="AD1868" i="6"/>
  <c r="AD1867" i="6"/>
  <c r="AD1866" i="6"/>
  <c r="AD1865" i="6"/>
  <c r="AD1864" i="6"/>
  <c r="AD1863" i="6"/>
  <c r="AD1862" i="6"/>
  <c r="AD1861" i="6"/>
  <c r="AD1860" i="6"/>
  <c r="AD1859" i="6"/>
  <c r="AD1858" i="6"/>
  <c r="AD1857" i="6"/>
  <c r="AD1856" i="6"/>
  <c r="AD1855" i="6"/>
  <c r="AD1854" i="6"/>
  <c r="AD1853" i="6"/>
  <c r="AD1852" i="6"/>
  <c r="AD1851" i="6"/>
  <c r="AD1850" i="6"/>
  <c r="AD1849" i="6"/>
  <c r="AD1848" i="6"/>
  <c r="AD1847" i="6"/>
  <c r="AD1846" i="6"/>
  <c r="AD1845" i="6"/>
  <c r="AD1844" i="6"/>
  <c r="AD1843" i="6"/>
  <c r="AD1842" i="6"/>
  <c r="AD1841" i="6"/>
  <c r="AD1840" i="6"/>
  <c r="AD1839" i="6"/>
  <c r="AD1838" i="6"/>
  <c r="AD1837" i="6"/>
  <c r="AD1836" i="6"/>
  <c r="AD1835" i="6"/>
  <c r="AD1834" i="6"/>
  <c r="AD1833" i="6"/>
  <c r="AD1832" i="6"/>
  <c r="AD1831" i="6"/>
  <c r="AD1830" i="6"/>
  <c r="AD1829" i="6"/>
  <c r="AD1828" i="6"/>
  <c r="AD1827" i="6"/>
  <c r="AD1826" i="6"/>
  <c r="AD1825" i="6"/>
  <c r="AD1824" i="6"/>
  <c r="AD1823" i="6"/>
  <c r="AD1822" i="6"/>
  <c r="AD1821" i="6"/>
  <c r="AD1820" i="6"/>
  <c r="AD1819" i="6"/>
  <c r="AD1818" i="6"/>
  <c r="AD1817" i="6"/>
  <c r="AD1816" i="6"/>
  <c r="AD1815" i="6"/>
  <c r="AD1814" i="6"/>
  <c r="AD1813" i="6"/>
  <c r="AD1812" i="6"/>
  <c r="AD1811" i="6"/>
  <c r="AD1810" i="6"/>
  <c r="AD1809" i="6"/>
  <c r="AD1808" i="6"/>
  <c r="AD1807" i="6"/>
  <c r="AD1806" i="6"/>
  <c r="AD1805" i="6"/>
  <c r="AD1804" i="6"/>
  <c r="AD1803" i="6"/>
  <c r="AD1802" i="6"/>
  <c r="AD1801" i="6"/>
  <c r="AD1800" i="6"/>
  <c r="AD1799" i="6"/>
  <c r="AD1798" i="6"/>
  <c r="AD1797" i="6"/>
  <c r="AD1796" i="6"/>
  <c r="AD1795" i="6"/>
  <c r="AD1794" i="6"/>
  <c r="AD1793" i="6"/>
  <c r="AD1792" i="6"/>
  <c r="AD1791" i="6"/>
  <c r="AD1790" i="6"/>
  <c r="AD1789" i="6"/>
  <c r="AD1788" i="6"/>
  <c r="AD1787" i="6"/>
  <c r="AD1786" i="6"/>
  <c r="AD1785" i="6"/>
  <c r="AD1784" i="6"/>
  <c r="AD1783" i="6"/>
  <c r="AD1782" i="6"/>
  <c r="AD1781" i="6"/>
  <c r="AD1780" i="6"/>
  <c r="AD1779" i="6"/>
  <c r="AD1778" i="6"/>
  <c r="AD1777" i="6"/>
  <c r="AD1776" i="6"/>
  <c r="AD1775" i="6"/>
  <c r="AD1774" i="6"/>
  <c r="AD1773" i="6"/>
  <c r="AD1772" i="6"/>
  <c r="AD1771" i="6"/>
  <c r="AD1770" i="6"/>
  <c r="AD1769" i="6"/>
  <c r="AD1768" i="6"/>
  <c r="AD1767" i="6"/>
  <c r="AD1766" i="6"/>
  <c r="AD1765" i="6"/>
  <c r="AD1764" i="6"/>
  <c r="AD1763" i="6"/>
  <c r="AD1762" i="6"/>
  <c r="AD1761" i="6"/>
  <c r="AD1760" i="6"/>
  <c r="AD1759" i="6"/>
  <c r="AD1758" i="6"/>
  <c r="AD1757" i="6"/>
  <c r="AD1756" i="6"/>
  <c r="AD1755" i="6"/>
  <c r="AD1754" i="6"/>
  <c r="AD1753" i="6"/>
  <c r="AD1752" i="6"/>
  <c r="AD1751" i="6"/>
  <c r="AD1750" i="6"/>
  <c r="AD1749" i="6"/>
  <c r="AD1748" i="6"/>
  <c r="AD1747" i="6"/>
  <c r="AD1746" i="6"/>
  <c r="AD1745" i="6"/>
  <c r="AD1744" i="6"/>
  <c r="AD1743" i="6"/>
  <c r="AD1742" i="6"/>
  <c r="AD1741" i="6"/>
  <c r="AD1740" i="6"/>
  <c r="AD1739" i="6"/>
  <c r="AD1738" i="6"/>
  <c r="AD1737" i="6"/>
  <c r="AD1736" i="6"/>
  <c r="AD1735" i="6"/>
  <c r="AD1734" i="6"/>
  <c r="AD1733" i="6"/>
  <c r="AD1732" i="6"/>
  <c r="AD1731" i="6"/>
  <c r="AD1730" i="6"/>
  <c r="AD1729" i="6"/>
  <c r="AD1728" i="6"/>
  <c r="AD1727" i="6"/>
  <c r="AD1726" i="6"/>
  <c r="AD1725" i="6"/>
  <c r="AD1724" i="6"/>
  <c r="AD1723" i="6"/>
  <c r="AD1722" i="6"/>
  <c r="AD1721" i="6"/>
  <c r="AD1720" i="6"/>
  <c r="AD1719" i="6"/>
  <c r="AD1718" i="6"/>
  <c r="AD1717" i="6"/>
  <c r="AD1716" i="6"/>
  <c r="AD1715" i="6"/>
  <c r="AD1714" i="6"/>
  <c r="AD1713" i="6"/>
  <c r="AD1712" i="6"/>
  <c r="AD1711" i="6"/>
  <c r="AD1710" i="6"/>
  <c r="AD1709" i="6"/>
  <c r="AD1708" i="6"/>
  <c r="AD1707" i="6"/>
  <c r="AD1706" i="6"/>
  <c r="AD1705" i="6"/>
  <c r="AD1704" i="6"/>
  <c r="AD1703" i="6"/>
  <c r="AD1702" i="6"/>
  <c r="AD1701" i="6"/>
  <c r="AD1700" i="6"/>
  <c r="AD1699" i="6"/>
  <c r="AD1698" i="6"/>
  <c r="AD1697" i="6"/>
  <c r="AD1696" i="6"/>
  <c r="AD1695" i="6"/>
  <c r="AD1694" i="6"/>
  <c r="AD1693" i="6"/>
  <c r="AD1692" i="6"/>
  <c r="AD1691" i="6"/>
  <c r="AD1690" i="6"/>
  <c r="AD1689" i="6"/>
  <c r="AD1688" i="6"/>
  <c r="AD1687" i="6"/>
  <c r="AD1686" i="6"/>
  <c r="AD1685" i="6"/>
  <c r="AD1684" i="6"/>
  <c r="AD1683" i="6"/>
  <c r="AD1682" i="6"/>
  <c r="AD1681" i="6"/>
  <c r="AD1680" i="6"/>
  <c r="AD1679" i="6"/>
  <c r="AD1678" i="6"/>
  <c r="AD1677" i="6"/>
  <c r="AD1676" i="6"/>
  <c r="AD1675" i="6"/>
  <c r="AD1674" i="6"/>
  <c r="AD1673" i="6"/>
  <c r="AD1672" i="6"/>
  <c r="AD1671" i="6"/>
  <c r="AD1670" i="6"/>
  <c r="AD1669" i="6"/>
  <c r="AD1668" i="6"/>
  <c r="AD1667" i="6"/>
  <c r="AD1666" i="6"/>
  <c r="AD1665" i="6"/>
  <c r="AD1664" i="6"/>
  <c r="AD1663" i="6"/>
  <c r="AD1662" i="6"/>
  <c r="AD1661" i="6"/>
  <c r="AD1660" i="6"/>
  <c r="AD1659" i="6"/>
  <c r="AD1658" i="6"/>
  <c r="AD1657" i="6"/>
  <c r="AD1656" i="6"/>
  <c r="AD1655" i="6"/>
  <c r="AD1654" i="6"/>
  <c r="AD1653" i="6"/>
  <c r="AD1652" i="6"/>
  <c r="AD1651" i="6"/>
  <c r="AD1650" i="6"/>
  <c r="AD1649" i="6"/>
  <c r="AD1648" i="6"/>
  <c r="AD1647" i="6"/>
  <c r="AD1646" i="6"/>
  <c r="AD1645" i="6"/>
  <c r="AD1644" i="6"/>
  <c r="AD1643" i="6"/>
  <c r="AD1642" i="6"/>
  <c r="AD1641" i="6"/>
  <c r="AD1640" i="6"/>
  <c r="AD1639" i="6"/>
  <c r="AD1638" i="6"/>
  <c r="AD1637" i="6"/>
  <c r="AD1636" i="6"/>
  <c r="AD1635" i="6"/>
  <c r="AD1634" i="6"/>
  <c r="AD1633" i="6"/>
  <c r="AD1632" i="6"/>
  <c r="AD1631" i="6"/>
  <c r="AD1630" i="6"/>
  <c r="AD1629" i="6"/>
  <c r="AD1628" i="6"/>
  <c r="AD1627" i="6"/>
  <c r="AD1626" i="6"/>
  <c r="AD1625" i="6"/>
  <c r="AD1624" i="6"/>
  <c r="AD1623" i="6"/>
  <c r="AD1622" i="6"/>
  <c r="AD1621" i="6"/>
  <c r="AD1620" i="6"/>
  <c r="AD1619" i="6"/>
  <c r="AD1618" i="6"/>
  <c r="AD1617" i="6"/>
  <c r="AD1616" i="6"/>
  <c r="AD1615" i="6"/>
  <c r="AD1614" i="6"/>
  <c r="AD1613" i="6"/>
  <c r="AD1612" i="6"/>
  <c r="AD1611" i="6"/>
  <c r="AD1610" i="6"/>
  <c r="AD1609" i="6"/>
  <c r="AD1608" i="6"/>
  <c r="AD1607" i="6"/>
  <c r="AD1606" i="6"/>
  <c r="AD1605" i="6"/>
  <c r="AD1604" i="6"/>
  <c r="AD1603" i="6"/>
  <c r="AD1602" i="6"/>
  <c r="AD1601" i="6"/>
  <c r="AD1600" i="6"/>
  <c r="AD1599" i="6"/>
  <c r="AD1598" i="6"/>
  <c r="AD1597" i="6"/>
  <c r="AD1596" i="6"/>
  <c r="AD1595" i="6"/>
  <c r="AD1594" i="6"/>
  <c r="AD1593" i="6"/>
  <c r="AD1592" i="6"/>
  <c r="AD1591" i="6"/>
  <c r="AD1590" i="6"/>
  <c r="AD1589" i="6"/>
  <c r="AD1588" i="6"/>
  <c r="AD1587" i="6"/>
  <c r="AD1586" i="6"/>
  <c r="AD1585" i="6"/>
  <c r="AD1584" i="6"/>
  <c r="AD1583" i="6"/>
  <c r="AD1582" i="6"/>
  <c r="AD1581" i="6"/>
  <c r="AD1580" i="6"/>
  <c r="AD1579" i="6"/>
  <c r="AD1578" i="6"/>
  <c r="AD1577" i="6"/>
  <c r="AD1576" i="6"/>
  <c r="AD1575" i="6"/>
  <c r="AD1574" i="6"/>
  <c r="AD1573" i="6"/>
  <c r="AD1572" i="6"/>
  <c r="AD1571" i="6"/>
  <c r="AD1570" i="6"/>
  <c r="AD1569" i="6"/>
  <c r="AD1568" i="6"/>
  <c r="AD1567" i="6"/>
  <c r="AD1566" i="6"/>
  <c r="AD1565" i="6"/>
  <c r="AD1564" i="6"/>
  <c r="AD1563" i="6"/>
  <c r="AD1562" i="6"/>
  <c r="AD1561" i="6"/>
  <c r="AD1560" i="6"/>
  <c r="AD1559" i="6"/>
  <c r="AD1558" i="6"/>
  <c r="AD1557" i="6"/>
  <c r="AD1556" i="6"/>
  <c r="AD1555" i="6"/>
  <c r="AD1554" i="6"/>
  <c r="AD1553" i="6"/>
  <c r="AD1552" i="6"/>
  <c r="AD1551" i="6"/>
  <c r="AD1550" i="6"/>
  <c r="AD1549" i="6"/>
  <c r="AD1548" i="6"/>
  <c r="AD1547" i="6"/>
  <c r="AD1546" i="6"/>
  <c r="AD1545" i="6"/>
  <c r="AD1544" i="6"/>
  <c r="AD1543" i="6"/>
  <c r="AD1542" i="6"/>
  <c r="AD1541" i="6"/>
  <c r="AD1540" i="6"/>
  <c r="AD1539" i="6"/>
  <c r="AD1538" i="6"/>
  <c r="AD1537" i="6"/>
  <c r="AD1536" i="6"/>
  <c r="AD1535" i="6"/>
  <c r="AD1534" i="6"/>
  <c r="AD1533" i="6"/>
  <c r="AD1532" i="6"/>
  <c r="AD1531" i="6"/>
  <c r="AD1530" i="6"/>
  <c r="AD1529" i="6"/>
  <c r="AD1528" i="6"/>
  <c r="AD1527" i="6"/>
  <c r="AD1526" i="6"/>
  <c r="AD1525" i="6"/>
  <c r="AD1524" i="6"/>
  <c r="AD1523" i="6"/>
  <c r="AD1522" i="6"/>
  <c r="AD1521" i="6"/>
  <c r="AD1520" i="6"/>
  <c r="AD1519" i="6"/>
  <c r="AD1518" i="6"/>
  <c r="AD1517" i="6"/>
  <c r="AD1516" i="6"/>
  <c r="AD1515" i="6"/>
  <c r="AD1514" i="6"/>
  <c r="AD1513" i="6"/>
  <c r="AD1512" i="6"/>
  <c r="AD1511" i="6"/>
  <c r="AD1510" i="6"/>
  <c r="AD1509" i="6"/>
  <c r="AD1508" i="6"/>
  <c r="AD1507" i="6"/>
  <c r="AD1506" i="6"/>
  <c r="AD1505" i="6"/>
  <c r="AD1504" i="6"/>
  <c r="AD1503" i="6"/>
  <c r="AD1502" i="6"/>
  <c r="AD1501" i="6"/>
  <c r="AD1500" i="6"/>
  <c r="AD1499" i="6"/>
  <c r="AD1498" i="6"/>
  <c r="AD1497" i="6"/>
  <c r="AD1496" i="6"/>
  <c r="AD1495" i="6"/>
  <c r="AD1494" i="6"/>
  <c r="AD1493" i="6"/>
  <c r="AD1492" i="6"/>
  <c r="AD1491" i="6"/>
  <c r="AD1490" i="6"/>
  <c r="AD1489" i="6"/>
  <c r="AD1488" i="6"/>
  <c r="AD1487" i="6"/>
  <c r="AD1486" i="6"/>
  <c r="AD1485" i="6"/>
  <c r="AD1484" i="6"/>
  <c r="AD1483" i="6"/>
  <c r="AD1482" i="6"/>
  <c r="AD1481" i="6"/>
  <c r="AD1480" i="6"/>
  <c r="AD1479" i="6"/>
  <c r="AD1478" i="6"/>
  <c r="AD1477" i="6"/>
  <c r="AD1476" i="6"/>
  <c r="AD1475" i="6"/>
  <c r="AD1474" i="6"/>
  <c r="AD1473" i="6"/>
  <c r="AD1472" i="6"/>
  <c r="AD1454" i="6"/>
  <c r="AD1453" i="6"/>
  <c r="AD1452" i="6"/>
  <c r="AD1451" i="6"/>
  <c r="AD1450" i="6"/>
  <c r="AD1449" i="6"/>
  <c r="AD1448" i="6"/>
  <c r="AD1447" i="6"/>
  <c r="AD1446" i="6"/>
  <c r="AD1445" i="6"/>
  <c r="AD1444" i="6"/>
  <c r="AD1443" i="6"/>
  <c r="AD1442" i="6"/>
  <c r="AD1441" i="6"/>
  <c r="AD1440" i="6"/>
  <c r="AD1439" i="6"/>
  <c r="AD1438" i="6"/>
  <c r="AD1437" i="6"/>
  <c r="AD1436" i="6"/>
  <c r="AD1435" i="6"/>
  <c r="AD1434" i="6"/>
  <c r="AD1433" i="6"/>
  <c r="AD1432" i="6"/>
  <c r="AD1431" i="6"/>
  <c r="AD1430" i="6"/>
  <c r="AD1429" i="6"/>
  <c r="AD1428" i="6"/>
  <c r="AD1427" i="6"/>
  <c r="AD1426" i="6"/>
  <c r="AD1425" i="6"/>
  <c r="AD1424" i="6"/>
  <c r="AD1423" i="6"/>
  <c r="AD1422" i="6"/>
  <c r="AD1421" i="6"/>
  <c r="AD1420" i="6"/>
  <c r="AD1419" i="6"/>
  <c r="AD1418" i="6"/>
  <c r="AD1417" i="6"/>
  <c r="AD1416" i="6"/>
  <c r="AD1415" i="6"/>
  <c r="AD1414" i="6"/>
  <c r="AD1413" i="6"/>
  <c r="AD1412" i="6"/>
  <c r="AD1411" i="6"/>
  <c r="AD1410" i="6"/>
  <c r="AD1409" i="6"/>
  <c r="AD1408" i="6"/>
  <c r="AD1407" i="6"/>
  <c r="AD1406" i="6"/>
  <c r="AD1405" i="6"/>
  <c r="AD1404" i="6"/>
  <c r="AD1403" i="6"/>
  <c r="AD1402" i="6"/>
  <c r="AD1401" i="6"/>
  <c r="AD1400" i="6"/>
  <c r="AD1399" i="6"/>
  <c r="AD1398" i="6"/>
  <c r="AD1397" i="6"/>
  <c r="AD1396" i="6"/>
  <c r="AD1395" i="6"/>
  <c r="AD1394" i="6"/>
  <c r="AD1393" i="6"/>
  <c r="AD1392" i="6"/>
  <c r="AD1391" i="6"/>
  <c r="AD1390" i="6"/>
  <c r="AD1389" i="6"/>
  <c r="AD138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1973" i="6"/>
  <c r="L1972" i="6"/>
  <c r="L1971" i="6"/>
  <c r="L1970" i="6"/>
  <c r="L1969" i="6"/>
  <c r="L1968" i="6"/>
  <c r="L1967" i="6"/>
  <c r="L1966" i="6"/>
  <c r="L1965" i="6"/>
  <c r="L1964" i="6"/>
  <c r="AF1964" i="6" s="1"/>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AF1862" i="6" s="1"/>
  <c r="L1861" i="6"/>
  <c r="L1860" i="6"/>
  <c r="L1859" i="6"/>
  <c r="L1858" i="6"/>
  <c r="L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L1750" i="6"/>
  <c r="L1749" i="6"/>
  <c r="L1748" i="6"/>
  <c r="L1747" i="6"/>
  <c r="L1746" i="6"/>
  <c r="L1745" i="6"/>
  <c r="L1744" i="6"/>
  <c r="L1743" i="6"/>
  <c r="L1742" i="6"/>
  <c r="L1741" i="6"/>
  <c r="L1740" i="6"/>
  <c r="L1739" i="6"/>
  <c r="L1738" i="6"/>
  <c r="L1737" i="6"/>
  <c r="L1736" i="6"/>
  <c r="L1735" i="6"/>
  <c r="L1734" i="6"/>
  <c r="L1733" i="6"/>
  <c r="L1732" i="6"/>
  <c r="L1731" i="6"/>
  <c r="L1730" i="6"/>
  <c r="L1729" i="6"/>
  <c r="L1728" i="6"/>
  <c r="L1727" i="6"/>
  <c r="L1726" i="6"/>
  <c r="L1725" i="6"/>
  <c r="L1724" i="6"/>
  <c r="L1723" i="6"/>
  <c r="L1722" i="6"/>
  <c r="L1721" i="6"/>
  <c r="L1720" i="6"/>
  <c r="L1719" i="6"/>
  <c r="L1718" i="6"/>
  <c r="L1717" i="6"/>
  <c r="L1716" i="6"/>
  <c r="L1715" i="6"/>
  <c r="L1714" i="6"/>
  <c r="L1713" i="6"/>
  <c r="L1712" i="6"/>
  <c r="L1711" i="6"/>
  <c r="L1710" i="6"/>
  <c r="L1709" i="6"/>
  <c r="L1708" i="6"/>
  <c r="L1707" i="6"/>
  <c r="L1706" i="6"/>
  <c r="L1705" i="6"/>
  <c r="L1704" i="6"/>
  <c r="AF1704" i="6" s="1"/>
  <c r="L1703" i="6"/>
  <c r="L1702" i="6"/>
  <c r="L1701" i="6"/>
  <c r="L1700" i="6"/>
  <c r="L1699" i="6"/>
  <c r="L1698" i="6"/>
  <c r="L1697" i="6"/>
  <c r="L1696" i="6"/>
  <c r="L1695" i="6"/>
  <c r="L1694" i="6"/>
  <c r="L1693" i="6"/>
  <c r="L1692" i="6"/>
  <c r="L1691" i="6"/>
  <c r="L1690" i="6"/>
  <c r="L1689" i="6"/>
  <c r="L1688" i="6"/>
  <c r="L1687" i="6"/>
  <c r="L1686" i="6"/>
  <c r="L1685" i="6"/>
  <c r="L1684" i="6"/>
  <c r="L1683" i="6"/>
  <c r="L1682" i="6"/>
  <c r="L1681" i="6"/>
  <c r="L1680" i="6"/>
  <c r="L1679" i="6"/>
  <c r="L1678" i="6"/>
  <c r="L1677" i="6"/>
  <c r="L1676" i="6"/>
  <c r="L1675" i="6"/>
  <c r="L1674" i="6"/>
  <c r="L1673" i="6"/>
  <c r="L1672" i="6"/>
  <c r="L1671" i="6"/>
  <c r="L1670" i="6"/>
  <c r="L1669" i="6"/>
  <c r="L1668" i="6"/>
  <c r="L1667" i="6"/>
  <c r="L1666" i="6"/>
  <c r="L1665" i="6"/>
  <c r="L1664" i="6"/>
  <c r="L1663" i="6"/>
  <c r="L1662" i="6"/>
  <c r="L1661" i="6"/>
  <c r="L1660" i="6"/>
  <c r="L1659" i="6"/>
  <c r="L1658" i="6"/>
  <c r="L1657" i="6"/>
  <c r="L1656" i="6"/>
  <c r="L1655" i="6"/>
  <c r="L1654" i="6"/>
  <c r="L1653" i="6"/>
  <c r="L1652" i="6"/>
  <c r="L1651" i="6"/>
  <c r="L1650" i="6"/>
  <c r="L1649" i="6"/>
  <c r="L1648" i="6"/>
  <c r="L1647" i="6"/>
  <c r="L1646" i="6"/>
  <c r="L1645" i="6"/>
  <c r="L1644" i="6"/>
  <c r="AF1644" i="6" s="1"/>
  <c r="L1643" i="6"/>
  <c r="L1642" i="6"/>
  <c r="L1641" i="6"/>
  <c r="L1640" i="6"/>
  <c r="L1639" i="6"/>
  <c r="L1638" i="6"/>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L1606" i="6"/>
  <c r="L1605" i="6"/>
  <c r="L1604" i="6"/>
  <c r="L1603" i="6"/>
  <c r="L1602" i="6"/>
  <c r="L1601" i="6"/>
  <c r="L1600" i="6"/>
  <c r="L1599" i="6"/>
  <c r="L1598" i="6"/>
  <c r="L1597" i="6"/>
  <c r="L1596" i="6"/>
  <c r="L1595" i="6"/>
  <c r="L1594" i="6"/>
  <c r="L1593" i="6"/>
  <c r="L1592" i="6"/>
  <c r="L1591" i="6"/>
  <c r="L1590" i="6"/>
  <c r="L1589" i="6"/>
  <c r="L1588" i="6"/>
  <c r="L1587" i="6"/>
  <c r="L1586" i="6"/>
  <c r="L1585" i="6"/>
  <c r="L1584" i="6"/>
  <c r="L1583" i="6"/>
  <c r="L1582" i="6"/>
  <c r="L1581" i="6"/>
  <c r="L1580" i="6"/>
  <c r="L1579" i="6"/>
  <c r="L1578" i="6"/>
  <c r="L1577" i="6"/>
  <c r="L1576" i="6"/>
  <c r="L1575" i="6"/>
  <c r="L1574" i="6"/>
  <c r="L1573" i="6"/>
  <c r="L1572" i="6"/>
  <c r="L1571" i="6"/>
  <c r="L1570" i="6"/>
  <c r="L1569" i="6"/>
  <c r="L1568" i="6"/>
  <c r="L1567" i="6"/>
  <c r="L1566" i="6"/>
  <c r="L1565" i="6"/>
  <c r="L1564" i="6"/>
  <c r="L1563" i="6"/>
  <c r="L1562" i="6"/>
  <c r="L1561" i="6"/>
  <c r="L1560" i="6"/>
  <c r="L1559" i="6"/>
  <c r="L1558" i="6"/>
  <c r="L1557" i="6"/>
  <c r="L1556" i="6"/>
  <c r="L1555" i="6"/>
  <c r="L1554" i="6"/>
  <c r="L1553" i="6"/>
  <c r="L1552" i="6"/>
  <c r="L1551" i="6"/>
  <c r="L1550" i="6"/>
  <c r="L1549" i="6"/>
  <c r="L1548" i="6"/>
  <c r="L1547" i="6"/>
  <c r="L1546" i="6"/>
  <c r="L1545" i="6"/>
  <c r="L1544" i="6"/>
  <c r="L1543" i="6"/>
  <c r="L1542" i="6"/>
  <c r="L1541" i="6"/>
  <c r="L1540" i="6"/>
  <c r="L1539" i="6"/>
  <c r="L1538" i="6"/>
  <c r="L1537" i="6"/>
  <c r="L1536" i="6"/>
  <c r="L1535" i="6"/>
  <c r="L1534" i="6"/>
  <c r="L1533" i="6"/>
  <c r="L1532" i="6"/>
  <c r="L1531" i="6"/>
  <c r="L1530" i="6"/>
  <c r="L1529" i="6"/>
  <c r="L1528" i="6"/>
  <c r="L1527" i="6"/>
  <c r="L1526" i="6"/>
  <c r="L1525" i="6"/>
  <c r="L1524" i="6"/>
  <c r="L1523" i="6"/>
  <c r="L1522" i="6"/>
  <c r="L1521" i="6"/>
  <c r="L1520" i="6"/>
  <c r="L1519" i="6"/>
  <c r="L1518" i="6"/>
  <c r="L1517" i="6"/>
  <c r="L1516" i="6"/>
  <c r="L1515" i="6"/>
  <c r="L1514" i="6"/>
  <c r="L1513" i="6"/>
  <c r="L1512" i="6"/>
  <c r="L1511" i="6"/>
  <c r="L1510" i="6"/>
  <c r="L1509" i="6"/>
  <c r="L1508" i="6"/>
  <c r="L1507" i="6"/>
  <c r="L1506" i="6"/>
  <c r="L1505" i="6"/>
  <c r="L1504" i="6"/>
  <c r="L1503" i="6"/>
  <c r="L1502" i="6"/>
  <c r="L1501" i="6"/>
  <c r="L1500" i="6"/>
  <c r="L1499" i="6"/>
  <c r="L1498" i="6"/>
  <c r="L1497" i="6"/>
  <c r="L1496" i="6"/>
  <c r="L1495" i="6"/>
  <c r="L1494" i="6"/>
  <c r="L1493" i="6"/>
  <c r="L1492" i="6"/>
  <c r="L1491" i="6"/>
  <c r="L1490" i="6"/>
  <c r="L1489" i="6"/>
  <c r="L1488" i="6"/>
  <c r="L1487" i="6"/>
  <c r="L1486" i="6"/>
  <c r="L1485" i="6"/>
  <c r="L1484" i="6"/>
  <c r="L1483" i="6"/>
  <c r="L1482" i="6"/>
  <c r="L1481" i="6"/>
  <c r="L1480" i="6"/>
  <c r="L1479" i="6"/>
  <c r="L1478" i="6"/>
  <c r="L1477" i="6"/>
  <c r="L1476" i="6"/>
  <c r="L1475" i="6"/>
  <c r="L1474" i="6"/>
  <c r="L1473" i="6"/>
  <c r="L1472"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AF1244" i="6" s="1"/>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AF1204" i="6" s="1"/>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AF1044" i="6" s="1"/>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771" i="6"/>
  <c r="L743" i="6"/>
  <c r="L742" i="6"/>
  <c r="L741" i="6"/>
  <c r="L740" i="6"/>
  <c r="L739" i="6"/>
  <c r="L738" i="6"/>
  <c r="L737" i="6"/>
  <c r="L736" i="6"/>
  <c r="L735" i="6"/>
  <c r="L734" i="6"/>
  <c r="L733" i="6"/>
  <c r="L732" i="6"/>
  <c r="L731" i="6"/>
  <c r="L730" i="6"/>
  <c r="L729" i="6"/>
  <c r="L728" i="6"/>
  <c r="L727" i="6"/>
  <c r="L726" i="6"/>
  <c r="L725" i="6"/>
  <c r="L724" i="6"/>
  <c r="L723" i="6"/>
  <c r="L674" i="6"/>
  <c r="AF664" i="6"/>
  <c r="L649" i="6"/>
  <c r="L648" i="6"/>
  <c r="L644" i="6"/>
  <c r="L643" i="6"/>
  <c r="L642" i="6"/>
  <c r="L641" i="6"/>
  <c r="L640" i="6"/>
  <c r="L639" i="6"/>
  <c r="L638" i="6"/>
  <c r="L637" i="6"/>
  <c r="L636" i="6"/>
  <c r="AF610" i="6"/>
  <c r="AF589" i="6"/>
  <c r="AF580" i="6"/>
  <c r="AF569" i="6"/>
  <c r="L555" i="6"/>
  <c r="L554" i="6"/>
  <c r="L553" i="6"/>
  <c r="L552" i="6"/>
  <c r="L551" i="6"/>
  <c r="L550" i="6"/>
  <c r="L549" i="6"/>
  <c r="L548" i="6"/>
  <c r="L547" i="6"/>
  <c r="L546" i="6"/>
  <c r="L545" i="6"/>
  <c r="L544" i="6"/>
  <c r="AF544" i="6" s="1"/>
  <c r="L543" i="6"/>
  <c r="L542" i="6"/>
  <c r="L541" i="6"/>
  <c r="L540" i="6"/>
  <c r="L539" i="6"/>
  <c r="L538" i="6"/>
  <c r="L537" i="6"/>
  <c r="L536" i="6"/>
  <c r="L535" i="6"/>
  <c r="L534" i="6"/>
  <c r="L533" i="6"/>
  <c r="L532" i="6"/>
  <c r="L531" i="6"/>
  <c r="L530" i="6"/>
  <c r="AF530" i="6" s="1"/>
  <c r="L529" i="6"/>
  <c r="L528" i="6"/>
  <c r="L527" i="6"/>
  <c r="L526" i="6"/>
  <c r="L525" i="6"/>
  <c r="L524" i="6"/>
  <c r="L523" i="6"/>
  <c r="L522" i="6"/>
  <c r="L521" i="6"/>
  <c r="L520" i="6"/>
  <c r="L519" i="6"/>
  <c r="L518" i="6"/>
  <c r="L517" i="6"/>
  <c r="L516" i="6"/>
  <c r="L515" i="6"/>
  <c r="L514" i="6"/>
  <c r="L513" i="6"/>
  <c r="L512" i="6"/>
  <c r="L511" i="6"/>
  <c r="L510" i="6"/>
  <c r="L509" i="6"/>
  <c r="AF509" i="6" s="1"/>
  <c r="L508" i="6"/>
  <c r="L507" i="6"/>
  <c r="L506" i="6"/>
  <c r="L505" i="6"/>
  <c r="L504" i="6"/>
  <c r="AF504" i="6" s="1"/>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28" i="3"/>
  <c r="G27" i="3"/>
  <c r="G26" i="3"/>
  <c r="G25" i="3"/>
  <c r="G24" i="3"/>
  <c r="G23" i="3"/>
  <c r="G22" i="3"/>
  <c r="G21" i="3"/>
  <c r="G20" i="3"/>
  <c r="G19" i="3"/>
  <c r="G18" i="3"/>
  <c r="G17" i="3"/>
  <c r="G16" i="3"/>
  <c r="G14" i="3"/>
  <c r="G13" i="3"/>
  <c r="G12" i="3"/>
  <c r="G11" i="3"/>
  <c r="G10" i="3"/>
  <c r="G9" i="3"/>
  <c r="H10" i="3"/>
  <c r="H13" i="3"/>
  <c r="H24" i="3"/>
  <c r="H25"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L140" i="6"/>
  <c r="L141" i="6"/>
  <c r="L142" i="6"/>
  <c r="L143" i="6"/>
  <c r="L144" i="6"/>
  <c r="L145" i="6"/>
  <c r="L146" i="6"/>
  <c r="L147" i="6"/>
  <c r="L148" i="6"/>
  <c r="L151" i="6"/>
  <c r="L150" i="6"/>
  <c r="L149" i="6"/>
  <c r="L152" i="6"/>
  <c r="L153" i="6"/>
  <c r="L154" i="6"/>
  <c r="L155" i="6"/>
  <c r="L156" i="6"/>
  <c r="L157" i="6"/>
  <c r="L158" i="6"/>
  <c r="L159" i="6"/>
  <c r="L160" i="6"/>
  <c r="L161" i="6"/>
  <c r="L162" i="6"/>
  <c r="L163" i="6"/>
  <c r="L165" i="6"/>
  <c r="L164" i="6"/>
  <c r="L166" i="6"/>
  <c r="L170" i="6"/>
  <c r="L169" i="6"/>
  <c r="L168" i="6"/>
  <c r="L167" i="6"/>
  <c r="L171" i="6"/>
  <c r="L172" i="6"/>
  <c r="L173" i="6"/>
  <c r="L175" i="6"/>
  <c r="L174" i="6"/>
  <c r="L176" i="6"/>
  <c r="L177" i="6"/>
  <c r="L178" i="6"/>
  <c r="L179" i="6"/>
  <c r="L180" i="6"/>
  <c r="L181" i="6"/>
  <c r="L182" i="6"/>
  <c r="L183" i="6"/>
  <c r="L185" i="6"/>
  <c r="L184" i="6"/>
  <c r="L186" i="6"/>
  <c r="L187" i="6"/>
  <c r="L188" i="6"/>
  <c r="L189" i="6"/>
  <c r="L190" i="6"/>
  <c r="L191" i="6"/>
  <c r="L192" i="6"/>
  <c r="L193" i="6"/>
  <c r="L194" i="6"/>
  <c r="L195" i="6"/>
  <c r="L196" i="6"/>
  <c r="L197" i="6"/>
  <c r="L198" i="6"/>
  <c r="L199" i="6"/>
  <c r="L133" i="6"/>
  <c r="L134" i="6"/>
  <c r="L135" i="6"/>
  <c r="L136" i="6"/>
  <c r="L137" i="6"/>
  <c r="L138" i="6"/>
  <c r="L139" i="6"/>
  <c r="H139" i="6"/>
  <c r="AF275" i="6" l="1"/>
  <c r="AF277" i="6"/>
  <c r="AF745" i="6"/>
  <c r="AF1925" i="6"/>
  <c r="AF1406" i="6"/>
  <c r="AF1746" i="6"/>
  <c r="AF1846" i="6"/>
  <c r="AF1629" i="6"/>
  <c r="AF769" i="6"/>
  <c r="AF989" i="6"/>
  <c r="AF1029" i="6"/>
  <c r="AF1189" i="6"/>
  <c r="AF1309" i="6"/>
  <c r="AF1549" i="6"/>
  <c r="AF1649" i="6"/>
  <c r="AF1949" i="6"/>
  <c r="AF1030" i="6"/>
  <c r="AF1106" i="6"/>
  <c r="AF669" i="6"/>
  <c r="AF969" i="6"/>
  <c r="AF1229" i="6"/>
  <c r="AF1289" i="6"/>
  <c r="AF1409" i="6"/>
  <c r="AF1489" i="6"/>
  <c r="AF1609" i="6"/>
  <c r="AF1889" i="6"/>
  <c r="AF710" i="6"/>
  <c r="AF970" i="6"/>
  <c r="AF1450" i="6"/>
  <c r="AF1610" i="6"/>
  <c r="AF280" i="6"/>
  <c r="AF680" i="6"/>
  <c r="AF1020" i="6"/>
  <c r="AF1100" i="6"/>
  <c r="AF1420" i="6"/>
  <c r="AF1540" i="6"/>
  <c r="AF1620" i="6"/>
  <c r="AF1780" i="6"/>
  <c r="AF370" i="6"/>
  <c r="AF1043" i="6"/>
  <c r="AF276" i="6"/>
  <c r="AF449" i="6"/>
  <c r="AF279" i="6"/>
  <c r="AF234" i="6"/>
  <c r="AF1867" i="6"/>
  <c r="AF1967" i="6"/>
  <c r="AF300" i="6"/>
  <c r="AF320" i="6"/>
  <c r="AF340" i="6"/>
  <c r="AF360" i="6"/>
  <c r="AF380" i="6"/>
  <c r="AF400" i="6"/>
  <c r="AF420" i="6"/>
  <c r="AF441" i="6"/>
  <c r="AF461" i="6"/>
  <c r="AF134" i="6"/>
  <c r="AF531" i="6"/>
  <c r="AF571" i="6"/>
  <c r="AF731" i="6"/>
  <c r="AF751" i="6"/>
  <c r="AF1011" i="6"/>
  <c r="AF1031" i="6"/>
  <c r="AF1091" i="6"/>
  <c r="AF1271" i="6"/>
  <c r="AF1311" i="6"/>
  <c r="AF1431" i="6"/>
  <c r="AF1691" i="6"/>
  <c r="AF1791" i="6"/>
  <c r="AF552" i="6"/>
  <c r="AF592" i="6"/>
  <c r="AF752" i="6"/>
  <c r="AF1132" i="6"/>
  <c r="AF1312" i="6"/>
  <c r="AF1512" i="6"/>
  <c r="AF1732" i="6"/>
  <c r="AF492" i="6"/>
  <c r="AF632" i="6"/>
  <c r="AF572" i="6"/>
  <c r="AF692" i="6"/>
  <c r="AF1572" i="6"/>
  <c r="AF292" i="6"/>
  <c r="AF532" i="6"/>
  <c r="AF652" i="6"/>
  <c r="AF1892" i="6"/>
  <c r="AF199" i="6"/>
  <c r="AF219" i="6"/>
  <c r="AF585" i="6"/>
  <c r="AF793" i="6"/>
  <c r="AF491" i="6"/>
  <c r="AF639" i="6"/>
  <c r="AF583" i="6"/>
  <c r="AF564" i="6"/>
  <c r="AF139" i="6"/>
  <c r="AF285" i="6"/>
  <c r="AF505" i="6"/>
  <c r="AF1765" i="6"/>
  <c r="AF1407" i="6"/>
  <c r="AF167" i="6"/>
  <c r="AF189" i="6"/>
  <c r="AF168" i="6"/>
  <c r="AF151" i="6"/>
  <c r="AF208" i="6"/>
  <c r="AF228" i="6"/>
  <c r="AF248" i="6"/>
  <c r="AF268" i="6"/>
  <c r="AF188" i="6"/>
  <c r="AF269" i="6"/>
  <c r="AF169" i="6"/>
  <c r="AF209" i="6"/>
  <c r="AF352" i="6"/>
  <c r="AF148" i="6"/>
  <c r="AF229" i="6"/>
  <c r="AF773" i="6"/>
  <c r="AF249" i="6"/>
  <c r="AF474" i="6"/>
  <c r="AF741" i="6"/>
  <c r="AF1561" i="6"/>
  <c r="AF1122" i="6"/>
  <c r="AF221" i="6"/>
  <c r="AF241" i="6"/>
  <c r="AF355" i="6"/>
  <c r="AF142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1804" i="6"/>
  <c r="AF158" i="6"/>
  <c r="AF177" i="6"/>
  <c r="AF605" i="6"/>
  <c r="AF625" i="6"/>
  <c r="AF665" i="6"/>
  <c r="AF1085" i="6"/>
  <c r="AF1145" i="6"/>
  <c r="AF140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1494" i="6"/>
  <c r="AF1514" i="6"/>
  <c r="AF1534" i="6"/>
  <c r="AF1554" i="6"/>
  <c r="AF1734" i="6"/>
  <c r="AF1854" i="6"/>
  <c r="AF728" i="6"/>
  <c r="AF1368" i="6"/>
  <c r="AF157" i="6"/>
  <c r="AF153" i="6"/>
  <c r="AF182" i="6"/>
  <c r="AF736" i="6"/>
  <c r="AF1056" i="6"/>
  <c r="AF1336" i="6"/>
  <c r="AF1576" i="6"/>
  <c r="AF260" i="6"/>
  <c r="AF224" i="6"/>
  <c r="AF338" i="6"/>
  <c r="AF615" i="6"/>
  <c r="AF450" i="6"/>
  <c r="AF170" i="6"/>
  <c r="AF147" i="6"/>
  <c r="AF210" i="6"/>
  <c r="AF270" i="6"/>
  <c r="AF557" i="6"/>
  <c r="AF1217" i="6"/>
  <c r="AF1477" i="6"/>
  <c r="AF291" i="6"/>
  <c r="AF331" i="6"/>
  <c r="AF391" i="6"/>
  <c r="AF452" i="6"/>
  <c r="AF471" i="6"/>
  <c r="AF591" i="6"/>
  <c r="AF631" i="6"/>
  <c r="AF671" i="6"/>
  <c r="AF991" i="6"/>
  <c r="AF1131" i="6"/>
  <c r="AF178" i="6"/>
  <c r="AF240" i="6"/>
  <c r="AF435" i="6"/>
  <c r="AF173" i="6"/>
  <c r="AF230" i="6"/>
  <c r="AF517" i="6"/>
  <c r="AF1717" i="6"/>
  <c r="AF311" i="6"/>
  <c r="AF351" i="6"/>
  <c r="AF371" i="6"/>
  <c r="AF411" i="6"/>
  <c r="AF431" i="6"/>
  <c r="AF186" i="6"/>
  <c r="AF166" i="6"/>
  <c r="AF146" i="6"/>
  <c r="AF211" i="6"/>
  <c r="AF231" i="6"/>
  <c r="AF251" i="6"/>
  <c r="AF271" i="6"/>
  <c r="AF678" i="6"/>
  <c r="AF778" i="6"/>
  <c r="AF798" i="6"/>
  <c r="AF958" i="6"/>
  <c r="AF998" i="6"/>
  <c r="AF1058" i="6"/>
  <c r="AF1078" i="6"/>
  <c r="AF1098" i="6"/>
  <c r="AF1118" i="6"/>
  <c r="AF1178" i="6"/>
  <c r="AF1418" i="6"/>
  <c r="AF1638" i="6"/>
  <c r="AF1698" i="6"/>
  <c r="AF1818" i="6"/>
  <c r="AF193" i="6"/>
  <c r="AF204" i="6"/>
  <c r="AF555" i="6"/>
  <c r="AF1296" i="6"/>
  <c r="AF187" i="6"/>
  <c r="AF250" i="6"/>
  <c r="AF1357" i="6"/>
  <c r="AF1817" i="6"/>
  <c r="AF1877" i="6"/>
  <c r="AF1917" i="6"/>
  <c r="AF138" i="6"/>
  <c r="AF184" i="6"/>
  <c r="AF164" i="6"/>
  <c r="AF145" i="6"/>
  <c r="AF212" i="6"/>
  <c r="AF232" i="6"/>
  <c r="AF252" i="6"/>
  <c r="AF272" i="6"/>
  <c r="AF519" i="6"/>
  <c r="AF559" i="6"/>
  <c r="AF599" i="6"/>
  <c r="AF659" i="6"/>
  <c r="AF759" i="6"/>
  <c r="AF187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1401" i="6"/>
  <c r="AF1421" i="6"/>
  <c r="AF1441" i="6"/>
  <c r="AF1481" i="6"/>
  <c r="AF1501" i="6"/>
  <c r="AF1521" i="6"/>
  <c r="AF1541" i="6"/>
  <c r="AF1581" i="6"/>
  <c r="AF1601" i="6"/>
  <c r="AF1621" i="6"/>
  <c r="AF1641" i="6"/>
  <c r="AF1661" i="6"/>
  <c r="AF1681" i="6"/>
  <c r="AF1701" i="6"/>
  <c r="AF1721" i="6"/>
  <c r="AF1741" i="6"/>
  <c r="AF1761" i="6"/>
  <c r="AF1781" i="6"/>
  <c r="AF1801" i="6"/>
  <c r="AF1821" i="6"/>
  <c r="AF1841" i="6"/>
  <c r="AF1861" i="6"/>
  <c r="AF1881" i="6"/>
  <c r="AF1901" i="6"/>
  <c r="AF1921" i="6"/>
  <c r="AF1941" i="6"/>
  <c r="AF196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1402" i="6"/>
  <c r="AF1442" i="6"/>
  <c r="AF1482" i="6"/>
  <c r="AF1502" i="6"/>
  <c r="AF1522" i="6"/>
  <c r="AF1542" i="6"/>
  <c r="AF1562" i="6"/>
  <c r="AF1582" i="6"/>
  <c r="AF1602" i="6"/>
  <c r="AF1622" i="6"/>
  <c r="AF1642" i="6"/>
  <c r="AF1662" i="6"/>
  <c r="AF1682" i="6"/>
  <c r="AF1702" i="6"/>
  <c r="AF1722" i="6"/>
  <c r="AF1742" i="6"/>
  <c r="AF1762" i="6"/>
  <c r="AF1782" i="6"/>
  <c r="AF1802" i="6"/>
  <c r="AF1822" i="6"/>
  <c r="AF1842" i="6"/>
  <c r="AF1882" i="6"/>
  <c r="AF1902" i="6"/>
  <c r="AF1922" i="6"/>
  <c r="AF1942" i="6"/>
  <c r="AF196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152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1427" i="6"/>
  <c r="AF1447" i="6"/>
  <c r="AF1487" i="6"/>
  <c r="AF1507" i="6"/>
  <c r="AF1527" i="6"/>
  <c r="AF1547" i="6"/>
  <c r="AF1567" i="6"/>
  <c r="AF1587" i="6"/>
  <c r="AF1607" i="6"/>
  <c r="AF1627" i="6"/>
  <c r="AF1647" i="6"/>
  <c r="AF1667" i="6"/>
  <c r="AF1687" i="6"/>
  <c r="AF1707" i="6"/>
  <c r="AF1727" i="6"/>
  <c r="AF176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1388" i="6"/>
  <c r="AF1408" i="6"/>
  <c r="AF1428" i="6"/>
  <c r="AF1448" i="6"/>
  <c r="AF1488" i="6"/>
  <c r="AF1508" i="6"/>
  <c r="AF1528" i="6"/>
  <c r="AF1548" i="6"/>
  <c r="AF1568" i="6"/>
  <c r="AF1588" i="6"/>
  <c r="AF1608" i="6"/>
  <c r="AF1628" i="6"/>
  <c r="AF1648" i="6"/>
  <c r="AF1668" i="6"/>
  <c r="AF1688" i="6"/>
  <c r="AF1708" i="6"/>
  <c r="AF1728" i="6"/>
  <c r="AF1748" i="6"/>
  <c r="AF1768" i="6"/>
  <c r="AF1788" i="6"/>
  <c r="AF1808" i="6"/>
  <c r="AF1828" i="6"/>
  <c r="AF1848" i="6"/>
  <c r="AF1868" i="6"/>
  <c r="AF1888" i="6"/>
  <c r="AF1908" i="6"/>
  <c r="AF1928" i="6"/>
  <c r="AF1948" i="6"/>
  <c r="AF196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1430" i="6"/>
  <c r="AF1530" i="6"/>
  <c r="AF1670" i="6"/>
  <c r="AF1690" i="6"/>
  <c r="AF1830" i="6"/>
  <c r="AF1850" i="6"/>
  <c r="AF1930" i="6"/>
  <c r="AF312" i="6"/>
  <c r="AF332" i="6"/>
  <c r="AF372" i="6"/>
  <c r="AF392" i="6"/>
  <c r="AF412" i="6"/>
  <c r="AF433" i="6"/>
  <c r="AF453" i="6"/>
  <c r="AF472" i="6"/>
  <c r="AF732" i="6"/>
  <c r="AF772" i="6"/>
  <c r="AF1032" i="6"/>
  <c r="AF1172" i="6"/>
  <c r="AF1372" i="6"/>
  <c r="AF191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1393" i="6"/>
  <c r="AF1413" i="6"/>
  <c r="AF1433" i="6"/>
  <c r="AF1453" i="6"/>
  <c r="AF1473" i="6"/>
  <c r="AF1493" i="6"/>
  <c r="AF1513" i="6"/>
  <c r="AF1533" i="6"/>
  <c r="AF1553" i="6"/>
  <c r="AF1573" i="6"/>
  <c r="AF1593" i="6"/>
  <c r="AF1613" i="6"/>
  <c r="AF1633" i="6"/>
  <c r="AF1653" i="6"/>
  <c r="AF1673" i="6"/>
  <c r="AF1693" i="6"/>
  <c r="AF1713" i="6"/>
  <c r="AF1733" i="6"/>
  <c r="AF1753" i="6"/>
  <c r="AF1773" i="6"/>
  <c r="AF1793" i="6"/>
  <c r="AF1813" i="6"/>
  <c r="AF1833" i="6"/>
  <c r="AF1853" i="6"/>
  <c r="AF1873" i="6"/>
  <c r="AF1893" i="6"/>
  <c r="AF1913" i="6"/>
  <c r="AF1933" i="6"/>
  <c r="AF1953" i="6"/>
  <c r="AF197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1395" i="6"/>
  <c r="AF1415" i="6"/>
  <c r="AF1435" i="6"/>
  <c r="AF1475" i="6"/>
  <c r="AF1495" i="6"/>
  <c r="AF1515" i="6"/>
  <c r="AF1535" i="6"/>
  <c r="AF1555" i="6"/>
  <c r="AF1575" i="6"/>
  <c r="AF1595" i="6"/>
  <c r="AF1615" i="6"/>
  <c r="AF1635" i="6"/>
  <c r="AF1655" i="6"/>
  <c r="AF1675" i="6"/>
  <c r="AF1695" i="6"/>
  <c r="AF1715" i="6"/>
  <c r="AF1735" i="6"/>
  <c r="AF1755" i="6"/>
  <c r="AF1775" i="6"/>
  <c r="AF1795" i="6"/>
  <c r="AF1815" i="6"/>
  <c r="AF1835" i="6"/>
  <c r="AF1855" i="6"/>
  <c r="AF187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159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1419" i="6"/>
  <c r="AF1559" i="6"/>
  <c r="AF574" i="6"/>
  <c r="AF774" i="6"/>
  <c r="AF1134" i="6"/>
  <c r="AF1694" i="6"/>
  <c r="AF195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1399" i="6"/>
  <c r="AF1439" i="6"/>
  <c r="AF1479" i="6"/>
  <c r="AF1499" i="6"/>
  <c r="AF1519" i="6"/>
  <c r="AF1539" i="6"/>
  <c r="AF1579" i="6"/>
  <c r="AF1599" i="6"/>
  <c r="AF1619" i="6"/>
  <c r="AF1639" i="6"/>
  <c r="AF1659" i="6"/>
  <c r="AF1679" i="6"/>
  <c r="AF1699" i="6"/>
  <c r="AF1719" i="6"/>
  <c r="AF1739" i="6"/>
  <c r="AF1759" i="6"/>
  <c r="AF1779" i="6"/>
  <c r="AF1799" i="6"/>
  <c r="AF1819" i="6"/>
  <c r="AF1839" i="6"/>
  <c r="AF1859" i="6"/>
  <c r="AF1899" i="6"/>
  <c r="AF191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1400" i="6"/>
  <c r="AF1440" i="6"/>
  <c r="AF1500" i="6"/>
  <c r="AF1680" i="6"/>
  <c r="AF1840" i="6"/>
  <c r="AF194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1403" i="6"/>
  <c r="AF1423" i="6"/>
  <c r="AF1443" i="6"/>
  <c r="AF1483" i="6"/>
  <c r="AF1503" i="6"/>
  <c r="AF1523" i="6"/>
  <c r="AF1543" i="6"/>
  <c r="AF1563" i="6"/>
  <c r="AF1583" i="6"/>
  <c r="AF1603" i="6"/>
  <c r="AF1623" i="6"/>
  <c r="AF1643" i="6"/>
  <c r="AF1663" i="6"/>
  <c r="AF1683" i="6"/>
  <c r="AF1703" i="6"/>
  <c r="AF1723" i="6"/>
  <c r="AF1743" i="6"/>
  <c r="AF1763" i="6"/>
  <c r="AF1783" i="6"/>
  <c r="AF1803" i="6"/>
  <c r="AF1823" i="6"/>
  <c r="AF1843" i="6"/>
  <c r="AF1863" i="6"/>
  <c r="AF1883" i="6"/>
  <c r="AF1903" i="6"/>
  <c r="AF1923" i="6"/>
  <c r="AF1943" i="6"/>
  <c r="AF196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1404" i="6"/>
  <c r="AF1424" i="6"/>
  <c r="AF1444" i="6"/>
  <c r="AF1484" i="6"/>
  <c r="AF1504" i="6"/>
  <c r="AF1524" i="6"/>
  <c r="AF1544" i="6"/>
  <c r="AF1564" i="6"/>
  <c r="AF1584" i="6"/>
  <c r="AF1604" i="6"/>
  <c r="AF1624" i="6"/>
  <c r="AF1664" i="6"/>
  <c r="AF1684" i="6"/>
  <c r="AF1724" i="6"/>
  <c r="AF1744" i="6"/>
  <c r="AF1764" i="6"/>
  <c r="AF1784" i="6"/>
  <c r="AF1824" i="6"/>
  <c r="AF1844" i="6"/>
  <c r="AF1864" i="6"/>
  <c r="AF1884" i="6"/>
  <c r="AF1904" i="6"/>
  <c r="AF1924" i="6"/>
  <c r="AF194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1425" i="6"/>
  <c r="AF1445" i="6"/>
  <c r="AF1485" i="6"/>
  <c r="AF1505" i="6"/>
  <c r="AF1525" i="6"/>
  <c r="AF1545" i="6"/>
  <c r="AF1565" i="6"/>
  <c r="AF1585" i="6"/>
  <c r="AF1605" i="6"/>
  <c r="AF1625" i="6"/>
  <c r="AF1645" i="6"/>
  <c r="AF1665" i="6"/>
  <c r="AF1685" i="6"/>
  <c r="AF1705" i="6"/>
  <c r="AF1725" i="6"/>
  <c r="AF1745" i="6"/>
  <c r="AF1785" i="6"/>
  <c r="AF1805" i="6"/>
  <c r="AF1825" i="6"/>
  <c r="AF1845" i="6"/>
  <c r="AF1865" i="6"/>
  <c r="AF1885" i="6"/>
  <c r="AF1905" i="6"/>
  <c r="AF1945" i="6"/>
  <c r="AF196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1426" i="6"/>
  <c r="AF1446" i="6"/>
  <c r="AF1486" i="6"/>
  <c r="AF1506" i="6"/>
  <c r="AF1546" i="6"/>
  <c r="AF1566" i="6"/>
  <c r="AF1586" i="6"/>
  <c r="AF1606" i="6"/>
  <c r="AF1626" i="6"/>
  <c r="AF1646" i="6"/>
  <c r="AF1666" i="6"/>
  <c r="AF1686" i="6"/>
  <c r="AF1706" i="6"/>
  <c r="AF1726" i="6"/>
  <c r="AF1766" i="6"/>
  <c r="AF1786" i="6"/>
  <c r="AF1806" i="6"/>
  <c r="AF1826" i="6"/>
  <c r="AF1866" i="6"/>
  <c r="AF1886" i="6"/>
  <c r="AF1906" i="6"/>
  <c r="AF1926" i="6"/>
  <c r="AF1946" i="6"/>
  <c r="AF1966" i="6"/>
  <c r="AF1747" i="6"/>
  <c r="AF1787" i="6"/>
  <c r="AF1807" i="6"/>
  <c r="AF1827" i="6"/>
  <c r="AF1847" i="6"/>
  <c r="AF1887" i="6"/>
  <c r="AF1907" i="6"/>
  <c r="AF1927" i="6"/>
  <c r="AF1947" i="6"/>
  <c r="AF489" i="6"/>
  <c r="AF529" i="6"/>
  <c r="AF629" i="6"/>
  <c r="AF649" i="6"/>
  <c r="AF709" i="6"/>
  <c r="AF749" i="6"/>
  <c r="AF789" i="6"/>
  <c r="AF1009" i="6"/>
  <c r="AF1249" i="6"/>
  <c r="AF1349" i="6"/>
  <c r="AF1429" i="6"/>
  <c r="AF1589" i="6"/>
  <c r="AF1669" i="6"/>
  <c r="AF1709" i="6"/>
  <c r="AF182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1390" i="6"/>
  <c r="AF1410" i="6"/>
  <c r="AF1490" i="6"/>
  <c r="AF1510" i="6"/>
  <c r="AF1550" i="6"/>
  <c r="AF1570" i="6"/>
  <c r="AF1590" i="6"/>
  <c r="AF1630" i="6"/>
  <c r="AF1650" i="6"/>
  <c r="AF1710" i="6"/>
  <c r="AF1730" i="6"/>
  <c r="AF1750" i="6"/>
  <c r="AF1770" i="6"/>
  <c r="AF1790" i="6"/>
  <c r="AF1810" i="6"/>
  <c r="AF1870" i="6"/>
  <c r="AF1890" i="6"/>
  <c r="AF1910" i="6"/>
  <c r="AF1950" i="6"/>
  <c r="AF1970" i="6"/>
  <c r="AF511" i="6"/>
  <c r="AF551" i="6"/>
  <c r="AF611" i="6"/>
  <c r="AF651" i="6"/>
  <c r="AF691" i="6"/>
  <c r="AF711" i="6"/>
  <c r="AF771" i="6"/>
  <c r="AF791" i="6"/>
  <c r="AF971" i="6"/>
  <c r="AF1051" i="6"/>
  <c r="AF1071" i="6"/>
  <c r="AF1111" i="6"/>
  <c r="AF1151" i="6"/>
  <c r="AF1171" i="6"/>
  <c r="AF1191" i="6"/>
  <c r="AF1351" i="6"/>
  <c r="AF1391" i="6"/>
  <c r="AF1891" i="6"/>
  <c r="AF1951" i="6"/>
  <c r="AF512" i="6"/>
  <c r="AF612" i="6"/>
  <c r="AF672" i="6"/>
  <c r="AF712" i="6"/>
  <c r="AF792" i="6"/>
  <c r="AF972" i="6"/>
  <c r="AF992" i="6"/>
  <c r="AF1012" i="6"/>
  <c r="AF1052" i="6"/>
  <c r="AF1072" i="6"/>
  <c r="AF1092" i="6"/>
  <c r="AF1112" i="6"/>
  <c r="AF1152" i="6"/>
  <c r="AF1192" i="6"/>
  <c r="AF1212" i="6"/>
  <c r="AF1232" i="6"/>
  <c r="AF1252" i="6"/>
  <c r="AF1272" i="6"/>
  <c r="AF1292" i="6"/>
  <c r="AF1332" i="6"/>
  <c r="AF1352" i="6"/>
  <c r="AF1392" i="6"/>
  <c r="AF1412" i="6"/>
  <c r="AF1432" i="6"/>
  <c r="AF1452" i="6"/>
  <c r="AF1472" i="6"/>
  <c r="AF1492" i="6"/>
  <c r="AF1532" i="6"/>
  <c r="AF1552" i="6"/>
  <c r="AF1592" i="6"/>
  <c r="AF1612" i="6"/>
  <c r="AF1632" i="6"/>
  <c r="AF1652" i="6"/>
  <c r="AF1672" i="6"/>
  <c r="AF1692" i="6"/>
  <c r="AF1712" i="6"/>
  <c r="AF1752" i="6"/>
  <c r="AF1772" i="6"/>
  <c r="AF1792" i="6"/>
  <c r="AF1812" i="6"/>
  <c r="AF1832" i="6"/>
  <c r="AF1852" i="6"/>
  <c r="AF1872" i="6"/>
  <c r="AF1932" i="6"/>
  <c r="AF1952" i="6"/>
  <c r="AF1972" i="6"/>
  <c r="AF1895" i="6"/>
  <c r="AF1915" i="6"/>
  <c r="AF1935" i="6"/>
  <c r="AF1955" i="6"/>
  <c r="AF976" i="6"/>
  <c r="AF996" i="6"/>
  <c r="AF1016" i="6"/>
  <c r="AF1036" i="6"/>
  <c r="AF1076" i="6"/>
  <c r="AF1096" i="6"/>
  <c r="AF1116" i="6"/>
  <c r="AF1136" i="6"/>
  <c r="AF1156" i="6"/>
  <c r="AF1176" i="6"/>
  <c r="AF1196" i="6"/>
  <c r="AF1216" i="6"/>
  <c r="AF1236" i="6"/>
  <c r="AF1256" i="6"/>
  <c r="AF1276" i="6"/>
  <c r="AF1316" i="6"/>
  <c r="AF1356" i="6"/>
  <c r="AF1376" i="6"/>
  <c r="AF1396" i="6"/>
  <c r="AF1416" i="6"/>
  <c r="AF1436" i="6"/>
  <c r="AF1476" i="6"/>
  <c r="AF1496" i="6"/>
  <c r="AF1516" i="6"/>
  <c r="AF1536" i="6"/>
  <c r="AF1556" i="6"/>
  <c r="AF1616" i="6"/>
  <c r="AF1636" i="6"/>
  <c r="AF1656" i="6"/>
  <c r="AF1676" i="6"/>
  <c r="AF1696" i="6"/>
  <c r="AF1716" i="6"/>
  <c r="AF1736" i="6"/>
  <c r="AF1756" i="6"/>
  <c r="AF1776" i="6"/>
  <c r="AF1796" i="6"/>
  <c r="AF1816" i="6"/>
  <c r="AF1836" i="6"/>
  <c r="AF1856" i="6"/>
  <c r="AF1876" i="6"/>
  <c r="AF1896" i="6"/>
  <c r="AF1916" i="6"/>
  <c r="AF1936" i="6"/>
  <c r="AF1956" i="6"/>
  <c r="AF477" i="6"/>
  <c r="AF497" i="6"/>
  <c r="AF537" i="6"/>
  <c r="AF577" i="6"/>
  <c r="AF597" i="6"/>
  <c r="AF637" i="6"/>
  <c r="AF677" i="6"/>
  <c r="AF697" i="6"/>
  <c r="AF717" i="6"/>
  <c r="AF737" i="6"/>
  <c r="AF757" i="6"/>
  <c r="AF777" i="6"/>
  <c r="AF797" i="6"/>
  <c r="AF1157" i="6"/>
  <c r="AF1597" i="6"/>
  <c r="AF1777" i="6"/>
  <c r="AF478" i="6"/>
  <c r="AF498" i="6"/>
  <c r="AF518" i="6"/>
  <c r="AF538" i="6"/>
  <c r="AF558" i="6"/>
  <c r="AF578" i="6"/>
  <c r="AF598" i="6"/>
  <c r="AF618" i="6"/>
  <c r="AF638" i="6"/>
  <c r="AF658" i="6"/>
  <c r="AF698" i="6"/>
  <c r="AF738" i="6"/>
  <c r="AF758" i="6"/>
  <c r="AF1018" i="6"/>
  <c r="AF1298" i="6"/>
  <c r="AF1598" i="6"/>
  <c r="AF1778" i="6"/>
  <c r="AF1939" i="6"/>
  <c r="AF1959" i="6"/>
  <c r="AF1211" i="6"/>
  <c r="AF1231" i="6"/>
  <c r="AF1251" i="6"/>
  <c r="AF1291" i="6"/>
  <c r="AF1331" i="6"/>
  <c r="AF1371" i="6"/>
  <c r="AF1411" i="6"/>
  <c r="AF1451" i="6"/>
  <c r="AF1491" i="6"/>
  <c r="AF1511" i="6"/>
  <c r="AF1531" i="6"/>
  <c r="AF1551" i="6"/>
  <c r="AF1571" i="6"/>
  <c r="AF1591" i="6"/>
  <c r="AF1611" i="6"/>
  <c r="AF1631" i="6"/>
  <c r="AF1651" i="6"/>
  <c r="AF1671" i="6"/>
  <c r="AF1711" i="6"/>
  <c r="AF1731" i="6"/>
  <c r="AF1751" i="6"/>
  <c r="AF1771" i="6"/>
  <c r="AF1811" i="6"/>
  <c r="AF1831" i="6"/>
  <c r="AF1851" i="6"/>
  <c r="AF1871" i="6"/>
  <c r="AF1911" i="6"/>
  <c r="AF1931" i="6"/>
  <c r="AF197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1394" i="6"/>
  <c r="AF1414" i="6"/>
  <c r="AF1434" i="6"/>
  <c r="AF1454" i="6"/>
  <c r="AF1474" i="6"/>
  <c r="AF1574" i="6"/>
  <c r="AF1594" i="6"/>
  <c r="AF1614" i="6"/>
  <c r="AF1634" i="6"/>
  <c r="AF1654" i="6"/>
  <c r="AF1674" i="6"/>
  <c r="AF1714" i="6"/>
  <c r="AF1754" i="6"/>
  <c r="AF1774" i="6"/>
  <c r="AF1794" i="6"/>
  <c r="AF1814" i="6"/>
  <c r="AF1834" i="6"/>
  <c r="AF1874" i="6"/>
  <c r="AF1894" i="6"/>
  <c r="AF1914" i="6"/>
  <c r="AF1934" i="6"/>
  <c r="AF957" i="6"/>
  <c r="AF977" i="6"/>
  <c r="AF997" i="6"/>
  <c r="AF1017" i="6"/>
  <c r="AF1037" i="6"/>
  <c r="AF1057" i="6"/>
  <c r="AF1077" i="6"/>
  <c r="AF1097" i="6"/>
  <c r="AF1117" i="6"/>
  <c r="AF1137" i="6"/>
  <c r="AF1177" i="6"/>
  <c r="AF1197" i="6"/>
  <c r="AF1237" i="6"/>
  <c r="AF1257" i="6"/>
  <c r="AF1277" i="6"/>
  <c r="AF1297" i="6"/>
  <c r="AF1317" i="6"/>
  <c r="AF1337" i="6"/>
  <c r="AF1377" i="6"/>
  <c r="AF1397" i="6"/>
  <c r="AF1417" i="6"/>
  <c r="AF1437" i="6"/>
  <c r="AF1497" i="6"/>
  <c r="AF1517" i="6"/>
  <c r="AF1537" i="6"/>
  <c r="AF1557" i="6"/>
  <c r="AF1577" i="6"/>
  <c r="AF1617" i="6"/>
  <c r="AF1637" i="6"/>
  <c r="AF1657" i="6"/>
  <c r="AF1677" i="6"/>
  <c r="AF1697" i="6"/>
  <c r="AF1737" i="6"/>
  <c r="AF1757" i="6"/>
  <c r="AF1797" i="6"/>
  <c r="AF1837" i="6"/>
  <c r="AF1857" i="6"/>
  <c r="AF1897" i="6"/>
  <c r="AF1937" i="6"/>
  <c r="AF1957" i="6"/>
  <c r="AF978" i="6"/>
  <c r="AF1038" i="6"/>
  <c r="AF1138" i="6"/>
  <c r="AF1158" i="6"/>
  <c r="AF1198" i="6"/>
  <c r="AF1218" i="6"/>
  <c r="AF1238" i="6"/>
  <c r="AF1258" i="6"/>
  <c r="AF1278" i="6"/>
  <c r="AF1318" i="6"/>
  <c r="AF1338" i="6"/>
  <c r="AF1358" i="6"/>
  <c r="AF1378" i="6"/>
  <c r="AF1398" i="6"/>
  <c r="AF1438" i="6"/>
  <c r="AF1478" i="6"/>
  <c r="AF1498" i="6"/>
  <c r="AF1518" i="6"/>
  <c r="AF1538" i="6"/>
  <c r="AF1558" i="6"/>
  <c r="AF1578" i="6"/>
  <c r="AF1618" i="6"/>
  <c r="AF1658" i="6"/>
  <c r="AF1678" i="6"/>
  <c r="AF1718" i="6"/>
  <c r="AF1738" i="6"/>
  <c r="AF1758" i="6"/>
  <c r="AF1798" i="6"/>
  <c r="AF1838" i="6"/>
  <c r="AF1858" i="6"/>
  <c r="AF1878" i="6"/>
  <c r="AF1898" i="6"/>
  <c r="AF1918" i="6"/>
  <c r="AF1938" i="6"/>
  <c r="AF1958" i="6"/>
  <c r="AF1480" i="6"/>
  <c r="AF1520" i="6"/>
  <c r="AF1560" i="6"/>
  <c r="AF1580" i="6"/>
  <c r="AF1600" i="6"/>
  <c r="AF1640" i="6"/>
  <c r="AF1660" i="6"/>
  <c r="AF1700" i="6"/>
  <c r="AF1720" i="6"/>
  <c r="AF1740" i="6"/>
  <c r="AF1760" i="6"/>
  <c r="AF1800" i="6"/>
  <c r="AF1820" i="6"/>
  <c r="AF1860" i="6"/>
  <c r="AF1880" i="6"/>
  <c r="AF1900" i="6"/>
  <c r="AF1920" i="6"/>
  <c r="AF1960" i="6"/>
  <c r="AF1049" i="6"/>
  <c r="AF1069" i="6"/>
  <c r="AF1089" i="6"/>
  <c r="AF1109" i="6"/>
  <c r="AF1129" i="6"/>
  <c r="AF1149" i="6"/>
  <c r="AF1169" i="6"/>
  <c r="AF1209" i="6"/>
  <c r="AF1269" i="6"/>
  <c r="AF1329" i="6"/>
  <c r="AF1369" i="6"/>
  <c r="AF1389" i="6"/>
  <c r="AF1449" i="6"/>
  <c r="AF1509" i="6"/>
  <c r="AF1529" i="6"/>
  <c r="AF1569" i="6"/>
  <c r="AF1689" i="6"/>
  <c r="AF1729" i="6"/>
  <c r="AF1749" i="6"/>
  <c r="AF1769" i="6"/>
  <c r="AF1789" i="6"/>
  <c r="AF1809" i="6"/>
  <c r="AF1849" i="6"/>
  <c r="AF1869" i="6"/>
  <c r="AF1909" i="6"/>
  <c r="AF1929" i="6"/>
  <c r="AF1969" i="6"/>
  <c r="AC432" i="6"/>
  <c r="AC1962" i="6"/>
  <c r="AC675" i="6"/>
  <c r="AC1606" i="6"/>
  <c r="AC1726" i="6"/>
  <c r="AC1886" i="6"/>
  <c r="AC1546" i="6"/>
  <c r="AC1626" i="6"/>
  <c r="AC1666" i="6"/>
  <c r="AC1706" i="6"/>
  <c r="AC1746" i="6"/>
  <c r="AC1846" i="6"/>
  <c r="AC1906" i="6"/>
  <c r="AC1946" i="6"/>
  <c r="AC1966" i="6"/>
  <c r="AC1566" i="6"/>
  <c r="AC1646" i="6"/>
  <c r="AC1686" i="6"/>
  <c r="AC1786" i="6"/>
  <c r="AC1926" i="6"/>
  <c r="AC1506" i="6"/>
  <c r="AC1766" i="6"/>
  <c r="AC1806" i="6"/>
  <c r="AC1486" i="6"/>
  <c r="AC1866" i="6"/>
  <c r="AC1526" i="6"/>
  <c r="AC1826" i="6"/>
  <c r="AC472" i="6"/>
  <c r="AC572" i="6"/>
  <c r="AC592" i="6"/>
  <c r="AC612" i="6"/>
  <c r="AC632" i="6"/>
  <c r="AC672" i="6"/>
  <c r="AC712" i="6"/>
  <c r="AC1032" i="6"/>
  <c r="AC1112" i="6"/>
  <c r="AC1152" i="6"/>
  <c r="AC1632" i="6"/>
  <c r="AC1652" i="6"/>
  <c r="AC1672" i="6"/>
  <c r="AC1692" i="6"/>
  <c r="AC1712" i="6"/>
  <c r="AC1732" i="6"/>
  <c r="AC1752" i="6"/>
  <c r="AC1772" i="6"/>
  <c r="AC1792" i="6"/>
  <c r="AC1812" i="6"/>
  <c r="AC1832" i="6"/>
  <c r="AC1852" i="6"/>
  <c r="AC1872" i="6"/>
  <c r="AC1892" i="6"/>
  <c r="AC1912" i="6"/>
  <c r="AC1932" i="6"/>
  <c r="AC1952" i="6"/>
  <c r="AC1972" i="6"/>
  <c r="AC1586" i="6"/>
  <c r="AC456" i="6"/>
  <c r="AC1608" i="6"/>
  <c r="AC747" i="6"/>
  <c r="AC1067" i="6"/>
  <c r="AC1187" i="6"/>
  <c r="AC1347" i="6"/>
  <c r="AC1547" i="6"/>
  <c r="AC1827" i="6"/>
  <c r="AC668" i="6"/>
  <c r="AC1028" i="6"/>
  <c r="AC1368" i="6"/>
  <c r="AC1808" i="6"/>
  <c r="AC1007" i="6"/>
  <c r="AC1127" i="6"/>
  <c r="AC1227" i="6"/>
  <c r="AC1327" i="6"/>
  <c r="AC1407" i="6"/>
  <c r="AC1567" i="6"/>
  <c r="AC1627" i="6"/>
  <c r="AC1667" i="6"/>
  <c r="AC1687" i="6"/>
  <c r="AC1727" i="6"/>
  <c r="AC1747" i="6"/>
  <c r="AC1807" i="6"/>
  <c r="AC1847" i="6"/>
  <c r="AC1887" i="6"/>
  <c r="AC1907" i="6"/>
  <c r="AC1927" i="6"/>
  <c r="AC1967" i="6"/>
  <c r="AC488" i="6"/>
  <c r="AC588" i="6"/>
  <c r="AC688" i="6"/>
  <c r="AC768" i="6"/>
  <c r="AC1008" i="6"/>
  <c r="AC1088" i="6"/>
  <c r="AC1168" i="6"/>
  <c r="AC1288" i="6"/>
  <c r="AC1668" i="6"/>
  <c r="AC627" i="6"/>
  <c r="AC1147" i="6"/>
  <c r="AC1507" i="6"/>
  <c r="AC489" i="6"/>
  <c r="AC569" i="6"/>
  <c r="AC609" i="6"/>
  <c r="AC669" i="6"/>
  <c r="AC749" i="6"/>
  <c r="AC1029" i="6"/>
  <c r="AC1069" i="6"/>
  <c r="AC1149" i="6"/>
  <c r="AC1189" i="6"/>
  <c r="AC1249" i="6"/>
  <c r="AC1329" i="6"/>
  <c r="AC1389" i="6"/>
  <c r="AC1429" i="6"/>
  <c r="AC1489" i="6"/>
  <c r="AC1549" i="6"/>
  <c r="AC1589" i="6"/>
  <c r="AC1609" i="6"/>
  <c r="AC1669" i="6"/>
  <c r="AC1709" i="6"/>
  <c r="AC1729" i="6"/>
  <c r="AC1789" i="6"/>
  <c r="AC1829" i="6"/>
  <c r="AC1849" i="6"/>
  <c r="AC1909" i="6"/>
  <c r="AC1929" i="6"/>
  <c r="AC1894" i="6"/>
  <c r="AC1954" i="6"/>
  <c r="AC1447" i="6"/>
  <c r="AC728" i="6"/>
  <c r="AC988" i="6"/>
  <c r="AC1308" i="6"/>
  <c r="AC1648" i="6"/>
  <c r="AC549" i="6"/>
  <c r="AC709" i="6"/>
  <c r="AC1009" i="6"/>
  <c r="AC1169" i="6"/>
  <c r="AC1369" i="6"/>
  <c r="AC1649" i="6"/>
  <c r="AC1393" i="6"/>
  <c r="AC1934" i="6"/>
  <c r="AC787" i="6"/>
  <c r="AC548" i="6"/>
  <c r="AC1228" i="6"/>
  <c r="AC416" i="6"/>
  <c r="AC589" i="6"/>
  <c r="AC729" i="6"/>
  <c r="AC1049" i="6"/>
  <c r="AC1229" i="6"/>
  <c r="AC1349" i="6"/>
  <c r="AC1449" i="6"/>
  <c r="AC1569" i="6"/>
  <c r="AC1689" i="6"/>
  <c r="AC1809" i="6"/>
  <c r="AC1889" i="6"/>
  <c r="AC1949" i="6"/>
  <c r="AC1093" i="6"/>
  <c r="AC1293" i="6"/>
  <c r="AC1493" i="6"/>
  <c r="AC1914" i="6"/>
  <c r="AC1895" i="6"/>
  <c r="AC1915" i="6"/>
  <c r="AC1935" i="6"/>
  <c r="AC1955" i="6"/>
  <c r="AC687" i="6"/>
  <c r="AC1047" i="6"/>
  <c r="AC1287" i="6"/>
  <c r="AC1787" i="6"/>
  <c r="AC528" i="6"/>
  <c r="AC1188" i="6"/>
  <c r="AC457" i="6"/>
  <c r="AC629" i="6"/>
  <c r="AC789" i="6"/>
  <c r="AC969" i="6"/>
  <c r="AC1089" i="6"/>
  <c r="AC1209" i="6"/>
  <c r="AC1309" i="6"/>
  <c r="AC1409" i="6"/>
  <c r="AC1529" i="6"/>
  <c r="AC1629" i="6"/>
  <c r="AC1749" i="6"/>
  <c r="AC1869" i="6"/>
  <c r="AC1969" i="6"/>
  <c r="AC993" i="6"/>
  <c r="AC1273" i="6"/>
  <c r="AC727" i="6"/>
  <c r="AC436" i="6"/>
  <c r="AC628" i="6"/>
  <c r="AC788" i="6"/>
  <c r="AC1108" i="6"/>
  <c r="AC1248" i="6"/>
  <c r="AC1388" i="6"/>
  <c r="AC1508" i="6"/>
  <c r="AC1568" i="6"/>
  <c r="AC1728" i="6"/>
  <c r="AC1868" i="6"/>
  <c r="AC1968" i="6"/>
  <c r="AC1413" i="6"/>
  <c r="AC587" i="6"/>
  <c r="AC767" i="6"/>
  <c r="AC967" i="6"/>
  <c r="AC1087" i="6"/>
  <c r="AC1247" i="6"/>
  <c r="AC1387" i="6"/>
  <c r="AC1527" i="6"/>
  <c r="AC1647" i="6"/>
  <c r="AC1767" i="6"/>
  <c r="AC1947" i="6"/>
  <c r="AC415" i="6"/>
  <c r="AC508" i="6"/>
  <c r="AC648" i="6"/>
  <c r="AC708" i="6"/>
  <c r="AC968" i="6"/>
  <c r="AC1068" i="6"/>
  <c r="AC1148" i="6"/>
  <c r="AC1268" i="6"/>
  <c r="AC1348" i="6"/>
  <c r="AC1428" i="6"/>
  <c r="AC1488" i="6"/>
  <c r="AC1548" i="6"/>
  <c r="AC1588" i="6"/>
  <c r="AC1688" i="6"/>
  <c r="AC1748" i="6"/>
  <c r="AC1788" i="6"/>
  <c r="AC1828" i="6"/>
  <c r="AC1888" i="6"/>
  <c r="AC1928" i="6"/>
  <c r="AC437" i="6"/>
  <c r="AC509" i="6"/>
  <c r="AC649" i="6"/>
  <c r="AC769" i="6"/>
  <c r="AC1109" i="6"/>
  <c r="AC573" i="6"/>
  <c r="AC973" i="6"/>
  <c r="AC1033" i="6"/>
  <c r="AC1073" i="6"/>
  <c r="AC1133" i="6"/>
  <c r="AC1153" i="6"/>
  <c r="AC1193" i="6"/>
  <c r="AC1213" i="6"/>
  <c r="AC1253" i="6"/>
  <c r="AC1313" i="6"/>
  <c r="AC1373" i="6"/>
  <c r="AC1433" i="6"/>
  <c r="AC1473" i="6"/>
  <c r="AC1513" i="6"/>
  <c r="AC1207" i="6"/>
  <c r="AC1607" i="6"/>
  <c r="AC608" i="6"/>
  <c r="AC1128" i="6"/>
  <c r="AC1408" i="6"/>
  <c r="AC1708" i="6"/>
  <c r="AC529" i="6"/>
  <c r="AC689" i="6"/>
  <c r="AC989" i="6"/>
  <c r="AC1129" i="6"/>
  <c r="AC1289" i="6"/>
  <c r="AC1509" i="6"/>
  <c r="AC1769" i="6"/>
  <c r="AC713" i="6"/>
  <c r="AC1013" i="6"/>
  <c r="AC1333" i="6"/>
  <c r="AC607" i="6"/>
  <c r="AC707" i="6"/>
  <c r="AC807" i="6"/>
  <c r="AC987" i="6"/>
  <c r="AC1027" i="6"/>
  <c r="AC1107" i="6"/>
  <c r="AC1167" i="6"/>
  <c r="AC1267" i="6"/>
  <c r="AC1307" i="6"/>
  <c r="AC1367" i="6"/>
  <c r="AC1427" i="6"/>
  <c r="AC1487" i="6"/>
  <c r="AC1587" i="6"/>
  <c r="AC1707" i="6"/>
  <c r="AC1867" i="6"/>
  <c r="AC568" i="6"/>
  <c r="AC748" i="6"/>
  <c r="AC1048" i="6"/>
  <c r="AC1208" i="6"/>
  <c r="AC1328" i="6"/>
  <c r="AC1448" i="6"/>
  <c r="AC1528" i="6"/>
  <c r="AC1628" i="6"/>
  <c r="AC1768" i="6"/>
  <c r="AC1848" i="6"/>
  <c r="AC1908" i="6"/>
  <c r="AC1948" i="6"/>
  <c r="AC1269" i="6"/>
  <c r="AC1053" i="6"/>
  <c r="AC1113" i="6"/>
  <c r="AC1173" i="6"/>
  <c r="AC1233" i="6"/>
  <c r="AC1353" i="6"/>
  <c r="AC1453" i="6"/>
  <c r="AC1960" i="6"/>
  <c r="AC1961" i="6"/>
  <c r="AC1190" i="6"/>
  <c r="AC1490" i="6"/>
  <c r="AC1870" i="6"/>
  <c r="AC715" i="6"/>
  <c r="AC1035" i="6"/>
  <c r="AC1415" i="6"/>
  <c r="AC1855" i="6"/>
  <c r="AC590" i="6"/>
  <c r="AC1010" i="6"/>
  <c r="AC1070" i="6"/>
  <c r="AC1150" i="6"/>
  <c r="AC1290" i="6"/>
  <c r="AC1370" i="6"/>
  <c r="AC1430" i="6"/>
  <c r="AC1530" i="6"/>
  <c r="AC1610" i="6"/>
  <c r="AC1690" i="6"/>
  <c r="AC1750" i="6"/>
  <c r="AC1890" i="6"/>
  <c r="AC1734" i="6"/>
  <c r="AC1774" i="6"/>
  <c r="AC1814" i="6"/>
  <c r="AC1874" i="6"/>
  <c r="AC239" i="6"/>
  <c r="AC735" i="6"/>
  <c r="AC1075" i="6"/>
  <c r="AC1135" i="6"/>
  <c r="AC1235" i="6"/>
  <c r="AC1355" i="6"/>
  <c r="AC1635" i="6"/>
  <c r="AC1815" i="6"/>
  <c r="AC644" i="6"/>
  <c r="AC755" i="6"/>
  <c r="AC1055" i="6"/>
  <c r="AC1155" i="6"/>
  <c r="AC1255" i="6"/>
  <c r="AC1395" i="6"/>
  <c r="AC1555" i="6"/>
  <c r="AC1675" i="6"/>
  <c r="AC1875" i="6"/>
  <c r="AC510" i="6"/>
  <c r="AC970" i="6"/>
  <c r="AC1050" i="6"/>
  <c r="AC1110" i="6"/>
  <c r="AC1250" i="6"/>
  <c r="AC1330" i="6"/>
  <c r="AC1390" i="6"/>
  <c r="AC1450" i="6"/>
  <c r="AC1570" i="6"/>
  <c r="AC1630" i="6"/>
  <c r="AC1730" i="6"/>
  <c r="AC1810" i="6"/>
  <c r="AC1930" i="6"/>
  <c r="AC1115" i="6"/>
  <c r="AC1315" i="6"/>
  <c r="AC1495" i="6"/>
  <c r="AC1735" i="6"/>
  <c r="AC423" i="6"/>
  <c r="AC570" i="6"/>
  <c r="AC990" i="6"/>
  <c r="AC1170" i="6"/>
  <c r="AC1410" i="6"/>
  <c r="AC1590" i="6"/>
  <c r="AC1770" i="6"/>
  <c r="AC491" i="6"/>
  <c r="AC654" i="6"/>
  <c r="AC1754" i="6"/>
  <c r="AC1175" i="6"/>
  <c r="AC1375" i="6"/>
  <c r="AC1515" i="6"/>
  <c r="AC1615" i="6"/>
  <c r="AC1695" i="6"/>
  <c r="AC1795" i="6"/>
  <c r="AC1956" i="6"/>
  <c r="AC710" i="6"/>
  <c r="AC1230" i="6"/>
  <c r="AC1710" i="6"/>
  <c r="AC1854" i="6"/>
  <c r="AC975" i="6"/>
  <c r="AC1295" i="6"/>
  <c r="AC1575" i="6"/>
  <c r="AC1775" i="6"/>
  <c r="AC266" i="6"/>
  <c r="AC1210" i="6"/>
  <c r="AC1850" i="6"/>
  <c r="AC1834" i="6"/>
  <c r="AC995" i="6"/>
  <c r="AC1275" i="6"/>
  <c r="AC1595" i="6"/>
  <c r="AC1030" i="6"/>
  <c r="AC1270" i="6"/>
  <c r="AC1550" i="6"/>
  <c r="AC1830" i="6"/>
  <c r="AC795" i="6"/>
  <c r="AC1130" i="6"/>
  <c r="AC1350" i="6"/>
  <c r="AC1510" i="6"/>
  <c r="AC1650" i="6"/>
  <c r="AC1790" i="6"/>
  <c r="AC1970" i="6"/>
  <c r="AC775" i="6"/>
  <c r="AC1015" i="6"/>
  <c r="AC1215" i="6"/>
  <c r="AC1435" i="6"/>
  <c r="AC1655" i="6"/>
  <c r="AC1835" i="6"/>
  <c r="AC246" i="6"/>
  <c r="AC268" i="6"/>
  <c r="AC209" i="6"/>
  <c r="AC1963" i="6"/>
  <c r="AC1310" i="6"/>
  <c r="AC1670" i="6"/>
  <c r="AC651" i="6"/>
  <c r="AC1794" i="6"/>
  <c r="AC1095" i="6"/>
  <c r="AC1335" i="6"/>
  <c r="AC1535" i="6"/>
  <c r="AC1755" i="6"/>
  <c r="AC1958" i="6"/>
  <c r="AC228" i="6"/>
  <c r="AC1090" i="6"/>
  <c r="AC1910" i="6"/>
  <c r="AC1195" i="6"/>
  <c r="AC1475" i="6"/>
  <c r="AC1715" i="6"/>
  <c r="AC195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1416" i="6"/>
  <c r="AC1496" i="6"/>
  <c r="AC1616" i="6"/>
  <c r="AC175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1397" i="6"/>
  <c r="AC1437" i="6"/>
  <c r="AC1477" i="6"/>
  <c r="AC1497" i="6"/>
  <c r="AC1537" i="6"/>
  <c r="AC1557" i="6"/>
  <c r="AC1577" i="6"/>
  <c r="AC1617" i="6"/>
  <c r="AC1637" i="6"/>
  <c r="AC1657" i="6"/>
  <c r="AC1697" i="6"/>
  <c r="AC1717" i="6"/>
  <c r="AC1737" i="6"/>
  <c r="AC1757" i="6"/>
  <c r="AC1777" i="6"/>
  <c r="AC1797" i="6"/>
  <c r="AC1837" i="6"/>
  <c r="AC1857" i="6"/>
  <c r="AC1877" i="6"/>
  <c r="AC1897" i="6"/>
  <c r="AC1917" i="6"/>
  <c r="AC1937" i="6"/>
  <c r="AC306" i="6"/>
  <c r="AC345" i="6"/>
  <c r="AC385" i="6"/>
  <c r="AC425" i="6"/>
  <c r="AC466" i="6"/>
  <c r="AC498" i="6"/>
  <c r="AC538" i="6"/>
  <c r="AC578" i="6"/>
  <c r="AC618" i="6"/>
  <c r="AC658" i="6"/>
  <c r="AC698" i="6"/>
  <c r="AC738" i="6"/>
  <c r="AC798" i="6"/>
  <c r="AC998" i="6"/>
  <c r="AC1058" i="6"/>
  <c r="AC1118" i="6"/>
  <c r="AC1178" i="6"/>
  <c r="AC1238" i="6"/>
  <c r="AC1278" i="6"/>
  <c r="AC1318" i="6"/>
  <c r="AC1378" i="6"/>
  <c r="AC1418" i="6"/>
  <c r="AC1498" i="6"/>
  <c r="AC1538" i="6"/>
  <c r="AC1578" i="6"/>
  <c r="AC1618" i="6"/>
  <c r="AC1658" i="6"/>
  <c r="AC1698" i="6"/>
  <c r="AC1738" i="6"/>
  <c r="AC1778" i="6"/>
  <c r="AC1798" i="6"/>
  <c r="AC1838" i="6"/>
  <c r="AC1858" i="6"/>
  <c r="AC1898" i="6"/>
  <c r="AC1918" i="6"/>
  <c r="AC193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1420" i="6"/>
  <c r="AC1500" i="6"/>
  <c r="AC1540" i="6"/>
  <c r="AC1580" i="6"/>
  <c r="AC1620" i="6"/>
  <c r="AC1660" i="6"/>
  <c r="AC1700" i="6"/>
  <c r="AC1740" i="6"/>
  <c r="AC1800" i="6"/>
  <c r="AC1860" i="6"/>
  <c r="AC1920" i="6"/>
  <c r="AC331" i="6"/>
  <c r="AC195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1396" i="6"/>
  <c r="AC1436" i="6"/>
  <c r="AC1476" i="6"/>
  <c r="AC1516" i="6"/>
  <c r="AC1536" i="6"/>
  <c r="AC1556" i="6"/>
  <c r="AC1576" i="6"/>
  <c r="AC1596" i="6"/>
  <c r="AC1636" i="6"/>
  <c r="AC1656" i="6"/>
  <c r="AC1676" i="6"/>
  <c r="AC1696" i="6"/>
  <c r="AC1716" i="6"/>
  <c r="AC1736" i="6"/>
  <c r="AC1776" i="6"/>
  <c r="AC1796" i="6"/>
  <c r="AC1816" i="6"/>
  <c r="AC1836" i="6"/>
  <c r="AC1856" i="6"/>
  <c r="AC1876" i="6"/>
  <c r="AC1896" i="6"/>
  <c r="AC1916" i="6"/>
  <c r="AC193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1417" i="6"/>
  <c r="AC1517" i="6"/>
  <c r="AC1597" i="6"/>
  <c r="AC1677" i="6"/>
  <c r="AC181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1398" i="6"/>
  <c r="AC1438" i="6"/>
  <c r="AC1478" i="6"/>
  <c r="AC1518" i="6"/>
  <c r="AC1558" i="6"/>
  <c r="AC1598" i="6"/>
  <c r="AC1638" i="6"/>
  <c r="AC1678" i="6"/>
  <c r="AC1718" i="6"/>
  <c r="AC1758" i="6"/>
  <c r="AC1818" i="6"/>
  <c r="AC187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1400" i="6"/>
  <c r="AC1440" i="6"/>
  <c r="AC1480" i="6"/>
  <c r="AC1520" i="6"/>
  <c r="AC1560" i="6"/>
  <c r="AC1600" i="6"/>
  <c r="AC1640" i="6"/>
  <c r="AC1680" i="6"/>
  <c r="AC1720" i="6"/>
  <c r="AC1760" i="6"/>
  <c r="AC1780" i="6"/>
  <c r="AC1820" i="6"/>
  <c r="AC1840" i="6"/>
  <c r="AC1880" i="6"/>
  <c r="AC1900" i="6"/>
  <c r="AC194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1401" i="6"/>
  <c r="AC1421" i="6"/>
  <c r="AC1441" i="6"/>
  <c r="AC1481" i="6"/>
  <c r="AC1501" i="6"/>
  <c r="AC1521" i="6"/>
  <c r="AC1541" i="6"/>
  <c r="AC1561" i="6"/>
  <c r="AC1581" i="6"/>
  <c r="AC1601" i="6"/>
  <c r="AC1621" i="6"/>
  <c r="AC1641" i="6"/>
  <c r="AC1661" i="6"/>
  <c r="AC1681" i="6"/>
  <c r="AC1701" i="6"/>
  <c r="AC1721" i="6"/>
  <c r="AC1741" i="6"/>
  <c r="AC1761" i="6"/>
  <c r="AC1781" i="6"/>
  <c r="AC1801" i="6"/>
  <c r="AC1821" i="6"/>
  <c r="AC1841" i="6"/>
  <c r="AC1861" i="6"/>
  <c r="AC1881" i="6"/>
  <c r="AC1901" i="6"/>
  <c r="AC1921" i="6"/>
  <c r="AC194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1402" i="6"/>
  <c r="AC1422" i="6"/>
  <c r="AC1442" i="6"/>
  <c r="AC1482" i="6"/>
  <c r="AC1502" i="6"/>
  <c r="AC1522" i="6"/>
  <c r="AC1542" i="6"/>
  <c r="AC1562" i="6"/>
  <c r="AC1582" i="6"/>
  <c r="AC1602" i="6"/>
  <c r="AC1622" i="6"/>
  <c r="AC1642" i="6"/>
  <c r="AC1662" i="6"/>
  <c r="AC1682" i="6"/>
  <c r="AC1702" i="6"/>
  <c r="AC1722" i="6"/>
  <c r="AC1742" i="6"/>
  <c r="AC1762" i="6"/>
  <c r="AC1782" i="6"/>
  <c r="AC1802" i="6"/>
  <c r="AC1822" i="6"/>
  <c r="AC1842" i="6"/>
  <c r="AC1862" i="6"/>
  <c r="AC1882" i="6"/>
  <c r="AC1902" i="6"/>
  <c r="AC1922" i="6"/>
  <c r="AC194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1403" i="6"/>
  <c r="AC1423" i="6"/>
  <c r="AC1443" i="6"/>
  <c r="AC1483" i="6"/>
  <c r="AC1503" i="6"/>
  <c r="AC1523" i="6"/>
  <c r="AC1543" i="6"/>
  <c r="AC1563" i="6"/>
  <c r="AC1583" i="6"/>
  <c r="AC1603" i="6"/>
  <c r="AC1623" i="6"/>
  <c r="AC1643" i="6"/>
  <c r="AC1663" i="6"/>
  <c r="AC1683" i="6"/>
  <c r="AC1703" i="6"/>
  <c r="AC1723" i="6"/>
  <c r="AC1743" i="6"/>
  <c r="AC1763" i="6"/>
  <c r="AC1783" i="6"/>
  <c r="AC1803" i="6"/>
  <c r="AC1823" i="6"/>
  <c r="AC1843" i="6"/>
  <c r="AC1863" i="6"/>
  <c r="AC1883" i="6"/>
  <c r="AC1903" i="6"/>
  <c r="AC1923" i="6"/>
  <c r="AC194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1404" i="6"/>
  <c r="AC1424" i="6"/>
  <c r="AC1444" i="6"/>
  <c r="AC1484" i="6"/>
  <c r="AC1504" i="6"/>
  <c r="AC1524" i="6"/>
  <c r="AC1544" i="6"/>
  <c r="AC1564" i="6"/>
  <c r="AC1584" i="6"/>
  <c r="AC1604" i="6"/>
  <c r="AC1624" i="6"/>
  <c r="AC1644" i="6"/>
  <c r="AC1664" i="6"/>
  <c r="AC1684" i="6"/>
  <c r="AC1704" i="6"/>
  <c r="AC1724" i="6"/>
  <c r="AC1744" i="6"/>
  <c r="AC1764" i="6"/>
  <c r="AC1784" i="6"/>
  <c r="AC1804" i="6"/>
  <c r="AC1824" i="6"/>
  <c r="AC1844" i="6"/>
  <c r="AC1864" i="6"/>
  <c r="AC1884" i="6"/>
  <c r="AC1904" i="6"/>
  <c r="AC1924" i="6"/>
  <c r="AC1944" i="6"/>
  <c r="AC196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1399" i="6"/>
  <c r="AC1419" i="6"/>
  <c r="AC1439" i="6"/>
  <c r="AC1479" i="6"/>
  <c r="AC1499" i="6"/>
  <c r="AC1519" i="6"/>
  <c r="AC1539" i="6"/>
  <c r="AC1559" i="6"/>
  <c r="AC1579" i="6"/>
  <c r="AC1599" i="6"/>
  <c r="AC1619" i="6"/>
  <c r="AC1639" i="6"/>
  <c r="AC1659" i="6"/>
  <c r="AC1679" i="6"/>
  <c r="AC1699" i="6"/>
  <c r="AC1719" i="6"/>
  <c r="AC1739" i="6"/>
  <c r="AC1759" i="6"/>
  <c r="AC1779" i="6"/>
  <c r="AC1799" i="6"/>
  <c r="AC1819" i="6"/>
  <c r="AC1839" i="6"/>
  <c r="AC1859" i="6"/>
  <c r="AC1879" i="6"/>
  <c r="AC1899" i="6"/>
  <c r="AC1919" i="6"/>
  <c r="AC1939" i="6"/>
  <c r="AC1959" i="6"/>
  <c r="AC201" i="6"/>
  <c r="AC241" i="6"/>
  <c r="AC372" i="6"/>
  <c r="AC433" i="6"/>
  <c r="AC525" i="6"/>
  <c r="AC665" i="6"/>
  <c r="AC785" i="6"/>
  <c r="AC1025" i="6"/>
  <c r="AC1185" i="6"/>
  <c r="AC1325" i="6"/>
  <c r="AC1645" i="6"/>
  <c r="AC412" i="6"/>
  <c r="AC505" i="6"/>
  <c r="AC585" i="6"/>
  <c r="AC705" i="6"/>
  <c r="AC965" i="6"/>
  <c r="AC1105" i="6"/>
  <c r="AC1245" i="6"/>
  <c r="AC1405" i="6"/>
  <c r="AC1565" i="6"/>
  <c r="AC1725" i="6"/>
  <c r="AC1865" i="6"/>
  <c r="AC353" i="6"/>
  <c r="AC566" i="6"/>
  <c r="AC1386" i="6"/>
  <c r="AC313" i="6"/>
  <c r="AC485" i="6"/>
  <c r="AC625" i="6"/>
  <c r="AC745" i="6"/>
  <c r="AC1085" i="6"/>
  <c r="AC1205" i="6"/>
  <c r="AC1385" i="6"/>
  <c r="AC1545" i="6"/>
  <c r="AC1705" i="6"/>
  <c r="AC1805" i="6"/>
  <c r="AC1905" i="6"/>
  <c r="AC1965" i="6"/>
  <c r="AC314" i="6"/>
  <c r="AC586" i="6"/>
  <c r="AC726" i="6"/>
  <c r="AC1226" i="6"/>
  <c r="AC1306" i="6"/>
  <c r="AC1426" i="6"/>
  <c r="AC374" i="6"/>
  <c r="AC273" i="6"/>
  <c r="AC392" i="6"/>
  <c r="AC605" i="6"/>
  <c r="AC765" i="6"/>
  <c r="AC985" i="6"/>
  <c r="AC1065" i="6"/>
  <c r="AC1145" i="6"/>
  <c r="AC1225" i="6"/>
  <c r="AC1305" i="6"/>
  <c r="AC1425" i="6"/>
  <c r="AC1485" i="6"/>
  <c r="AC1585" i="6"/>
  <c r="AC1665" i="6"/>
  <c r="AC1745" i="6"/>
  <c r="AC1825" i="6"/>
  <c r="AC1885" i="6"/>
  <c r="AC1925" i="6"/>
  <c r="AC274" i="6"/>
  <c r="AC393" i="6"/>
  <c r="AC1246" i="6"/>
  <c r="AC1346" i="6"/>
  <c r="AC1446" i="6"/>
  <c r="AC275" i="6"/>
  <c r="AC455" i="6"/>
  <c r="AC352" i="6"/>
  <c r="AC565" i="6"/>
  <c r="AC685" i="6"/>
  <c r="AC805" i="6"/>
  <c r="AC1005" i="6"/>
  <c r="AC1125" i="6"/>
  <c r="AC1265" i="6"/>
  <c r="AC1345" i="6"/>
  <c r="AC1445" i="6"/>
  <c r="AC1505" i="6"/>
  <c r="AC1605" i="6"/>
  <c r="AC1765" i="6"/>
  <c r="AC1266" i="6"/>
  <c r="AC1326" i="6"/>
  <c r="AC1406" i="6"/>
  <c r="AC354" i="6"/>
  <c r="AC507" i="6"/>
  <c r="AC333" i="6"/>
  <c r="AC453" i="6"/>
  <c r="AC545" i="6"/>
  <c r="AC645" i="6"/>
  <c r="AC725" i="6"/>
  <c r="AC1045" i="6"/>
  <c r="AC1165" i="6"/>
  <c r="AC1285" i="6"/>
  <c r="AC1365" i="6"/>
  <c r="AC1525" i="6"/>
  <c r="AC1625" i="6"/>
  <c r="AC1685" i="6"/>
  <c r="AC1785" i="6"/>
  <c r="AC1845" i="6"/>
  <c r="AC1945" i="6"/>
  <c r="AC294" i="6"/>
  <c r="AC486" i="6"/>
  <c r="AC1286" i="6"/>
  <c r="AC1366" i="6"/>
  <c r="AC315" i="6"/>
  <c r="AC527" i="6"/>
  <c r="AC378" i="6"/>
  <c r="AC398" i="6"/>
  <c r="AC418" i="6"/>
  <c r="AC691" i="6"/>
  <c r="AC791" i="6"/>
  <c r="AC991" i="6"/>
  <c r="AC1071" i="6"/>
  <c r="AC1553" i="6"/>
  <c r="AC1633" i="6"/>
  <c r="AC1713" i="6"/>
  <c r="AC1873" i="6"/>
  <c r="AC1593" i="6"/>
  <c r="AC1773" i="6"/>
  <c r="AC282" i="6"/>
  <c r="AC341" i="6"/>
  <c r="AC381" i="6"/>
  <c r="AC442" i="6"/>
  <c r="AC534" i="6"/>
  <c r="AC574" i="6"/>
  <c r="AC634" i="6"/>
  <c r="AC694" i="6"/>
  <c r="AC734" i="6"/>
  <c r="AC794" i="6"/>
  <c r="AC1014" i="6"/>
  <c r="AC1074" i="6"/>
  <c r="AC1114" i="6"/>
  <c r="AC1174" i="6"/>
  <c r="AC1234" i="6"/>
  <c r="AC1294" i="6"/>
  <c r="AC1334" i="6"/>
  <c r="AC1414" i="6"/>
  <c r="AC1474" i="6"/>
  <c r="AC1554" i="6"/>
  <c r="AC1654" i="6"/>
  <c r="AC1573" i="6"/>
  <c r="AC1653" i="6"/>
  <c r="AC1693" i="6"/>
  <c r="AC1753" i="6"/>
  <c r="AC1793" i="6"/>
  <c r="AC1833" i="6"/>
  <c r="AC1913" i="6"/>
  <c r="AC195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1394" i="6"/>
  <c r="AC1434" i="6"/>
  <c r="AC1454" i="6"/>
  <c r="AC1494" i="6"/>
  <c r="AC1514" i="6"/>
  <c r="AC1534" i="6"/>
  <c r="AC1574" i="6"/>
  <c r="AC1594" i="6"/>
  <c r="AC1614" i="6"/>
  <c r="AC1634" i="6"/>
  <c r="AC1674" i="6"/>
  <c r="AC1694" i="6"/>
  <c r="AC1714" i="6"/>
  <c r="AC283" i="6"/>
  <c r="AC303" i="6"/>
  <c r="AC323" i="6"/>
  <c r="AC342" i="6"/>
  <c r="AC362" i="6"/>
  <c r="AC382" i="6"/>
  <c r="AC402" i="6"/>
  <c r="AC422" i="6"/>
  <c r="AC443" i="6"/>
  <c r="AC463" i="6"/>
  <c r="AC475" i="6"/>
  <c r="AC495" i="6"/>
  <c r="AC515" i="6"/>
  <c r="AC535" i="6"/>
  <c r="AC555" i="6"/>
  <c r="AC575" i="6"/>
  <c r="AC595" i="6"/>
  <c r="AC615" i="6"/>
  <c r="AC635" i="6"/>
  <c r="AC655" i="6"/>
  <c r="AC695" i="6"/>
  <c r="AC1533" i="6"/>
  <c r="AC1613" i="6"/>
  <c r="AC1673" i="6"/>
  <c r="AC1733" i="6"/>
  <c r="AC1813" i="6"/>
  <c r="AC1853" i="6"/>
  <c r="AC1893" i="6"/>
  <c r="AC1933" i="6"/>
  <c r="AC197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1391" i="6"/>
  <c r="AC1411" i="6"/>
  <c r="AC1431" i="6"/>
  <c r="AC1451" i="6"/>
  <c r="AC1491" i="6"/>
  <c r="AC1511" i="6"/>
  <c r="AC1531" i="6"/>
  <c r="AC1551" i="6"/>
  <c r="AC1571" i="6"/>
  <c r="AC1591" i="6"/>
  <c r="AC1611" i="6"/>
  <c r="AC1631" i="6"/>
  <c r="AC1651" i="6"/>
  <c r="AC1671" i="6"/>
  <c r="AC1691" i="6"/>
  <c r="AC1711" i="6"/>
  <c r="AC1731" i="6"/>
  <c r="AC1751" i="6"/>
  <c r="AC1771" i="6"/>
  <c r="AC1791" i="6"/>
  <c r="AC1811" i="6"/>
  <c r="AC1831" i="6"/>
  <c r="AC1851" i="6"/>
  <c r="AC1871" i="6"/>
  <c r="AC1891" i="6"/>
  <c r="AC1911" i="6"/>
  <c r="AC1931" i="6"/>
  <c r="AC1951" i="6"/>
  <c r="AC197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1392" i="6"/>
  <c r="AC1412" i="6"/>
  <c r="AC1432" i="6"/>
  <c r="AC1452" i="6"/>
  <c r="AC1472" i="6"/>
  <c r="AC1492" i="6"/>
  <c r="AC1512" i="6"/>
  <c r="AC1532" i="6"/>
  <c r="AC1552" i="6"/>
  <c r="AC1572" i="6"/>
  <c r="AC1592" i="6"/>
  <c r="AC161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L132" i="6"/>
  <c r="L131" i="6"/>
  <c r="L130" i="6"/>
  <c r="L129" i="6"/>
  <c r="L128" i="6"/>
  <c r="L127" i="6"/>
  <c r="L126" i="6"/>
  <c r="L108" i="6"/>
  <c r="L109" i="6"/>
  <c r="L110" i="6"/>
  <c r="L111" i="6"/>
  <c r="L112" i="6"/>
  <c r="L113" i="6"/>
  <c r="L115" i="6"/>
  <c r="L114" i="6"/>
  <c r="L116" i="6"/>
  <c r="L117" i="6"/>
  <c r="L118" i="6"/>
  <c r="L119" i="6"/>
  <c r="L120" i="6"/>
  <c r="L121" i="6"/>
  <c r="L122" i="6"/>
  <c r="L123" i="6"/>
  <c r="L124" i="6"/>
  <c r="L125" i="6"/>
  <c r="L90" i="6"/>
  <c r="L91" i="6"/>
  <c r="L92" i="6"/>
  <c r="L93" i="6"/>
  <c r="L95" i="6"/>
  <c r="L94" i="6"/>
  <c r="L96" i="6"/>
  <c r="L97" i="6"/>
  <c r="L98" i="6"/>
  <c r="L99" i="6"/>
  <c r="L100" i="6"/>
  <c r="L101" i="6"/>
  <c r="L102" i="6"/>
  <c r="L103" i="6"/>
  <c r="L104" i="6"/>
  <c r="L105" i="6"/>
  <c r="L106" i="6"/>
  <c r="L107" i="6"/>
  <c r="L89" i="6"/>
  <c r="L88" i="6"/>
  <c r="L87" i="6"/>
  <c r="L86" i="6"/>
  <c r="L85" i="6"/>
  <c r="L84" i="6"/>
  <c r="L83" i="6"/>
  <c r="L82" i="6"/>
  <c r="L81" i="6"/>
  <c r="L80" i="6"/>
  <c r="L79" i="6"/>
  <c r="L78" i="6"/>
  <c r="L77" i="6"/>
  <c r="L76" i="6"/>
  <c r="L75" i="6"/>
  <c r="L74" i="6"/>
  <c r="L73" i="6"/>
  <c r="L72" i="6"/>
  <c r="L71" i="6"/>
  <c r="L70" i="6"/>
  <c r="L69" i="6"/>
  <c r="L68" i="6"/>
  <c r="L67" i="6"/>
  <c r="L66" i="6"/>
  <c r="L65" i="6"/>
  <c r="L64" i="6"/>
  <c r="L58" i="6"/>
  <c r="L60" i="6"/>
  <c r="L59" i="6"/>
  <c r="L61" i="6"/>
  <c r="L62" i="6"/>
  <c r="L63" i="6"/>
  <c r="L45" i="6"/>
  <c r="L46" i="6"/>
  <c r="L47" i="6"/>
  <c r="L48" i="6"/>
  <c r="L49" i="6"/>
  <c r="L50" i="6"/>
  <c r="L51" i="6"/>
  <c r="L52" i="6"/>
  <c r="L53" i="6"/>
  <c r="L54" i="6"/>
  <c r="L55" i="6"/>
  <c r="L56" i="6"/>
  <c r="L57"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28" i="3"/>
  <c r="H27" i="3"/>
  <c r="H26" i="3"/>
  <c r="H23" i="3"/>
  <c r="H22" i="3"/>
  <c r="H21" i="3"/>
  <c r="H20" i="3"/>
  <c r="H19" i="3"/>
  <c r="H18" i="3"/>
  <c r="H17"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<sst xmlns="http://schemas.openxmlformats.org/spreadsheetml/2006/main" count="19781" uniqueCount="5602">
  <si>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</si>
  <si>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</si>
  <si>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</si>
  <si>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</si>
  <si>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</si>
  <si>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</si>
  <si>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</si>
  <si>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</si>
  <si>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</si>
  <si>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</si>
  <si>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</si>
  <si>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</si>
  <si>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</si>
  <si>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</si>
  <si>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</si>
  <si>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</si>
  <si>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</si>
  <si>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</si>
  <si>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</si>
  <si>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</si>
  <si>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</si>
  <si>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</si>
  <si>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</si>
  <si>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</si>
  <si>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</si>
  <si>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</si>
  <si>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</si>
  <si>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</si>
  <si>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</si>
  <si>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</si>
  <si>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</si>
  <si>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</si>
  <si>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</si>
  <si>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</si>
  <si>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</si>
  <si>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</si>
  <si>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</si>
  <si>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</si>
  <si>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</si>
  <si>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</si>
  <si>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</si>
  <si>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</si>
  <si>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</si>
  <si>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</si>
  <si>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</si>
  <si>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</si>
  <si>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</si>
  <si>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</si>
  <si>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</si>
  <si>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</si>
  <si>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</si>
  <si>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</si>
  <si>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</si>
  <si>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</si>
  <si>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</si>
  <si>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</si>
  <si>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</si>
  <si>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</si>
  <si>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</si>
  <si>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</si>
  <si>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</si>
  <si>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</si>
  <si>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</si>
  <si>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</si>
  <si>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</si>
  <si>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</si>
  <si>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</si>
  <si>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</si>
  <si>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</si>
  <si>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</si>
  <si>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</si>
  <si>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</si>
  <si>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</si>
  <si>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</si>
  <si>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</si>
  <si>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</si>
  <si>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</si>
  <si>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</si>
  <si>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</si>
  <si>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</si>
  <si>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</si>
  <si>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</si>
  <si>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</si>
  <si>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</si>
  <si>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</si>
  <si>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</si>
  <si>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</si>
  <si>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</si>
  <si>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</si>
  <si>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</si>
  <si>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</si>
  <si>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</si>
  <si>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</si>
  <si>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</si>
  <si>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</si>
  <si>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</si>
  <si>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</si>
  <si>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</si>
  <si>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</si>
  <si>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</si>
  <si>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</si>
  <si>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</si>
  <si>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</si>
  <si>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</si>
  <si>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</si>
  <si>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</si>
  <si>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</si>
  <si>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</si>
  <si>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</si>
  <si>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</si>
  <si>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</si>
  <si>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</si>
  <si>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</si>
  <si>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</si>
  <si>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</si>
  <si>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</si>
  <si>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</si>
  <si>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</si>
  <si>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</si>
  <si>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</si>
  <si>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</si>
  <si>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</si>
  <si>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</si>
  <si>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</si>
  <si>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</si>
  <si>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</si>
  <si>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</si>
  <si>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</si>
  <si>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</si>
  <si>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</si>
  <si>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</si>
  <si>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</si>
  <si>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</si>
  <si>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</si>
  <si>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</si>
  <si>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</si>
  <si>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</si>
  <si>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</si>
  <si>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</si>
  <si>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</si>
  <si>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</si>
  <si>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</si>
  <si>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</si>
  <si>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</si>
  <si>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</si>
  <si>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</si>
  <si>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</si>
  <si>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</si>
  <si>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</si>
  <si>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</si>
  <si>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</si>
  <si>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</si>
  <si>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</si>
  <si>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</si>
  <si>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</si>
  <si>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</si>
  <si>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</si>
  <si>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</si>
  <si>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</si>
  <si>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</si>
  <si>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</si>
  <si>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</si>
  <si>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</si>
  <si>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</si>
  <si>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</si>
  <si>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</si>
  <si>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</si>
  <si>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</si>
  <si>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</si>
  <si>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</si>
  <si>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</si>
  <si>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</si>
  <si>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</si>
  <si>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</si>
  <si>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</si>
  <si>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</si>
  <si>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</si>
  <si>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</si>
  <si>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</si>
  <si>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</si>
  <si>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</si>
  <si>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</si>
  <si>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</si>
  <si>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</si>
  <si>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</si>
  <si>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</si>
  <si>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</si>
  <si>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</si>
  <si>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</si>
  <si>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</si>
  <si>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</si>
  <si>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</si>
  <si>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</si>
  <si>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</si>
  <si>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</si>
  <si>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</si>
  <si>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</si>
  <si>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</si>
  <si>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</si>
  <si>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</si>
  <si>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</si>
  <si>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</si>
  <si>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</si>
  <si>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</si>
  <si>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</si>
  <si>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</si>
  <si>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</si>
  <si>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</si>
  <si>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</si>
  <si>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</si>
  <si>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</si>
  <si>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</si>
  <si>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</si>
  <si>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</si>
  <si>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</si>
  <si>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</si>
  <si>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</si>
  <si>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</si>
  <si>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</si>
  <si>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</si>
  <si>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</si>
  <si>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</si>
  <si>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</si>
  <si>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</si>
  <si>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</si>
  <si>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</si>
  <si>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</si>
  <si>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</si>
  <si>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</si>
  <si>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</si>
  <si>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</si>
  <si>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</si>
  <si>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</si>
  <si>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</si>
  <si>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</si>
  <si>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</si>
  <si>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</si>
  <si>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</si>
  <si>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</si>
  <si>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</si>
  <si>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</si>
  <si>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</si>
  <si>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</si>
  <si>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</si>
  <si>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</si>
  <si>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</si>
  <si>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</si>
  <si>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</si>
  <si>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</si>
  <si>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</si>
  <si>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</si>
  <si>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</si>
  <si>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</si>
  <si>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</si>
  <si>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</si>
  <si>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</si>
  <si>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</si>
  <si>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</si>
  <si>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</si>
  <si>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</si>
  <si>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</si>
  <si>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</si>
  <si>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</si>
  <si>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</si>
  <si>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</si>
  <si>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</si>
  <si>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</si>
  <si>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</si>
  <si>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</si>
  <si>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</si>
  <si>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</si>
  <si>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</si>
  <si>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</si>
  <si>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</si>
  <si>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</si>
  <si>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</si>
  <si>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</si>
  <si>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</si>
  <si>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</si>
  <si>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</si>
  <si>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</si>
  <si>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</si>
  <si>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</si>
  <si>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</si>
  <si>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</si>
  <si>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</si>
  <si>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</si>
  <si>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</si>
  <si>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</si>
  <si>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</si>
  <si>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</si>
  <si>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</si>
  <si>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</si>
  <si>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</si>
  <si>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</si>
  <si>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</si>
  <si>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</si>
  <si>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</si>
  <si>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</si>
  <si>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</si>
  <si>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</si>
  <si>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</si>
  <si>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</si>
  <si>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</si>
  <si>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</si>
  <si>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</si>
  <si>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</si>
  <si>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</si>
  <si>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</si>
  <si>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</si>
  <si>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</si>
  <si>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</si>
  <si>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</si>
  <si>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</si>
  <si>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</si>
  <si>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</si>
  <si>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</si>
  <si>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</si>
  <si>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</si>
  <si>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</si>
  <si>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</si>
  <si>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</si>
  <si>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</si>
  <si>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</si>
  <si>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</si>
  <si>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</si>
  <si>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</si>
  <si>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</si>
  <si>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</si>
  <si>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</si>
  <si>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</si>
  <si>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</si>
  <si>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</si>
  <si>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</si>
  <si>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</si>
  <si>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</si>
  <si>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</si>
  <si>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</si>
  <si>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</si>
  <si>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</si>
  <si>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</si>
  <si>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</si>
  <si>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</si>
  <si>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</si>
  <si>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</si>
  <si>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</si>
  <si>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</si>
  <si>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</si>
  <si>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</si>
  <si>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</si>
  <si>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</si>
  <si>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</si>
  <si>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</si>
  <si>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</si>
  <si>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</si>
  <si>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</si>
  <si>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</si>
  <si>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</si>
  <si>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</si>
  <si>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</si>
  <si>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</si>
  <si>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</si>
  <si>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</si>
  <si>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</si>
  <si>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</si>
  <si>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</si>
  <si>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</si>
  <si>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</si>
  <si>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</si>
  <si>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</si>
  <si>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</si>
  <si>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</si>
  <si>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</si>
  <si>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</si>
  <si>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</si>
  <si>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</si>
  <si>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</si>
  <si>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</si>
  <si>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</si>
  <si>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</si>
  <si>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</si>
  <si>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</si>
  <si>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</si>
  <si>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</si>
  <si>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</si>
  <si>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</si>
  <si>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</si>
  <si>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</si>
  <si>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</si>
  <si>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</si>
  <si>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</si>
  <si>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</si>
  <si>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</si>
  <si>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</si>
  <si>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</si>
  <si>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</si>
  <si>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</si>
  <si>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</si>
  <si>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</si>
  <si>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</si>
  <si>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</si>
  <si>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</si>
  <si>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</si>
  <si>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</si>
  <si>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</si>
  <si>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</si>
  <si>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</si>
  <si>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</si>
  <si>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</si>
  <si>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</si>
  <si>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</si>
  <si>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</si>
  <si>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</si>
  <si>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</si>
  <si>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</si>
  <si>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</si>
  <si>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</si>
  <si>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</si>
  <si>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</si>
  <si>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</si>
  <si>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</si>
  <si>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</si>
  <si>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</si>
  <si>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</si>
  <si>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</si>
  <si>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</si>
  <si>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</si>
  <si>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</si>
  <si>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</si>
  <si>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</si>
  <si>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</si>
  <si>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</si>
  <si>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</si>
  <si>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</si>
  <si>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</si>
  <si>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</si>
  <si>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</si>
  <si>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</si>
  <si>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</si>
  <si>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</si>
  <si>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</si>
  <si>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</si>
  <si>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</si>
  <si>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</si>
  <si>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</si>
  <si>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</si>
  <si>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</si>
  <si>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</si>
  <si>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</si>
  <si>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</si>
  <si>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</si>
  <si>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</si>
  <si>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</si>
  <si>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</si>
  <si>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</si>
  <si>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</si>
  <si>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</si>
  <si>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</si>
  <si>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</si>
  <si>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</si>
  <si>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</si>
  <si>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</si>
  <si>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</si>
  <si>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</si>
  <si>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</si>
  <si>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</si>
  <si>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</si>
  <si>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</si>
  <si>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</si>
  <si>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</si>
  <si>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</si>
  <si>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</si>
  <si>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</si>
  <si>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</si>
  <si>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</si>
  <si>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</si>
  <si>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</si>
  <si>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</si>
  <si>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</si>
  <si>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</si>
  <si>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</si>
  <si>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</si>
  <si>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</si>
  <si>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</si>
  <si>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</si>
  <si>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</si>
  <si>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</si>
  <si>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</si>
  <si>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</si>
  <si>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</si>
  <si>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</si>
  <si>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</si>
  <si>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</si>
  <si>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</si>
  <si>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</si>
  <si>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</si>
  <si>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</si>
  <si>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</si>
  <si>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</si>
  <si>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</si>
  <si>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</si>
  <si>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</si>
  <si>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</si>
  <si>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</si>
  <si>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</si>
  <si>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</si>
  <si>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</si>
  <si>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</si>
  <si>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</si>
  <si>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</si>
  <si>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</si>
  <si>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</si>
  <si>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</si>
  <si>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</si>
  <si>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</si>
  <si>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</si>
  <si>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</si>
  <si>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</si>
  <si>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</si>
  <si>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</si>
  <si>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</si>
  <si>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</si>
  <si>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</si>
  <si>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</si>
  <si>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</si>
  <si>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</si>
  <si>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</si>
  <si>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</si>
  <si>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</si>
  <si>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</si>
  <si>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</si>
  <si>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</si>
  <si>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</si>
  <si>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</si>
  <si>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</si>
  <si>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</si>
  <si>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</si>
  <si>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</si>
  <si>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</si>
  <si>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</si>
  <si>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</si>
  <si>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</si>
  <si>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</si>
  <si>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</si>
  <si>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</si>
  <si>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</si>
  <si>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</si>
  <si>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</si>
  <si>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Angelus - Regina Cæli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</si>
  <si>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</si>
  <si>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</si>
  <si>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</si>
  <si>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</si>
  <si>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</si>
  <si>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</si>
  <si>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</si>
  <si>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</si>
  <si>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</si>
  <si>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</si>
  <si>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</si>
  <si>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</si>
  <si>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</si>
  <si>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</si>
  <si>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</si>
  <si>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</si>
  <si>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</si>
  <si>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</si>
  <si>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</si>
  <si>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</si>
  <si>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</si>
  <si>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</si>
  <si>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</si>
  <si>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</si>
  <si>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</si>
  <si>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</si>
  <si>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</si>
  <si>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</si>
  <si>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</si>
  <si>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</si>
  <si>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</si>
  <si>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</si>
  <si>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</si>
  <si>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</si>
  <si>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</si>
  <si>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</si>
  <si>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</si>
  <si>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</si>
  <si>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</si>
  <si>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</si>
  <si>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</si>
  <si>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</si>
  <si>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</si>
  <si>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</si>
  <si>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</si>
  <si>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</si>
  <si>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</si>
  <si>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</si>
  <si>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</si>
  <si>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</si>
  <si>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</si>
  <si>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</si>
  <si>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</si>
  <si>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</si>
  <si>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</si>
  <si>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</si>
  <si>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</si>
  <si>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</si>
  <si>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</si>
  <si>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</si>
  <si>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</si>
  <si>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</si>
  <si>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</si>
  <si>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</si>
  <si>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</si>
  <si>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</si>
  <si>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</si>
  <si>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</si>
  <si>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</si>
  <si>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</si>
  <si>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</si>
  <si>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</si>
  <si>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</si>
  <si>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</si>
  <si>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</si>
  <si>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</si>
  <si>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</si>
  <si>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</si>
  <si>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</si>
  <si>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</si>
  <si>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</si>
  <si>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</si>
  <si>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</si>
  <si>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</si>
  <si>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</si>
  <si>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</si>
  <si>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</si>
  <si>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</si>
  <si>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</si>
  <si>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</si>
  <si>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</si>
  <si>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</si>
  <si>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</si>
  <si>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</si>
  <si>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</si>
  <si>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</si>
  <si>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</si>
  <si>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</si>
  <si>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</si>
  <si>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</si>
  <si>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</si>
  <si>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</si>
  <si>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</si>
  <si>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</si>
  <si>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</si>
  <si>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</si>
  <si>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</si>
  <si>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</si>
  <si>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</si>
  <si>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</si>
  <si>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</si>
  <si>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</si>
  <si>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</si>
  <si>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</si>
  <si>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</si>
  <si>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</si>
  <si>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</si>
  <si>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</si>
  <si>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</si>
  <si>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</si>
  <si>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</si>
  <si>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</si>
  <si>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</si>
  <si>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</si>
  <si>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</si>
  <si>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</si>
  <si>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</si>
  <si>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</si>
  <si>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</si>
  <si>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</si>
  <si>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</si>
  <si>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</si>
  <si>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</si>
  <si>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</si>
  <si>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</si>
  <si>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</si>
  <si>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</si>
  <si>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</si>
  <si>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</si>
  <si>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</si>
  <si>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</si>
  <si>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</si>
  <si>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</si>
  <si>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</si>
  <si>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</si>
  <si>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</si>
  <si>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</si>
  <si>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</si>
  <si>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</si>
  <si>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</si>
  <si>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</si>
  <si>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</si>
  <si>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</si>
  <si>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</si>
  <si>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</si>
  <si>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</si>
  <si>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</si>
  <si>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</si>
  <si>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</si>
  <si>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</si>
  <si>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</si>
  <si>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</si>
  <si>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</si>
  <si>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</si>
  <si>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</si>
  <si>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</si>
  <si>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</si>
  <si>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</si>
  <si>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</si>
  <si>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</si>
  <si>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</si>
  <si>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</si>
  <si>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</si>
  <si>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</si>
  <si>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</si>
  <si>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</si>
  <si>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</si>
  <si>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</si>
  <si>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</si>
  <si>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</si>
  <si>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</si>
  <si>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</si>
  <si>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</si>
  <si>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</si>
  <si>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</si>
  <si>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</si>
  <si>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</si>
  <si>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</si>
  <si>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</si>
  <si>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</si>
  <si>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</si>
  <si>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</si>
  <si>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</si>
  <si>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</si>
  <si>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</si>
  <si>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</si>
  <si>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</si>
  <si>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</si>
  <si>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</si>
  <si>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</si>
  <si>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</si>
  <si>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</si>
  <si>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</si>
  <si>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</si>
  <si>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</si>
  <si>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</si>
  <si>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</si>
  <si>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</si>
  <si>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</si>
  <si>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</si>
  <si>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</si>
  <si>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</si>
  <si>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</si>
  <si>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</si>
  <si>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</si>
  <si>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</si>
  <si>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</si>
  <si>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</si>
  <si>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</si>
  <si>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</si>
  <si>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</si>
  <si>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</si>
  <si>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</si>
  <si>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</si>
  <si>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</si>
  <si>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</si>
  <si>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</si>
  <si>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</si>
  <si>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</si>
  <si>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</si>
  <si>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</si>
  <si>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</si>
  <si>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</si>
  <si>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</si>
  <si>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</si>
  <si>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</si>
  <si>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</si>
  <si>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</si>
  <si>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</si>
  <si>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</si>
  <si>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</si>
  <si>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</si>
  <si>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</si>
  <si>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</si>
  <si>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</si>
  <si>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</si>
  <si>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</si>
  <si>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</si>
  <si>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</si>
  <si>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</si>
  <si>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</si>
  <si>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</si>
  <si>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</si>
  <si>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</si>
  <si>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</si>
  <si>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</si>
  <si>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</si>
  <si>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</si>
  <si>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</si>
  <si>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</si>
  <si>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</si>
  <si>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</si>
  <si>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</si>
  <si>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</si>
  <si>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</si>
  <si>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</si>
  <si>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</si>
  <si>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</si>
  <si>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</si>
  <si>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</si>
  <si>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</si>
  <si>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</si>
  <si>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</si>
  <si>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</si>
  <si>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</si>
  <si>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</si>
  <si>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</si>
  <si>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</si>
  <si>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</si>
  <si>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</si>
  <si>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</si>
  <si>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</si>
  <si>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</si>
  <si>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</si>
  <si>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</si>
  <si>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</si>
  <si>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</si>
  <si>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</si>
  <si>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</si>
  <si>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</si>
  <si>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</si>
  <si>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</si>
  <si>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</si>
  <si>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</si>
  <si>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</si>
  <si>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</si>
  <si>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</si>
  <si>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</si>
  <si>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</si>
  <si>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</si>
  <si>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</si>
  <si>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</si>
  <si>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</si>
  <si>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</si>
  <si>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</si>
  <si>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</si>
  <si>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</si>
  <si>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</si>
  <si>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</si>
  <si>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</si>
  <si>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</si>
  <si>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</si>
  <si>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</si>
  <si>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</si>
  <si>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</si>
  <si>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</si>
  <si>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</si>
  <si>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</si>
  <si>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</si>
  <si>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</si>
  <si>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</si>
  <si>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</si>
  <si>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</si>
  <si>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</si>
  <si>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</si>
  <si>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</si>
  <si>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</si>
  <si>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</si>
  <si>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</si>
  <si>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</si>
  <si>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</si>
  <si>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</si>
  <si>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</si>
  <si>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</si>
  <si>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</si>
  <si>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</si>
  <si>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</si>
  <si>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</si>
  <si>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</si>
  <si>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</si>
  <si>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</si>
  <si>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</si>
  <si>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</si>
  <si>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</si>
  <si>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</si>
  <si>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</si>
  <si>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</si>
  <si>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tutti i suoi documenti caricati</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</si>
  <si>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</si>
  <si>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</si>
  <si>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</si>
  <si>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</si>
  <si>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</si>
  <si>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</si>
  <si>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</si>
  <si>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</si>
  <si>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</si>
  <si>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</si>
  <si>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</si>
  <si>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</si>
  <si>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</si>
  <si>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</si>
  <si>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</si>
  <si>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</si>
  <si>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</si>
  <si>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</si>
  <si>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</si>
  <si>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</si>
  <si>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</si>
  <si>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</si>
  <si>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</si>
  <si>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</si>
  <si>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</si>
  <si>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</si>
  <si>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</si>
  <si>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</si>
  <si>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</si>
  <si>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</si>
  <si>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</si>
  <si>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</si>
  <si>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</si>
  <si>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</si>
  <si>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</si>
  <si>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</si>
  <si>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</si>
  <si>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</si>
  <si>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</si>
  <si>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</si>
  <si>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</si>
  <si>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</si>
  <si>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</si>
  <si>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</si>
  <si>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</si>
  <si>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</si>
  <si>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</si>
  <si>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</si>
  <si>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</si>
  <si>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</si>
  <si>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</si>
  <si>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</si>
  <si>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</si>
  <si>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</si>
  <si>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</si>
  <si>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</si>
  <si>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</si>
  <si>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</si>
  <si>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</si>
  <si>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</si>
  <si>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</si>
  <si>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</si>
  <si>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</si>
  <si>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</si>
  <si>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</si>
  <si>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</si>
  <si>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</si>
  <si>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</si>
  <si>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</si>
  <si>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</si>
  <si>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</si>
  <si>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</si>
  <si>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</si>
  <si>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</si>
  <si>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</si>
  <si>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</si>
  <si>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</si>
  <si>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</si>
  <si>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</si>
  <si>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</si>
  <si>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</si>
  <si>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</si>
  <si>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</si>
  <si>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</si>
  <si>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</si>
  <si>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</si>
  <si>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</si>
  <si>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</si>
  <si>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</si>
  <si>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</si>
  <si>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</si>
  <si>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</si>
  <si>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</si>
  <si>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</si>
  <si>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</si>
  <si>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</si>
  <si>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</si>
  <si>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</si>
  <si>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</si>
  <si>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</si>
  <si>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</si>
  <si>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</si>
  <si>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</si>
  <si>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</si>
  <si>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</si>
  <si>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</si>
  <si>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</si>
  <si>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</si>
  <si>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</si>
  <si>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</si>
  <si>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</si>
  <si>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</si>
  <si>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</si>
  <si>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</si>
  <si>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</si>
  <si>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</si>
  <si>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</si>
  <si>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</si>
  <si>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</si>
  <si>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</si>
  <si>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</si>
  <si>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</si>
  <si>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</si>
  <si>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</si>
  <si>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</si>
  <si>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</si>
  <si>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</si>
  <si>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</si>
  <si>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</si>
  <si>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</si>
  <si>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</si>
  <si>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</si>
  <si>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</si>
  <si>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</si>
  <si>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</si>
  <si>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</si>
  <si>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</si>
  <si>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</si>
  <si>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</si>
  <si>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</si>
  <si>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</si>
  <si>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</si>
  <si>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</si>
  <si>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</si>
  <si>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</si>
  <si>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</si>
  <si>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</si>
  <si>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</si>
  <si>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</si>
  <si>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</si>
  <si>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</si>
  <si>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</si>
  <si>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</si>
  <si>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</si>
  <si>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</si>
  <si>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</si>
  <si>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</si>
  <si>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</si>
  <si>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</si>
  <si>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</si>
  <si>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</si>
  <si>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</si>
  <si>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</si>
  <si>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</si>
  <si>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</si>
  <si>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</si>
  <si>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</si>
  <si>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</si>
  <si>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</si>
  <si>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</si>
  <si>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</si>
  <si>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</si>
  <si>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</si>
  <si>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</si>
  <si>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</si>
  <si>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</si>
  <si>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</si>
  <si>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</si>
  <si>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</si>
  <si>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</si>
  <si>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</si>
  <si>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</si>
  <si>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</si>
  <si>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</si>
  <si>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</si>
  <si>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Column1</t>
  </si>
  <si>
    <t>Column2</t>
  </si>
  <si>
    <t>Column3</t>
  </si>
  <si>
    <t>Column4</t>
  </si>
  <si>
    <t>Enciclica Quam Grave (2 agosto 1757)</t>
  </si>
  <si>
    <t>[
        Italiano
    ]</t>
  </si>
  <si>
    <t>Italiano</t>
  </si>
  <si>
    <t>Enciclica Ex Omnibus Christiani (16 ottobre 1756)</t>
  </si>
  <si>
    <t>Enciclica Ex Quo Primum (1 marzo 1756)</t>
  </si>
  <si>
    <t>Breve Quam Ex Sublimi (8 agosto 1755)</t>
  </si>
  <si>
    <t>Enciclica Allatae Sunt (26 luglio 1755)</t>
  </si>
  <si>
    <t>Enciclica Quod Provinciale (1 agosto 1754)</t>
  </si>
  <si>
    <t>Enciclica Cum Religiosi Aeque (26 giugno 1754)</t>
  </si>
  <si>
    <t>Enciclica A Quo Primum (14 giugno 1751)</t>
  </si>
  <si>
    <t>Enciclica Magno Cum Animi (2 giugno 1751)</t>
  </si>
  <si>
    <t>Bolla Providas Romanorum (18 marzo 1751)</t>
  </si>
  <si>
    <t>Enciclica Elapso Proxime Anno (20 febbraio 1751)</t>
  </si>
  <si>
    <t>Enciclica Prodiit Jamdudum (30 gennaio 1751)</t>
  </si>
  <si>
    <t>Enciclica Celebrationem Magni (1 gennaio 1751)</t>
  </si>
  <si>
    <t>Bolla Benedictus Deus (25 dicembre 1750)</t>
  </si>
  <si>
    <t>Enciclica Inter praeteritos (3 dicembre 1749)</t>
  </si>
  <si>
    <t>Enciclica Gravissimo Animi (31 ottobre 1749)</t>
  </si>
  <si>
    <t>Enciclica Apostolica Constitutio (26 giugno 1749)</t>
  </si>
  <si>
    <t>Bolla Peregrinantes a Domino (5 maggio 1749)</t>
  </si>
  <si>
    <t>Bolla Officii Nostri (15 marzo 1749)</t>
  </si>
  <si>
    <t>Enciclica Annus Qui Hunc (19 febbraio 1749)</t>
  </si>
  <si>
    <t>Enciclica Magnae Nobis (29 giugno 1748)</t>
  </si>
  <si>
    <t>Enciclica Inter Caetera (1 gennaio 1748)</t>
  </si>
  <si>
    <t>Breve Quemadmodum Nihil (16 dicembre 1746)</t>
  </si>
  <si>
    <t>Enciclica Accepimus Praestantium (16 luglio 1746)</t>
  </si>
  <si>
    <t>Enciclica Vix Pervenit (1 novembre 1745)</t>
  </si>
  <si>
    <t>Enciclica Gravissimum Supremi (8 settembre 1745)</t>
  </si>
  <si>
    <t>Enciclica Libentissime Quidem (10 giugno 1745)</t>
  </si>
  <si>
    <t>Breve Cum Multorum Charitate (18 febbraio 1745)</t>
  </si>
  <si>
    <t>Breve In Suprema Catholicae (20 novembre 1744)</t>
  </si>
  <si>
    <t>Enciclica Cum Semper Oblatas (19 agosto 1744)</t>
  </si>
  <si>
    <t>Enciclica Inter Omnigenas (2 febbraio 1744)</t>
  </si>
  <si>
    <t>Breve Nimiam Licentiam (18 maggio 1743)</t>
  </si>
  <si>
    <t>Enciclica Quemadmodum Preces (23 marzo 1743)</t>
  </si>
  <si>
    <t>Enciclica Cum Illud Semper (14 dicembre 1742)</t>
  </si>
  <si>
    <t>Enciclica Certiores Effecti (13 novembre 1742)</t>
  </si>
  <si>
    <t>Enciclica Etsi Minime (7 febbraio 1742)</t>
  </si>
  <si>
    <t>Enciclica Satis Vobis Compertum(17 novembre 1741)</t>
  </si>
  <si>
    <t>Enciclica Quamvis Paternae (26 agosto 1741)</t>
  </si>
  <si>
    <t>Breve In Suprema Universalis (22 agosto 1741)</t>
  </si>
  <si>
    <t>Breve Quanta Cura (30 giugno 1741)</t>
  </si>
  <si>
    <t>Pagina 1</t>
  </si>
  <si>
    <t>Pagina 2</t>
  </si>
  <si>
    <t>Pagina 3</t>
  </si>
  <si>
    <t>Colonna1</t>
  </si>
  <si>
    <t>Colonna2</t>
  </si>
  <si>
    <t>Colonna3</t>
  </si>
  <si>
    <t>Colonna4</t>
  </si>
  <si>
    <t>Breve Enciclica Pro Eximia Tua (30 giugno 1741)</t>
  </si>
  <si>
    <t>Breve Non Ambigimus (30 maggio 1741)</t>
  </si>
  <si>
    <t>Enciclica Ubi primum (3 dicembre 1740)</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</si>
  <si>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</si>
  <si>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</si>
  <si>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</si>
  <si>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</si>
  <si>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</si>
  <si>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</si>
  <si>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</si>
  <si>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</si>
  <si>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</si>
  <si>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</si>
  <si>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</si>
  <si>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</si>
  <si>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</si>
  <si>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</si>
  <si>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</si>
  <si>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</si>
  <si>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</si>
  <si>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</si>
  <si>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</si>
  <si>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</si>
  <si>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</si>
  <si>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</si>
  <si>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</si>
  <si>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</si>
  <si>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</si>
  <si>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</si>
  <si>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</si>
  <si>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</si>
  <si>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</si>
  <si>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Bolla Ecclesiam a Jesu (Roma, 13 settembre 1821)</t>
  </si>
  <si>
    <t>Ecclesiam a Jesu</t>
  </si>
  <si>
    <t>Breve Praeclara quam (Roma, 16 maggio 1820)</t>
  </si>
  <si>
    <t>Praeclara quam</t>
  </si>
  <si>
    <t>Breve Dominici gregis (Roma, 25 agosto 1819)</t>
  </si>
  <si>
    <t>Dominici gregis</t>
  </si>
  <si>
    <t>Enciclica Vineam quam plantavit (Roma, 12 giugno 1817)</t>
  </si>
  <si>
    <t>Lettera Magno et acerbo (3 settembre 1816)</t>
  </si>
  <si>
    <t>Magno et acerbo</t>
  </si>
  <si>
    <t>Breve Etsi longissimo (Roma, 30 gennaio 1816)</t>
  </si>
  <si>
    <t>Etsi longissimo</t>
  </si>
  <si>
    <t>Allocuzione Optatissimus tandem (26 settembre 1814)</t>
  </si>
  <si>
    <t>Optatissimus tandem</t>
  </si>
  <si>
    <t>Bolla Sollicitudo omnium (Roma, 7 agosto 1814)</t>
  </si>
  <si>
    <t>Sollicitudo omnium</t>
  </si>
  <si>
    <t>Enciclica Il trionfo (Cesena, 4 maggio 1814)</t>
  </si>
  <si>
    <t>Breve Quum memoranda (Roma, 10 giugno 1809)</t>
  </si>
  <si>
    <t>Quum memoranda</t>
  </si>
  <si>
    <t>Allocuzione Hoc ipso (29 ottobre 1804)</t>
  </si>
  <si>
    <t>Hoc ipso</t>
  </si>
  <si>
    <t>Allocuzione Quam luctuosam (24 maggio 1802)</t>
  </si>
  <si>
    <t>Quam luctuosam</t>
  </si>
  <si>
    <t>Bolla Ecclesia Christi (Roma, 15 agosto 1801)</t>
  </si>
  <si>
    <t>Ecclesia Christi</t>
  </si>
  <si>
    <t>Breve Tam multa (Roma, 15 agosto 1801)</t>
  </si>
  <si>
    <t>Tam multa</t>
  </si>
  <si>
    <t>Motu proprio Le più colte (Roma, 11 marzo 1801)</t>
  </si>
  <si>
    <t>Le più colte</t>
  </si>
  <si>
    <t>Enciclica Ex quo Ecclesiam (Venezia, 24 maggio 1800)</t>
  </si>
  <si>
    <t>Enciclica Diu satis (Venezia, 15 maggio 1800)</t>
  </si>
  <si>
    <t>Allocuzione Ad supremum (Venezia, 28 marzo 1800)</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</si>
  <si>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</si>
  <si>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</si>
  <si>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</si>
  <si>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</si>
  <si>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</si>
  <si>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</si>
  <si>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</si>
  <si>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</si>
  <si>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</si>
  <si>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</si>
  <si>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</si>
  <si>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</si>
  <si>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</si>
  <si>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</si>
  <si>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</si>
  <si>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</si>
  <si>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</si>
  <si>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</si>
  <si>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</si>
  <si>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</si>
  <si>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</si>
  <si>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</si>
  <si>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</si>
  <si>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</si>
  <si>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</si>
  <si>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</si>
  <si>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</si>
  <si>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</si>
  <si>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</si>
  <si>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</si>
  <si>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</si>
  <si>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</si>
  <si>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</si>
  <si>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</si>
  <si>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</si>
  <si>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</si>
  <si>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</si>
  <si>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</si>
  <si>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</si>
  <si>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</si>
  <si>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</si>
  <si>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</si>
  <si>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</si>
  <si>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</si>
  <si>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</si>
  <si>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</si>
  <si>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</si>
  <si>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</si>
  <si>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</si>
  <si>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</si>
  <si>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</si>
  <si>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</si>
  <si>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</si>
  <si>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</si>
  <si>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</si>
  <si>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</si>
  <si>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</si>
  <si>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</si>
  <si>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</si>
  <si>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</si>
  <si>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</si>
  <si>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</si>
  <si>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</si>
  <si>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</si>
  <si>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</si>
  <si>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</si>
  <si>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</si>
  <si>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</si>
  <si>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</si>
  <si>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</si>
  <si>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</si>
  <si>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</si>
  <si>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</si>
  <si>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</si>
  <si>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</si>
  <si>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</si>
  <si>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</si>
  <si>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</si>
  <si>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</si>
  <si>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</si>
  <si>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</si>
  <si>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</si>
  <si>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</si>
  <si>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</si>
  <si>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</si>
  <si>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</si>
  <si>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</si>
  <si>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</si>
  <si>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</si>
  <si>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</si>
  <si>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</si>
  <si>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</si>
  <si>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</si>
  <si>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</si>
  <si>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</si>
  <si>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</si>
  <si>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</si>
  <si>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</si>
  <si>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</si>
  <si>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</si>
  <si>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</si>
  <si>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</si>
  <si>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</si>
  <si>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</si>
  <si>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</si>
  <si>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</si>
  <si>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</si>
  <si>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</si>
  <si>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</si>
  <si>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</si>
  <si>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</si>
  <si>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</si>
  <si>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</si>
  <si>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</si>
  <si>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</si>
  <si>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</si>
  <si>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</si>
  <si>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</si>
  <si>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</si>
  <si>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</si>
  <si>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</si>
  <si>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</si>
  <si>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</si>
  <si>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</si>
  <si>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</si>
  <si>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</si>
  <si>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</si>
  <si>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</si>
  <si>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</si>
  <si>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</si>
  <si>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</si>
  <si>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</si>
  <si>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</si>
  <si>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</si>
  <si>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</si>
  <si>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</si>
  <si>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</si>
  <si>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</si>
  <si>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</si>
  <si>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</si>
  <si>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</si>
  <si>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</si>
  <si>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</si>
  <si>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</si>
  <si>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</si>
  <si>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</si>
  <si>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</si>
  <si>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</si>
  <si>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</si>
  <si>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</si>
  <si>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</si>
  <si>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</si>
  <si>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</si>
  <si>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</si>
  <si>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</si>
  <si>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</si>
  <si>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</si>
  <si>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</si>
  <si>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</si>
  <si>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</si>
  <si>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</si>
  <si>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</si>
  <si>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</si>
  <si>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</si>
  <si>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</si>
  <si>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</si>
  <si>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</si>
  <si>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</si>
  <si>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</si>
  <si>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</si>
  <si>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</si>
  <si>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</si>
  <si>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</si>
  <si>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</si>
  <si>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</si>
  <si>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</si>
  <si>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</si>
  <si>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</si>
  <si>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</si>
  <si>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</si>
  <si>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</si>
  <si>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</si>
  <si>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</si>
  <si>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</si>
  <si>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</si>
  <si>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</si>
  <si>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</si>
  <si>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</si>
  <si>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</si>
  <si>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</si>
  <si>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</si>
  <si>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</si>
  <si>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</si>
  <si>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</si>
  <si>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</si>
  <si>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</si>
  <si>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</si>
  <si>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</si>
  <si>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</si>
  <si>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</si>
  <si>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</si>
  <si>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</si>
  <si>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</si>
  <si>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</si>
  <si>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</si>
  <si>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</si>
  <si>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</si>
  <si>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</si>
  <si>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</si>
  <si>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</si>
  <si>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</si>
  <si>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</si>
  <si>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</si>
  <si>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</si>
  <si>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</si>
  <si>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</si>
  <si>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</si>
  <si>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</si>
  <si>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</si>
  <si>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</si>
  <si>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</si>
  <si>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</si>
  <si>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</si>
  <si>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</si>
  <si>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</si>
  <si>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</si>
  <si>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</si>
  <si>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</si>
  <si>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</si>
  <si>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</si>
  <si>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</si>
  <si>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</si>
  <si>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</si>
  <si>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</si>
  <si>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</si>
  <si>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</si>
  <si>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</si>
  <si>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</si>
  <si>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</si>
  <si>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</si>
  <si>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</si>
  <si>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</si>
  <si>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</si>
  <si>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</si>
  <si>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</si>
  <si>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</si>
  <si>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</si>
  <si>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</si>
  <si>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</si>
  <si>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</si>
  <si>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</si>
  <si>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</si>
  <si>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</si>
  <si>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</si>
  <si>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</si>
  <si>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</si>
  <si>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</si>
  <si>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</si>
  <si>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</si>
  <si>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</si>
  <si>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</si>
  <si>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</si>
  <si>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</si>
  <si>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</si>
  <si>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</si>
  <si>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</si>
  <si>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</si>
  <si>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</si>
  <si>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</si>
  <si>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</si>
  <si>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</si>
  <si>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</si>
  <si>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</si>
  <si>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</si>
  <si>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</si>
  <si>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</si>
  <si>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</si>
  <si>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</si>
  <si>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</si>
  <si>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</si>
  <si>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</si>
  <si>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</si>
  <si>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</si>
  <si>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</si>
  <si>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</si>
  <si>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</si>
  <si>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</si>
  <si>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</si>
  <si>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</si>
  <si>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</si>
  <si>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</si>
  <si>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</si>
  <si>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</si>
  <si>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</si>
  <si>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</si>
  <si>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</si>
  <si>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</si>
  <si>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</si>
  <si>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</si>
  <si>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</si>
  <si>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</si>
  <si>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</si>
  <si>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</si>
  <si>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</si>
  <si>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</si>
  <si>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</si>
  <si>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</si>
  <si>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</si>
  <si>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</si>
  <si>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</si>
  <si>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</si>
  <si>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</si>
  <si>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</si>
  <si>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</si>
  <si>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</si>
  <si>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</si>
  <si>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</si>
  <si>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</si>
  <si>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</si>
  <si>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</si>
  <si>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</si>
  <si>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</si>
  <si>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</si>
  <si>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</si>
  <si>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</si>
  <si>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</si>
  <si>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</si>
  <si>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</si>
  <si>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</si>
  <si>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</si>
  <si>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</si>
  <si>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</si>
  <si>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</si>
  <si>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</si>
  <si>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</si>
  <si>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</si>
  <si>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</si>
  <si>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</si>
  <si>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</si>
  <si>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</si>
  <si>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</si>
  <si>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</si>
  <si>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</si>
  <si>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</si>
  <si>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</si>
  <si>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</si>
  <si>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</si>
  <si>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</si>
  <si>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</si>
  <si>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</si>
  <si>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</si>
  <si>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</si>
  <si>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</si>
  <si>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</si>
  <si>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</si>
  <si>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</si>
  <si>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</si>
  <si>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</si>
  <si>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</si>
  <si>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</si>
  <si>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</si>
  <si>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</si>
  <si>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</si>
  <si>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</si>
  <si>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</si>
  <si>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</si>
  <si>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</si>
  <si>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</si>
  <si>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</si>
  <si>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</si>
  <si>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</si>
  <si>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</si>
  <si>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</si>
  <si>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</si>
  <si>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</si>
  <si>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</si>
  <si>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</si>
  <si>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</si>
  <si>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</si>
  <si>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</si>
  <si>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</si>
  <si>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</si>
  <si>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</si>
  <si>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</si>
  <si>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</si>
  <si>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</si>
  <si>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</si>
  <si>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</si>
  <si>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</si>
  <si>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</si>
  <si>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</si>
  <si>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</si>
  <si>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</si>
  <si>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</si>
  <si>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</si>
  <si>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</si>
  <si>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</si>
  <si>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</si>
  <si>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</si>
  <si>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</si>
  <si>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</si>
  <si>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</si>
  <si>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</si>
  <si>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</si>
  <si>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</si>
  <si>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</si>
  <si>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</si>
  <si>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</si>
  <si>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</si>
  <si>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</si>
  <si>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</si>
  <si>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</si>
  <si>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</si>
  <si>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</si>
  <si>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</si>
  <si>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</si>
  <si>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</si>
  <si>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</si>
  <si>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</si>
  <si>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</si>
  <si>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</si>
  <si>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</si>
  <si>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</si>
  <si>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</si>
  <si>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</si>
  <si>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</si>
  <si>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</si>
  <si>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</si>
  <si>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</si>
  <si>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</si>
  <si>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</si>
  <si>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</si>
  <si>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</si>
  <si>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</si>
  <si>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</si>
  <si>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</si>
  <si>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</si>
  <si>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</si>
  <si>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</si>
  <si>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</si>
  <si>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</si>
  <si>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</si>
  <si>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</si>
  <si>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</si>
  <si>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</si>
  <si>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</si>
  <si>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</si>
  <si>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</si>
  <si>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</si>
  <si>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</si>
  <si>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</si>
  <si>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</si>
  <si>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</si>
  <si>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</si>
  <si>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</si>
  <si>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</si>
  <si>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</si>
  <si>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</si>
  <si>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</si>
  <si>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</si>
  <si>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</si>
  <si>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</si>
  <si>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</si>
  <si>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</si>
  <si>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</si>
  <si>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</si>
  <si>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</si>
  <si>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</si>
  <si>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</si>
  <si>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</si>
  <si>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</si>
  <si>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</si>
  <si>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</si>
  <si>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</si>
  <si>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</si>
  <si>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</si>
  <si>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</si>
  <si>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</si>
  <si>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</si>
  <si>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</si>
  <si>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</si>
  <si>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</si>
  <si>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</si>
  <si>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</si>
  <si>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</si>
  <si>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</si>
  <si>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</si>
  <si>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</si>
  <si>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</si>
  <si>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</si>
  <si>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</si>
  <si>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</si>
  <si>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</si>
  <si>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</si>
  <si>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</si>
  <si>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</si>
  <si>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</si>
  <si>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</si>
  <si>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</si>
  <si>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</si>
  <si>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</si>
  <si>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</si>
  <si>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</si>
  <si>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</si>
  <si>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</si>
  <si>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</si>
  <si>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</si>
  <si>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</si>
  <si>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</si>
  <si>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</si>
  <si>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</si>
  <si>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</si>
  <si>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</si>
  <si>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</si>
  <si>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</si>
  <si>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</si>
  <si>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</si>
  <si>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</si>
  <si>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</si>
  <si>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</si>
  <si>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</si>
  <si>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</si>
  <si>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</si>
  <si>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</si>
  <si>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</si>
  <si>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</si>
  <si>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</si>
  <si>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</si>
  <si>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</si>
  <si>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</si>
  <si>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</si>
  <si>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</si>
  <si>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</si>
  <si>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</si>
  <si>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</si>
  <si>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</si>
  <si>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</si>
  <si>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</si>
  <si>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</si>
  <si>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</si>
  <si>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</si>
  <si>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</si>
  <si>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</si>
  <si>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</si>
  <si>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</si>
  <si>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</si>
  <si>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</si>
  <si>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</si>
  <si>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</si>
  <si>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</si>
  <si>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</si>
  <si>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</si>
  <si>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</si>
  <si>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</si>
  <si>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</si>
  <si>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</si>
  <si>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</si>
  <si>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</si>
  <si>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</si>
  <si>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</si>
  <si>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</si>
  <si>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</si>
  <si>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</si>
  <si>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</si>
  <si>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</si>
  <si>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</si>
  <si>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</si>
  <si>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</si>
  <si>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</si>
  <si>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</si>
  <si>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</si>
  <si>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</si>
  <si>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</si>
  <si>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</si>
  <si>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</si>
  <si>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</si>
  <si>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</si>
  <si>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</si>
  <si>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</si>
  <si>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</si>
  <si>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</si>
  <si>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</si>
  <si>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</si>
  <si>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</si>
  <si>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</si>
  <si>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</si>
  <si>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</si>
  <si>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</si>
  <si>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</si>
  <si>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</si>
  <si>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</si>
  <si>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</si>
  <si>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</si>
  <si>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</si>
  <si>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</si>
  <si>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</si>
  <si>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</si>
  <si>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</si>
  <si>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</si>
  <si>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</si>
  <si>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</si>
  <si>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</si>
  <si>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</si>
  <si>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</si>
  <si>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</si>
  <si>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</si>
  <si>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</si>
  <si>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</si>
  <si>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</si>
  <si>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</si>
  <si>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</si>
  <si>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</si>
  <si>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</si>
  <si>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</si>
  <si>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</si>
  <si>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</si>
  <si>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</si>
  <si>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</si>
  <si>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</si>
  <si>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</si>
  <si>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</si>
  <si>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</si>
  <si>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</si>
  <si>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</si>
  <si>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</si>
  <si>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</si>
  <si>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</si>
  <si>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</si>
  <si>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</si>
  <si>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</si>
  <si>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</si>
  <si>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</si>
  <si>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</si>
  <si>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</si>
  <si>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</si>
  <si>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</si>
  <si>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</si>
  <si>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</si>
  <si>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</si>
  <si>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</si>
  <si>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</si>
  <si>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</si>
  <si>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</si>
  <si>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</si>
  <si>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</si>
  <si>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</si>
  <si>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</si>
  <si>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</si>
  <si>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</si>
  <si>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</si>
  <si>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</si>
  <si>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</si>
  <si>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</si>
  <si>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</si>
  <si>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</si>
  <si>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</si>
  <si>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</si>
  <si>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</si>
  <si>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</si>
  <si>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</si>
  <si>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</si>
  <si>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</si>
  <si>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</si>
  <si>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</si>
  <si>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</si>
  <si>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</si>
  <si>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</si>
  <si>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</si>
  <si>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</si>
  <si>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</si>
  <si>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</si>
  <si>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</si>
  <si>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</si>
  <si>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</si>
  <si>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</si>
  <si>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</si>
  <si>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</si>
  <si>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</si>
  <si>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</si>
  <si>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</si>
  <si>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</si>
  <si>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</si>
  <si>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</si>
  <si>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</si>
  <si>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</si>
  <si>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</si>
  <si>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</si>
  <si>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</si>
  <si>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</si>
  <si>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</si>
  <si>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</si>
  <si>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</si>
  <si>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</si>
  <si>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</si>
  <si>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</si>
  <si>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</si>
  <si>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</si>
  <si>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</si>
  <si>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</si>
  <si>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</si>
  <si>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</si>
  <si>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</si>
  <si>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</si>
  <si>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</si>
  <si>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</si>
  <si>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</si>
  <si>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</si>
  <si>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</si>
  <si>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</si>
  <si>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</si>
  <si>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</si>
  <si>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</si>
  <si>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</si>
  <si>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</si>
  <si>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</si>
  <si>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</si>
  <si>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</si>
  <si>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</si>
  <si>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</si>
  <si>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</si>
  <si>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</si>
  <si>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</si>
  <si>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</si>
  <si>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</si>
  <si>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</si>
  <si>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</si>
  <si>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</si>
  <si>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</si>
  <si>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</si>
  <si>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</si>
  <si>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</si>
  <si>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</si>
  <si>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</si>
  <si>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</si>
  <si>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</si>
  <si>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</si>
  <si>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</si>
  <si>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</si>
  <si>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</si>
  <si>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</si>
  <si>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</si>
  <si>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</si>
  <si>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</si>
  <si>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</si>
  <si>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</si>
  <si>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</si>
  <si>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</si>
  <si>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</si>
  <si>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</si>
  <si>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</si>
  <si>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</si>
  <si>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</si>
  <si>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</si>
  <si>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</si>
  <si>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</si>
  <si>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</si>
  <si>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</si>
  <si>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</si>
  <si>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</si>
  <si>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</si>
  <si>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</si>
  <si>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</si>
  <si>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</si>
  <si>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</si>
  <si>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</si>
  <si>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</si>
  <si>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</si>
  <si>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</si>
  <si>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</si>
  <si>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</si>
  <si>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</si>
  <si>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</si>
  <si>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</si>
  <si>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</si>
  <si>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</si>
  <si>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</si>
  <si>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</si>
  <si>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</si>
  <si>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</si>
  <si>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</si>
  <si>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</si>
  <si>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</si>
  <si>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</si>
  <si>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</si>
  <si>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</si>
  <si>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</si>
  <si>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</si>
  <si>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</si>
  <si>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</si>
  <si>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</si>
  <si>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</si>
  <si>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</si>
  <si>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</si>
  <si>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</si>
  <si>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</si>
  <si>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</si>
  <si>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</si>
  <si>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</si>
  <si>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</si>
  <si>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</si>
  <si>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</si>
  <si>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</si>
  <si>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</si>
  <si>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</si>
  <si>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</si>
  <si>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</si>
  <si>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</si>
  <si>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</si>
  <si>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</si>
  <si>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</si>
  <si>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</si>
  <si>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</si>
  <si>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</si>
  <si>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</si>
  <si>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</si>
  <si>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</si>
  <si>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</si>
  <si>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</si>
  <si>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</si>
  <si>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</si>
  <si>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</si>
  <si>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</si>
  <si>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</si>
  <si>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</si>
  <si>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</si>
  <si>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</si>
  <si>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</si>
  <si>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</si>
  <si>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</si>
  <si>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</si>
  <si>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</si>
  <si>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</si>
  <si>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</si>
  <si>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</si>
  <si>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</si>
  <si>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</si>
  <si>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</si>
  <si>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</si>
  <si>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</si>
  <si>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</si>
  <si>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</si>
  <si>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</si>
  <si>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</si>
  <si>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</si>
  <si>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</si>
  <si>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</si>
  <si>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</si>
  <si>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</si>
  <si>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</si>
  <si>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</si>
  <si>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</si>
  <si>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</si>
  <si>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</si>
  <si>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</si>
  <si>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</si>
  <si>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</si>
  <si>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</si>
  <si>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</si>
  <si>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</si>
  <si>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</si>
  <si>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</si>
  <si>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</si>
  <si>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</si>
  <si>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</si>
  <si>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</si>
  <si>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</si>
  <si>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</si>
  <si>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</si>
  <si>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</si>
  <si>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</si>
  <si>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</si>
  <si>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</si>
  <si>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</si>
  <si>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</si>
  <si>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</si>
  <si>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</si>
  <si>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</si>
  <si>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</si>
  <si>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</si>
  <si>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</si>
  <si>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</si>
  <si>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</si>
  <si>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</si>
  <si>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</si>
  <si>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</si>
  <si>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</si>
  <si>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</si>
  <si>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</si>
  <si>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</si>
  <si>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</si>
  <si>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</si>
  <si>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</si>
  <si>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</si>
  <si>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</si>
  <si>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</si>
  <si>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</si>
  <si>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</si>
  <si>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</si>
  <si>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</si>
  <si>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</si>
  <si>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</si>
  <si>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</si>
  <si>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</si>
  <si>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</si>
  <si>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</si>
  <si>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</si>
  <si>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</si>
  <si>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</si>
  <si>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</si>
  <si>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</si>
  <si>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</si>
  <si>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</si>
  <si>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</si>
  <si>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</si>
  <si>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</si>
  <si>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</si>
  <si>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</si>
  <si>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</si>
  <si>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</si>
  <si>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</si>
  <si>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</si>
  <si>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</si>
  <si>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</si>
  <si>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</si>
  <si>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</si>
  <si>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</si>
  <si>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</si>
  <si>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</si>
  <si>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</si>
  <si>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</si>
  <si>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</si>
  <si>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</si>
  <si>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</si>
  <si>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</si>
  <si>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</si>
  <si>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</si>
  <si>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</si>
  <si>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</si>
  <si>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</si>
  <si>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</si>
  <si>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</si>
  <si>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</si>
  <si>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</si>
  <si>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</si>
  <si>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</si>
  <si>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</si>
  <si>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</si>
  <si>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</si>
  <si>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</si>
  <si>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</si>
  <si>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</si>
  <si>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</si>
  <si>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</si>
  <si>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</si>
  <si>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</si>
  <si>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</si>
  <si>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</si>
  <si>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</si>
  <si>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</si>
  <si>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</si>
  <si>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</si>
  <si>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</si>
  <si>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</si>
  <si>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</si>
  <si>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</si>
  <si>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</si>
  <si>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</si>
  <si>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</si>
  <si>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</si>
  <si>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</si>
  <si>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</si>
  <si>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</si>
  <si>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</si>
  <si>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</si>
  <si>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</si>
  <si>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</si>
  <si>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</si>
  <si>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</si>
  <si>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</si>
  <si>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</si>
  <si>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</si>
  <si>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</si>
  <si>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</si>
  <si>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</si>
  <si>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</si>
  <si>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</si>
  <si>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</si>
  <si>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</si>
  <si>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</si>
  <si>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</si>
  <si>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</si>
  <si>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</si>
  <si>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</si>
  <si>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</si>
  <si>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</si>
  <si>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</si>
  <si>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</si>
  <si>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</si>
  <si>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</si>
  <si>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</si>
  <si>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</si>
  <si>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</si>
  <si>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</si>
  <si>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</si>
  <si>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</si>
  <si>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</si>
  <si>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</si>
  <si>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</si>
  <si>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</si>
  <si>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</si>
  <si>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</si>
  <si>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</si>
  <si>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</si>
  <si>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</si>
  <si>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</si>
  <si>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</si>
  <si>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</si>
  <si>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</si>
  <si>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</si>
  <si>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</si>
  <si>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</si>
  <si>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</si>
  <si>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</si>
  <si>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</si>
  <si>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</si>
  <si>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</si>
  <si>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</si>
  <si>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</si>
  <si>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</si>
  <si>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</si>
  <si>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</si>
  <si>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</si>
  <si>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</si>
  <si>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</si>
  <si>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</si>
  <si>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</si>
  <si>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</si>
  <si>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</si>
  <si>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</si>
  <si>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</si>
  <si>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</si>
  <si>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</si>
  <si>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</si>
  <si>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</si>
  <si>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</si>
  <si>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</si>
  <si>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</si>
  <si>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</si>
  <si>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</si>
  <si>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</si>
  <si>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</si>
  <si>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</si>
  <si>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</si>
  <si>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</si>
  <si>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</si>
  <si>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</si>
  <si>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</si>
  <si>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</si>
  <si>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</si>
  <si>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</si>
  <si>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</si>
  <si>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</si>
  <si>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</si>
  <si>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</si>
  <si>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</si>
  <si>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</si>
  <si>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</si>
  <si>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</si>
  <si>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</si>
  <si>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</si>
  <si>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</si>
  <si>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</si>
  <si>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</si>
  <si>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</si>
  <si>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</si>
  <si>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</si>
  <si>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</si>
  <si>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</si>
  <si>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</si>
  <si>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</si>
  <si>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</si>
  <si>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</si>
  <si>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</si>
  <si>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</si>
  <si>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</si>
  <si>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</si>
  <si>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</si>
  <si>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</si>
  <si>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</si>
  <si>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</si>
  <si>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</si>
  <si>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</si>
  <si>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</si>
  <si>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</si>
  <si>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</si>
  <si>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</si>
  <si>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</si>
  <si>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</si>
  <si>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</si>
  <si>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</si>
  <si>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</si>
  <si>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</si>
  <si>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</si>
  <si>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</si>
  <si>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</si>
  <si>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</si>
  <si>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</si>
  <si>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</si>
  <si>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</si>
  <si>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</si>
  <si>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</si>
  <si>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</si>
  <si>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</si>
  <si>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</si>
  <si>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</si>
  <si>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</si>
  <si>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</si>
  <si>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</si>
  <si>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</si>
  <si>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</si>
  <si>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</si>
  <si>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</si>
  <si>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</si>
  <si>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</si>
  <si>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</si>
  <si>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</si>
  <si>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</si>
  <si>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</si>
  <si>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</si>
  <si>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</si>
  <si>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</si>
  <si>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</si>
  <si>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</si>
  <si>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</si>
  <si>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</si>
  <si>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</si>
  <si>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</si>
  <si>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</si>
  <si>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</si>
  <si>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</si>
  <si>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</si>
  <si>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</si>
  <si>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</si>
  <si>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</si>
  <si>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</si>
  <si>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</si>
  <si>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</si>
  <si>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</si>
  <si>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</si>
  <si>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</si>
  <si>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</si>
  <si>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</si>
  <si>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</si>
  <si>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</si>
  <si>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</si>
  <si>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</si>
  <si>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</si>
  <si>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</si>
  <si>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</si>
  <si>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</si>
  <si>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</si>
  <si>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</si>
  <si>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</si>
  <si>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</si>
  <si>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</si>
  <si>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</si>
  <si>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</si>
  <si>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</si>
  <si>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</si>
  <si>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</si>
  <si>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</si>
  <si>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</si>
  <si>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</si>
  <si>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</si>
  <si>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</si>
  <si>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</si>
  <si>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</si>
  <si>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</si>
  <si>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</si>
  <si>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</si>
  <si>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</si>
  <si>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</si>
  <si>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</si>
  <si>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</si>
  <si>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</si>
  <si>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</si>
  <si>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</si>
  <si>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</si>
  <si>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</si>
  <si>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</si>
  <si>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</si>
  <si>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</si>
  <si>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</si>
  <si>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</si>
  <si>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</si>
  <si>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</si>
  <si>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</si>
  <si>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</si>
  <si>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</si>
  <si>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</si>
  <si>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</si>
  <si>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</si>
  <si>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</si>
  <si>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</si>
  <si>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</si>
  <si>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</si>
  <si>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</si>
  <si>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</si>
  <si>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</si>
  <si>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</si>
  <si>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</si>
  <si>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</si>
  <si>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</si>
  <si>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</si>
  <si>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</si>
  <si>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</si>
  <si>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</si>
  <si>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</si>
  <si>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</si>
  <si>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</si>
  <si>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</si>
  <si>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</si>
  <si>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</si>
  <si>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</si>
  <si>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</si>
  <si>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</si>
  <si>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</si>
  <si>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</si>
  <si>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</si>
  <si>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</si>
  <si>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</si>
  <si>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</si>
  <si>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</si>
  <si>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</si>
  <si>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</si>
  <si>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</si>
  <si>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</si>
  <si>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</si>
  <si>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</si>
  <si>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</si>
  <si>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</si>
  <si>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</si>
  <si>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</si>
  <si>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</si>
  <si>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</si>
  <si>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</si>
  <si>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</si>
  <si>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</si>
  <si>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</si>
  <si>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</si>
  <si>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</si>
  <si>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</si>
  <si>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</si>
  <si>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</si>
  <si>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</si>
  <si>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</si>
  <si>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</si>
  <si>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</si>
  <si>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</si>
  <si>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</si>
  <si>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</si>
  <si>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</si>
  <si>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</si>
  <si>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</si>
  <si>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</si>
  <si>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</si>
  <si>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</si>
  <si>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</si>
  <si>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</si>
  <si>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</si>
  <si>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</si>
  <si>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</si>
  <si>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</si>
  <si>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</si>
  <si>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</si>
  <si>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</si>
  <si>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</si>
  <si>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</si>
  <si>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</si>
  <si>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</si>
  <si>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</si>
  <si>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</si>
  <si>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</si>
  <si>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</si>
  <si>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</si>
  <si>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</si>
  <si>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</si>
  <si>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</si>
  <si>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</si>
  <si>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</si>
  <si>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</si>
  <si>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</si>
  <si>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</si>
  <si>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</si>
  <si>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</si>
  <si>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</si>
  <si>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</si>
  <si>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</si>
  <si>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</si>
  <si>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</si>
  <si>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</si>
  <si>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</si>
  <si>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</si>
  <si>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</si>
  <si>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</si>
  <si>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</si>
  <si>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</si>
  <si>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</si>
  <si>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</si>
  <si>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</si>
  <si>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</si>
  <si>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</si>
  <si>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</si>
  <si>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</si>
  <si>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</si>
  <si>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</si>
  <si>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</si>
  <si>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</si>
  <si>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</si>
  <si>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</si>
  <si>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</si>
  <si>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</si>
  <si>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</si>
  <si>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</si>
  <si>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</si>
  <si>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</si>
  <si>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</si>
  <si>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</si>
  <si>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</si>
  <si>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</si>
  <si>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</si>
  <si>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</si>
  <si>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</si>
  <si>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</si>
  <si>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</si>
  <si>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</si>
  <si>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</si>
  <si>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</si>
  <si>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</si>
  <si>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</si>
  <si>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</si>
  <si>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</si>
  <si>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</si>
  <si>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</si>
  <si>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</si>
  <si>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</si>
  <si>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</si>
  <si>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</si>
  <si>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</si>
  <si>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</si>
  <si>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</si>
  <si>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</si>
  <si>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</si>
  <si>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</si>
  <si>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</si>
  <si>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</si>
  <si>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</si>
  <si>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</si>
  <si>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</si>
  <si>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</si>
  <si>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</si>
  <si>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</si>
  <si>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</si>
  <si>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</si>
  <si>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</si>
  <si>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</si>
  <si>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</si>
  <si>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</si>
  <si>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</si>
  <si>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</si>
  <si>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</si>
  <si>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</si>
  <si>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</si>
  <si>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</si>
  <si>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</si>
  <si>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</si>
  <si>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</si>
  <si>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</si>
  <si>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</si>
  <si>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</si>
  <si>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</si>
  <si>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</si>
  <si>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</si>
  <si>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</si>
  <si>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</si>
  <si>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</si>
  <si>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</si>
  <si>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</si>
  <si>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</si>
  <si>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</si>
  <si>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</si>
  <si>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</si>
  <si>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</si>
  <si>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</si>
  <si>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</si>
  <si>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</si>
  <si>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</si>
  <si>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</si>
  <si>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</si>
  <si>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</si>
  <si>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</si>
  <si>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</si>
  <si>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</si>
  <si>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</si>
  <si>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</si>
  <si>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</si>
  <si>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</si>
  <si>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</si>
  <si>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</si>
  <si>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</si>
  <si>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</si>
  <si>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</si>
  <si>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</si>
  <si>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</si>
  <si>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</si>
  <si>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</si>
  <si>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</si>
  <si>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</si>
  <si>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</si>
  <si>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</si>
  <si>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</si>
  <si>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</si>
  <si>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</si>
  <si>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</si>
  <si>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</si>
  <si>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</si>
  <si>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</si>
  <si>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</si>
  <si>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</si>
  <si>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</si>
  <si>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</si>
  <si>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</si>
  <si>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</si>
  <si>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</si>
  <si>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</si>
  <si>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</si>
  <si>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</si>
  <si>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</si>
  <si>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</si>
  <si>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</si>
  <si>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</si>
  <si>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</si>
  <si>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</si>
  <si>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</si>
  <si>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</si>
  <si>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</si>
  <si>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</si>
  <si>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</si>
  <si>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</si>
  <si>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</si>
  <si>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</si>
  <si>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</si>
  <si>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</si>
  <si>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</si>
  <si>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</si>
  <si>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</si>
  <si>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</si>
  <si>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</si>
  <si>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</si>
  <si>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</si>
  <si>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</si>
  <si>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</si>
  <si>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</si>
  <si>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</si>
  <si>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</si>
  <si>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</si>
  <si>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</si>
  <si>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</si>
  <si>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</si>
  <si>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</si>
  <si>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</si>
  <si>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</si>
  <si>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</si>
  <si>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</si>
  <si>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</si>
  <si>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</si>
  <si>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</si>
  <si>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</si>
  <si>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</si>
  <si>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</si>
  <si>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</si>
  <si>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</si>
  <si>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</si>
  <si>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</si>
  <si>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</si>
  <si>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</si>
  <si>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</si>
  <si>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</si>
  <si>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</si>
  <si>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</si>
  <si>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</si>
  <si>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</si>
  <si>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</si>
  <si>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</si>
  <si>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</si>
  <si>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</si>
  <si>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</si>
  <si>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</si>
  <si>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</si>
  <si>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</si>
  <si>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</si>
  <si>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</si>
  <si>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</si>
  <si>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</si>
  <si>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</si>
  <si>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</si>
  <si>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</si>
  <si>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</si>
  <si>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</si>
  <si>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</si>
  <si>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</si>
  <si>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</si>
  <si>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</si>
  <si>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</si>
  <si>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</si>
  <si>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</si>
  <si>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</si>
  <si>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</si>
  <si>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</si>
  <si>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</si>
  <si>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</si>
  <si>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</si>
  <si>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</si>
  <si>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</si>
  <si>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</si>
  <si>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</si>
  <si>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</si>
  <si>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</si>
  <si>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</si>
  <si>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</si>
  <si>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</si>
  <si>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</si>
  <si>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</si>
  <si>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</si>
  <si>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</si>
  <si>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</si>
  <si>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</si>
  <si>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</si>
  <si>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</si>
  <si>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</si>
  <si>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</si>
  <si>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</si>
  <si>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</si>
  <si>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</si>
  <si>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</si>
  <si>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</si>
  <si>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</si>
  <si>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</si>
  <si>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</si>
  <si>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</si>
  <si>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</si>
  <si>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</si>
  <si>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</si>
  <si>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</si>
  <si>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</si>
  <si>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</si>
  <si>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</si>
  <si>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</si>
  <si>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</si>
  <si>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</si>
  <si>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</si>
  <si>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</si>
  <si>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</si>
  <si>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</si>
  <si>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</si>
  <si>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</si>
  <si>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</si>
  <si>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</si>
  <si>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</si>
  <si>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</si>
  <si>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</si>
  <si>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</si>
  <si>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</si>
  <si>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</si>
  <si>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</si>
  <si>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</si>
  <si>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</si>
  <si>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</si>
  <si>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</si>
  <si>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</si>
  <si>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</si>
  <si>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</si>
  <si>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</si>
  <si>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</si>
  <si>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</si>
  <si>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</si>
  <si>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</si>
  <si>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</si>
  <si>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</si>
  <si>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</si>
  <si>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</si>
  <si>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</si>
  <si>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</si>
  <si>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</si>
  <si>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</si>
  <si>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</si>
  <si>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</si>
  <si>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</si>
  <si>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</si>
  <si>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</si>
  <si>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</si>
  <si>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</si>
  <si>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</si>
  <si>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</si>
  <si>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</si>
  <si>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</si>
  <si>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</si>
  <si>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</si>
  <si>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</si>
  <si>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</si>
  <si>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</si>
  <si>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</si>
  <si>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</si>
  <si>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</si>
  <si>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</si>
  <si>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</si>
  <si>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</si>
  <si>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</si>
  <si>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</si>
  <si>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</si>
  <si>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</si>
  <si>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</si>
  <si>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</si>
  <si>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</si>
  <si>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</si>
  <si>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</si>
  <si>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</si>
  <si>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</si>
  <si>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</si>
  <si>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</si>
  <si>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</si>
  <si>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</si>
  <si>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</si>
  <si>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</si>
  <si>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</si>
  <si>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</si>
  <si>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</si>
  <si>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</si>
  <si>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</si>
  <si>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</si>
  <si>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</si>
  <si>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</si>
  <si>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</si>
  <si>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</si>
  <si>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</si>
  <si>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</si>
  <si>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</si>
  <si>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</si>
  <si>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</si>
  <si>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</si>
  <si>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</si>
  <si>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</si>
  <si>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</si>
  <si>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</si>
  <si>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</si>
  <si>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</si>
  <si>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</si>
  <si>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</si>
  <si>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</si>
  <si>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</si>
  <si>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</si>
  <si>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</si>
  <si>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</si>
  <si>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</si>
  <si>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</si>
  <si>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</si>
  <si>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</si>
  <si>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</si>
  <si>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</si>
  <si>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</si>
  <si>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</si>
  <si>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</si>
  <si>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</si>
  <si>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</si>
  <si>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</si>
  <si>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</si>
  <si>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</si>
  <si>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</si>
  <si>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</si>
  <si>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</si>
  <si>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</si>
  <si>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</si>
  <si>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</si>
  <si>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</si>
  <si>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</si>
  <si>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</si>
  <si>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</si>
  <si>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</si>
  <si>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</si>
  <si>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</si>
  <si>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</si>
  <si>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</si>
  <si>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</si>
  <si>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</si>
  <si>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</si>
  <si>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</si>
  <si>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</si>
  <si>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</si>
  <si>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</si>
  <si>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</si>
  <si>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</si>
  <si>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</si>
  <si>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</si>
  <si>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</si>
  <si>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</si>
  <si>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</si>
  <si>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</si>
  <si>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</si>
  <si>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</si>
  <si>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</si>
  <si>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</si>
  <si>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</si>
  <si>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</si>
  <si>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</si>
  <si>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</si>
  <si>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</si>
  <si>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</si>
  <si>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</si>
  <si>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</si>
  <si>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</si>
  <si>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</si>
  <si>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</si>
  <si>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</si>
  <si>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</si>
  <si>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</si>
  <si>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</si>
  <si>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</si>
  <si>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</si>
  <si>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</si>
  <si>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</si>
  <si>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</si>
  <si>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</si>
  <si>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</si>
  <si>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</si>
  <si>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</si>
  <si>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</si>
  <si>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</si>
  <si>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</si>
  <si>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</si>
  <si>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</si>
  <si>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</si>
  <si>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</si>
  <si>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</si>
  <si>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</si>
  <si>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</si>
  <si>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</si>
  <si>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</si>
  <si>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</si>
  <si>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</si>
  <si>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</si>
  <si>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</si>
  <si>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</si>
  <si>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</si>
  <si>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</si>
  <si>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</si>
  <si>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</si>
  <si>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</si>
  <si>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</si>
  <si>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</si>
  <si>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</si>
  <si>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</si>
  <si>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</si>
  <si>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</si>
  <si>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</si>
  <si>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</si>
  <si>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</si>
  <si>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</si>
  <si>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</si>
  <si>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</si>
  <si>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</si>
  <si>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</si>
  <si>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</si>
  <si>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</si>
  <si>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</si>
  <si>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</si>
  <si>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</si>
  <si>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</si>
  <si>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</si>
  <si>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</si>
  <si>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</si>
  <si>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</si>
  <si>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</si>
  <si>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</si>
  <si>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</si>
  <si>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</si>
  <si>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</si>
  <si>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</si>
  <si>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</si>
  <si>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</si>
  <si>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</si>
  <si>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</si>
  <si>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</si>
  <si>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</si>
  <si>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</si>
  <si>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</si>
  <si>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</si>
  <si>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</si>
  <si>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</si>
  <si>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</si>
  <si>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</si>
  <si>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</si>
  <si>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</si>
  <si>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</si>
  <si>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</si>
  <si>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</si>
  <si>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</si>
  <si>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</si>
  <si>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</si>
  <si>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</si>
  <si>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</si>
  <si>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</si>
  <si>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</si>
  <si>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</si>
  <si>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</si>
  <si>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</si>
  <si>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</si>
  <si>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</si>
  <si>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</si>
  <si>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</si>
  <si>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</si>
  <si>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</si>
  <si>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</si>
  <si>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</si>
  <si>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</si>
  <si>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</si>
  <si>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</si>
  <si>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</si>
  <si>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</si>
  <si>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</si>
  <si>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</si>
  <si>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</si>
  <si>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</si>
  <si>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</si>
  <si>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</si>
  <si>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</si>
  <si>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</si>
  <si>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</si>
  <si>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</si>
  <si>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</si>
  <si>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</si>
  <si>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</si>
  <si>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</si>
  <si>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</si>
  <si>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</si>
  <si>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</si>
  <si>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</si>
  <si>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</si>
  <si>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</si>
  <si>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</si>
  <si>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</si>
  <si>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</si>
  <si>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</si>
  <si>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</si>
  <si>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</si>
  <si>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</si>
  <si>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</si>
  <si>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</si>
  <si>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</si>
  <si>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</si>
  <si>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</si>
  <si>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</si>
  <si>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</si>
  <si>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</si>
  <si>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</si>
  <si>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</si>
  <si>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</si>
  <si>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</si>
  <si>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</si>
  <si>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</si>
  <si>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</si>
  <si>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</si>
  <si>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</si>
  <si>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</si>
  <si>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</si>
  <si>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</si>
  <si>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</si>
  <si>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</si>
  <si>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</si>
  <si>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</si>
  <si>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</si>
  <si>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</si>
  <si>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</si>
  <si>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</si>
  <si>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</si>
  <si>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</si>
  <si>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</si>
  <si>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</si>
  <si>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</si>
  <si>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</si>
  <si>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</si>
  <si>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</si>
  <si>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</si>
  <si>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</si>
  <si>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</si>
  <si>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</si>
  <si>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</si>
  <si>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</si>
  <si>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</si>
  <si>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</si>
  <si>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</si>
  <si>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</si>
  <si>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</si>
  <si>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</si>
  <si>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</si>
  <si>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</si>
  <si>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</si>
  <si>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</si>
  <si>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</si>
  <si>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</si>
  <si>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</si>
  <si>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</si>
  <si>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</si>
  <si>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</si>
  <si>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</si>
  <si>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</si>
  <si>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</si>
  <si>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</si>
  <si>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</si>
  <si>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</si>
  <si>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</si>
  <si>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</si>
  <si>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</si>
  <si>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</si>
  <si>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</si>
  <si>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</si>
  <si>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</si>
  <si>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</si>
  <si>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</si>
  <si>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</si>
  <si>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</si>
  <si>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</si>
  <si>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</si>
  <si>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</si>
  <si>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</si>
  <si>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</si>
  <si>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</si>
  <si>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</si>
  <si>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</si>
  <si>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</si>
  <si>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</si>
  <si>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</si>
  <si>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</si>
  <si>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</si>
  <si>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</si>
  <si>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</si>
  <si>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</si>
  <si>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</si>
  <si>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</si>
  <si>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</si>
  <si>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</si>
  <si>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</si>
  <si>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</si>
  <si>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</si>
  <si>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</si>
  <si>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</si>
  <si>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</si>
  <si>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</si>
  <si>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</si>
  <si>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</si>
  <si>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</si>
  <si>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</si>
  <si>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</si>
  <si>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</si>
  <si>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</si>
  <si>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</si>
  <si>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</si>
  <si>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</si>
  <si>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</si>
  <si>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</si>
  <si>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</si>
  <si>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</si>
  <si>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</si>
  <si>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</si>
  <si>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</si>
  <si>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</si>
  <si>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</si>
  <si>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</si>
  <si>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</si>
  <si>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</si>
  <si>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</si>
  <si>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</si>
  <si>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</si>
  <si>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</si>
  <si>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</si>
  <si>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</si>
  <si>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</si>
  <si>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</si>
  <si>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</si>
  <si>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</si>
  <si>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</si>
  <si>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</si>
  <si>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</si>
  <si>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</si>
  <si>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</si>
  <si>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</si>
  <si>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</si>
  <si>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</si>
  <si>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</si>
  <si>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</si>
  <si>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</si>
  <si>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</si>
  <si>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</si>
  <si>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</si>
  <si>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</si>
  <si>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</si>
  <si>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</si>
  <si>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</si>
  <si>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</si>
  <si>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</si>
  <si>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</si>
  <si>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</si>
  <si>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</si>
  <si>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</si>
  <si>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</si>
  <si>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</si>
  <si>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</si>
  <si>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</si>
  <si>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</si>
  <si>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</si>
  <si>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</si>
  <si>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</si>
  <si>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</si>
  <si>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</si>
  <si>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</si>
  <si>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</si>
  <si>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</si>
  <si>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</si>
  <si>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</si>
  <si>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</si>
  <si>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</si>
  <si>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</si>
  <si>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</si>
  <si>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</si>
  <si>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</si>
  <si>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</si>
  <si>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</si>
  <si>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</si>
  <si>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</si>
  <si>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</si>
  <si>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</si>
  <si>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</si>
  <si>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</si>
  <si>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</si>
  <si>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</si>
  <si>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</si>
  <si>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</si>
  <si>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</si>
  <si>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</si>
  <si>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</si>
  <si>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</si>
  <si>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</si>
  <si>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</si>
  <si>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</si>
  <si>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</si>
  <si>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</si>
  <si>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</si>
  <si>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</si>
  <si>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</si>
  <si>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</si>
  <si>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</si>
  <si>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</si>
  <si>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</si>
  <si>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</si>
  <si>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</si>
  <si>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</si>
  <si>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</si>
  <si>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</si>
  <si>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</si>
  <si>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</si>
  <si>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</si>
  <si>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</si>
  <si>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</si>
  <si>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</si>
  <si>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</si>
  <si>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</si>
  <si>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</si>
  <si>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</si>
  <si>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</si>
  <si>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</si>
  <si>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</si>
  <si>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</si>
  <si>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</si>
  <si>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</si>
  <si>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</si>
  <si>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</si>
  <si>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</si>
  <si>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</si>
  <si>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</si>
  <si>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</si>
  <si>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</si>
  <si>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</si>
  <si>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</si>
  <si>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</si>
  <si>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</si>
  <si>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</si>
  <si>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</si>
  <si>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</si>
  <si>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</si>
  <si>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</si>
  <si>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</si>
  <si>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</si>
  <si>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</si>
  <si>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</si>
  <si>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</si>
  <si>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</si>
  <si>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</si>
  <si>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</si>
  <si>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</si>
  <si>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</si>
  <si>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</si>
  <si>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</si>
  <si>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</si>
  <si>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</si>
  <si>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</si>
  <si>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</si>
  <si>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</si>
  <si>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</si>
  <si>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</si>
  <si>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</si>
  <si>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</si>
  <si>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</si>
  <si>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</si>
  <si>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</si>
  <si>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</si>
  <si>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</si>
  <si>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</si>
  <si>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</si>
  <si>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</si>
  <si>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</si>
  <si>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</si>
  <si>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</si>
  <si>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</si>
  <si>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</si>
  <si>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</si>
  <si>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</si>
  <si>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</si>
  <si>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</si>
  <si>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</si>
  <si>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</si>
  <si>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</si>
  <si>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</si>
  <si>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</si>
  <si>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</si>
  <si>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</si>
  <si>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</si>
  <si>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</si>
  <si>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</si>
  <si>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</si>
  <si>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</si>
  <si>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</si>
  <si>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</si>
  <si>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</si>
  <si>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</si>
  <si>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</si>
  <si>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</si>
  <si>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</si>
  <si>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</si>
  <si>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</si>
  <si>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</si>
  <si>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</si>
  <si>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</si>
  <si>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</si>
  <si>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</si>
  <si>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</si>
  <si>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</si>
  <si>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</si>
  <si>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</si>
  <si>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</si>
  <si>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</si>
  <si>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</si>
  <si>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</si>
  <si>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</si>
  <si>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</si>
  <si>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</si>
  <si>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</si>
  <si>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</si>
  <si>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</si>
  <si>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</si>
  <si>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</si>
  <si>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</si>
  <si>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</si>
  <si>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</si>
  <si>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</si>
  <si>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</si>
  <si>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</si>
  <si>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</si>
  <si>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</si>
  <si>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</si>
  <si>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</si>
  <si>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</si>
  <si>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</si>
  <si>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</si>
  <si>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</si>
  <si>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</si>
  <si>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</si>
  <si>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</si>
  <si>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</si>
  <si>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</si>
  <si>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</si>
  <si>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</si>
  <si>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</si>
  <si>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</si>
  <si>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</si>
  <si>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</si>
  <si>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</si>
  <si>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</si>
  <si>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</si>
  <si>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</si>
  <si>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</si>
  <si>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</si>
  <si>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</si>
  <si>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</si>
  <si>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</si>
  <si>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</si>
  <si>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</si>
  <si>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</si>
  <si>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</si>
  <si>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</si>
  <si>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</si>
  <si>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</si>
  <si>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</si>
  <si>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</si>
  <si>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</si>
  <si>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</si>
  <si>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</si>
  <si>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</si>
  <si>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</si>
  <si>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</si>
  <si>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</si>
  <si>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</si>
  <si>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</si>
  <si>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</si>
  <si>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</si>
  <si>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</si>
  <si>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</si>
  <si>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</si>
  <si>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</si>
  <si>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</si>
  <si>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</si>
  <si>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</si>
  <si>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</si>
  <si>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</si>
  <si>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</si>
  <si>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</si>
  <si>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</si>
  <si>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</si>
  <si>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</si>
  <si>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</si>
  <si>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</si>
  <si>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</si>
  <si>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</si>
  <si>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</si>
  <si>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</si>
  <si>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</si>
  <si>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</si>
  <si>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</si>
  <si>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</si>
  <si>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</si>
  <si>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</si>
  <si>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</si>
  <si>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</si>
  <si>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</si>
  <si>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</si>
  <si>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</si>
  <si>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</si>
  <si>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</si>
  <si>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</si>
  <si>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</si>
  <si>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</si>
  <si>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</si>
  <si>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</si>
  <si>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</si>
  <si>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</si>
  <si>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</si>
  <si>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</si>
  <si>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</si>
  <si>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</si>
  <si>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</si>
  <si>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</si>
  <si>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</si>
  <si>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</si>
  <si>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</si>
  <si>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</si>
  <si>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</si>
  <si>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</si>
  <si>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</si>
  <si>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</si>
  <si>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</si>
  <si>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</si>
  <si>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</si>
  <si>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</si>
  <si>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</si>
  <si>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</si>
  <si>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</si>
  <si>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</si>
  <si>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</si>
  <si>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</si>
  <si>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</si>
  <si>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</si>
  <si>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</si>
  <si>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</si>
  <si>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</si>
  <si>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</si>
  <si>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</si>
  <si>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</si>
  <si>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</si>
  <si>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</si>
  <si>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</si>
  <si>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</si>
  <si>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</si>
  <si>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</si>
  <si>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</si>
  <si>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</si>
  <si>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</si>
  <si>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</si>
  <si>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</si>
  <si>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</si>
  <si>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</si>
  <si>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</si>
  <si>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</si>
  <si>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</si>
  <si>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</si>
  <si>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</si>
  <si>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</si>
  <si>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</si>
  <si>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</si>
  <si>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</si>
  <si>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</si>
  <si>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</si>
  <si>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</si>
  <si>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</si>
  <si>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</si>
  <si>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</si>
  <si>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</si>
  <si>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</si>
  <si>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</si>
  <si>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</si>
  <si>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</si>
  <si>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</si>
  <si>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</si>
  <si>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</si>
  <si>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</si>
  <si>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</si>
  <si>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</si>
  <si>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</si>
  <si>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</si>
  <si>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</si>
  <si>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</si>
  <si>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</si>
  <si>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</si>
  <si>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</si>
  <si>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</si>
  <si>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</si>
  <si>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</si>
  <si>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</si>
  <si>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</si>
  <si>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</si>
  <si>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</si>
  <si>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</si>
  <si>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</si>
  <si>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</si>
  <si>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</si>
  <si>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</si>
  <si>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</si>
  <si>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</si>
  <si>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</si>
  <si>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</si>
  <si>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</si>
  <si>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</si>
  <si>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</si>
  <si>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</si>
  <si>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</si>
  <si>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</si>
  <si>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</si>
  <si>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</si>
  <si>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</si>
  <si>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</si>
  <si>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</si>
  <si>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</si>
  <si>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</si>
  <si>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</si>
  <si>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</si>
  <si>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</si>
  <si>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</si>
  <si>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</si>
  <si>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</si>
  <si>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</si>
  <si>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</si>
  <si>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</si>
  <si>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</si>
  <si>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</si>
  <si>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</si>
  <si>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</si>
  <si>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</si>
  <si>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</si>
  <si>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</si>
  <si>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</si>
  <si>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</si>
  <si>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</si>
  <si>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</si>
  <si>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</si>
  <si>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</si>
  <si>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</si>
  <si>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</si>
  <si>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</si>
  <si>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</si>
  <si>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</si>
  <si>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</si>
  <si>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</si>
  <si>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</si>
  <si>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</si>
  <si>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</si>
  <si>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</si>
  <si>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</si>
  <si>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</si>
  <si>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</si>
  <si>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</si>
  <si>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</si>
  <si>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</si>
  <si>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</si>
  <si>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</si>
  <si>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</si>
  <si>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</si>
  <si>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</si>
  <si>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</si>
  <si>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</si>
  <si>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</si>
  <si>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</si>
  <si>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</si>
  <si>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</si>
  <si>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</si>
  <si>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</si>
  <si>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</si>
  <si>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</si>
  <si>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</si>
  <si>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</si>
  <si>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</si>
  <si>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</si>
  <si>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</si>
  <si>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</si>
  <si>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</si>
  <si>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</si>
  <si>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</si>
  <si>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</si>
  <si>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</si>
  <si>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</si>
  <si>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</si>
  <si>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</si>
  <si>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</si>
  <si>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</si>
  <si>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</si>
  <si>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</si>
  <si>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</si>
  <si>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</si>
  <si>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</si>
  <si>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</si>
  <si>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</si>
  <si>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</si>
  <si>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</si>
  <si>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</si>
  <si>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</si>
  <si>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</si>
  <si>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</si>
  <si>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</si>
  <si>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</si>
  <si>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</si>
  <si>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</si>
  <si>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</si>
  <si>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</si>
  <si>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</si>
  <si>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</si>
  <si>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</si>
  <si>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</si>
  <si>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</si>
  <si>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</si>
  <si>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</si>
  <si>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</si>
  <si>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</si>
  <si>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</si>
  <si>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</si>
  <si>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</si>
  <si>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</si>
  <si>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</si>
  <si>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</si>
  <si>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</si>
  <si>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</si>
  <si>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</si>
  <si>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</si>
  <si>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</si>
  <si>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</si>
  <si>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</si>
  <si>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</si>
  <si>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</si>
  <si>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</si>
  <si>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</si>
  <si>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</si>
  <si>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</si>
  <si>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</si>
  <si>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</si>
  <si>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</si>
  <si>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</si>
  <si>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</si>
  <si>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</si>
  <si>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</si>
  <si>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</si>
  <si>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</si>
  <si>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</si>
  <si>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</si>
  <si>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</si>
  <si>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</si>
  <si>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</si>
  <si>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</si>
  <si>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</si>
  <si>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</si>
  <si>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</si>
  <si>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</si>
  <si>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</si>
  <si>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</si>
  <si>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</si>
  <si>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</si>
  <si>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</si>
  <si>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</si>
  <si>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</si>
  <si>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</si>
  <si>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</si>
  <si>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</si>
  <si>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</si>
  <si>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</si>
  <si>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</si>
  <si>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</si>
  <si>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</si>
  <si>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</si>
  <si>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</si>
  <si>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</si>
  <si>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</si>
  <si>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</si>
  <si>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</si>
  <si>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</si>
  <si>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</si>
  <si>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</si>
  <si>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</si>
  <si>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</si>
  <si>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</si>
  <si>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</si>
  <si>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</si>
  <si>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</si>
  <si>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</si>
  <si>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</si>
  <si>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</si>
  <si>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</si>
  <si>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</si>
  <si>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</si>
  <si>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</si>
  <si>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</si>
  <si>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</si>
  <si>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</si>
  <si>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</si>
  <si>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</si>
  <si>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</si>
  <si>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</si>
  <si>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</si>
  <si>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</si>
  <si>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</si>
  <si>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</si>
  <si>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</si>
  <si>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</si>
  <si>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</si>
  <si>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</si>
  <si>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</si>
  <si>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</si>
  <si>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</si>
  <si>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</si>
  <si>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</si>
  <si>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</si>
  <si>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</si>
  <si>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</si>
  <si>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</si>
  <si>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</si>
  <si>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</si>
  <si>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</si>
  <si>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</si>
  <si>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</si>
  <si>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</si>
  <si>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</si>
  <si>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</si>
  <si>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</si>
  <si>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</si>
  <si>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</si>
  <si>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</si>
  <si>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</si>
  <si>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</si>
  <si>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</si>
  <si>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</si>
  <si>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</si>
  <si>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</si>
  <si>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</si>
  <si>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</si>
  <si>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</si>
  <si>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</si>
  <si>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</si>
  <si>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</si>
  <si>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</si>
  <si>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</si>
  <si>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</si>
  <si>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</si>
  <si>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</si>
  <si>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</si>
  <si>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</si>
  <si>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</si>
  <si>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</si>
  <si>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</si>
  <si>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</si>
  <si>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</si>
  <si>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</si>
  <si>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</si>
  <si>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</si>
  <si>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</si>
  <si>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</si>
  <si>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</si>
  <si>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</si>
  <si>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</si>
  <si>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</si>
  <si>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</si>
  <si>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</si>
  <si>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</si>
  <si>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</si>
  <si>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</si>
  <si>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</si>
  <si>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</si>
  <si>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</si>
  <si>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</si>
  <si>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</si>
  <si>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</si>
  <si>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</si>
  <si>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</si>
  <si>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</si>
  <si>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</si>
  <si>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</si>
  <si>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</si>
  <si>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</si>
  <si>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</si>
  <si>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</si>
  <si>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</si>
  <si>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</si>
  <si>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</si>
  <si>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</si>
  <si>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</si>
  <si>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</si>
  <si>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</si>
  <si>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</si>
  <si>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</si>
  <si>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</si>
  <si>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</si>
  <si>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</si>
  <si>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</si>
  <si>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</si>
  <si>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</si>
  <si>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</si>
  <si>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</si>
  <si>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</si>
  <si>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</si>
  <si>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</si>
  <si>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</si>
  <si>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</si>
  <si>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</si>
  <si>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</si>
  <si>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</si>
  <si>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</si>
  <si>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</si>
  <si>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</si>
  <si>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</si>
  <si>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</si>
  <si>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</si>
  <si>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</si>
  <si>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</si>
  <si>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</si>
  <si>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</si>
  <si>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</si>
  <si>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</si>
  <si>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</si>
  <si>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</si>
  <si>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</si>
  <si>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</si>
  <si>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</si>
  <si>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</si>
  <si>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</si>
  <si>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</si>
  <si>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</si>
  <si>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</si>
  <si>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</si>
  <si>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</si>
  <si>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</si>
  <si>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</si>
  <si>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</si>
  <si>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</si>
  <si>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</si>
  <si>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</si>
  <si>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</si>
  <si>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</si>
  <si>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</si>
  <si>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</si>
  <si>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</si>
  <si>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</si>
  <si>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</si>
  <si>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</si>
  <si>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</si>
  <si>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</si>
  <si>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</si>
  <si>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</si>
  <si>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</si>
  <si>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</si>
  <si>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</si>
  <si>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</si>
  <si>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</si>
  <si>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</si>
  <si>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</si>
  <si>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</si>
  <si>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</si>
  <si>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</si>
  <si>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</si>
  <si>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</si>
  <si>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</si>
  <si>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</si>
  <si>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</si>
  <si>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</si>
  <si>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</si>
  <si>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</si>
  <si>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</si>
  <si>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</si>
  <si>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</si>
  <si>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</si>
  <si>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</si>
  <si>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</si>
  <si>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</si>
  <si>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</si>
  <si>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</si>
  <si>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</si>
  <si>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</si>
  <si>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</si>
  <si>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</si>
  <si>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</si>
  <si>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</si>
  <si>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</si>
  <si>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</si>
  <si>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</si>
  <si>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</si>
  <si>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</si>
  <si>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</si>
  <si>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</si>
  <si>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</si>
  <si>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</si>
  <si>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</si>
  <si>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</si>
  <si>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</si>
  <si>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</si>
  <si>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</si>
  <si>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</si>
  <si>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</si>
  <si>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</si>
  <si>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</si>
  <si>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</si>
  <si>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</si>
  <si>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</si>
  <si>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</si>
  <si>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</si>
  <si>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</si>
  <si>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</si>
  <si>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</si>
  <si>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</si>
  <si>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</si>
  <si>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</si>
  <si>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</si>
  <si>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</si>
  <si>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</si>
  <si>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</si>
  <si>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</si>
  <si>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</si>
  <si>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</si>
  <si>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</si>
  <si>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</si>
  <si>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</si>
  <si>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</si>
  <si>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</si>
  <si>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</si>
  <si>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</si>
  <si>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</si>
  <si>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</si>
  <si>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</si>
  <si>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</si>
  <si>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</si>
  <si>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</si>
  <si>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</si>
  <si>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</si>
  <si>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</si>
  <si>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</si>
  <si>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</si>
  <si>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</si>
  <si>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</si>
  <si>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</si>
  <si>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</si>
  <si>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</si>
  <si>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</si>
  <si>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</si>
  <si>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</si>
  <si>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</si>
  <si>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</si>
  <si>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</si>
  <si>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</si>
  <si>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</si>
  <si>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</si>
  <si>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</si>
  <si>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</si>
  <si>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</si>
  <si>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</si>
  <si>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</si>
  <si>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</si>
  <si>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</si>
  <si>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</si>
  <si>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</si>
  <si>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</si>
  <si>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</si>
  <si>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</si>
  <si>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</si>
  <si>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</si>
  <si>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</si>
  <si>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</si>
  <si>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</si>
  <si>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</si>
  <si>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</si>
  <si>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</si>
  <si>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</si>
  <si>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</si>
  <si>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</si>
  <si>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</si>
  <si>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</si>
  <si>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</si>
  <si>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</si>
  <si>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</si>
  <si>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</si>
  <si>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</si>
  <si>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</si>
  <si>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</si>
  <si>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</si>
  <si>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</si>
  <si>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</si>
  <si>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</si>
  <si>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</si>
  <si>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</si>
  <si>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</si>
  <si>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</si>
  <si>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</si>
  <si>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</si>
  <si>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</si>
  <si>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</si>
  <si>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</si>
  <si>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</si>
  <si>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</si>
  <si>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</si>
  <si>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</si>
  <si>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</si>
  <si>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</si>
  <si>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</si>
  <si>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</si>
  <si>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</si>
  <si>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</si>
  <si>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</si>
  <si>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</si>
  <si>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</si>
  <si>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</si>
  <si>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</si>
  <si>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</si>
  <si>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</si>
  <si>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</si>
  <si>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</si>
  <si>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</si>
  <si>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</si>
  <si>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</si>
  <si>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</si>
  <si>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</si>
  <si>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</si>
  <si>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</si>
  <si>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</si>
  <si>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</si>
  <si>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</si>
  <si>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</si>
  <si>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</si>
  <si>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</si>
  <si>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</si>
  <si>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</si>
  <si>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</si>
  <si>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</si>
  <si>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</si>
  <si>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</si>
  <si>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</si>
  <si>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</si>
  <si>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</si>
  <si>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</si>
  <si>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</si>
  <si>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</si>
  <si>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</si>
  <si>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</si>
  <si>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</si>
  <si>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</si>
  <si>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</si>
  <si>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</si>
  <si>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</si>
  <si>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</si>
  <si>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</si>
  <si>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</si>
  <si>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</si>
  <si>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</si>
  <si>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</si>
  <si>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</si>
  <si>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</si>
  <si>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</si>
  <si>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</si>
  <si>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</si>
  <si>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</si>
  <si>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</si>
  <si>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</si>
  <si>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</si>
  <si>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</si>
  <si>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</si>
  <si>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</si>
  <si>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</si>
  <si>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</si>
  <si>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</si>
  <si>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</si>
  <si>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</si>
  <si>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</si>
  <si>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</si>
  <si>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</si>
  <si>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</si>
  <si>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</si>
  <si>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</si>
  <si>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</si>
  <si>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</si>
  <si>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</si>
  <si>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</si>
  <si>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</si>
  <si>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</si>
  <si>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</si>
  <si>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</si>
  <si>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</si>
  <si>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</si>
  <si>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</si>
  <si>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</si>
  <si>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</si>
  <si>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</si>
  <si>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</si>
  <si>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</si>
  <si>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</si>
  <si>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</si>
  <si>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</si>
  <si>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</si>
  <si>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</si>
  <si>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</si>
  <si>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</si>
  <si>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</si>
  <si>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</si>
  <si>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</si>
  <si>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</si>
  <si>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</si>
  <si>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</si>
  <si>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</si>
  <si>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</si>
  <si>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</si>
  <si>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</si>
  <si>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</si>
  <si>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</si>
  <si>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</si>
  <si>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</si>
  <si>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</si>
  <si>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</si>
  <si>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</si>
  <si>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</si>
  <si>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</si>
  <si>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</si>
  <si>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</si>
  <si>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</si>
  <si>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</si>
  <si>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</si>
  <si>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</si>
  <si>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</si>
  <si>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</si>
  <si>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</si>
  <si>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</si>
  <si>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</si>
  <si>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</si>
  <si>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</si>
  <si>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</si>
  <si>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</si>
  <si>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</si>
  <si>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</si>
  <si>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</si>
  <si>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</si>
  <si>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</si>
  <si>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</si>
  <si>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</si>
  <si>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</si>
  <si>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</si>
  <si>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</si>
  <si>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</si>
  <si>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</si>
  <si>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</si>
  <si>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</si>
  <si>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</si>
  <si>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</si>
  <si>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</si>
  <si>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</si>
  <si>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</si>
  <si>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</si>
  <si>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</si>
  <si>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</si>
  <si>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</si>
  <si>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</si>
  <si>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</si>
  <si>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</si>
  <si>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</si>
  <si>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</si>
  <si>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</si>
  <si>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</si>
  <si>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</si>
  <si>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</si>
  <si>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</si>
  <si>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</si>
  <si>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</si>
  <si>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</si>
  <si>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</si>
  <si>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</si>
  <si>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</si>
  <si>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</si>
  <si>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</si>
  <si>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</si>
  <si>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</si>
  <si>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</si>
  <si>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</si>
  <si>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</si>
  <si>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</si>
  <si>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</si>
  <si>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</si>
  <si>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</si>
  <si>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</si>
  <si>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</si>
  <si>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</si>
  <si>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</si>
  <si>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</si>
  <si>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</si>
  <si>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</si>
  <si>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</si>
  <si>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</si>
  <si>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</si>
  <si>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</si>
  <si>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</si>
  <si>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</si>
  <si>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</si>
  <si>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</si>
  <si>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</si>
  <si>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</si>
  <si>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</si>
  <si>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</si>
  <si>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</si>
  <si>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</si>
  <si>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</si>
  <si>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</si>
  <si>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</si>
  <si>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</si>
  <si>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</si>
  <si>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</si>
  <si>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</si>
  <si>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</si>
  <si>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</si>
  <si>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</si>
  <si>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</si>
  <si>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</si>
  <si>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</si>
  <si>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</si>
  <si>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</si>
  <si>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</si>
  <si>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</si>
  <si>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</si>
  <si>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</si>
  <si>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</si>
  <si>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</si>
  <si>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</si>
  <si>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</si>
  <si>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</si>
  <si>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</si>
  <si>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</si>
  <si>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</si>
  <si>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</si>
  <si>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</si>
  <si>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</si>
  <si>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</si>
  <si>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</si>
  <si>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</si>
  <si>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</si>
  <si>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</si>
  <si>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</si>
  <si>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</si>
  <si>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</si>
  <si>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</si>
  <si>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</si>
  <si>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</si>
  <si>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</si>
  <si>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</si>
  <si>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</si>
  <si>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</si>
  <si>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</si>
  <si>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</si>
  <si>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</si>
  <si>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</si>
  <si>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</si>
  <si>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</si>
  <si>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</si>
  <si>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</si>
  <si>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</si>
  <si>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</si>
  <si>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</si>
  <si>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</si>
  <si>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</si>
  <si>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</si>
  <si>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</si>
  <si>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</si>
  <si>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</si>
  <si>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</si>
  <si>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</si>
  <si>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</si>
  <si>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</si>
  <si>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</si>
  <si>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</si>
  <si>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</si>
  <si>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</si>
  <si>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</si>
  <si>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</si>
  <si>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</si>
  <si>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</si>
  <si>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</si>
  <si>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</si>
  <si>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</si>
  <si>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</si>
  <si>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</si>
  <si>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</si>
  <si>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</si>
  <si>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</si>
  <si>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</si>
  <si>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</si>
  <si>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</si>
  <si>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</si>
  <si>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</si>
  <si>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</si>
  <si>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</si>
  <si>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</si>
  <si>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</si>
  <si>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</si>
  <si>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</si>
  <si>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</si>
  <si>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</si>
  <si>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</si>
  <si>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</si>
  <si>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</si>
  <si>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</si>
  <si>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</si>
  <si>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</si>
  <si>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</si>
  <si>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</si>
  <si>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</si>
  <si>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</si>
  <si>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</si>
  <si>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</si>
  <si>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</si>
  <si>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</si>
  <si>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</si>
  <si>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</si>
  <si>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</si>
  <si>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</si>
  <si>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</si>
  <si>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</si>
  <si>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</si>
  <si>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</si>
  <si>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</si>
  <si>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</si>
  <si>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</si>
  <si>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</si>
  <si>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</si>
  <si>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</si>
  <si>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</si>
  <si>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</si>
  <si>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</si>
  <si>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</si>
  <si>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</si>
  <si>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</si>
  <si>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</si>
  <si>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</si>
  <si>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</si>
  <si>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</si>
  <si>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</si>
  <si>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</si>
  <si>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</si>
  <si>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</si>
  <si>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</si>
  <si>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</si>
  <si>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</si>
  <si>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</si>
  <si>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</si>
  <si>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</si>
  <si>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</si>
  <si>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</si>
  <si>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</si>
  <si>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</si>
  <si>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</si>
  <si>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</si>
  <si>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</si>
  <si>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</si>
  <si>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</si>
  <si>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</si>
  <si>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</si>
  <si>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</si>
  <si>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</si>
  <si>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</si>
  <si>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</si>
  <si>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</si>
  <si>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</si>
  <si>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</si>
  <si>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</si>
  <si>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</si>
  <si>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</si>
  <si>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</si>
  <si>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</si>
  <si>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</si>
  <si>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</si>
  <si>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</si>
  <si>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</si>
  <si>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</si>
  <si>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</si>
  <si>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</si>
  <si>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</si>
  <si>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</si>
  <si>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</si>
  <si>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</si>
  <si>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</si>
  <si>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</si>
  <si>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</si>
  <si>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</si>
  <si>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</si>
  <si>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</si>
  <si>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</si>
  <si>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</si>
  <si>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</si>
  <si>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</si>
  <si>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</si>
  <si>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</si>
  <si>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</si>
  <si>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</si>
  <si>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</si>
  <si>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</si>
  <si>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</si>
  <si>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</si>
  <si>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</si>
  <si>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</si>
  <si>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</si>
  <si>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</si>
  <si>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</si>
  <si>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</si>
  <si>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</si>
  <si>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</si>
  <si>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</si>
  <si>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</si>
  <si>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</si>
  <si>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</si>
  <si>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</si>
  <si>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</si>
  <si>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</si>
  <si>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</si>
  <si>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</si>
  <si>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</si>
  <si>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</si>
  <si>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</si>
  <si>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</si>
  <si>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</si>
  <si>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</si>
  <si>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</si>
  <si>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</si>
  <si>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</si>
  <si>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</si>
  <si>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</si>
  <si>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</si>
  <si>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</si>
  <si>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</si>
  <si>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</si>
  <si>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</si>
  <si>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</si>
  <si>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</si>
  <si>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</si>
  <si>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</si>
  <si>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</si>
  <si>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</si>
  <si>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</si>
  <si>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</si>
  <si>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</si>
  <si>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</si>
  <si>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</si>
  <si>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</si>
  <si>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</si>
  <si>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</si>
  <si>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</si>
  <si>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</si>
  <si>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</si>
  <si>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</si>
  <si>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</si>
  <si>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</si>
  <si>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</si>
  <si>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</si>
  <si>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</si>
  <si>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</si>
  <si>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</si>
  <si>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</si>
  <si>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</si>
  <si>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</si>
  <si>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</si>
  <si>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</si>
  <si>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</si>
  <si>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</si>
  <si>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</si>
  <si>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</si>
  <si>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</si>
  <si>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</si>
  <si>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</si>
  <si>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</si>
  <si>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</si>
  <si>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</si>
  <si>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</si>
  <si>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</si>
  <si>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</si>
  <si>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</si>
  <si>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</si>
  <si>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</si>
  <si>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</si>
  <si>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</si>
  <si>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</si>
  <si>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</si>
  <si>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</si>
  <si>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</si>
  <si>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</si>
  <si>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</si>
  <si>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</si>
  <si>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</si>
  <si>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</si>
  <si>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</si>
  <si>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</si>
  <si>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</si>
  <si>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</si>
  <si>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</si>
  <si>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</si>
  <si>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</si>
  <si>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</si>
  <si>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</si>
  <si>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</si>
  <si>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</si>
  <si>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</si>
  <si>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</si>
  <si>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</si>
  <si>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</si>
  <si>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</si>
  <si>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</si>
  <si>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</si>
  <si>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</si>
  <si>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</si>
  <si>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</si>
  <si>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</si>
  <si>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</si>
  <si>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</si>
  <si>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</si>
  <si>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</si>
  <si>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</si>
  <si>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</si>
  <si>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</si>
  <si>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</si>
  <si>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</si>
  <si>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</si>
  <si>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</si>
  <si>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</si>
  <si>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</si>
  <si>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</si>
  <si>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</si>
  <si>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</si>
  <si>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</si>
  <si>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</si>
  <si>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</si>
  <si>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</si>
  <si>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</si>
  <si>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</si>
  <si>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</si>
  <si>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</si>
  <si>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</si>
  <si>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</si>
  <si>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</si>
  <si>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</si>
  <si>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</si>
  <si>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</si>
  <si>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</si>
  <si>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</si>
  <si>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</si>
  <si>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</si>
  <si>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</si>
  <si>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</si>
  <si>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</si>
  <si>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</si>
  <si>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</si>
  <si>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</si>
  <si>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</si>
  <si>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</si>
  <si>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</si>
  <si>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</si>
  <si>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</si>
  <si>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</si>
  <si>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</si>
  <si>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</si>
  <si>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</si>
  <si>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</si>
  <si>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</si>
  <si>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</si>
  <si>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</si>
  <si>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</si>
  <si>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</si>
  <si>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</si>
  <si>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</si>
  <si>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</si>
  <si>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</si>
  <si>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</si>
  <si>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</si>
  <si>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</si>
  <si>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</si>
  <si>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</si>
  <si>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</si>
  <si>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</si>
  <si>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</si>
  <si>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</si>
  <si>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</si>
  <si>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</si>
  <si>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</si>
  <si>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</si>
  <si>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</si>
  <si>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</si>
  <si>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</si>
  <si>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</si>
  <si>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</si>
  <si>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</si>
  <si>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</si>
  <si>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</si>
  <si>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</si>
  <si>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</si>
  <si>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</si>
  <si>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</si>
  <si>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</si>
  <si>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</si>
  <si>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</si>
  <si>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</si>
  <si>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</si>
  <si>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</si>
  <si>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</si>
  <si>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</si>
  <si>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</si>
  <si>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</si>
  <si>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</si>
  <si>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</si>
  <si>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</si>
  <si>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</si>
  <si>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</si>
  <si>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</si>
  <si>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</si>
  <si>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</si>
  <si>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</si>
  <si>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</si>
  <si>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</si>
  <si>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</si>
  <si>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</si>
  <si>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</si>
  <si>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</si>
  <si>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</si>
  <si>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</si>
  <si>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</si>
  <si>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</si>
  <si>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</si>
  <si>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</si>
  <si>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</si>
  <si>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</si>
  <si>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</si>
  <si>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</si>
  <si>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</si>
  <si>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</si>
  <si>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</si>
  <si>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</si>
  <si>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</si>
  <si>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</si>
  <si>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</si>
  <si>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</si>
  <si>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</si>
  <si>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</si>
  <si>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</si>
  <si>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</si>
  <si>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</si>
  <si>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</si>
  <si>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</si>
  <si>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</si>
  <si>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</si>
  <si>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</si>
  <si>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</si>
  <si>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</si>
  <si>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</si>
  <si>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</si>
  <si>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</si>
  <si>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</si>
  <si>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</si>
  <si>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</si>
  <si>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</si>
  <si>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</si>
  <si>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</si>
  <si>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</si>
  <si>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</si>
  <si>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</si>
  <si>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</si>
  <si>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</si>
  <si>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</si>
  <si>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</si>
  <si>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</si>
  <si>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</si>
  <si>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</si>
  <si>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</si>
  <si>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</si>
  <si>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</si>
  <si>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</si>
  <si>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</si>
  <si>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</si>
  <si>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</si>
  <si>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</si>
  <si>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</si>
  <si>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</si>
  <si>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</si>
  <si>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</si>
  <si>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</si>
  <si>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</si>
  <si>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</si>
  <si>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</si>
  <si>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</si>
  <si>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</si>
  <si>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</si>
  <si>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</si>
  <si>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</si>
  <si>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</si>
  <si>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</si>
  <si>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</si>
  <si>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</si>
  <si>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</si>
  <si>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</si>
  <si>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</si>
  <si>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</si>
  <si>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</si>
  <si>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</si>
  <si>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</si>
  <si>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</si>
  <si>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</si>
  <si>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</si>
  <si>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</si>
  <si>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</si>
  <si>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</si>
  <si>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</si>
  <si>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</si>
  <si>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</si>
  <si>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</si>
  <si>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</si>
  <si>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</si>
  <si>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</si>
  <si>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</si>
  <si>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</si>
  <si>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</si>
  <si>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</si>
  <si>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</si>
  <si>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</si>
  <si>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</si>
  <si>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</si>
  <si>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</si>
  <si>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</si>
  <si>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</si>
  <si>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</si>
  <si>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</si>
  <si>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</si>
  <si>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</si>
  <si>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</si>
  <si>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</si>
  <si>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</si>
  <si>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</si>
  <si>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</si>
  <si>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</si>
  <si>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</si>
  <si>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</si>
  <si>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</si>
  <si>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</si>
  <si>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</si>
  <si>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</si>
  <si>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</si>
  <si>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</si>
  <si>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</si>
  <si>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</si>
  <si>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</si>
  <si>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</si>
  <si>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</si>
  <si>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</si>
  <si>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</si>
  <si>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</si>
  <si>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</si>
  <si>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</si>
  <si>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</si>
  <si>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</si>
  <si>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</si>
  <si>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</si>
  <si>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</si>
  <si>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</si>
  <si>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</si>
  <si>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</si>
  <si>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</si>
  <si>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</si>
  <si>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</si>
  <si>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</si>
  <si>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</si>
  <si>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</si>
  <si>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</si>
  <si>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</si>
  <si>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</si>
  <si>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</si>
  <si>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</si>
  <si>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</si>
  <si>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</si>
  <si>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</si>
  <si>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</si>
  <si>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</si>
  <si>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</si>
  <si>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</si>
  <si>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</si>
  <si>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</si>
  <si>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</si>
  <si>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</si>
  <si>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</si>
  <si>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</si>
  <si>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</si>
  <si>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</si>
  <si>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</si>
  <si>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</si>
  <si>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</si>
  <si>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</si>
  <si>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</si>
  <si>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</si>
  <si>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</si>
  <si>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</si>
  <si>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</si>
  <si>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</si>
  <si>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</si>
  <si>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</si>
  <si>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</si>
  <si>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</si>
  <si>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</si>
  <si>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</si>
  <si>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</si>
  <si>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</si>
  <si>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</si>
  <si>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</si>
  <si>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</si>
  <si>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</si>
  <si>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</si>
  <si>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</si>
  <si>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</si>
  <si>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</si>
  <si>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</si>
  <si>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</si>
  <si>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</si>
  <si>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</si>
  <si>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</si>
  <si>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</si>
  <si>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</si>
  <si>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</si>
  <si>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</si>
  <si>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</si>
  <si>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</si>
  <si>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</si>
  <si>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</si>
  <si>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</si>
  <si>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</si>
  <si>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</si>
  <si>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</si>
  <si>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</si>
  <si>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</si>
  <si>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</si>
  <si>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</si>
  <si>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</si>
  <si>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</si>
  <si>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</si>
  <si>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</si>
  <si>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</si>
  <si>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</si>
  <si>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</si>
  <si>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</si>
  <si>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</si>
  <si>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</si>
  <si>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</si>
  <si>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</si>
  <si>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</si>
  <si>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</si>
  <si>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</si>
  <si>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</si>
  <si>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</si>
  <si>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</si>
  <si>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</si>
  <si>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</si>
  <si>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</si>
  <si>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</si>
  <si>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</si>
  <si>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</si>
  <si>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</si>
  <si>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</si>
  <si>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</si>
  <si>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</si>
  <si>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</si>
  <si>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</si>
  <si>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</si>
  <si>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</si>
  <si>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</si>
  <si>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</si>
  <si>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</si>
  <si>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</si>
  <si>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</si>
  <si>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</si>
  <si>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</si>
  <si>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</si>
  <si>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</si>
  <si>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</si>
  <si>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</si>
  <si>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</si>
  <si>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</si>
  <si>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</si>
  <si>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</si>
  <si>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</si>
  <si>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</si>
  <si>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</si>
  <si>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</si>
  <si>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</si>
  <si>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</si>
  <si>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</si>
  <si>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</si>
  <si>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</si>
  <si>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</si>
  <si>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</si>
  <si>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</si>
  <si>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</si>
  <si>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</si>
  <si>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</si>
  <si>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</si>
  <si>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</si>
  <si>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</si>
  <si>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</si>
  <si>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</si>
  <si>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</si>
  <si>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</si>
  <si>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</si>
  <si>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</si>
  <si>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</si>
  <si>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</si>
  <si>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</si>
  <si>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</si>
  <si>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</si>
  <si>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</si>
  <si>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</si>
  <si>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</si>
  <si>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</si>
  <si>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</si>
  <si>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</si>
  <si>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</si>
  <si>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</si>
  <si>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</si>
  <si>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</si>
  <si>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</si>
  <si>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</si>
  <si>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</si>
  <si>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</si>
  <si>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</si>
  <si>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</si>
  <si>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</si>
  <si>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</si>
  <si>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</si>
  <si>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</si>
  <si>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</si>
  <si>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</si>
  <si>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</si>
  <si>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</si>
  <si>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</si>
  <si>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</si>
  <si>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</si>
  <si>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</si>
  <si>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</si>
  <si>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</si>
  <si>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</si>
  <si>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</si>
  <si>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</si>
  <si>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</si>
  <si>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</si>
  <si>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</si>
  <si>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</si>
  <si>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</si>
  <si>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</si>
  <si>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</si>
  <si>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</si>
  <si>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</si>
  <si>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</si>
  <si>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</si>
  <si>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</si>
  <si>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</si>
  <si>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</si>
  <si>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</si>
  <si>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</si>
  <si>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</si>
  <si>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</si>
  <si>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</si>
  <si>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</si>
  <si>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</si>
  <si>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</si>
  <si>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</si>
  <si>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</si>
  <si>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</si>
  <si>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</si>
  <si>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</si>
  <si>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</si>
  <si>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</si>
  <si>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</si>
  <si>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</si>
  <si>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</si>
  <si>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</si>
  <si>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</si>
  <si>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</si>
  <si>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</si>
  <si>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</si>
  <si>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</si>
  <si>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</si>
  <si>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</si>
  <si>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</si>
  <si>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</si>
  <si>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</si>
  <si>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</si>
  <si>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</si>
  <si>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</si>
  <si>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</si>
  <si>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</si>
  <si>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</si>
  <si>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</si>
  <si>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</si>
  <si>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</si>
  <si>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</si>
  <si>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</si>
  <si>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</si>
  <si>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</si>
  <si>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</si>
  <si>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</si>
  <si>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</si>
  <si>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</si>
  <si>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</si>
  <si>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</si>
  <si>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</si>
  <si>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</si>
  <si>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</si>
  <si>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</si>
  <si>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</si>
  <si>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</si>
  <si>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</si>
  <si>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</si>
  <si>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</si>
  <si>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</si>
  <si>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</si>
  <si>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</si>
  <si>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</si>
  <si>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</si>
  <si>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</si>
  <si>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</si>
  <si>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</si>
  <si>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</si>
  <si>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</si>
  <si>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</si>
  <si>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</si>
  <si>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</si>
  <si>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</si>
  <si>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</si>
  <si>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</si>
  <si>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</si>
  <si>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</si>
  <si>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</si>
  <si>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</si>
  <si>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</si>
  <si>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</si>
  <si>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</si>
  <si>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</si>
  <si>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</si>
  <si>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</si>
  <si>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</si>
  <si>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</si>
  <si>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</si>
  <si>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</si>
  <si>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</si>
  <si>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</si>
  <si>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</si>
  <si>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</si>
  <si>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</si>
  <si>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</si>
  <si>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</si>
  <si>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</si>
  <si>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FINITO! Già creato l'HTML nella libreria. Ok tutto: link esterni, formattazione paragrafi, eventuali note ecc...</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</si>
  <si>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</si>
  <si>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</si>
  <si>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</si>
  <si>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</si>
  <si>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</si>
  <si>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</si>
  <si>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</si>
  <si>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</si>
  <si>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</si>
  <si>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</si>
  <si>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</si>
  <si>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</si>
  <si>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</si>
  <si>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</si>
  <si>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</si>
  <si>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</si>
  <si>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</si>
  <si>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</si>
  <si>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</si>
  <si>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</si>
  <si>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</si>
  <si>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</si>
  <si>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</si>
  <si>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</si>
  <si>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</si>
  <si>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</si>
  <si>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</si>
  <si>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</si>
  <si>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</si>
  <si>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</si>
  <si>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</si>
  <si>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</si>
  <si>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</si>
  <si>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</si>
  <si>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</si>
  <si>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</si>
  <si>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</si>
  <si>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</si>
  <si>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</si>
  <si>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</si>
  <si>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</si>
  <si>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</si>
  <si>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</si>
  <si>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</si>
  <si>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</si>
  <si>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</si>
  <si>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</si>
  <si>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</si>
  <si>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</si>
  <si>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</si>
  <si>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</si>
  <si>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</si>
  <si>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</si>
  <si>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</si>
  <si>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</si>
  <si>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</si>
  <si>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</si>
  <si>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</si>
  <si>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</si>
  <si>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</si>
  <si>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</si>
  <si>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</si>
  <si>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</si>
  <si>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</si>
  <si>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</si>
  <si>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</si>
  <si>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</si>
  <si>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</si>
  <si>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</si>
  <si>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</si>
  <si>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</si>
  <si>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</si>
  <si>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</si>
  <si>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</si>
  <si>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</si>
  <si>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</si>
  <si>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</si>
  <si>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</si>
  <si>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</si>
  <si>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</si>
  <si>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</si>
  <si>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</si>
  <si>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</si>
  <si>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</si>
  <si>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</si>
  <si>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</si>
  <si>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</si>
  <si>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</si>
  <si>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</si>
  <si>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</si>
  <si>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</si>
  <si>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</si>
  <si>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</si>
  <si>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</si>
  <si>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</si>
  <si>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</si>
  <si>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</si>
  <si>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</si>
  <si>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</si>
  <si>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</si>
  <si>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</si>
  <si>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</si>
  <si>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</si>
  <si>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</si>
  <si>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</si>
  <si>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</si>
  <si>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</si>
  <si>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</si>
  <si>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</si>
  <si>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</si>
  <si>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</si>
  <si>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</si>
  <si>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</si>
  <si>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</si>
  <si>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</si>
  <si>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</si>
  <si>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</si>
  <si>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</si>
  <si>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</si>
  <si>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</si>
  <si>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</si>
  <si>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</si>
  <si>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</si>
  <si>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</si>
  <si>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</si>
  <si>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</si>
  <si>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</si>
  <si>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</si>
  <si>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</si>
  <si>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</si>
  <si>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</si>
  <si>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</si>
  <si>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</si>
  <si>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</si>
  <si>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</si>
  <si>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</si>
  <si>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</si>
  <si>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</si>
  <si>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</si>
  <si>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</si>
  <si>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</si>
  <si>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</si>
  <si>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</si>
  <si>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</si>
  <si>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</si>
  <si>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</si>
  <si>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</si>
  <si>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</si>
  <si>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</si>
  <si>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</si>
  <si>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</si>
  <si>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</si>
  <si>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</si>
  <si>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</si>
  <si>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</si>
  <si>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</si>
  <si>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</si>
  <si>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</si>
  <si>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</si>
  <si>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</si>
  <si>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</si>
  <si>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</si>
  <si>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</si>
  <si>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</si>
  <si>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</si>
  <si>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</si>
  <si>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</si>
  <si>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</si>
  <si>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</si>
  <si>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</si>
  <si>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</si>
  <si>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</si>
  <si>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</si>
  <si>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</si>
  <si>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</si>
  <si>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</si>
  <si>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</si>
  <si>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</si>
  <si>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</si>
  <si>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</si>
  <si>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</si>
  <si>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</si>
  <si>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</si>
  <si>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</si>
  <si>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</si>
  <si>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</si>
  <si>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</si>
  <si>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</si>
  <si>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</si>
  <si>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</si>
  <si>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</si>
  <si>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</si>
  <si>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</si>
  <si>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</si>
  <si>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</si>
  <si>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</si>
  <si>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</si>
  <si>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</si>
  <si>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</si>
  <si>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</si>
  <si>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</si>
  <si>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</si>
  <si>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</si>
  <si>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</si>
  <si>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</si>
  <si>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</si>
  <si>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</si>
  <si>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</si>
  <si>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</si>
  <si>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</si>
  <si>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</si>
  <si>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</si>
  <si>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</si>
  <si>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</si>
  <si>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</si>
  <si>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</si>
  <si>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</si>
  <si>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</si>
  <si>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</si>
  <si>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</si>
  <si>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</si>
  <si>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</si>
  <si>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</si>
  <si>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</si>
  <si>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</si>
  <si>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</si>
  <si>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</si>
  <si>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</si>
  <si>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</si>
  <si>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</si>
  <si>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</si>
  <si>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</si>
  <si>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</si>
  <si>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</si>
  <si>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</si>
  <si>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</si>
  <si>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</si>
  <si>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</si>
  <si>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</si>
  <si>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</si>
  <si>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</si>
  <si>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</si>
  <si>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</si>
  <si>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</si>
  <si>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</si>
  <si>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</si>
  <si>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</si>
  <si>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</si>
  <si>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</si>
  <si>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</si>
  <si>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</si>
  <si>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</si>
  <si>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</si>
  <si>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</si>
  <si>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</si>
  <si>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</si>
  <si>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</si>
  <si>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</si>
  <si>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</si>
  <si>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</si>
  <si>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</si>
  <si>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</si>
  <si>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</si>
  <si>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</si>
  <si>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</si>
  <si>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</si>
  <si>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</si>
  <si>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</si>
  <si>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</si>
  <si>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</si>
  <si>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</si>
  <si>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</si>
  <si>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</si>
  <si>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</si>
  <si>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</si>
  <si>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</si>
  <si>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</si>
  <si>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</si>
  <si>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</si>
  <si>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</si>
  <si>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</si>
  <si>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</si>
  <si>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</si>
  <si>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</si>
  <si>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</si>
  <si>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</si>
  <si>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</si>
  <si>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</si>
  <si>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</si>
  <si>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</si>
  <si>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</si>
  <si>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</si>
  <si>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</si>
  <si>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</si>
  <si>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</si>
  <si>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</si>
  <si>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</si>
  <si>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</si>
  <si>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</si>
  <si>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</si>
  <si>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</si>
  <si>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</si>
  <si>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</si>
  <si>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</si>
  <si>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</si>
  <si>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</si>
  <si>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</si>
  <si>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</si>
  <si>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</si>
  <si>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</si>
  <si>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</si>
  <si>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</si>
  <si>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</si>
  <si>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</si>
  <si>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</si>
  <si>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</si>
  <si>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</si>
  <si>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</si>
  <si>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</si>
  <si>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</si>
  <si>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</si>
  <si>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</si>
  <si>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</si>
  <si>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</si>
  <si>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</si>
  <si>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</si>
  <si>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</si>
  <si>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</si>
  <si>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</si>
  <si>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</si>
  <si>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</si>
  <si>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</si>
  <si>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</si>
  <si>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</si>
  <si>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</si>
  <si>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</si>
  <si>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</si>
  <si>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</si>
  <si>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</si>
  <si>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</si>
  <si>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</si>
  <si>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</si>
  <si>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</si>
  <si>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</si>
  <si>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</si>
  <si>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</si>
  <si>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</si>
  <si>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</si>
  <si>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</si>
  <si>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</si>
  <si>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</si>
  <si>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</si>
  <si>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</si>
  <si>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</si>
  <si>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</si>
  <si>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</si>
  <si>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</si>
  <si>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</si>
  <si>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</si>
  <si>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</si>
  <si>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</si>
  <si>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</si>
  <si>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</si>
  <si>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</si>
  <si>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</si>
  <si>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</si>
  <si>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</si>
  <si>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</si>
  <si>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</si>
  <si>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</si>
  <si>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</si>
  <si>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</si>
  <si>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</si>
  <si>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</si>
  <si>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</si>
  <si>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</si>
  <si>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</si>
  <si>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</si>
  <si>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</si>
  <si>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</si>
  <si>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</si>
  <si>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</si>
  <si>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</si>
  <si>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</si>
  <si>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</si>
  <si>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</si>
  <si>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</si>
  <si>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</si>
  <si>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</si>
  <si>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</si>
  <si>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</si>
  <si>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</si>
  <si>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</si>
  <si>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</si>
  <si>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</si>
  <si>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</si>
  <si>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</si>
  <si>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</si>
  <si>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</si>
  <si>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</si>
  <si>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</si>
  <si>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</si>
  <si>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</si>
  <si>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</si>
  <si>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</si>
  <si>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</si>
  <si>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</si>
  <si>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</si>
  <si>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</si>
  <si>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</si>
  <si>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</si>
  <si>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</si>
  <si>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</si>
  <si>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</si>
  <si>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</si>
  <si>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</si>
  <si>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</si>
  <si>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</si>
  <si>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</si>
  <si>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</si>
  <si>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</si>
  <si>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</si>
  <si>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</si>
  <si>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</si>
  <si>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</si>
  <si>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</si>
  <si>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</si>
  <si>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</si>
  <si>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</si>
  <si>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</si>
  <si>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</si>
  <si>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</si>
  <si>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</si>
  <si>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</si>
  <si>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</si>
  <si>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</si>
  <si>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</si>
  <si>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</si>
  <si>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</si>
  <si>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</si>
  <si>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</si>
  <si>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</si>
  <si>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</si>
  <si>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</si>
  <si>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</si>
  <si>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</si>
  <si>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</si>
  <si>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</si>
  <si>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</si>
  <si>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</si>
  <si>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</si>
  <si>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</si>
  <si>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</si>
  <si>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</si>
  <si>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</si>
  <si>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</si>
  <si>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</si>
  <si>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</si>
  <si>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</si>
  <si>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</si>
  <si>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Completi</t>
  </si>
  <si>
    <t>Obsidian MD creato</t>
  </si>
  <si>
    <t>Si</t>
  </si>
  <si>
    <t>No</t>
  </si>
  <si>
    <t>Assenti</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</si>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</sst>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69">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0" fontId="1" fillId="0" borderId="0" xfId="0" applyFont="1" applyAlignment="1">
      <alignment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1"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0" fontId="9" fillId="2" borderId="0" xfId="0" quotePrefix="1" applyFont="1" applyFill="1" applyAlignment="1">
      <alignment horizont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Alignment="1">
      <alignment horizontal="center" vertical="center" wrapText="1"/>
    </xf>
    <xf numFmtId="14" fontId="1" fillId="2" borderId="0" xfId="0" applyNumberFormat="1" applyFont="1" applyFill="1" applyAlignment="1">
      <alignment horizontal="center" vertical="center" wrapText="1"/>
    </xf>
    <xf numFmtId="0" fontId="5" fillId="2" borderId="0" xfId="2" applyFill="1"/>
    <xf numFmtId="0" fontId="0" fillId="2" borderId="0" xfId="0" applyFill="1"/>
    <xf numFmtId="0" fontId="12" fillId="2" borderId="0" xfId="0"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167" fontId="2" fillId="2" borderId="0" xfId="0" applyNumberFormat="1" applyFont="1" applyFill="1"/>
    <xf numFmtId="167" fontId="2" fillId="0" borderId="0" xfId="0" applyNumberFormat="1" applyFont="1"/>
    <xf numFmtId="0" fontId="2" fillId="0" borderId="0" xfId="0" applyFont="1" applyAlignment="1">
      <alignment horizontal="center"/>
    </xf>
    <xf numFmtId="0" fontId="2" fillId="0" borderId="0" xfId="0" quotePrefix="1" applyFont="1"/>
    <xf numFmtId="0" fontId="2" fillId="4" borderId="0" xfId="0" applyFont="1" applyFill="1"/>
    <xf numFmtId="0" fontId="3" fillId="0" borderId="0" xfId="0" applyFont="1" applyAlignment="1">
      <alignment horizontal="center"/>
    </xf>
    <xf numFmtId="0" fontId="8" fillId="6" borderId="0" xfId="0" applyFont="1" applyFill="1"/>
    <xf numFmtId="14" fontId="8" fillId="6" borderId="0" xfId="0" applyNumberFormat="1" applyFont="1" applyFill="1"/>
  </cellXfs>
  <cellStyles count="3">
    <cellStyle name="Collegamento ipertestuale" xfId="2" builtinId="8"/>
    <cellStyle name="Normale" xfId="0" builtinId="0"/>
    <cellStyle name="Normale 2" xfId="1" xr:uid="{A5C30FD7-F4EF-4CFC-AE33-9E03C954CFE2}"/>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4" xr16:uid="{243DEDF1-4EB9-450D-A1A6-E5562531697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1" connectionId="1" xr16:uid="{4B645ACA-6E06-48A2-98E3-44DFF95CE36A}"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iEsterni_2" connectionId="2" xr16:uid="{174AEBAC-9836-4DB5-9FA7-F70C5E69918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iEsterni_3" connectionId="3" xr16:uid="{36F2AD18-E4E4-4864-A4A3-2DEB0F32FDCD}" autoFormatId="16" applyNumberFormats="0" applyBorderFormats="0" applyFontFormats="0" applyPatternFormats="0" applyAlignmentFormats="0" applyWidthHeightFormats="0">
  <queryTableRefresh nextId="5">
    <queryTableFields count="4">
      <queryTableField id="1" name="Colonna1" tableColumnId="1"/>
      <queryTableField id="2" name="Colonna2" tableColumnId="2"/>
      <queryTableField id="3" name="Colonna3" tableColumnId="3"/>
      <queryTableField id="4" name="Colonna4"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AD003A-D560-44E9-8645-77B62DDB857A}" name="Pio_VII" displayName="Pio_VII" ref="A1:D19" tableType="queryTable" totalsRowShown="0">
  <autoFilter ref="A1:D19" xr:uid="{47AD003A-D560-44E9-8645-77B62DDB857A}"/>
  <tableColumns count="4">
    <tableColumn id="1" xr3:uid="{15E8CF43-11C3-4604-837B-40D385C85314}" uniqueName="1" name="Column1" queryTableFieldId="1" dataDxfId="15"/>
    <tableColumn id="2" xr3:uid="{88C37669-2795-4017-B53B-FBA649F743E9}" uniqueName="2" name="Column2" queryTableFieldId="2" dataDxfId="14"/>
    <tableColumn id="3" xr3:uid="{6AF50E17-7E1C-4248-9FD7-F1F3F50D848D}" uniqueName="3" name="Column3" queryTableFieldId="3" dataDxfId="13"/>
    <tableColumn id="4" xr3:uid="{B848447E-7C67-4510-9E30-6FFBFAC83B7F}" uniqueName="4" name="Column4" queryTableFieldId="4"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AA55FA-2DA1-4618-9A2F-A4A3BEB823B6}" name="Benedetto_XIV_pag_1" displayName="Benedetto_XIV_pag_1" ref="A5:D25" tableType="queryTable" totalsRowShown="0">
  <autoFilter ref="A5:D25" xr:uid="{A1AA55FA-2DA1-4618-9A2F-A4A3BEB823B6}"/>
  <tableColumns count="4">
    <tableColumn id="1" xr3:uid="{75629350-5C61-4EB1-921A-1A04DCF0F449}" uniqueName="1" name="Column1" queryTableFieldId="1" dataDxfId="11"/>
    <tableColumn id="2" xr3:uid="{1745672C-2AE7-44E6-902B-DDB8FBB73280}" uniqueName="2" name="Column2" queryTableFieldId="2" dataDxfId="10"/>
    <tableColumn id="3" xr3:uid="{C96FA0D5-6ED3-49AA-B8C6-92782CAD9A69}" uniqueName="3" name="Column3" queryTableFieldId="3" dataDxfId="9"/>
    <tableColumn id="4" xr3:uid="{FE60E24D-05FA-45E7-A68C-F1E042CD5712}" uniqueName="4" name="Column4" queryTableFieldId="4"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8C3A5A-6BB3-43D9-8EED-85C55B8F60AC}" name="Benedetto_XIV_pag_2" displayName="Benedetto_XIV_pag_2" ref="F5:I25" tableType="queryTable" totalsRowShown="0">
  <autoFilter ref="F5:I25" xr:uid="{708C3A5A-6BB3-43D9-8EED-85C55B8F60AC}"/>
  <tableColumns count="4">
    <tableColumn id="1" xr3:uid="{CBBFF7B8-C8CD-407D-872B-A101A3669F32}" uniqueName="1" name="Column1" queryTableFieldId="1" dataDxfId="7"/>
    <tableColumn id="2" xr3:uid="{86BE9741-8EC6-4624-AA77-ECAB08A248F7}" uniqueName="2" name="Column2" queryTableFieldId="2" dataDxfId="6"/>
    <tableColumn id="3" xr3:uid="{AC86B3DF-2188-4885-B49F-4DF6E95E3AAA}" uniqueName="3" name="Column3" queryTableFieldId="3" dataDxfId="5"/>
    <tableColumn id="4" xr3:uid="{E0E29257-61C8-4906-8268-24A42D5FEAC0}" uniqueName="4" name="Column4" queryTableFieldId="4"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8426C6-7717-4A79-A586-3887BEA44339}" name="Benedetto_XIV_pag_3" displayName="Benedetto_XIV_pag_3" ref="F32:I35" tableType="queryTable" totalsRowShown="0">
  <autoFilter ref="F32:I35" xr:uid="{3C8426C6-7717-4A79-A586-3887BEA44339}"/>
  <tableColumns count="4">
    <tableColumn id="1" xr3:uid="{E99787BD-38EF-4A95-A3D8-0211D52C55B6}" uniqueName="1" name="Colonna1" queryTableFieldId="1" dataDxfId="3"/>
    <tableColumn id="2" xr3:uid="{C0A6809E-3C37-4B92-9037-77B6CF4A211C}" uniqueName="2" name="Colonna2" queryTableFieldId="2" dataDxfId="2"/>
    <tableColumn id="3" xr3:uid="{1D2E22C4-A3B7-47C3-A2B8-2188A9068057}" uniqueName="3" name="Colonna3" queryTableFieldId="3" dataDxfId="1"/>
    <tableColumn id="4" xr3:uid="{491189B8-4EF0-456B-971F-A783BF6F4C30}" uniqueName="4" name="Colonna4"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25" Type="http://schemas.openxmlformats.org/officeDocument/2006/relationships/hyperlink" Target="https://www.vatican.va/content/gregorius-xvi/it/documents/breve-editam-nuper-28-dicembre-1833.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46" Type="http://schemas.openxmlformats.org/officeDocument/2006/relationships/hyperlink" Target="https://www.vatican.va/content/benedictus-xiv/it/documents/enciclica--i-cum-illud-semper--i---14-dicembre-1742--desiderando.html" TargetMode="External"/><Relationship Id="rId59" Type="http://schemas.openxmlformats.org/officeDocument/2006/relationships/hyperlink" Target="https://www.vatican.va/content/benedictus-xiv/it/documents/enciclica--i-magnae-nobis--i---29-giugno-1748--il-pontefice-reag.html" TargetMode="External"/><Relationship Id="rId67" Type="http://schemas.openxmlformats.org/officeDocument/2006/relationships/hyperlink" Target="https://www.vatican.va/content/benedictus-xiv/it/documents/enciclica--i-celebrationem-magni--i---1-gennaio-1751--dopo-aver-.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16" Type="http://schemas.openxmlformats.org/officeDocument/2006/relationships/hyperlink" Target="https://www.vatican.va/content/pius-ix/it/documents/epistola-tuas-libenter-21-decembris-1863.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137" Type="http://schemas.openxmlformats.org/officeDocument/2006/relationships/hyperlink" Target="https://www.vatican.va/content/pius-ix/it/documents/enciclica-nemo-certe-ignorat-25-marzo-1852.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printerSettings" Target="../printerSettings/printerSettings6.bin"/><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28"/>
  <sheetViews>
    <sheetView workbookViewId="0">
      <pane ySplit="1" topLeftCell="A2" activePane="bottomLeft" state="frozen"/>
      <selection pane="bottomLeft" activeCell="K28" sqref="K28"/>
    </sheetView>
  </sheetViews>
  <sheetFormatPr defaultRowHeight="15.75" x14ac:dyDescent="0.25"/>
  <cols>
    <col min="1" max="1" width="6.85546875" style="24" bestFit="1" customWidth="1"/>
    <col min="2" max="2" width="10.5703125" style="24" bestFit="1" customWidth="1"/>
    <col min="3" max="3" width="25.5703125" style="24" bestFit="1" customWidth="1"/>
    <col min="4" max="4" width="26.140625" style="24" bestFit="1" customWidth="1"/>
    <col min="5" max="5" width="9.140625" style="24"/>
    <col min="6" max="6" width="6.7109375" style="24" bestFit="1" customWidth="1"/>
    <col min="7" max="7" width="76" style="24" bestFit="1" customWidth="1"/>
    <col min="8" max="8" width="25.140625" style="24" bestFit="1" customWidth="1"/>
    <col min="9" max="9" width="9.140625" style="24"/>
    <col min="10" max="10" width="39.7109375" style="24" customWidth="1"/>
    <col min="11" max="11" width="42.5703125" style="24" bestFit="1" customWidth="1"/>
    <col min="12" max="16384" width="9.140625" style="24"/>
  </cols>
  <sheetData>
    <row r="1" spans="1:10" s="21" customFormat="1" ht="54.75" customHeight="1" x14ac:dyDescent="0.25">
      <c r="A1" s="20" t="s">
        <v>545</v>
      </c>
      <c r="B1" s="20" t="s">
        <v>653</v>
      </c>
      <c r="C1" s="20" t="s">
        <v>546</v>
      </c>
      <c r="D1" s="20" t="s">
        <v>837</v>
      </c>
      <c r="F1" s="22" t="s">
        <v>947</v>
      </c>
      <c r="H1" s="22" t="s">
        <v>1199</v>
      </c>
      <c r="J1" s="21" t="s">
        <v>5239</v>
      </c>
    </row>
    <row r="2" spans="1:10" x14ac:dyDescent="0.25">
      <c r="A2" s="23">
        <v>1</v>
      </c>
      <c r="B2" s="23" t="s">
        <v>948</v>
      </c>
      <c r="C2" s="23" t="s">
        <v>908</v>
      </c>
      <c r="D2" s="23" t="s">
        <v>949</v>
      </c>
      <c r="F2" s="24">
        <v>0</v>
      </c>
      <c r="G2" s="24" t="str">
        <f>_xlfn.CONCAT("['Sommi Pontefici', " &amp; "'" &amp; B2 &amp; "'"&amp; ", " &amp; "'" &amp; C2 &amp; "'" &amp; ", " &amp; "'" &amp; D2 &amp; "'" &amp; "],")</f>
        <v>['Sommi Pontefici', 'all', 'Allocuzione', 'Allocuzioni'],</v>
      </c>
      <c r="H2" s="24" t="str">
        <f>_xlfn.CONCAT("'" &amp; C2 &amp; "'" &amp; ",")</f>
        <v>'Allocuzione',</v>
      </c>
      <c r="J2" s="24" t="str">
        <f>_xlfn.CONCAT("{""","value"":","""",SUBSTITUTE(C2," ",""),""",","""","label"":","""",C2,"""},")</f>
        <v>{"value":"Allocuzione","label":"Allocuzione"},</v>
      </c>
    </row>
    <row r="3" spans="1:10" x14ac:dyDescent="0.25">
      <c r="A3" s="23">
        <v>2</v>
      </c>
      <c r="B3" s="23" t="s">
        <v>563</v>
      </c>
      <c r="C3" s="23" t="s">
        <v>548</v>
      </c>
      <c r="D3" s="23" t="s">
        <v>548</v>
      </c>
      <c r="F3" s="24">
        <v>1</v>
      </c>
      <c r="G3" s="24" t="str">
        <f>_xlfn.CONCAT("['Sommi Pontefici', " &amp; "'" &amp; B3 &amp; "'"&amp; ", " &amp; "'" &amp; C3 &amp; "'" &amp; ", " &amp; "'" &amp; D3 &amp; "'" &amp; "],")</f>
        <v>['Sommi Pontefici', 'arc', 'Angelus - Regina Cæli', 'Angelus - Regina Cæli'],</v>
      </c>
      <c r="H3" s="24" t="str">
        <f t="shared" ref="H3:H28" si="0">_xlfn.CONCAT("'" &amp; C3 &amp; "'" &amp; ",")</f>
        <v>'Angelus - Regina Cæli',</v>
      </c>
      <c r="J3" s="24" t="str">
        <f>_xlfn.CONCAT("{""","value"":","""",SUBSTITUTE(C3," ",""),""",","""","label"":","""",C3,"""},")</f>
        <v>{"value":"Angelus-ReginaCæli","label":"Angelus - Regina Cæli"},</v>
      </c>
    </row>
    <row r="4" spans="1:10" x14ac:dyDescent="0.25">
      <c r="A4" s="23">
        <v>3</v>
      </c>
      <c r="B4" s="23" t="s">
        <v>564</v>
      </c>
      <c r="C4" s="23" t="s">
        <v>824</v>
      </c>
      <c r="D4" s="23" t="s">
        <v>549</v>
      </c>
      <c r="F4" s="24">
        <v>2</v>
      </c>
      <c r="G4" s="24" t="str">
        <f t="shared" ref="G4:G28" si="1">_xlfn.CONCAT("['Sommi Pontefici', " &amp; "'" &amp; B4 &amp; "'"&amp; ", " &amp; "'" &amp; C4 &amp; "'" &amp; ", " &amp; "'" &amp; D4 &amp; "'" &amp; "],")</f>
        <v>['Sommi Pontefici', 'bol', 'Bolla', 'Bolle'],</v>
      </c>
      <c r="H4" s="24" t="str">
        <f t="shared" si="0"/>
        <v>'Bolla',</v>
      </c>
      <c r="J4" s="24" t="str">
        <f>_xlfn.CONCAT("{""","value"":","""",SUBSTITUTE(C4," ",""),""",","""","label"":","""",C4,"""},")</f>
        <v>{"value":"Bolla","label":"Bolla"},</v>
      </c>
    </row>
    <row r="5" spans="1:10" x14ac:dyDescent="0.25">
      <c r="A5" s="23">
        <v>4</v>
      </c>
      <c r="B5" s="23" t="s">
        <v>880</v>
      </c>
      <c r="C5" s="23" t="s">
        <v>878</v>
      </c>
      <c r="D5" s="23" t="s">
        <v>879</v>
      </c>
      <c r="F5" s="24">
        <v>3</v>
      </c>
      <c r="G5" s="24" t="str">
        <f t="shared" si="1"/>
        <v>['Sommi Pontefici', 'ben', 'Breve Enciclica', 'Brevi Encicliche'],</v>
      </c>
      <c r="H5" s="24" t="str">
        <f t="shared" si="0"/>
        <v>'Breve Enciclica',</v>
      </c>
      <c r="J5" s="24" t="str">
        <f>_xlfn.CONCAT("{""","value"":","""",SUBSTITUTE(C5," ",""),""",","""","label"":","""",C5,"""},")</f>
        <v>{"value":"BreveEnciclica","label":"Breve Enciclica"},</v>
      </c>
    </row>
    <row r="6" spans="1:10" x14ac:dyDescent="0.25">
      <c r="A6" s="23">
        <v>5</v>
      </c>
      <c r="B6" s="23" t="s">
        <v>577</v>
      </c>
      <c r="C6" s="23" t="s">
        <v>825</v>
      </c>
      <c r="D6" s="23" t="s">
        <v>578</v>
      </c>
      <c r="F6" s="24">
        <v>4</v>
      </c>
      <c r="G6" s="24" t="str">
        <f t="shared" si="1"/>
        <v>['Sommi Pontefici', 'bre', 'Breve', 'Brevi'],</v>
      </c>
      <c r="H6" s="24" t="str">
        <f t="shared" si="0"/>
        <v>'Breve',</v>
      </c>
      <c r="J6" s="24" t="str">
        <f t="shared" ref="J6:J27" si="2">_xlfn.CONCAT("{""","value"":","""",SUBSTITUTE(C6," ",""),""",","""","label"":","""",C6,"""},")</f>
        <v>{"value":"Breve","label":"Breve"},</v>
      </c>
    </row>
    <row r="7" spans="1:10" x14ac:dyDescent="0.25">
      <c r="A7" s="23">
        <v>6</v>
      </c>
      <c r="B7" s="23" t="s">
        <v>950</v>
      </c>
      <c r="C7" s="23" t="s">
        <v>925</v>
      </c>
      <c r="D7" s="23" t="s">
        <v>951</v>
      </c>
      <c r="F7" s="24">
        <v>5</v>
      </c>
      <c r="G7" s="24" t="str">
        <f t="shared" si="1"/>
        <v>['Sommi Pontefici', 'chi', 'Chirografo', 'Chirografi'],</v>
      </c>
      <c r="H7" s="24" t="str">
        <f t="shared" si="0"/>
        <v>'Chirografo',</v>
      </c>
      <c r="J7" s="24" t="str">
        <f t="shared" si="2"/>
        <v>{"value":"Chirografo","label":"Chirografo"},</v>
      </c>
    </row>
    <row r="8" spans="1:10" x14ac:dyDescent="0.25">
      <c r="A8" s="23">
        <v>7</v>
      </c>
      <c r="B8" s="23" t="s">
        <v>565</v>
      </c>
      <c r="C8" s="23" t="s">
        <v>826</v>
      </c>
      <c r="D8" s="23" t="s">
        <v>550</v>
      </c>
      <c r="F8" s="24">
        <v>6</v>
      </c>
      <c r="G8" s="24" t="str">
        <f t="shared" si="1"/>
        <v>['Sommi Pontefici', 'coa', 'Costituzione Apostolica', 'Costituzioni Apostoliche'],</v>
      </c>
      <c r="H8" s="24" t="str">
        <f t="shared" si="0"/>
        <v>'Costituzione Apostolica',</v>
      </c>
      <c r="J8" s="24" t="str">
        <f t="shared" si="2"/>
        <v>{"value":"CostituzioneApostolica","label":"Costituzione Apostolica"},</v>
      </c>
    </row>
    <row r="9" spans="1:10" x14ac:dyDescent="0.25">
      <c r="A9" s="23">
        <v>8</v>
      </c>
      <c r="B9" s="23" t="s">
        <v>979</v>
      </c>
      <c r="C9" s="23" t="s">
        <v>1701</v>
      </c>
      <c r="D9" s="23" t="s">
        <v>1702</v>
      </c>
      <c r="F9" s="24">
        <v>7</v>
      </c>
      <c r="G9" s="24" t="str">
        <f t="shared" si="1"/>
        <v>['Sommi Pontefici', 'cod', 'Costituzione Dogmatica', 'Costituzioni Dogmatiche'],</v>
      </c>
      <c r="H9" s="24" t="str">
        <f t="shared" si="0"/>
        <v>'Costituzione Dogmatica',</v>
      </c>
      <c r="J9" s="24" t="str">
        <f t="shared" si="2"/>
        <v>{"value":"CostituzioneDogmatica","label":"Costituzione Dogmatica"},</v>
      </c>
    </row>
    <row r="10" spans="1:10" x14ac:dyDescent="0.25">
      <c r="A10" s="23">
        <v>9</v>
      </c>
      <c r="B10" s="23" t="s">
        <v>1658</v>
      </c>
      <c r="C10" s="23" t="s">
        <v>1699</v>
      </c>
      <c r="D10" s="23" t="s">
        <v>1700</v>
      </c>
      <c r="F10" s="24">
        <v>8</v>
      </c>
      <c r="G10" s="24" t="str">
        <f t="shared" si="1"/>
        <v>['Sommi Pontefici', 'dec', 'Decreto', 'Decreti'],</v>
      </c>
      <c r="H10" s="24" t="str">
        <f t="shared" si="0"/>
        <v>'Decreto',</v>
      </c>
      <c r="J10" s="24" t="str">
        <f t="shared" si="2"/>
        <v>{"value":"Decreto","label":"Decreto"},</v>
      </c>
    </row>
    <row r="11" spans="1:10" x14ac:dyDescent="0.25">
      <c r="A11" s="23">
        <v>10</v>
      </c>
      <c r="B11" s="23" t="s">
        <v>952</v>
      </c>
      <c r="C11" s="23" t="s">
        <v>911</v>
      </c>
      <c r="D11" s="23" t="s">
        <v>953</v>
      </c>
      <c r="F11" s="24">
        <v>9</v>
      </c>
      <c r="G11" s="24" t="str">
        <f t="shared" si="1"/>
        <v>['Sommi Pontefici', 'dic', 'Dichiarazione', 'Dichiarazioni'],</v>
      </c>
      <c r="H11" s="24" t="str">
        <f t="shared" si="0"/>
        <v>'Dichiarazione',</v>
      </c>
      <c r="J11" s="24" t="str">
        <f t="shared" si="2"/>
        <v>{"value":"Dichiarazione","label":"Dichiarazione"},</v>
      </c>
    </row>
    <row r="12" spans="1:10" x14ac:dyDescent="0.25">
      <c r="A12" s="23">
        <v>11</v>
      </c>
      <c r="B12" s="23" t="s">
        <v>566</v>
      </c>
      <c r="C12" s="23" t="s">
        <v>827</v>
      </c>
      <c r="D12" s="23" t="s">
        <v>552</v>
      </c>
      <c r="F12" s="24">
        <v>10</v>
      </c>
      <c r="G12" s="24" t="str">
        <f t="shared" si="1"/>
        <v>['Sommi Pontefici', 'dis', 'Discorso', 'Discorsi'],</v>
      </c>
      <c r="H12" s="24" t="str">
        <f t="shared" si="0"/>
        <v>'Discorso',</v>
      </c>
      <c r="J12" s="24" t="str">
        <f t="shared" si="2"/>
        <v>{"value":"Discorso","label":"Discorso"},</v>
      </c>
    </row>
    <row r="13" spans="1:10" x14ac:dyDescent="0.25">
      <c r="A13" s="23">
        <v>12</v>
      </c>
      <c r="B13" s="23" t="s">
        <v>1696</v>
      </c>
      <c r="C13" s="23" t="s">
        <v>1697</v>
      </c>
      <c r="D13" s="23" t="s">
        <v>1698</v>
      </c>
      <c r="F13" s="24">
        <v>11</v>
      </c>
      <c r="G13" s="24" t="str">
        <f t="shared" si="1"/>
        <v>['Sommi Pontefici', 'edi', 'Editto', 'Editti'],</v>
      </c>
      <c r="H13" s="24" t="str">
        <f t="shared" si="0"/>
        <v>'Editto',</v>
      </c>
      <c r="J13" s="24" t="str">
        <f t="shared" si="2"/>
        <v>{"value":"Editto","label":"Editto"},</v>
      </c>
    </row>
    <row r="14" spans="1:10" x14ac:dyDescent="0.25">
      <c r="A14" s="23">
        <v>13</v>
      </c>
      <c r="B14" s="23" t="s">
        <v>579</v>
      </c>
      <c r="C14" s="23" t="s">
        <v>694</v>
      </c>
      <c r="D14" s="23" t="s">
        <v>551</v>
      </c>
      <c r="F14" s="24">
        <v>12</v>
      </c>
      <c r="G14" s="24" t="str">
        <f t="shared" si="1"/>
        <v>['Sommi Pontefici', 'enc', 'Enciclica', 'Encicliche'],</v>
      </c>
      <c r="H14" s="24" t="str">
        <f t="shared" si="0"/>
        <v>'Enciclica',</v>
      </c>
      <c r="J14" s="24" t="str">
        <f t="shared" si="2"/>
        <v>{"value":"Enciclica","label":"Enciclica"},</v>
      </c>
    </row>
    <row r="15" spans="1:10" x14ac:dyDescent="0.25">
      <c r="A15" s="23">
        <v>14</v>
      </c>
      <c r="B15" s="23" t="s">
        <v>1256</v>
      </c>
      <c r="C15" s="23" t="s">
        <v>1254</v>
      </c>
      <c r="D15" s="23" t="s">
        <v>1703</v>
      </c>
      <c r="F15" s="24">
        <v>13</v>
      </c>
      <c r="G15" s="24" t="str">
        <f t="shared" si="1"/>
        <v>['Sommi Pontefici', 'epi', 'Epistola', 'Epistole'],</v>
      </c>
      <c r="H15" s="24" t="str">
        <f t="shared" si="0"/>
        <v>'Epistola',</v>
      </c>
      <c r="J15" s="24" t="str">
        <f t="shared" si="2"/>
        <v>{"value":"Epistola","label":"Epistola"},</v>
      </c>
    </row>
    <row r="16" spans="1:10" x14ac:dyDescent="0.25">
      <c r="A16" s="23">
        <v>15</v>
      </c>
      <c r="B16" s="23" t="s">
        <v>567</v>
      </c>
      <c r="C16" s="23" t="s">
        <v>828</v>
      </c>
      <c r="D16" s="23" t="s">
        <v>553</v>
      </c>
      <c r="F16" s="24">
        <v>14</v>
      </c>
      <c r="G16" s="24" t="str">
        <f t="shared" si="1"/>
        <v>['Sommi Pontefici', 'esa', 'Esortazione Apostolica', 'Esortazioni Apostoliche'],</v>
      </c>
      <c r="H16" s="24" t="str">
        <f t="shared" si="0"/>
        <v>'Esortazione Apostolica',</v>
      </c>
      <c r="J16" s="24" t="str">
        <f t="shared" si="2"/>
        <v>{"value":"EsortazioneApostolica","label":"Esortazione Apostolica"},</v>
      </c>
    </row>
    <row r="17" spans="1:11" x14ac:dyDescent="0.25">
      <c r="A17" s="23">
        <v>16</v>
      </c>
      <c r="B17" s="23" t="s">
        <v>568</v>
      </c>
      <c r="C17" s="23" t="s">
        <v>829</v>
      </c>
      <c r="D17" s="23" t="s">
        <v>554</v>
      </c>
      <c r="F17" s="24">
        <v>15</v>
      </c>
      <c r="G17" s="24" t="str">
        <f t="shared" si="1"/>
        <v>['Sommi Pontefici', 'let', 'Lettera', 'Lettere'],</v>
      </c>
      <c r="H17" s="24" t="str">
        <f t="shared" si="0"/>
        <v>'Lettera',</v>
      </c>
      <c r="J17" s="24" t="str">
        <f t="shared" si="2"/>
        <v>{"value":"Lettera","label":"Lettera"},</v>
      </c>
    </row>
    <row r="18" spans="1:11" x14ac:dyDescent="0.25">
      <c r="A18" s="23">
        <v>17</v>
      </c>
      <c r="B18" s="23" t="s">
        <v>569</v>
      </c>
      <c r="C18" s="23" t="s">
        <v>830</v>
      </c>
      <c r="D18" s="23" t="s">
        <v>555</v>
      </c>
      <c r="F18" s="24">
        <v>16</v>
      </c>
      <c r="G18" s="24" t="str">
        <f t="shared" si="1"/>
        <v>['Sommi Pontefici', 'lea', 'Lettera Apostolica', 'Lettere Apostoliche'],</v>
      </c>
      <c r="H18" s="24" t="str">
        <f t="shared" si="0"/>
        <v>'Lettera Apostolica',</v>
      </c>
      <c r="J18" s="24" t="str">
        <f t="shared" si="2"/>
        <v>{"value":"LetteraApostolica","label":"Lettera Apostolica"},</v>
      </c>
    </row>
    <row r="19" spans="1:11" x14ac:dyDescent="0.25">
      <c r="A19" s="23">
        <v>18</v>
      </c>
      <c r="B19" s="23" t="s">
        <v>576</v>
      </c>
      <c r="C19" s="23" t="s">
        <v>831</v>
      </c>
      <c r="D19" s="23" t="s">
        <v>562</v>
      </c>
      <c r="F19" s="24">
        <v>17</v>
      </c>
      <c r="G19" s="24" t="str">
        <f t="shared" si="1"/>
        <v>['Sommi Pontefici', 'meq', 'Meditazione quotidiana', 'Meditazioni quotidiane'],</v>
      </c>
      <c r="H19" s="24" t="str">
        <f t="shared" si="0"/>
        <v>'Meditazione quotidiana',</v>
      </c>
      <c r="J19" s="24" t="str">
        <f t="shared" si="2"/>
        <v>{"value":"Meditazionequotidiana","label":"Meditazione quotidiana"},</v>
      </c>
    </row>
    <row r="20" spans="1:11" x14ac:dyDescent="0.25">
      <c r="A20" s="23">
        <v>19</v>
      </c>
      <c r="B20" s="23" t="s">
        <v>570</v>
      </c>
      <c r="C20" s="23" t="s">
        <v>832</v>
      </c>
      <c r="D20" s="23" t="s">
        <v>556</v>
      </c>
      <c r="F20" s="24">
        <v>18</v>
      </c>
      <c r="G20" s="24" t="str">
        <f t="shared" si="1"/>
        <v>['Sommi Pontefici', 'mes', 'Messaggio', 'Messaggi'],</v>
      </c>
      <c r="H20" s="24" t="str">
        <f t="shared" si="0"/>
        <v>'Messaggio',</v>
      </c>
      <c r="J20" s="24" t="str">
        <f t="shared" si="2"/>
        <v>{"value":"Messaggio","label":"Messaggio"},</v>
      </c>
    </row>
    <row r="21" spans="1:11" x14ac:dyDescent="0.25">
      <c r="A21" s="23">
        <v>20</v>
      </c>
      <c r="B21" s="23" t="s">
        <v>571</v>
      </c>
      <c r="C21" s="23" t="s">
        <v>557</v>
      </c>
      <c r="D21" s="23" t="s">
        <v>557</v>
      </c>
      <c r="F21" s="24">
        <v>19</v>
      </c>
      <c r="G21" s="24" t="str">
        <f t="shared" si="1"/>
        <v>['Sommi Pontefici', 'mpr', 'Motu Proprio', 'Motu Proprio'],</v>
      </c>
      <c r="H21" s="24" t="str">
        <f t="shared" si="0"/>
        <v>'Motu Proprio',</v>
      </c>
      <c r="J21" s="24" t="str">
        <f t="shared" si="2"/>
        <v>{"value":"MotuProprio","label":"Motu Proprio"},</v>
      </c>
    </row>
    <row r="22" spans="1:11" x14ac:dyDescent="0.25">
      <c r="A22" s="23">
        <v>21</v>
      </c>
      <c r="B22" s="23" t="s">
        <v>572</v>
      </c>
      <c r="C22" s="23" t="s">
        <v>833</v>
      </c>
      <c r="D22" s="23" t="s">
        <v>558</v>
      </c>
      <c r="F22" s="24">
        <v>20</v>
      </c>
      <c r="G22" s="24" t="str">
        <f t="shared" si="1"/>
        <v>['Sommi Pontefici', 'ome', 'Omelia', 'Omelie'],</v>
      </c>
      <c r="H22" s="24" t="str">
        <f t="shared" si="0"/>
        <v>'Omelia',</v>
      </c>
      <c r="J22" s="24" t="str">
        <f t="shared" si="2"/>
        <v>{"value":"Omelia","label":"Omelia"},</v>
      </c>
    </row>
    <row r="23" spans="1:11" x14ac:dyDescent="0.25">
      <c r="A23" s="23">
        <v>22</v>
      </c>
      <c r="B23" s="23" t="s">
        <v>573</v>
      </c>
      <c r="C23" s="23" t="s">
        <v>834</v>
      </c>
      <c r="D23" s="23" t="s">
        <v>559</v>
      </c>
      <c r="F23" s="24">
        <v>21</v>
      </c>
      <c r="G23" s="24" t="str">
        <f t="shared" si="1"/>
        <v>['Sommi Pontefici', 'pre', 'Preghiera', 'Preghiere'],</v>
      </c>
      <c r="H23" s="24" t="str">
        <f t="shared" si="0"/>
        <v>'Preghiera',</v>
      </c>
      <c r="J23" s="24" t="str">
        <f t="shared" si="2"/>
        <v>{"value":"Preghiera","label":"Preghiera"},</v>
      </c>
    </row>
    <row r="24" spans="1:11" x14ac:dyDescent="0.25">
      <c r="A24" s="23">
        <v>23</v>
      </c>
      <c r="B24" s="23" t="s">
        <v>1686</v>
      </c>
      <c r="C24" s="23" t="s">
        <v>1694</v>
      </c>
      <c r="D24" s="23" t="s">
        <v>1695</v>
      </c>
      <c r="F24" s="24">
        <v>22</v>
      </c>
      <c r="G24" s="24" t="str">
        <f t="shared" si="1"/>
        <v>['Sommi Pontefici', 'pro', 'Proclama', 'Proclami'],</v>
      </c>
      <c r="H24" s="24" t="str">
        <f t="shared" si="0"/>
        <v>'Proclama',</v>
      </c>
      <c r="J24" s="24" t="str">
        <f t="shared" si="2"/>
        <v>{"value":"Proclama","label":"Proclama"},</v>
      </c>
    </row>
    <row r="25" spans="1:11" x14ac:dyDescent="0.25">
      <c r="A25" s="23">
        <v>24</v>
      </c>
      <c r="B25" s="23" t="s">
        <v>1693</v>
      </c>
      <c r="C25" s="23" t="s">
        <v>1691</v>
      </c>
      <c r="D25" s="23" t="s">
        <v>1692</v>
      </c>
      <c r="F25" s="24">
        <v>23</v>
      </c>
      <c r="G25" s="24" t="str">
        <f t="shared" si="1"/>
        <v>['Sommi Pontefici', 'prt', 'Protesta', 'Proteste'],</v>
      </c>
      <c r="H25" s="24" t="str">
        <f t="shared" si="0"/>
        <v>'Protesta',</v>
      </c>
      <c r="J25" s="24" t="str">
        <f t="shared" si="2"/>
        <v>{"value":"Protesta","label":"Protesta"},</v>
      </c>
    </row>
    <row r="26" spans="1:11" x14ac:dyDescent="0.25">
      <c r="A26" s="23">
        <v>25</v>
      </c>
      <c r="B26" s="23" t="s">
        <v>574</v>
      </c>
      <c r="C26" s="23" t="s">
        <v>835</v>
      </c>
      <c r="D26" s="23" t="s">
        <v>560</v>
      </c>
      <c r="F26" s="24">
        <v>24</v>
      </c>
      <c r="G26" s="24" t="str">
        <f t="shared" si="1"/>
        <v>['Sommi Pontefici', 'udi', 'Udienza', 'Udienze'],</v>
      </c>
      <c r="H26" s="24" t="str">
        <f t="shared" si="0"/>
        <v>'Udienza',</v>
      </c>
      <c r="J26" s="24" t="str">
        <f t="shared" si="2"/>
        <v>{"value":"Udienza","label":"Udienza"},</v>
      </c>
    </row>
    <row r="27" spans="1:11" x14ac:dyDescent="0.25">
      <c r="A27" s="23">
        <v>26</v>
      </c>
      <c r="B27" s="23" t="s">
        <v>575</v>
      </c>
      <c r="C27" s="23" t="s">
        <v>836</v>
      </c>
      <c r="D27" s="23" t="s">
        <v>561</v>
      </c>
      <c r="F27" s="24">
        <v>25</v>
      </c>
      <c r="G27" s="24" t="str">
        <f t="shared" si="1"/>
        <v>['Sommi Pontefici', 'via', 'Viaggio', 'Viaggi'],</v>
      </c>
      <c r="H27" s="24" t="str">
        <f t="shared" si="0"/>
        <v>'Viaggio',</v>
      </c>
      <c r="J27" s="24" t="str">
        <f t="shared" si="2"/>
        <v>{"value":"Viaggio","label":"Viaggio"},</v>
      </c>
    </row>
    <row r="28" spans="1:11" x14ac:dyDescent="0.25">
      <c r="A28" s="23">
        <v>27</v>
      </c>
      <c r="B28" s="23" t="s">
        <v>944</v>
      </c>
      <c r="C28" s="23" t="s">
        <v>945</v>
      </c>
      <c r="D28" s="23" t="s">
        <v>946</v>
      </c>
      <c r="F28" s="24">
        <v>26</v>
      </c>
      <c r="G28" s="24" t="str">
        <f t="shared" si="1"/>
        <v>['Sommi Pontefici', 'ist', 'Istruzione', 'Istruzioni'],</v>
      </c>
      <c r="H28" s="24" t="str">
        <f t="shared" si="0"/>
        <v>'Istruzione',</v>
      </c>
      <c r="J28" s="24" t="str">
        <f>_xlfn.CONCAT("{""","value"":","""",SUBSTITUTE(C28," ",""),""",","""","label"":","""",C28,"""}")</f>
        <v>{"value":"Istruzione","label":"Istruzione"}</v>
      </c>
      <c r="K28" s="52" t="s">
        <v>5238</v>
      </c>
    </row>
  </sheetData>
  <sortState xmlns:xlrd2="http://schemas.microsoft.com/office/spreadsheetml/2017/richdata2" ref="B2:C27">
    <sortCondition ref="C2:C27"/>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J17"/>
  <sheetViews>
    <sheetView tabSelected="1" workbookViewId="0">
      <selection activeCell="A14" sqref="A14"/>
    </sheetView>
  </sheetViews>
  <sheetFormatPr defaultColWidth="81.28515625" defaultRowHeight="18.75" x14ac:dyDescent="0.3"/>
  <cols>
    <col min="1" max="1" width="8" style="26" bestFit="1" customWidth="1"/>
    <col min="2" max="2" width="5.5703125" style="26" customWidth="1"/>
    <col min="3" max="3" width="15.5703125" style="26" bestFit="1" customWidth="1"/>
    <col min="4" max="4" width="30.7109375" style="26" bestFit="1" customWidth="1"/>
    <col min="5" max="5" width="14.85546875" style="27" bestFit="1" customWidth="1"/>
    <col min="6" max="6" width="5.5703125" style="26" customWidth="1"/>
    <col min="7" max="7" width="16.7109375" style="26" customWidth="1"/>
    <col min="8" max="8" width="20.42578125" style="26" bestFit="1" customWidth="1"/>
    <col min="9" max="9" width="30.28515625" style="26" bestFit="1" customWidth="1"/>
    <col min="10" max="10" width="90.7109375" style="26" bestFit="1" customWidth="1"/>
    <col min="11" max="16384" width="81.28515625" style="26"/>
  </cols>
  <sheetData>
    <row r="1" spans="1:10" x14ac:dyDescent="0.3">
      <c r="A1" s="6" t="s">
        <v>545</v>
      </c>
      <c r="B1" s="6" t="s">
        <v>653</v>
      </c>
      <c r="C1" s="6" t="s">
        <v>546</v>
      </c>
      <c r="D1" s="6" t="s">
        <v>1</v>
      </c>
      <c r="E1" s="8" t="s">
        <v>544</v>
      </c>
      <c r="F1" s="6" t="s">
        <v>654</v>
      </c>
      <c r="G1" s="6" t="s">
        <v>2924</v>
      </c>
      <c r="H1" s="6" t="s">
        <v>2925</v>
      </c>
    </row>
    <row r="2" spans="1:10" x14ac:dyDescent="0.3">
      <c r="A2" s="26">
        <v>1</v>
      </c>
      <c r="B2" s="26" t="s">
        <v>5103</v>
      </c>
      <c r="C2" s="26" t="s">
        <v>2907</v>
      </c>
      <c r="D2" s="26" t="s">
        <v>2910</v>
      </c>
      <c r="E2" s="27">
        <v>23349</v>
      </c>
      <c r="F2" s="26" t="s">
        <v>1048</v>
      </c>
      <c r="G2" s="26" t="str">
        <f>_xlfn.CONCAT("cevii-" &amp; B2 &amp; "-" &amp; F2)</f>
        <v>cevii-cos-sac</v>
      </c>
      <c r="H2" s="26" t="str">
        <f>_xlfn.CONCAT(G2 &amp; ".md")</f>
        <v>cevii-cos-sac.md</v>
      </c>
      <c r="I2" s="26" t="s">
        <v>5601</v>
      </c>
    </row>
    <row r="3" spans="1:10" x14ac:dyDescent="0.3">
      <c r="A3" s="26">
        <v>2</v>
      </c>
      <c r="B3" s="26" t="s">
        <v>1658</v>
      </c>
      <c r="C3" s="26" t="s">
        <v>1700</v>
      </c>
      <c r="D3" s="26" t="s">
        <v>2923</v>
      </c>
      <c r="E3" s="27">
        <v>23349</v>
      </c>
      <c r="F3" s="26" t="s">
        <v>991</v>
      </c>
      <c r="G3" s="26" t="str">
        <f t="shared" ref="G3:G17" si="0">_xlfn.CONCAT("cevii-" &amp; B3 &amp; "-" &amp; F3)</f>
        <v>cevii-dec-inm</v>
      </c>
      <c r="H3" s="26" t="str">
        <f>_xlfn.CONCAT(G3 &amp; ".md")</f>
        <v>cevii-dec-inm.md</v>
      </c>
      <c r="I3" s="26" t="s">
        <v>5601</v>
      </c>
    </row>
    <row r="4" spans="1:10" x14ac:dyDescent="0.3">
      <c r="A4" s="26">
        <v>3</v>
      </c>
      <c r="B4" s="26" t="s">
        <v>5103</v>
      </c>
      <c r="C4" s="26" t="s">
        <v>2907</v>
      </c>
      <c r="D4" s="26" t="s">
        <v>2909</v>
      </c>
      <c r="E4" s="27">
        <v>23702</v>
      </c>
      <c r="F4" s="26" t="s">
        <v>5104</v>
      </c>
      <c r="G4" s="26" t="str">
        <f t="shared" si="0"/>
        <v>cevii-cos-lug</v>
      </c>
      <c r="H4" s="26" t="str">
        <f>_xlfn.CONCAT(G4 &amp; ".md")</f>
        <v>cevii-cos-lug.md</v>
      </c>
      <c r="I4" s="26" t="s">
        <v>5601</v>
      </c>
    </row>
    <row r="5" spans="1:10" x14ac:dyDescent="0.3">
      <c r="A5" s="26">
        <v>4</v>
      </c>
      <c r="B5" s="26" t="s">
        <v>1658</v>
      </c>
      <c r="C5" s="26" t="s">
        <v>1700</v>
      </c>
      <c r="D5" s="26" t="s">
        <v>2921</v>
      </c>
      <c r="E5" s="27">
        <v>23702</v>
      </c>
      <c r="F5" s="26" t="s">
        <v>5105</v>
      </c>
      <c r="G5" s="26" t="str">
        <f t="shared" si="0"/>
        <v>cevii-dec-unr</v>
      </c>
      <c r="H5" s="26" t="str">
        <f>_xlfn.CONCAT(G5 &amp; ".md")</f>
        <v>cevii-dec-unr.md</v>
      </c>
      <c r="I5" s="26" t="s">
        <v>5601</v>
      </c>
    </row>
    <row r="6" spans="1:10" x14ac:dyDescent="0.3">
      <c r="A6" s="26">
        <v>5</v>
      </c>
      <c r="B6" s="26" t="s">
        <v>1658</v>
      </c>
      <c r="C6" s="26" t="s">
        <v>1700</v>
      </c>
      <c r="D6" s="26" t="s">
        <v>2922</v>
      </c>
      <c r="E6" s="27">
        <v>23702</v>
      </c>
      <c r="F6" s="26" t="s">
        <v>3923</v>
      </c>
      <c r="G6" s="26" t="str">
        <f t="shared" si="0"/>
        <v>cevii-dec-ore</v>
      </c>
      <c r="H6" s="26" t="str">
        <f>_xlfn.CONCAT(G6 &amp; ".md")</f>
        <v>cevii-dec-ore.md</v>
      </c>
      <c r="I6" s="26" t="s">
        <v>5601</v>
      </c>
    </row>
    <row r="7" spans="1:10" x14ac:dyDescent="0.3">
      <c r="A7" s="26">
        <v>6</v>
      </c>
      <c r="B7" s="26" t="s">
        <v>952</v>
      </c>
      <c r="C7" s="26" t="s">
        <v>953</v>
      </c>
      <c r="D7" s="26" t="s">
        <v>2912</v>
      </c>
      <c r="E7" s="27">
        <v>24043</v>
      </c>
      <c r="F7" s="26" t="s">
        <v>1016</v>
      </c>
      <c r="G7" s="26" t="str">
        <f t="shared" si="0"/>
        <v>cevii-dic-gre</v>
      </c>
      <c r="H7" s="26" t="str">
        <f>_xlfn.CONCAT(G7 &amp; ".md")</f>
        <v>cevii-dic-gre.md</v>
      </c>
      <c r="I7" s="26" t="s">
        <v>5601</v>
      </c>
    </row>
    <row r="8" spans="1:10" x14ac:dyDescent="0.3">
      <c r="A8" s="26">
        <v>7</v>
      </c>
      <c r="B8" s="26" t="s">
        <v>952</v>
      </c>
      <c r="C8" s="26" t="s">
        <v>953</v>
      </c>
      <c r="D8" s="26" t="s">
        <v>2913</v>
      </c>
      <c r="E8" s="27">
        <v>24043</v>
      </c>
      <c r="F8" s="26" t="s">
        <v>1166</v>
      </c>
      <c r="G8" s="26" t="str">
        <f t="shared" si="0"/>
        <v>cevii-dic-noa</v>
      </c>
      <c r="H8" s="26" t="str">
        <f>_xlfn.CONCAT(G8 &amp; ".md")</f>
        <v>cevii-dic-noa.md</v>
      </c>
      <c r="I8" s="26" t="s">
        <v>5601</v>
      </c>
    </row>
    <row r="9" spans="1:10" x14ac:dyDescent="0.3">
      <c r="A9" s="26">
        <v>8</v>
      </c>
      <c r="B9" s="26" t="s">
        <v>1658</v>
      </c>
      <c r="C9" s="26" t="s">
        <v>1700</v>
      </c>
      <c r="D9" s="26" t="s">
        <v>2918</v>
      </c>
      <c r="E9" s="27">
        <v>24043</v>
      </c>
      <c r="F9" s="26" t="s">
        <v>1631</v>
      </c>
      <c r="G9" s="26" t="str">
        <f t="shared" si="0"/>
        <v>cevii-dec-opt</v>
      </c>
      <c r="H9" s="26" t="str">
        <f>_xlfn.CONCAT(G9 &amp; ".md")</f>
        <v>cevii-dec-opt.md</v>
      </c>
      <c r="I9" s="26" t="s">
        <v>5601</v>
      </c>
    </row>
    <row r="10" spans="1:10" x14ac:dyDescent="0.3">
      <c r="A10" s="26">
        <v>9</v>
      </c>
      <c r="B10" s="26" t="s">
        <v>1658</v>
      </c>
      <c r="C10" s="26" t="s">
        <v>1700</v>
      </c>
      <c r="D10" s="26" t="s">
        <v>2919</v>
      </c>
      <c r="E10" s="27">
        <v>24043</v>
      </c>
      <c r="F10" s="26" t="s">
        <v>1620</v>
      </c>
      <c r="G10" s="26" t="str">
        <f t="shared" si="0"/>
        <v>cevii-dec-pec</v>
      </c>
      <c r="H10" s="26" t="str">
        <f>_xlfn.CONCAT(G10 &amp; ".md")</f>
        <v>cevii-dec-pec.md</v>
      </c>
      <c r="I10" s="26" t="s">
        <v>5601</v>
      </c>
    </row>
    <row r="11" spans="1:10" x14ac:dyDescent="0.3">
      <c r="A11" s="26">
        <v>10</v>
      </c>
      <c r="B11" s="26" t="s">
        <v>1658</v>
      </c>
      <c r="C11" s="26" t="s">
        <v>1700</v>
      </c>
      <c r="D11" s="26" t="s">
        <v>2920</v>
      </c>
      <c r="E11" s="27">
        <v>24043</v>
      </c>
      <c r="F11" s="26" t="s">
        <v>3908</v>
      </c>
      <c r="G11" s="26" t="str">
        <f t="shared" si="0"/>
        <v>cevii-dec-chd</v>
      </c>
      <c r="H11" s="26" t="str">
        <f>_xlfn.CONCAT(G11 &amp; ".md")</f>
        <v>cevii-dec-chd.md</v>
      </c>
      <c r="I11" s="26" t="s">
        <v>5601</v>
      </c>
    </row>
    <row r="12" spans="1:10" x14ac:dyDescent="0.3">
      <c r="A12" s="26">
        <v>11</v>
      </c>
      <c r="B12" s="26" t="s">
        <v>5103</v>
      </c>
      <c r="C12" s="26" t="s">
        <v>2907</v>
      </c>
      <c r="D12" s="26" t="s">
        <v>2908</v>
      </c>
      <c r="E12" s="27">
        <v>24064</v>
      </c>
      <c r="F12" s="26" t="s">
        <v>598</v>
      </c>
      <c r="G12" s="26" t="str">
        <f t="shared" si="0"/>
        <v>cevii-cos-dev</v>
      </c>
      <c r="H12" s="26" t="str">
        <f>_xlfn.CONCAT(G12 &amp; ".md")</f>
        <v>cevii-cos-dev.md</v>
      </c>
      <c r="I12" s="26" t="s">
        <v>5601</v>
      </c>
    </row>
    <row r="13" spans="1:10" x14ac:dyDescent="0.3">
      <c r="A13" s="26">
        <v>12</v>
      </c>
      <c r="B13" s="26" t="s">
        <v>1658</v>
      </c>
      <c r="C13" s="26" t="s">
        <v>1700</v>
      </c>
      <c r="D13" s="26" t="s">
        <v>2917</v>
      </c>
      <c r="E13" s="27">
        <v>24064</v>
      </c>
      <c r="F13" s="26" t="s">
        <v>5106</v>
      </c>
      <c r="G13" s="26" t="str">
        <f t="shared" si="0"/>
        <v>cevii-dec-apa</v>
      </c>
      <c r="H13" s="26" t="str">
        <f>_xlfn.CONCAT(G13 &amp; ".md")</f>
        <v>cevii-dec-apa.md</v>
      </c>
      <c r="I13" s="26" t="s">
        <v>5601</v>
      </c>
    </row>
    <row r="14" spans="1:10" x14ac:dyDescent="0.3">
      <c r="A14" s="67">
        <v>13</v>
      </c>
      <c r="B14" s="67" t="s">
        <v>5103</v>
      </c>
      <c r="C14" s="67" t="s">
        <v>2907</v>
      </c>
      <c r="D14" s="67" t="s">
        <v>2911</v>
      </c>
      <c r="E14" s="68">
        <v>24083</v>
      </c>
      <c r="F14" s="67" t="s">
        <v>2978</v>
      </c>
      <c r="G14" s="67" t="str">
        <f t="shared" si="0"/>
        <v>cevii-cos-ges</v>
      </c>
      <c r="H14" s="67" t="str">
        <f>_xlfn.CONCAT(G14 &amp; ".md")</f>
        <v>cevii-cos-ges.md</v>
      </c>
      <c r="I14" s="67" t="s">
        <v>5601</v>
      </c>
      <c r="J14" s="67" t="s">
        <v>5600</v>
      </c>
    </row>
    <row r="15" spans="1:10" x14ac:dyDescent="0.3">
      <c r="A15" s="26">
        <v>14</v>
      </c>
      <c r="B15" s="26" t="s">
        <v>952</v>
      </c>
      <c r="C15" s="26" t="s">
        <v>953</v>
      </c>
      <c r="D15" s="26" t="s">
        <v>2914</v>
      </c>
      <c r="E15" s="27">
        <v>24083</v>
      </c>
      <c r="F15" s="26" t="s">
        <v>5107</v>
      </c>
      <c r="G15" s="26" t="str">
        <f t="shared" si="0"/>
        <v>cevii-dic-dih</v>
      </c>
      <c r="H15" s="26" t="str">
        <f>_xlfn.CONCAT(G15 &amp; ".md")</f>
        <v>cevii-dic-dih.md</v>
      </c>
      <c r="I15" s="26" t="s">
        <v>5601</v>
      </c>
    </row>
    <row r="16" spans="1:10" x14ac:dyDescent="0.3">
      <c r="A16" s="26">
        <v>15</v>
      </c>
      <c r="B16" s="26" t="s">
        <v>1658</v>
      </c>
      <c r="C16" s="26" t="s">
        <v>1700</v>
      </c>
      <c r="D16" s="26" t="s">
        <v>2915</v>
      </c>
      <c r="E16" s="27">
        <v>24083</v>
      </c>
      <c r="F16" s="26" t="s">
        <v>1651</v>
      </c>
      <c r="G16" s="26" t="str">
        <f t="shared" si="0"/>
        <v>cevii-dec-adg</v>
      </c>
      <c r="H16" s="26" t="str">
        <f>_xlfn.CONCAT(G16 &amp; ".md")</f>
        <v>cevii-dec-adg.md</v>
      </c>
      <c r="I16" s="26" t="s">
        <v>5601</v>
      </c>
    </row>
    <row r="17" spans="1:9" x14ac:dyDescent="0.3">
      <c r="A17" s="26">
        <v>16</v>
      </c>
      <c r="B17" s="26" t="s">
        <v>1658</v>
      </c>
      <c r="C17" s="26" t="s">
        <v>1700</v>
      </c>
      <c r="D17" s="26" t="s">
        <v>2916</v>
      </c>
      <c r="E17" s="27">
        <v>24083</v>
      </c>
      <c r="F17" s="26" t="s">
        <v>1686</v>
      </c>
      <c r="G17" s="26" t="str">
        <f t="shared" si="0"/>
        <v>cevii-dec-pro</v>
      </c>
      <c r="H17" s="26" t="str">
        <f>_xlfn.CONCAT(G17 &amp; ".md")</f>
        <v>cevii-dec-pro.md</v>
      </c>
      <c r="I17" s="26" t="s">
        <v>5601</v>
      </c>
    </row>
  </sheetData>
  <sortState xmlns:xlrd2="http://schemas.microsoft.com/office/spreadsheetml/2017/richdata2" ref="A2:H17">
    <sortCondition ref="E2:E17"/>
  </sortSt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75" x14ac:dyDescent="0.3"/>
  <cols>
    <col min="1" max="1" width="8" style="26" bestFit="1" customWidth="1"/>
    <col min="2" max="2" width="20" style="26" bestFit="1" customWidth="1"/>
    <col min="3" max="3" width="12.42578125" style="26" bestFit="1" customWidth="1"/>
    <col min="4" max="4" width="38.42578125" style="26" bestFit="1" customWidth="1"/>
    <col min="5" max="5" width="6.85546875" style="26" bestFit="1" customWidth="1"/>
    <col min="6" max="6" width="15.42578125" style="26" bestFit="1" customWidth="1"/>
    <col min="7" max="7" width="37.5703125" style="26" bestFit="1" customWidth="1"/>
    <col min="8" max="8" width="17.85546875" style="26" bestFit="1" customWidth="1"/>
    <col min="9" max="9" width="19.42578125" style="26" bestFit="1" customWidth="1"/>
    <col min="10" max="16384" width="53" style="26"/>
  </cols>
  <sheetData>
    <row r="1" spans="1:9" customFormat="1" ht="18" x14ac:dyDescent="0.25">
      <c r="A1" s="6" t="s">
        <v>545</v>
      </c>
      <c r="B1" s="6" t="s">
        <v>653</v>
      </c>
      <c r="C1" s="6" t="s">
        <v>546</v>
      </c>
      <c r="D1" s="6" t="s">
        <v>1</v>
      </c>
      <c r="E1" s="8" t="s">
        <v>544</v>
      </c>
      <c r="F1" s="6" t="s">
        <v>654</v>
      </c>
      <c r="G1" s="6" t="s">
        <v>2924</v>
      </c>
      <c r="H1" s="6" t="s">
        <v>2925</v>
      </c>
    </row>
    <row r="2" spans="1:9" x14ac:dyDescent="0.3">
      <c r="A2" s="26">
        <v>1</v>
      </c>
      <c r="D2" s="26" t="s">
        <v>5102</v>
      </c>
      <c r="F2" s="26" t="s">
        <v>3642</v>
      </c>
      <c r="G2" s="26" t="str">
        <f>_xlfn.CONCAT("ccar-" &amp; F2)</f>
        <v>ccar-ccc</v>
      </c>
      <c r="H2" s="26" t="str">
        <f>_xlfn.CONCAT(G2 &amp; ".html")</f>
        <v>ccar-ccc.html</v>
      </c>
      <c r="I2" s="26" t="s">
        <v>5110</v>
      </c>
    </row>
    <row r="3" spans="1:9" x14ac:dyDescent="0.3">
      <c r="A3" s="26">
        <v>2</v>
      </c>
      <c r="D3" s="26" t="s">
        <v>5108</v>
      </c>
      <c r="F3" s="26" t="s">
        <v>3112</v>
      </c>
      <c r="G3" s="26" t="str">
        <f>_xlfn.CONCAT("ccar-" &amp; F3)</f>
        <v>ccar-cic</v>
      </c>
      <c r="H3" s="26" t="str">
        <f>_xlfn.CONCAT(G3 &amp; ".html")</f>
        <v>ccar-cic.html</v>
      </c>
      <c r="I3" s="26" t="s">
        <v>5110</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5" x14ac:dyDescent="0.25"/>
  <cols>
    <col min="1" max="1" width="5.42578125" bestFit="1" customWidth="1"/>
    <col min="2" max="2" width="3.42578125" bestFit="1" customWidth="1"/>
    <col min="3" max="3" width="2.85546875" bestFit="1" customWidth="1"/>
    <col min="4" max="4" width="6.140625" bestFit="1" customWidth="1"/>
    <col min="5" max="6" width="4" bestFit="1" customWidth="1"/>
    <col min="7" max="7" width="8.42578125" bestFit="1" customWidth="1"/>
    <col min="8" max="8" width="3.42578125" bestFit="1" customWidth="1"/>
    <col min="9" max="9" width="3.140625" bestFit="1" customWidth="1"/>
    <col min="10" max="10" width="8.42578125" bestFit="1" customWidth="1"/>
    <col min="11" max="11" width="2.85546875" bestFit="1" customWidth="1"/>
    <col min="12" max="12" width="3.28515625" bestFit="1" customWidth="1"/>
    <col min="13" max="13" width="9.28515625" bestFit="1" customWidth="1"/>
  </cols>
  <sheetData>
    <row r="1" spans="1:13" x14ac:dyDescent="0.25">
      <c r="A1" t="s">
        <v>5146</v>
      </c>
      <c r="B1" t="s">
        <v>741</v>
      </c>
      <c r="C1" t="s">
        <v>5147</v>
      </c>
      <c r="M1" t="str">
        <f>_xlfn.CONCAT($C$1)</f>
        <v>L1</v>
      </c>
    </row>
    <row r="2" spans="1:13" x14ac:dyDescent="0.25">
      <c r="D2" t="s">
        <v>1</v>
      </c>
      <c r="E2" t="s">
        <v>741</v>
      </c>
      <c r="F2" t="s">
        <v>5155</v>
      </c>
      <c r="M2" t="str">
        <f>_xlfn.CONCAT($C$1,F2)</f>
        <v>L1T1</v>
      </c>
    </row>
    <row r="3" spans="1:13" x14ac:dyDescent="0.25">
      <c r="D3" t="s">
        <v>1</v>
      </c>
      <c r="E3" t="s">
        <v>742</v>
      </c>
      <c r="F3" t="s">
        <v>5156</v>
      </c>
      <c r="M3" t="str">
        <f t="shared" ref="M3:M4" si="0">_xlfn.CONCAT($C$1,F3)</f>
        <v>L1T2</v>
      </c>
    </row>
    <row r="4" spans="1:13" x14ac:dyDescent="0.25">
      <c r="D4" t="s">
        <v>1</v>
      </c>
      <c r="E4" t="s">
        <v>5141</v>
      </c>
      <c r="F4" t="s">
        <v>5157</v>
      </c>
      <c r="M4" t="str">
        <f t="shared" si="0"/>
        <v>L1T3</v>
      </c>
    </row>
    <row r="5" spans="1:13" x14ac:dyDescent="0.25">
      <c r="D5" t="s">
        <v>1</v>
      </c>
      <c r="E5" t="s">
        <v>5142</v>
      </c>
      <c r="F5" t="s">
        <v>5158</v>
      </c>
      <c r="M5" t="str">
        <f>_xlfn.CONCAT($C$1,$F$5)</f>
        <v>L1T4</v>
      </c>
    </row>
    <row r="6" spans="1:13" x14ac:dyDescent="0.25">
      <c r="G6" t="s">
        <v>5148</v>
      </c>
      <c r="H6" t="s">
        <v>741</v>
      </c>
      <c r="I6" t="s">
        <v>5168</v>
      </c>
      <c r="M6" t="str">
        <f>_xlfn.CONCAT($C$1,$F$5,I6)</f>
        <v>L1T4C1</v>
      </c>
    </row>
    <row r="7" spans="1:13" x14ac:dyDescent="0.25">
      <c r="G7" t="s">
        <v>5148</v>
      </c>
      <c r="H7" t="s">
        <v>742</v>
      </c>
      <c r="I7" t="s">
        <v>5169</v>
      </c>
      <c r="M7" t="str">
        <f t="shared" ref="M7:M10" si="1">_xlfn.CONCAT($C$1,$F$5,I7)</f>
        <v>L1T4C2</v>
      </c>
    </row>
    <row r="8" spans="1:13" x14ac:dyDescent="0.25">
      <c r="G8" t="s">
        <v>5148</v>
      </c>
      <c r="H8" t="s">
        <v>5141</v>
      </c>
      <c r="I8" t="s">
        <v>5170</v>
      </c>
      <c r="M8" t="str">
        <f t="shared" si="1"/>
        <v>L1T4C3</v>
      </c>
    </row>
    <row r="9" spans="1:13" x14ac:dyDescent="0.25">
      <c r="G9" t="s">
        <v>5148</v>
      </c>
      <c r="H9" t="s">
        <v>5142</v>
      </c>
      <c r="I9" t="s">
        <v>5171</v>
      </c>
      <c r="M9" t="str">
        <f t="shared" si="1"/>
        <v>L1T4C4</v>
      </c>
    </row>
    <row r="10" spans="1:13" x14ac:dyDescent="0.25">
      <c r="G10" t="s">
        <v>5148</v>
      </c>
      <c r="H10" t="s">
        <v>5143</v>
      </c>
      <c r="I10" t="s">
        <v>5172</v>
      </c>
      <c r="M10" t="str">
        <f t="shared" si="1"/>
        <v>L1T4C5</v>
      </c>
    </row>
    <row r="11" spans="1:13" x14ac:dyDescent="0.25">
      <c r="D11" t="s">
        <v>1</v>
      </c>
      <c r="E11" t="s">
        <v>5143</v>
      </c>
      <c r="F11" t="s">
        <v>5163</v>
      </c>
      <c r="M11" t="str">
        <f t="shared" ref="M11" si="2">_xlfn.CONCAT($C$1,F11)</f>
        <v>L1T5</v>
      </c>
    </row>
    <row r="12" spans="1:13" x14ac:dyDescent="0.25">
      <c r="D12" t="s">
        <v>1</v>
      </c>
      <c r="E12" t="s">
        <v>714</v>
      </c>
      <c r="F12" t="s">
        <v>5164</v>
      </c>
      <c r="M12" t="str">
        <f>_xlfn.CONCAT($C$1,$F$12)</f>
        <v>L1T6</v>
      </c>
    </row>
    <row r="13" spans="1:13" x14ac:dyDescent="0.25">
      <c r="G13" t="s">
        <v>5148</v>
      </c>
      <c r="H13" t="s">
        <v>741</v>
      </c>
      <c r="I13" t="s">
        <v>5168</v>
      </c>
      <c r="M13" t="str">
        <f>_xlfn.CONCAT($C$1,$F$12,I13)</f>
        <v>L1T6C1</v>
      </c>
    </row>
    <row r="14" spans="1:13" x14ac:dyDescent="0.25">
      <c r="G14" t="s">
        <v>5148</v>
      </c>
      <c r="H14" t="s">
        <v>742</v>
      </c>
      <c r="I14" t="s">
        <v>5169</v>
      </c>
      <c r="M14" t="str">
        <f>_xlfn.CONCAT($C$1,$F$12,I14)</f>
        <v>L1T6C2</v>
      </c>
    </row>
    <row r="15" spans="1:13" x14ac:dyDescent="0.25">
      <c r="D15" t="s">
        <v>1</v>
      </c>
      <c r="E15" t="s">
        <v>720</v>
      </c>
      <c r="F15" t="s">
        <v>5165</v>
      </c>
      <c r="M15" t="str">
        <f t="shared" ref="M15:M16" si="3">_xlfn.CONCAT($C$1,F15)</f>
        <v>L1T7</v>
      </c>
    </row>
    <row r="16" spans="1:13" x14ac:dyDescent="0.25">
      <c r="D16" t="s">
        <v>1</v>
      </c>
      <c r="E16" t="s">
        <v>726</v>
      </c>
      <c r="F16" t="s">
        <v>5166</v>
      </c>
      <c r="M16" t="str">
        <f t="shared" si="3"/>
        <v>L1T8</v>
      </c>
    </row>
    <row r="17" spans="1:13" x14ac:dyDescent="0.25">
      <c r="D17" t="s">
        <v>1</v>
      </c>
      <c r="E17" t="s">
        <v>736</v>
      </c>
      <c r="F17" t="s">
        <v>5167</v>
      </c>
      <c r="M17" t="str">
        <f>_xlfn.CONCAT($C$1,$F$17)</f>
        <v>L1T9</v>
      </c>
    </row>
    <row r="18" spans="1:13" x14ac:dyDescent="0.25">
      <c r="G18" t="s">
        <v>5148</v>
      </c>
      <c r="H18" t="s">
        <v>741</v>
      </c>
      <c r="I18" t="s">
        <v>5168</v>
      </c>
      <c r="M18" t="str">
        <f>_xlfn.CONCAT($C$1,$F$17,$I$18)</f>
        <v>L1T9C1</v>
      </c>
    </row>
    <row r="19" spans="1:13" x14ac:dyDescent="0.25">
      <c r="J19" t="s">
        <v>5149</v>
      </c>
      <c r="K19" t="s">
        <v>741</v>
      </c>
      <c r="L19" t="s">
        <v>5173</v>
      </c>
      <c r="M19" t="str">
        <f>_xlfn.CONCAT($C$1,$F$17,$I$18,L19)</f>
        <v>L1T9C1A1</v>
      </c>
    </row>
    <row r="20" spans="1:13" x14ac:dyDescent="0.25">
      <c r="J20" t="s">
        <v>5149</v>
      </c>
      <c r="K20" t="s">
        <v>742</v>
      </c>
      <c r="L20" t="s">
        <v>5174</v>
      </c>
      <c r="M20" t="str">
        <f t="shared" ref="M20:M22" si="4">_xlfn.CONCAT($C$1,$F$17,$I$18,L20)</f>
        <v>L1T9C1A2</v>
      </c>
    </row>
    <row r="21" spans="1:13" x14ac:dyDescent="0.25">
      <c r="J21" t="s">
        <v>5149</v>
      </c>
      <c r="K21" t="s">
        <v>5141</v>
      </c>
      <c r="L21" t="s">
        <v>5175</v>
      </c>
      <c r="M21" t="str">
        <f t="shared" si="4"/>
        <v>L1T9C1A3</v>
      </c>
    </row>
    <row r="22" spans="1:13" x14ac:dyDescent="0.25">
      <c r="J22" t="s">
        <v>5149</v>
      </c>
      <c r="K22" t="s">
        <v>5142</v>
      </c>
      <c r="L22" t="s">
        <v>5176</v>
      </c>
      <c r="M22" t="str">
        <f t="shared" si="4"/>
        <v>L1T9C1A4</v>
      </c>
    </row>
    <row r="23" spans="1:13" x14ac:dyDescent="0.25">
      <c r="G23" t="s">
        <v>5148</v>
      </c>
      <c r="H23" t="s">
        <v>742</v>
      </c>
      <c r="I23" t="s">
        <v>5169</v>
      </c>
      <c r="M23" t="str">
        <f>_xlfn.CONCAT($C$1,$F$17,$I$23)</f>
        <v>L1T9C2</v>
      </c>
    </row>
    <row r="24" spans="1:13" x14ac:dyDescent="0.25">
      <c r="J24" t="s">
        <v>5149</v>
      </c>
      <c r="K24" t="s">
        <v>741</v>
      </c>
      <c r="L24" t="s">
        <v>5173</v>
      </c>
      <c r="M24" t="str">
        <f>_xlfn.CONCAT($C$1,$F$17,$I$23,L24)</f>
        <v>L1T9C2A1</v>
      </c>
    </row>
    <row r="25" spans="1:13" x14ac:dyDescent="0.25">
      <c r="J25" t="s">
        <v>5149</v>
      </c>
      <c r="K25" t="s">
        <v>742</v>
      </c>
      <c r="L25" t="s">
        <v>5174</v>
      </c>
      <c r="M25" t="str">
        <f t="shared" ref="M25:M27" si="5">_xlfn.CONCAT($C$1,$F$17,$I$23,L25)</f>
        <v>L1T9C2A2</v>
      </c>
    </row>
    <row r="26" spans="1:13" x14ac:dyDescent="0.25">
      <c r="J26" t="s">
        <v>5149</v>
      </c>
      <c r="K26" t="s">
        <v>5141</v>
      </c>
      <c r="L26" t="s">
        <v>5175</v>
      </c>
      <c r="M26" t="str">
        <f t="shared" si="5"/>
        <v>L1T9C2A3</v>
      </c>
    </row>
    <row r="27" spans="1:13" x14ac:dyDescent="0.25">
      <c r="J27" t="s">
        <v>5149</v>
      </c>
      <c r="K27" t="s">
        <v>5142</v>
      </c>
      <c r="L27" t="s">
        <v>5176</v>
      </c>
      <c r="M27" t="str">
        <f t="shared" si="5"/>
        <v>L1T9C2A4</v>
      </c>
    </row>
    <row r="28" spans="1:13" x14ac:dyDescent="0.25">
      <c r="D28" t="s">
        <v>1</v>
      </c>
      <c r="E28" t="s">
        <v>737</v>
      </c>
      <c r="F28" t="s">
        <v>5177</v>
      </c>
      <c r="M28" t="str">
        <f t="shared" ref="M28:M29" si="6">_xlfn.CONCAT($C$1,F28)</f>
        <v>L1T10</v>
      </c>
    </row>
    <row r="29" spans="1:13" x14ac:dyDescent="0.25">
      <c r="D29" t="s">
        <v>1</v>
      </c>
      <c r="E29" t="s">
        <v>739</v>
      </c>
      <c r="F29" t="s">
        <v>5178</v>
      </c>
      <c r="M29" t="str">
        <f t="shared" si="6"/>
        <v>L1T11</v>
      </c>
    </row>
    <row r="30" spans="1:13" x14ac:dyDescent="0.25">
      <c r="A30" t="s">
        <v>5146</v>
      </c>
      <c r="B30" t="s">
        <v>742</v>
      </c>
      <c r="C30" t="s">
        <v>5151</v>
      </c>
      <c r="M30" t="str">
        <f>_xlfn.CONCAT($C$30)</f>
        <v>L2</v>
      </c>
    </row>
    <row r="33" spans="1:13" x14ac:dyDescent="0.25">
      <c r="A33" t="s">
        <v>5146</v>
      </c>
      <c r="B33" t="s">
        <v>5141</v>
      </c>
      <c r="C33" t="s">
        <v>5152</v>
      </c>
      <c r="M33" t="str">
        <f>_xlfn.CONCAT($C$33)</f>
        <v>L3</v>
      </c>
    </row>
    <row r="34" spans="1:13" x14ac:dyDescent="0.25">
      <c r="A34" t="s">
        <v>5146</v>
      </c>
      <c r="B34" t="s">
        <v>5142</v>
      </c>
      <c r="C34" t="s">
        <v>5153</v>
      </c>
      <c r="M34" t="str">
        <f>_xlfn.CONCAT($C$34)</f>
        <v>L4</v>
      </c>
    </row>
    <row r="35" spans="1:13" x14ac:dyDescent="0.25">
      <c r="A35" t="s">
        <v>5146</v>
      </c>
      <c r="B35" t="s">
        <v>5143</v>
      </c>
      <c r="C35" t="s">
        <v>5154</v>
      </c>
      <c r="M35" t="str">
        <f>_xlfn.CONCAT($C$35)</f>
        <v>L5</v>
      </c>
    </row>
    <row r="36" spans="1:13" x14ac:dyDescent="0.25">
      <c r="D36" t="s">
        <v>1</v>
      </c>
      <c r="E36" t="s">
        <v>741</v>
      </c>
      <c r="F36" t="s">
        <v>5155</v>
      </c>
      <c r="M36" t="str">
        <f>_xlfn.CONCAT($C$35,F36)</f>
        <v>L5T1</v>
      </c>
    </row>
    <row r="37" spans="1:13" x14ac:dyDescent="0.25">
      <c r="D37" t="s">
        <v>1</v>
      </c>
      <c r="E37" t="s">
        <v>742</v>
      </c>
      <c r="F37" t="s">
        <v>5156</v>
      </c>
      <c r="M37" t="str">
        <f t="shared" ref="M37:M39" si="7">_xlfn.CONCAT($C$35,F37)</f>
        <v>L5T2</v>
      </c>
    </row>
    <row r="38" spans="1:13" x14ac:dyDescent="0.25">
      <c r="D38" t="s">
        <v>1</v>
      </c>
      <c r="E38" t="s">
        <v>5141</v>
      </c>
      <c r="F38" t="s">
        <v>5157</v>
      </c>
      <c r="M38" t="str">
        <f t="shared" si="7"/>
        <v>L5T3</v>
      </c>
    </row>
    <row r="39" spans="1:13" x14ac:dyDescent="0.25">
      <c r="D39" t="s">
        <v>1</v>
      </c>
      <c r="E39" t="s">
        <v>5142</v>
      </c>
      <c r="F39" t="s">
        <v>5158</v>
      </c>
      <c r="M39" t="str">
        <f t="shared" si="7"/>
        <v>L5T4</v>
      </c>
    </row>
    <row r="40" spans="1:13" x14ac:dyDescent="0.25">
      <c r="A40" t="s">
        <v>5146</v>
      </c>
      <c r="B40" t="s">
        <v>714</v>
      </c>
      <c r="C40" t="s">
        <v>5159</v>
      </c>
      <c r="M40" t="str">
        <f>_xlfn.CONCAT($C$40)</f>
        <v>L6</v>
      </c>
    </row>
    <row r="41" spans="1:13" x14ac:dyDescent="0.25">
      <c r="D41" t="s">
        <v>5150</v>
      </c>
      <c r="E41" t="s">
        <v>741</v>
      </c>
      <c r="F41" t="s">
        <v>5161</v>
      </c>
      <c r="M41" t="str">
        <f>_xlfn.CONCAT($C$40,$F$41)</f>
        <v>L6P1</v>
      </c>
    </row>
    <row r="42" spans="1:13" x14ac:dyDescent="0.25">
      <c r="G42" t="s">
        <v>1</v>
      </c>
      <c r="H42" t="s">
        <v>741</v>
      </c>
      <c r="I42" t="s">
        <v>5155</v>
      </c>
      <c r="M42" t="str">
        <f>_xlfn.CONCAT($C$40,$F$41,I42)</f>
        <v>L6P1T1</v>
      </c>
    </row>
    <row r="43" spans="1:13" x14ac:dyDescent="0.25">
      <c r="G43" t="s">
        <v>1</v>
      </c>
      <c r="H43" t="s">
        <v>742</v>
      </c>
      <c r="I43" t="s">
        <v>5156</v>
      </c>
      <c r="M43" t="str">
        <f t="shared" ref="M43:M44" si="8">_xlfn.CONCAT($C$40,$F$41,I43)</f>
        <v>L6P1T2</v>
      </c>
    </row>
    <row r="44" spans="1:13" x14ac:dyDescent="0.25">
      <c r="G44" t="s">
        <v>1</v>
      </c>
      <c r="H44" t="s">
        <v>5141</v>
      </c>
      <c r="I44" t="s">
        <v>5157</v>
      </c>
      <c r="M44" t="str">
        <f t="shared" si="8"/>
        <v>L6P1T3</v>
      </c>
    </row>
    <row r="45" spans="1:13" x14ac:dyDescent="0.25">
      <c r="G45" t="s">
        <v>1</v>
      </c>
      <c r="H45" t="s">
        <v>5142</v>
      </c>
      <c r="I45" t="s">
        <v>5158</v>
      </c>
      <c r="M45" t="str">
        <f>_xlfn.CONCAT($C$40,$F$41,$I$45)</f>
        <v>L6P1T4</v>
      </c>
    </row>
    <row r="46" spans="1:13" x14ac:dyDescent="0.25">
      <c r="J46" t="s">
        <v>5148</v>
      </c>
      <c r="K46" t="s">
        <v>741</v>
      </c>
      <c r="L46" t="s">
        <v>5168</v>
      </c>
      <c r="M46" t="str">
        <f>_xlfn.CONCAT($C$40,$F$41,$I$45,L46)</f>
        <v>L6P1T4C1</v>
      </c>
    </row>
    <row r="47" spans="1:13" x14ac:dyDescent="0.25">
      <c r="J47" t="s">
        <v>5148</v>
      </c>
      <c r="K47" t="s">
        <v>742</v>
      </c>
      <c r="L47" t="s">
        <v>5169</v>
      </c>
      <c r="M47" t="str">
        <f t="shared" ref="M47:M48" si="9">_xlfn.CONCAT($C$40,$F$41,$I$45,L47)</f>
        <v>L6P1T4C2</v>
      </c>
    </row>
    <row r="48" spans="1:13" x14ac:dyDescent="0.25">
      <c r="J48" t="s">
        <v>5148</v>
      </c>
      <c r="K48" t="s">
        <v>5141</v>
      </c>
      <c r="L48" t="s">
        <v>5170</v>
      </c>
      <c r="M48" t="str">
        <f t="shared" si="9"/>
        <v>L6P1T4C3</v>
      </c>
    </row>
    <row r="49" spans="1:13" x14ac:dyDescent="0.25">
      <c r="G49" t="s">
        <v>1</v>
      </c>
      <c r="H49" t="s">
        <v>5143</v>
      </c>
      <c r="I49" t="s">
        <v>5163</v>
      </c>
      <c r="M49" t="str">
        <f>_xlfn.CONCAT($C$40,$F$41,$I$49)</f>
        <v>L6P1T5</v>
      </c>
    </row>
    <row r="50" spans="1:13" x14ac:dyDescent="0.25">
      <c r="G50" t="s">
        <v>1</v>
      </c>
      <c r="H50" t="s">
        <v>714</v>
      </c>
      <c r="I50" t="s">
        <v>5164</v>
      </c>
      <c r="M50" t="str">
        <f>_xlfn.CONCAT($C$40,$F$41,$I$50)</f>
        <v>L6P1T6</v>
      </c>
    </row>
    <row r="51" spans="1:13" x14ac:dyDescent="0.25">
      <c r="D51" t="s">
        <v>5150</v>
      </c>
      <c r="E51" t="s">
        <v>742</v>
      </c>
      <c r="F51" t="s">
        <v>5162</v>
      </c>
      <c r="M51" t="str">
        <f>_xlfn.CONCAT($C$40,$F$51)</f>
        <v>L6P2</v>
      </c>
    </row>
    <row r="52" spans="1:13" x14ac:dyDescent="0.25">
      <c r="G52" t="s">
        <v>1</v>
      </c>
      <c r="H52" t="s">
        <v>741</v>
      </c>
      <c r="I52" t="s">
        <v>5155</v>
      </c>
      <c r="M52" t="str">
        <f>_xlfn.CONCAT($C$40,$F$51,I52)</f>
        <v>L6P2T1</v>
      </c>
    </row>
    <row r="53" spans="1:13" x14ac:dyDescent="0.25">
      <c r="G53" t="s">
        <v>1</v>
      </c>
      <c r="H53" t="s">
        <v>742</v>
      </c>
      <c r="I53" t="s">
        <v>5156</v>
      </c>
      <c r="M53" t="str">
        <f t="shared" ref="M53:M58" si="10">_xlfn.CONCAT($C$40,$F$51,I53)</f>
        <v>L6P2T2</v>
      </c>
    </row>
    <row r="54" spans="1:13" x14ac:dyDescent="0.25">
      <c r="G54" t="s">
        <v>1</v>
      </c>
      <c r="H54" t="s">
        <v>5141</v>
      </c>
      <c r="I54" t="s">
        <v>5157</v>
      </c>
      <c r="M54" t="str">
        <f t="shared" si="10"/>
        <v>L6P2T3</v>
      </c>
    </row>
    <row r="55" spans="1:13" x14ac:dyDescent="0.25">
      <c r="G55" t="s">
        <v>1</v>
      </c>
      <c r="H55" t="s">
        <v>5142</v>
      </c>
      <c r="I55" t="s">
        <v>5158</v>
      </c>
      <c r="M55" t="str">
        <f t="shared" si="10"/>
        <v>L6P2T4</v>
      </c>
    </row>
    <row r="56" spans="1:13" x14ac:dyDescent="0.25">
      <c r="G56" t="s">
        <v>1</v>
      </c>
      <c r="H56" t="s">
        <v>5143</v>
      </c>
      <c r="I56" t="s">
        <v>5163</v>
      </c>
      <c r="M56" t="str">
        <f t="shared" si="10"/>
        <v>L6P2T5</v>
      </c>
    </row>
    <row r="57" spans="1:13" x14ac:dyDescent="0.25">
      <c r="G57" t="s">
        <v>1</v>
      </c>
      <c r="H57" t="s">
        <v>714</v>
      </c>
      <c r="I57" t="s">
        <v>5164</v>
      </c>
      <c r="M57" t="str">
        <f t="shared" si="10"/>
        <v>L6P2T6</v>
      </c>
    </row>
    <row r="58" spans="1:13" x14ac:dyDescent="0.25">
      <c r="G58" t="s">
        <v>1</v>
      </c>
      <c r="H58" t="s">
        <v>720</v>
      </c>
      <c r="I58" t="s">
        <v>5165</v>
      </c>
      <c r="M58" t="str">
        <f t="shared" si="10"/>
        <v>L6P2T7</v>
      </c>
    </row>
    <row r="59" spans="1:13" x14ac:dyDescent="0.25">
      <c r="A59" t="s">
        <v>5146</v>
      </c>
      <c r="B59" t="s">
        <v>720</v>
      </c>
      <c r="C59" t="s">
        <v>5160</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topLeftCell="A161" workbookViewId="0">
      <selection activeCell="A176" sqref="A176"/>
    </sheetView>
  </sheetViews>
  <sheetFormatPr defaultRowHeight="15" x14ac:dyDescent="0.25"/>
  <cols>
    <col min="1" max="1" width="13.5703125" bestFit="1" customWidth="1"/>
    <col min="2" max="2" width="15.85546875" bestFit="1" customWidth="1"/>
    <col min="3" max="3" width="16.42578125" bestFit="1" customWidth="1"/>
    <col min="4" max="4" width="10.42578125" bestFit="1" customWidth="1"/>
    <col min="5" max="5" width="10.85546875" bestFit="1" customWidth="1"/>
    <col min="6" max="6" width="7" bestFit="1" customWidth="1"/>
  </cols>
  <sheetData>
    <row r="1" spans="1:4" s="47" customFormat="1" x14ac:dyDescent="0.25">
      <c r="A1" s="47" t="s">
        <v>5131</v>
      </c>
    </row>
    <row r="2" spans="1:4" s="47" customFormat="1" x14ac:dyDescent="0.25">
      <c r="B2" s="47" t="s">
        <v>741</v>
      </c>
    </row>
    <row r="3" spans="1:4" s="47" customFormat="1" x14ac:dyDescent="0.25">
      <c r="B3" s="47" t="s">
        <v>742</v>
      </c>
    </row>
    <row r="4" spans="1:4" s="47" customFormat="1" x14ac:dyDescent="0.25">
      <c r="B4" s="47" t="s">
        <v>5141</v>
      </c>
    </row>
    <row r="5" spans="1:4" s="47" customFormat="1" x14ac:dyDescent="0.25">
      <c r="B5" s="47" t="s">
        <v>5142</v>
      </c>
    </row>
    <row r="6" spans="1:4" s="47" customFormat="1" x14ac:dyDescent="0.25">
      <c r="B6" s="47" t="s">
        <v>5143</v>
      </c>
    </row>
    <row r="7" spans="1:4" s="47" customFormat="1" x14ac:dyDescent="0.25">
      <c r="B7" s="47" t="s">
        <v>714</v>
      </c>
    </row>
    <row r="8" spans="1:4" s="47" customFormat="1" x14ac:dyDescent="0.25">
      <c r="B8" s="47" t="s">
        <v>5145</v>
      </c>
    </row>
    <row r="9" spans="1:4" s="47" customFormat="1" x14ac:dyDescent="0.25">
      <c r="A9" s="47" t="s">
        <v>5111</v>
      </c>
    </row>
    <row r="10" spans="1:4" s="47" customFormat="1" x14ac:dyDescent="0.25">
      <c r="B10" s="47" t="s">
        <v>5115</v>
      </c>
    </row>
    <row r="11" spans="1:4" s="47" customFormat="1" x14ac:dyDescent="0.25">
      <c r="C11" s="47" t="s">
        <v>5116</v>
      </c>
    </row>
    <row r="12" spans="1:4" s="47" customFormat="1" x14ac:dyDescent="0.25">
      <c r="D12" s="47" t="s">
        <v>741</v>
      </c>
    </row>
    <row r="13" spans="1:4" s="47" customFormat="1" x14ac:dyDescent="0.25">
      <c r="D13" s="47" t="s">
        <v>742</v>
      </c>
    </row>
    <row r="14" spans="1:4" s="47" customFormat="1" x14ac:dyDescent="0.25">
      <c r="D14" s="47" t="s">
        <v>5141</v>
      </c>
    </row>
    <row r="15" spans="1:4" s="47" customFormat="1" x14ac:dyDescent="0.25">
      <c r="D15" s="47" t="s">
        <v>5142</v>
      </c>
    </row>
    <row r="16" spans="1:4" s="47" customFormat="1" x14ac:dyDescent="0.25">
      <c r="D16" s="47" t="s">
        <v>5145</v>
      </c>
    </row>
    <row r="17" spans="3:5" s="47" customFormat="1" x14ac:dyDescent="0.25">
      <c r="C17" s="47" t="s">
        <v>5120</v>
      </c>
    </row>
    <row r="18" spans="3:5" s="47" customFormat="1" x14ac:dyDescent="0.25">
      <c r="D18" s="47" t="s">
        <v>5117</v>
      </c>
    </row>
    <row r="19" spans="3:5" s="47" customFormat="1" x14ac:dyDescent="0.25">
      <c r="E19" s="47" t="s">
        <v>741</v>
      </c>
    </row>
    <row r="20" spans="3:5" s="47" customFormat="1" x14ac:dyDescent="0.25">
      <c r="E20" s="47" t="s">
        <v>742</v>
      </c>
    </row>
    <row r="21" spans="3:5" s="47" customFormat="1" x14ac:dyDescent="0.25">
      <c r="E21" s="47" t="s">
        <v>5141</v>
      </c>
    </row>
    <row r="22" spans="3:5" s="47" customFormat="1" x14ac:dyDescent="0.25">
      <c r="E22" s="47" t="s">
        <v>5145</v>
      </c>
    </row>
    <row r="23" spans="3:5" s="47" customFormat="1" x14ac:dyDescent="0.25">
      <c r="D23" s="47" t="s">
        <v>5118</v>
      </c>
    </row>
    <row r="24" spans="3:5" s="47" customFormat="1" x14ac:dyDescent="0.25">
      <c r="E24" s="47" t="s">
        <v>741</v>
      </c>
    </row>
    <row r="25" spans="3:5" s="47" customFormat="1" x14ac:dyDescent="0.25">
      <c r="E25" s="47" t="s">
        <v>742</v>
      </c>
    </row>
    <row r="26" spans="3:5" s="47" customFormat="1" x14ac:dyDescent="0.25">
      <c r="E26" s="47" t="s">
        <v>5141</v>
      </c>
    </row>
    <row r="27" spans="3:5" s="47" customFormat="1" x14ac:dyDescent="0.25">
      <c r="D27" s="47" t="s">
        <v>5119</v>
      </c>
    </row>
    <row r="28" spans="3:5" s="47" customFormat="1" x14ac:dyDescent="0.25">
      <c r="E28" s="47" t="s">
        <v>741</v>
      </c>
    </row>
    <row r="29" spans="3:5" s="47" customFormat="1" x14ac:dyDescent="0.25">
      <c r="E29" s="47" t="s">
        <v>742</v>
      </c>
    </row>
    <row r="30" spans="3:5" s="47" customFormat="1" x14ac:dyDescent="0.25">
      <c r="E30" s="47" t="s">
        <v>5141</v>
      </c>
    </row>
    <row r="31" spans="3:5" s="47" customFormat="1" x14ac:dyDescent="0.25">
      <c r="E31" s="47" t="s">
        <v>5142</v>
      </c>
    </row>
    <row r="32" spans="3:5" s="47" customFormat="1" x14ac:dyDescent="0.25">
      <c r="E32" s="47" t="s">
        <v>5143</v>
      </c>
    </row>
    <row r="33" spans="2:6" s="47" customFormat="1" x14ac:dyDescent="0.25">
      <c r="C33" s="47" t="s">
        <v>5121</v>
      </c>
    </row>
    <row r="34" spans="2:6" s="47" customFormat="1" x14ac:dyDescent="0.25">
      <c r="D34" s="47" t="s">
        <v>5117</v>
      </c>
    </row>
    <row r="35" spans="2:6" s="47" customFormat="1" x14ac:dyDescent="0.25">
      <c r="E35" s="47" t="s">
        <v>741</v>
      </c>
    </row>
    <row r="36" spans="2:6" s="47" customFormat="1" x14ac:dyDescent="0.25">
      <c r="E36" s="47" t="s">
        <v>742</v>
      </c>
    </row>
    <row r="37" spans="2:6" s="47" customFormat="1" x14ac:dyDescent="0.25">
      <c r="E37" s="47" t="s">
        <v>5141</v>
      </c>
    </row>
    <row r="38" spans="2:6" s="47" customFormat="1" x14ac:dyDescent="0.25">
      <c r="D38" s="47" t="s">
        <v>5118</v>
      </c>
    </row>
    <row r="39" spans="2:6" s="47" customFormat="1" x14ac:dyDescent="0.25">
      <c r="E39" s="47" t="s">
        <v>741</v>
      </c>
    </row>
    <row r="40" spans="2:6" s="47" customFormat="1" x14ac:dyDescent="0.25">
      <c r="E40" s="47" t="s">
        <v>742</v>
      </c>
    </row>
    <row r="41" spans="2:6" s="47" customFormat="1" x14ac:dyDescent="0.25">
      <c r="E41" s="47" t="s">
        <v>5141</v>
      </c>
    </row>
    <row r="42" spans="2:6" s="47" customFormat="1" x14ac:dyDescent="0.25">
      <c r="B42" s="47" t="s">
        <v>5122</v>
      </c>
    </row>
    <row r="43" spans="2:6" s="47" customFormat="1" x14ac:dyDescent="0.25">
      <c r="C43" s="47" t="s">
        <v>5116</v>
      </c>
    </row>
    <row r="44" spans="2:6" s="47" customFormat="1" x14ac:dyDescent="0.25">
      <c r="D44" s="47" t="s">
        <v>5117</v>
      </c>
    </row>
    <row r="45" spans="2:6" s="47" customFormat="1" x14ac:dyDescent="0.25">
      <c r="E45" s="47" t="s">
        <v>5132</v>
      </c>
    </row>
    <row r="46" spans="2:6" s="47" customFormat="1" x14ac:dyDescent="0.25">
      <c r="F46" s="47" t="s">
        <v>741</v>
      </c>
    </row>
    <row r="47" spans="2:6" s="47" customFormat="1" x14ac:dyDescent="0.25">
      <c r="F47" s="47" t="s">
        <v>742</v>
      </c>
    </row>
    <row r="48" spans="2:6" s="47" customFormat="1" x14ac:dyDescent="0.25">
      <c r="F48" s="47" t="s">
        <v>5141</v>
      </c>
    </row>
    <row r="49" spans="5:6" s="47" customFormat="1" x14ac:dyDescent="0.25">
      <c r="F49" s="47" t="s">
        <v>5142</v>
      </c>
    </row>
    <row r="50" spans="5:6" s="47" customFormat="1" x14ac:dyDescent="0.25">
      <c r="E50" s="47" t="s">
        <v>5133</v>
      </c>
    </row>
    <row r="51" spans="5:6" s="47" customFormat="1" x14ac:dyDescent="0.25">
      <c r="F51" s="47" t="s">
        <v>741</v>
      </c>
    </row>
    <row r="52" spans="5:6" s="47" customFormat="1" x14ac:dyDescent="0.25">
      <c r="F52" s="47" t="s">
        <v>742</v>
      </c>
    </row>
    <row r="53" spans="5:6" s="47" customFormat="1" x14ac:dyDescent="0.25">
      <c r="F53" s="47" t="s">
        <v>5141</v>
      </c>
    </row>
    <row r="54" spans="5:6" s="47" customFormat="1" x14ac:dyDescent="0.25">
      <c r="F54" s="47" t="s">
        <v>5142</v>
      </c>
    </row>
    <row r="55" spans="5:6" s="47" customFormat="1" x14ac:dyDescent="0.25">
      <c r="E55" s="47" t="s">
        <v>5134</v>
      </c>
    </row>
    <row r="56" spans="5:6" s="47" customFormat="1" x14ac:dyDescent="0.25">
      <c r="F56" s="47" t="s">
        <v>5144</v>
      </c>
    </row>
    <row r="57" spans="5:6" s="47" customFormat="1" x14ac:dyDescent="0.25">
      <c r="E57" s="47" t="s">
        <v>5135</v>
      </c>
    </row>
    <row r="58" spans="5:6" s="47" customFormat="1" x14ac:dyDescent="0.25">
      <c r="F58" s="47" t="s">
        <v>741</v>
      </c>
    </row>
    <row r="59" spans="5:6" s="47" customFormat="1" x14ac:dyDescent="0.25">
      <c r="F59" s="47" t="s">
        <v>742</v>
      </c>
    </row>
    <row r="60" spans="5:6" s="47" customFormat="1" x14ac:dyDescent="0.25">
      <c r="F60" s="47" t="s">
        <v>5141</v>
      </c>
    </row>
    <row r="61" spans="5:6" s="47" customFormat="1" x14ac:dyDescent="0.25">
      <c r="F61" s="47" t="s">
        <v>5142</v>
      </c>
    </row>
    <row r="62" spans="5:6" s="47" customFormat="1" x14ac:dyDescent="0.25">
      <c r="F62" s="47" t="s">
        <v>5143</v>
      </c>
    </row>
    <row r="63" spans="5:6" s="47" customFormat="1" x14ac:dyDescent="0.25">
      <c r="E63" s="47" t="s">
        <v>5136</v>
      </c>
    </row>
    <row r="64" spans="5:6" s="47" customFormat="1" x14ac:dyDescent="0.25">
      <c r="F64" s="47" t="s">
        <v>741</v>
      </c>
    </row>
    <row r="65" spans="3:6" s="48" customFormat="1" x14ac:dyDescent="0.25">
      <c r="F65" s="47" t="s">
        <v>742</v>
      </c>
    </row>
    <row r="66" spans="3:6" s="47" customFormat="1" x14ac:dyDescent="0.25">
      <c r="E66" s="47" t="s">
        <v>5137</v>
      </c>
    </row>
    <row r="67" spans="3:6" s="47" customFormat="1" x14ac:dyDescent="0.25">
      <c r="F67" s="47" t="s">
        <v>741</v>
      </c>
    </row>
    <row r="68" spans="3:6" s="47" customFormat="1" x14ac:dyDescent="0.25">
      <c r="F68" s="47" t="s">
        <v>742</v>
      </c>
    </row>
    <row r="69" spans="3:6" s="47" customFormat="1" x14ac:dyDescent="0.25">
      <c r="F69" s="47" t="s">
        <v>5141</v>
      </c>
    </row>
    <row r="70" spans="3:6" s="47" customFormat="1" x14ac:dyDescent="0.25">
      <c r="F70" s="47" t="s">
        <v>5142</v>
      </c>
    </row>
    <row r="71" spans="3:6" s="47" customFormat="1" x14ac:dyDescent="0.25">
      <c r="E71" s="47" t="s">
        <v>5138</v>
      </c>
    </row>
    <row r="72" spans="3:6" s="47" customFormat="1" x14ac:dyDescent="0.25">
      <c r="F72" s="47" t="s">
        <v>741</v>
      </c>
    </row>
    <row r="73" spans="3:6" s="47" customFormat="1" x14ac:dyDescent="0.25">
      <c r="F73" s="47" t="s">
        <v>742</v>
      </c>
    </row>
    <row r="74" spans="3:6" s="47" customFormat="1" x14ac:dyDescent="0.25">
      <c r="F74" s="47" t="s">
        <v>5141</v>
      </c>
    </row>
    <row r="75" spans="3:6" s="47" customFormat="1" x14ac:dyDescent="0.25">
      <c r="F75" s="47" t="s">
        <v>5142</v>
      </c>
    </row>
    <row r="76" spans="3:6" s="47" customFormat="1" x14ac:dyDescent="0.25">
      <c r="C76" s="47" t="s">
        <v>5120</v>
      </c>
    </row>
    <row r="77" spans="3:6" s="47" customFormat="1" x14ac:dyDescent="0.25">
      <c r="D77" s="47" t="s">
        <v>5118</v>
      </c>
    </row>
    <row r="78" spans="3:6" s="47" customFormat="1" x14ac:dyDescent="0.25">
      <c r="E78" s="47" t="s">
        <v>741</v>
      </c>
    </row>
    <row r="79" spans="3:6" s="47" customFormat="1" x14ac:dyDescent="0.25">
      <c r="E79" s="47" t="s">
        <v>742</v>
      </c>
    </row>
    <row r="80" spans="3:6" s="47" customFormat="1" x14ac:dyDescent="0.25">
      <c r="E80" s="47" t="s">
        <v>5141</v>
      </c>
    </row>
    <row r="81" spans="4:6" s="48" customFormat="1" x14ac:dyDescent="0.25">
      <c r="E81" s="47" t="s">
        <v>5142</v>
      </c>
    </row>
    <row r="82" spans="4:6" s="47" customFormat="1" x14ac:dyDescent="0.25">
      <c r="D82" s="47" t="s">
        <v>5119</v>
      </c>
    </row>
    <row r="83" spans="4:6" s="47" customFormat="1" x14ac:dyDescent="0.25">
      <c r="E83" s="47" t="s">
        <v>5132</v>
      </c>
    </row>
    <row r="84" spans="4:6" s="47" customFormat="1" x14ac:dyDescent="0.25">
      <c r="F84" s="47" t="s">
        <v>741</v>
      </c>
    </row>
    <row r="85" spans="4:6" s="47" customFormat="1" x14ac:dyDescent="0.25">
      <c r="F85" s="47" t="s">
        <v>742</v>
      </c>
    </row>
    <row r="86" spans="4:6" s="47" customFormat="1" x14ac:dyDescent="0.25">
      <c r="F86" s="47" t="s">
        <v>5141</v>
      </c>
    </row>
    <row r="87" spans="4:6" s="47" customFormat="1" x14ac:dyDescent="0.25">
      <c r="F87" s="47" t="s">
        <v>5142</v>
      </c>
    </row>
    <row r="88" spans="4:6" s="47" customFormat="1" x14ac:dyDescent="0.25">
      <c r="E88" s="47" t="s">
        <v>5133</v>
      </c>
    </row>
    <row r="89" spans="4:6" s="47" customFormat="1" x14ac:dyDescent="0.25">
      <c r="F89" s="47" t="s">
        <v>741</v>
      </c>
    </row>
    <row r="90" spans="4:6" s="47" customFormat="1" x14ac:dyDescent="0.25">
      <c r="F90" s="47" t="s">
        <v>742</v>
      </c>
    </row>
    <row r="91" spans="4:6" s="47" customFormat="1" x14ac:dyDescent="0.25">
      <c r="E91" s="47" t="s">
        <v>5134</v>
      </c>
    </row>
    <row r="92" spans="4:6" s="47" customFormat="1" x14ac:dyDescent="0.25">
      <c r="F92" s="47" t="s">
        <v>741</v>
      </c>
    </row>
    <row r="93" spans="4:6" s="47" customFormat="1" x14ac:dyDescent="0.25">
      <c r="F93" s="47" t="s">
        <v>742</v>
      </c>
    </row>
    <row r="94" spans="4:6" s="47" customFormat="1" x14ac:dyDescent="0.25">
      <c r="F94" s="47" t="s">
        <v>5141</v>
      </c>
    </row>
    <row r="95" spans="4:6" s="47" customFormat="1" x14ac:dyDescent="0.25">
      <c r="D95" s="47" t="s">
        <v>5123</v>
      </c>
    </row>
    <row r="96" spans="4:6" s="47" customFormat="1" x14ac:dyDescent="0.25">
      <c r="E96" s="47" t="s">
        <v>5132</v>
      </c>
    </row>
    <row r="97" spans="4:6" s="47" customFormat="1" x14ac:dyDescent="0.25">
      <c r="F97" s="47" t="s">
        <v>741</v>
      </c>
    </row>
    <row r="98" spans="4:6" s="47" customFormat="1" x14ac:dyDescent="0.25">
      <c r="F98" s="47" t="s">
        <v>742</v>
      </c>
    </row>
    <row r="99" spans="4:6" s="47" customFormat="1" x14ac:dyDescent="0.25">
      <c r="F99" s="47" t="s">
        <v>5141</v>
      </c>
    </row>
    <row r="100" spans="4:6" s="47" customFormat="1" x14ac:dyDescent="0.25">
      <c r="E100" s="47" t="s">
        <v>5133</v>
      </c>
    </row>
    <row r="101" spans="4:6" s="47" customFormat="1" x14ac:dyDescent="0.25">
      <c r="F101" s="47" t="s">
        <v>741</v>
      </c>
    </row>
    <row r="102" spans="4:6" s="47" customFormat="1" x14ac:dyDescent="0.25">
      <c r="F102" s="47" t="s">
        <v>742</v>
      </c>
    </row>
    <row r="103" spans="4:6" s="47" customFormat="1" x14ac:dyDescent="0.25">
      <c r="F103" s="47" t="s">
        <v>5141</v>
      </c>
    </row>
    <row r="104" spans="4:6" s="47" customFormat="1" x14ac:dyDescent="0.25">
      <c r="E104" s="47" t="s">
        <v>5134</v>
      </c>
    </row>
    <row r="105" spans="4:6" s="47" customFormat="1" x14ac:dyDescent="0.25">
      <c r="F105" s="47" t="s">
        <v>5144</v>
      </c>
    </row>
    <row r="106" spans="4:6" s="47" customFormat="1" x14ac:dyDescent="0.25">
      <c r="D106" s="47" t="s">
        <v>5124</v>
      </c>
    </row>
    <row r="107" spans="4:6" s="47" customFormat="1" x14ac:dyDescent="0.25">
      <c r="E107" s="47" t="s">
        <v>5132</v>
      </c>
    </row>
    <row r="108" spans="4:6" s="47" customFormat="1" x14ac:dyDescent="0.25">
      <c r="F108" s="47" t="s">
        <v>5144</v>
      </c>
    </row>
    <row r="109" spans="4:6" s="47" customFormat="1" x14ac:dyDescent="0.25">
      <c r="E109" s="47" t="s">
        <v>5133</v>
      </c>
    </row>
    <row r="110" spans="4:6" s="47" customFormat="1" x14ac:dyDescent="0.25">
      <c r="F110" s="47" t="s">
        <v>741</v>
      </c>
    </row>
    <row r="111" spans="4:6" s="47" customFormat="1" x14ac:dyDescent="0.25">
      <c r="F111" s="47" t="s">
        <v>742</v>
      </c>
    </row>
    <row r="112" spans="4:6" s="47" customFormat="1" x14ac:dyDescent="0.25">
      <c r="F112" s="47" t="s">
        <v>5141</v>
      </c>
    </row>
    <row r="113" spans="3:6" s="47" customFormat="1" x14ac:dyDescent="0.25">
      <c r="D113" s="47" t="s">
        <v>5125</v>
      </c>
    </row>
    <row r="114" spans="3:6" s="47" customFormat="1" x14ac:dyDescent="0.25">
      <c r="E114" s="47" t="s">
        <v>5144</v>
      </c>
    </row>
    <row r="115" spans="3:6" s="47" customFormat="1" x14ac:dyDescent="0.25">
      <c r="D115" s="47" t="s">
        <v>5126</v>
      </c>
    </row>
    <row r="116" spans="3:6" s="47" customFormat="1" x14ac:dyDescent="0.25">
      <c r="E116" s="47" t="s">
        <v>741</v>
      </c>
    </row>
    <row r="117" spans="3:6" s="47" customFormat="1" x14ac:dyDescent="0.25">
      <c r="E117" s="47" t="s">
        <v>742</v>
      </c>
    </row>
    <row r="118" spans="3:6" s="47" customFormat="1" x14ac:dyDescent="0.25">
      <c r="C118" s="47" t="s">
        <v>5121</v>
      </c>
    </row>
    <row r="119" spans="3:6" s="47" customFormat="1" x14ac:dyDescent="0.25">
      <c r="D119" s="47" t="s">
        <v>5127</v>
      </c>
    </row>
    <row r="120" spans="3:6" s="47" customFormat="1" x14ac:dyDescent="0.25">
      <c r="E120" s="47" t="s">
        <v>741</v>
      </c>
    </row>
    <row r="121" spans="3:6" s="47" customFormat="1" x14ac:dyDescent="0.25">
      <c r="E121" s="47" t="s">
        <v>742</v>
      </c>
    </row>
    <row r="122" spans="3:6" s="47" customFormat="1" x14ac:dyDescent="0.25">
      <c r="E122" s="47" t="s">
        <v>5141</v>
      </c>
    </row>
    <row r="123" spans="3:6" s="47" customFormat="1" x14ac:dyDescent="0.25">
      <c r="E123" s="47" t="s">
        <v>5142</v>
      </c>
    </row>
    <row r="124" spans="3:6" s="47" customFormat="1" x14ac:dyDescent="0.25">
      <c r="E124" s="47" t="s">
        <v>5143</v>
      </c>
    </row>
    <row r="125" spans="3:6" s="47" customFormat="1" x14ac:dyDescent="0.25">
      <c r="D125" s="47" t="s">
        <v>5128</v>
      </c>
    </row>
    <row r="126" spans="3:6" s="47" customFormat="1" x14ac:dyDescent="0.25">
      <c r="E126" s="47" t="s">
        <v>5132</v>
      </c>
    </row>
    <row r="127" spans="3:6" s="47" customFormat="1" x14ac:dyDescent="0.25">
      <c r="F127" s="47" t="s">
        <v>741</v>
      </c>
    </row>
    <row r="128" spans="3:6" s="47" customFormat="1" x14ac:dyDescent="0.25">
      <c r="F128" s="47" t="s">
        <v>742</v>
      </c>
    </row>
    <row r="129" spans="5:6" s="47" customFormat="1" x14ac:dyDescent="0.25">
      <c r="F129" s="47" t="s">
        <v>5141</v>
      </c>
    </row>
    <row r="130" spans="5:6" s="47" customFormat="1" x14ac:dyDescent="0.25">
      <c r="E130" s="47" t="s">
        <v>5133</v>
      </c>
    </row>
    <row r="131" spans="5:6" s="47" customFormat="1" x14ac:dyDescent="0.25">
      <c r="F131" s="47" t="s">
        <v>741</v>
      </c>
    </row>
    <row r="132" spans="5:6" s="47" customFormat="1" x14ac:dyDescent="0.25">
      <c r="F132" s="47" t="s">
        <v>742</v>
      </c>
    </row>
    <row r="133" spans="5:6" s="47" customFormat="1" x14ac:dyDescent="0.25">
      <c r="F133" s="47" t="s">
        <v>5141</v>
      </c>
    </row>
    <row r="134" spans="5:6" s="47" customFormat="1" x14ac:dyDescent="0.25">
      <c r="E134" s="47" t="s">
        <v>5134</v>
      </c>
    </row>
    <row r="135" spans="5:6" s="47" customFormat="1" x14ac:dyDescent="0.25">
      <c r="F135" s="47" t="s">
        <v>741</v>
      </c>
    </row>
    <row r="136" spans="5:6" s="47" customFormat="1" x14ac:dyDescent="0.25">
      <c r="F136" s="47" t="s">
        <v>742</v>
      </c>
    </row>
    <row r="137" spans="5:6" s="47" customFormat="1" x14ac:dyDescent="0.25">
      <c r="F137" s="47" t="s">
        <v>5141</v>
      </c>
    </row>
    <row r="138" spans="5:6" s="47" customFormat="1" x14ac:dyDescent="0.25">
      <c r="F138" s="47" t="s">
        <v>5142</v>
      </c>
    </row>
    <row r="139" spans="5:6" s="47" customFormat="1" x14ac:dyDescent="0.25">
      <c r="E139" s="47" t="s">
        <v>5135</v>
      </c>
    </row>
    <row r="140" spans="5:6" s="47" customFormat="1" x14ac:dyDescent="0.25">
      <c r="F140" s="47" t="s">
        <v>741</v>
      </c>
    </row>
    <row r="141" spans="5:6" s="47" customFormat="1" x14ac:dyDescent="0.25">
      <c r="F141" s="47" t="s">
        <v>742</v>
      </c>
    </row>
    <row r="142" spans="5:6" s="47" customFormat="1" x14ac:dyDescent="0.25">
      <c r="F142" s="47" t="s">
        <v>5141</v>
      </c>
    </row>
    <row r="143" spans="5:6" s="47" customFormat="1" x14ac:dyDescent="0.25">
      <c r="E143" s="47" t="s">
        <v>5136</v>
      </c>
    </row>
    <row r="144" spans="5:6" s="47" customFormat="1" x14ac:dyDescent="0.25">
      <c r="F144" s="47" t="s">
        <v>741</v>
      </c>
    </row>
    <row r="145" spans="4:6" s="47" customFormat="1" x14ac:dyDescent="0.25">
      <c r="F145" s="47" t="s">
        <v>742</v>
      </c>
    </row>
    <row r="146" spans="4:6" s="47" customFormat="1" x14ac:dyDescent="0.25">
      <c r="E146" s="47" t="s">
        <v>5137</v>
      </c>
    </row>
    <row r="147" spans="4:6" s="47" customFormat="1" x14ac:dyDescent="0.25">
      <c r="F147" s="47" t="s">
        <v>741</v>
      </c>
    </row>
    <row r="148" spans="4:6" s="47" customFormat="1" x14ac:dyDescent="0.25">
      <c r="F148" s="47" t="s">
        <v>742</v>
      </c>
    </row>
    <row r="149" spans="4:6" s="47" customFormat="1" x14ac:dyDescent="0.25">
      <c r="F149" s="47" t="s">
        <v>5141</v>
      </c>
    </row>
    <row r="150" spans="4:6" s="47" customFormat="1" x14ac:dyDescent="0.25">
      <c r="D150" s="47" t="s">
        <v>5129</v>
      </c>
    </row>
    <row r="151" spans="4:6" s="47" customFormat="1" x14ac:dyDescent="0.25">
      <c r="E151" s="47" t="s">
        <v>741</v>
      </c>
    </row>
    <row r="152" spans="4:6" s="47" customFormat="1" x14ac:dyDescent="0.25">
      <c r="E152" s="47" t="s">
        <v>742</v>
      </c>
    </row>
    <row r="153" spans="4:6" s="47" customFormat="1" x14ac:dyDescent="0.25">
      <c r="D153" s="47" t="s">
        <v>5139</v>
      </c>
    </row>
    <row r="154" spans="4:6" s="47" customFormat="1" x14ac:dyDescent="0.25">
      <c r="E154" s="47" t="s">
        <v>741</v>
      </c>
    </row>
    <row r="155" spans="4:6" s="47" customFormat="1" x14ac:dyDescent="0.25">
      <c r="E155" s="47" t="s">
        <v>742</v>
      </c>
    </row>
    <row r="156" spans="4:6" s="47" customFormat="1" x14ac:dyDescent="0.25">
      <c r="D156" s="47" t="s">
        <v>5140</v>
      </c>
    </row>
    <row r="157" spans="4:6" s="47" customFormat="1" x14ac:dyDescent="0.25">
      <c r="E157" s="47" t="s">
        <v>741</v>
      </c>
    </row>
    <row r="158" spans="4:6" s="47" customFormat="1" x14ac:dyDescent="0.25">
      <c r="E158" s="47" t="s">
        <v>742</v>
      </c>
    </row>
    <row r="159" spans="4:6" s="47" customFormat="1" x14ac:dyDescent="0.25">
      <c r="E159" s="47" t="s">
        <v>5141</v>
      </c>
    </row>
    <row r="160" spans="4:6" s="47" customFormat="1" x14ac:dyDescent="0.25">
      <c r="E160" s="47" t="s">
        <v>5142</v>
      </c>
    </row>
    <row r="161" spans="1:5" s="47" customFormat="1" x14ac:dyDescent="0.25">
      <c r="E161" s="47" t="s">
        <v>5143</v>
      </c>
    </row>
    <row r="162" spans="1:5" s="47" customFormat="1" x14ac:dyDescent="0.25">
      <c r="E162" s="47" t="s">
        <v>714</v>
      </c>
    </row>
    <row r="163" spans="1:5" x14ac:dyDescent="0.25">
      <c r="A163" t="s">
        <v>5112</v>
      </c>
    </row>
    <row r="164" spans="1:5" s="47" customFormat="1" x14ac:dyDescent="0.25">
      <c r="B164" s="47" t="s">
        <v>5115</v>
      </c>
    </row>
    <row r="165" spans="1:5" s="47" customFormat="1" x14ac:dyDescent="0.25">
      <c r="C165" s="47" t="s">
        <v>5116</v>
      </c>
    </row>
    <row r="166" spans="1:5" s="47" customFormat="1" x14ac:dyDescent="0.25">
      <c r="D166" s="47" t="s">
        <v>5117</v>
      </c>
    </row>
    <row r="167" spans="1:5" s="47" customFormat="1" x14ac:dyDescent="0.25">
      <c r="D167" s="47" t="s">
        <v>5118</v>
      </c>
    </row>
    <row r="168" spans="1:5" s="47" customFormat="1" x14ac:dyDescent="0.25">
      <c r="C168" s="47" t="s">
        <v>5120</v>
      </c>
    </row>
    <row r="169" spans="1:5" s="47" customFormat="1" x14ac:dyDescent="0.25">
      <c r="D169" s="47" t="s">
        <v>5117</v>
      </c>
    </row>
    <row r="170" spans="1:5" s="47" customFormat="1" x14ac:dyDescent="0.25">
      <c r="D170" s="47" t="s">
        <v>5118</v>
      </c>
    </row>
    <row r="171" spans="1:5" x14ac:dyDescent="0.25">
      <c r="B171" t="s">
        <v>5122</v>
      </c>
    </row>
    <row r="172" spans="1:5" s="47" customFormat="1" x14ac:dyDescent="0.25">
      <c r="C172" s="47" t="s">
        <v>5116</v>
      </c>
    </row>
    <row r="173" spans="1:5" s="47" customFormat="1" x14ac:dyDescent="0.25">
      <c r="D173" s="47" t="s">
        <v>5117</v>
      </c>
    </row>
    <row r="174" spans="1:5" s="47" customFormat="1" x14ac:dyDescent="0.25">
      <c r="D174" s="47" t="s">
        <v>5118</v>
      </c>
    </row>
    <row r="175" spans="1:5" s="47" customFormat="1" x14ac:dyDescent="0.25">
      <c r="D175" s="47" t="s">
        <v>5119</v>
      </c>
    </row>
    <row r="176" spans="1:5" x14ac:dyDescent="0.25">
      <c r="C176" t="s">
        <v>5120</v>
      </c>
    </row>
    <row r="177" spans="1:4" x14ac:dyDescent="0.25">
      <c r="D177" t="s">
        <v>5123</v>
      </c>
    </row>
    <row r="178" spans="1:4" x14ac:dyDescent="0.25">
      <c r="D178" t="s">
        <v>5124</v>
      </c>
    </row>
    <row r="179" spans="1:4" x14ac:dyDescent="0.25">
      <c r="C179" t="s">
        <v>5121</v>
      </c>
    </row>
    <row r="180" spans="1:4" x14ac:dyDescent="0.25">
      <c r="D180" t="s">
        <v>5125</v>
      </c>
    </row>
    <row r="181" spans="1:4" x14ac:dyDescent="0.25">
      <c r="D181" t="s">
        <v>5126</v>
      </c>
    </row>
    <row r="182" spans="1:4" x14ac:dyDescent="0.25">
      <c r="C182" t="s">
        <v>5130</v>
      </c>
    </row>
    <row r="183" spans="1:4" x14ac:dyDescent="0.25">
      <c r="D183" t="s">
        <v>5117</v>
      </c>
    </row>
    <row r="184" spans="1:4" x14ac:dyDescent="0.25">
      <c r="D184" t="s">
        <v>5118</v>
      </c>
    </row>
    <row r="185" spans="1:4" x14ac:dyDescent="0.25">
      <c r="A185" t="s">
        <v>5113</v>
      </c>
    </row>
    <row r="186" spans="1:4" x14ac:dyDescent="0.25">
      <c r="B186" t="s">
        <v>5115</v>
      </c>
    </row>
    <row r="187" spans="1:4" x14ac:dyDescent="0.25">
      <c r="C187" t="s">
        <v>5116</v>
      </c>
    </row>
    <row r="188" spans="1:4" x14ac:dyDescent="0.25">
      <c r="D188" t="s">
        <v>5117</v>
      </c>
    </row>
    <row r="189" spans="1:4" x14ac:dyDescent="0.25">
      <c r="D189" t="s">
        <v>5118</v>
      </c>
    </row>
    <row r="190" spans="1:4" x14ac:dyDescent="0.25">
      <c r="D190" t="s">
        <v>5119</v>
      </c>
    </row>
    <row r="191" spans="1:4" x14ac:dyDescent="0.25">
      <c r="D191" t="s">
        <v>5123</v>
      </c>
    </row>
    <row r="192" spans="1:4" x14ac:dyDescent="0.25">
      <c r="D192" t="s">
        <v>5124</v>
      </c>
    </row>
    <row r="193" spans="2:4" x14ac:dyDescent="0.25">
      <c r="D193" t="s">
        <v>5125</v>
      </c>
    </row>
    <row r="194" spans="2:4" x14ac:dyDescent="0.25">
      <c r="D194" t="s">
        <v>5126</v>
      </c>
    </row>
    <row r="195" spans="2:4" x14ac:dyDescent="0.25">
      <c r="D195" t="s">
        <v>5127</v>
      </c>
    </row>
    <row r="196" spans="2:4" x14ac:dyDescent="0.25">
      <c r="C196" t="s">
        <v>5120</v>
      </c>
    </row>
    <row r="197" spans="2:4" x14ac:dyDescent="0.25">
      <c r="D197" t="s">
        <v>5117</v>
      </c>
    </row>
    <row r="198" spans="2:4" x14ac:dyDescent="0.25">
      <c r="D198" t="s">
        <v>5118</v>
      </c>
    </row>
    <row r="199" spans="2:4" x14ac:dyDescent="0.25">
      <c r="D199" t="s">
        <v>5119</v>
      </c>
    </row>
    <row r="200" spans="2:4" x14ac:dyDescent="0.25">
      <c r="C200" t="s">
        <v>5121</v>
      </c>
    </row>
    <row r="201" spans="2:4" x14ac:dyDescent="0.25">
      <c r="D201" t="s">
        <v>5117</v>
      </c>
    </row>
    <row r="202" spans="2:4" x14ac:dyDescent="0.25">
      <c r="D202" t="s">
        <v>5118</v>
      </c>
    </row>
    <row r="203" spans="2:4" x14ac:dyDescent="0.25">
      <c r="D203" t="s">
        <v>5119</v>
      </c>
    </row>
    <row r="204" spans="2:4" x14ac:dyDescent="0.25">
      <c r="B204" t="s">
        <v>5122</v>
      </c>
    </row>
    <row r="205" spans="2:4" x14ac:dyDescent="0.25">
      <c r="C205" t="s">
        <v>5116</v>
      </c>
    </row>
    <row r="206" spans="2:4" x14ac:dyDescent="0.25">
      <c r="D206" t="s">
        <v>5117</v>
      </c>
    </row>
    <row r="207" spans="2:4" x14ac:dyDescent="0.25">
      <c r="D207" t="s">
        <v>5118</v>
      </c>
    </row>
    <row r="208" spans="2:4" x14ac:dyDescent="0.25">
      <c r="D208" t="s">
        <v>5119</v>
      </c>
    </row>
    <row r="209" spans="1:5" x14ac:dyDescent="0.25">
      <c r="C209" t="s">
        <v>5120</v>
      </c>
    </row>
    <row r="210" spans="1:5" x14ac:dyDescent="0.25">
      <c r="D210" t="s">
        <v>5123</v>
      </c>
    </row>
    <row r="211" spans="1:5" x14ac:dyDescent="0.25">
      <c r="D211" t="s">
        <v>5124</v>
      </c>
    </row>
    <row r="212" spans="1:5" x14ac:dyDescent="0.25">
      <c r="D212" t="s">
        <v>5125</v>
      </c>
    </row>
    <row r="213" spans="1:5" x14ac:dyDescent="0.25">
      <c r="D213" t="s">
        <v>5126</v>
      </c>
    </row>
    <row r="214" spans="1:5" x14ac:dyDescent="0.25">
      <c r="D214" t="s">
        <v>5127</v>
      </c>
    </row>
    <row r="215" spans="1:5" x14ac:dyDescent="0.25">
      <c r="D215" t="s">
        <v>5128</v>
      </c>
    </row>
    <row r="216" spans="1:5" x14ac:dyDescent="0.25">
      <c r="D216" t="s">
        <v>5129</v>
      </c>
    </row>
    <row r="217" spans="1:5" x14ac:dyDescent="0.25">
      <c r="A217" t="s">
        <v>5114</v>
      </c>
    </row>
    <row r="218" spans="1:5" x14ac:dyDescent="0.25">
      <c r="B218" t="s">
        <v>5115</v>
      </c>
    </row>
    <row r="219" spans="1:5" x14ac:dyDescent="0.25">
      <c r="C219" t="s">
        <v>5116</v>
      </c>
    </row>
    <row r="220" spans="1:5" x14ac:dyDescent="0.25">
      <c r="D220" t="s">
        <v>5117</v>
      </c>
    </row>
    <row r="221" spans="1:5" x14ac:dyDescent="0.25">
      <c r="E221" t="s">
        <v>5144</v>
      </c>
    </row>
    <row r="222" spans="1:5" x14ac:dyDescent="0.25">
      <c r="D222" t="s">
        <v>5118</v>
      </c>
    </row>
    <row r="223" spans="1:5" x14ac:dyDescent="0.25">
      <c r="E223" t="s">
        <v>5144</v>
      </c>
    </row>
    <row r="224" spans="1:5" x14ac:dyDescent="0.25">
      <c r="D224" t="s">
        <v>5119</v>
      </c>
    </row>
    <row r="225" spans="3:5" x14ac:dyDescent="0.25">
      <c r="E225" t="s">
        <v>741</v>
      </c>
    </row>
    <row r="226" spans="3:5" x14ac:dyDescent="0.25">
      <c r="E226" t="s">
        <v>742</v>
      </c>
    </row>
    <row r="227" spans="3:5" x14ac:dyDescent="0.25">
      <c r="E227" t="s">
        <v>5141</v>
      </c>
    </row>
    <row r="228" spans="3:5" x14ac:dyDescent="0.25">
      <c r="E228" t="s">
        <v>5142</v>
      </c>
    </row>
    <row r="229" spans="3:5" x14ac:dyDescent="0.25">
      <c r="E229" t="s">
        <v>5143</v>
      </c>
    </row>
    <row r="230" spans="3:5" x14ac:dyDescent="0.25">
      <c r="C230" t="s">
        <v>5120</v>
      </c>
    </row>
    <row r="231" spans="3:5" x14ac:dyDescent="0.25">
      <c r="D231" t="s">
        <v>5117</v>
      </c>
    </row>
    <row r="232" spans="3:5" x14ac:dyDescent="0.25">
      <c r="E232" t="s">
        <v>5144</v>
      </c>
    </row>
    <row r="233" spans="3:5" x14ac:dyDescent="0.25">
      <c r="D233" t="s">
        <v>5118</v>
      </c>
    </row>
    <row r="234" spans="3:5" x14ac:dyDescent="0.25">
      <c r="E234" t="s">
        <v>5144</v>
      </c>
    </row>
    <row r="235" spans="3:5" x14ac:dyDescent="0.25">
      <c r="D235" t="s">
        <v>5119</v>
      </c>
    </row>
    <row r="236" spans="3:5" x14ac:dyDescent="0.25">
      <c r="E236" t="s">
        <v>5144</v>
      </c>
    </row>
    <row r="237" spans="3:5" x14ac:dyDescent="0.25">
      <c r="C237" t="s">
        <v>5121</v>
      </c>
    </row>
    <row r="238" spans="3:5" x14ac:dyDescent="0.25">
      <c r="D238" t="s">
        <v>5117</v>
      </c>
    </row>
    <row r="239" spans="3:5" x14ac:dyDescent="0.25">
      <c r="E239" t="s">
        <v>741</v>
      </c>
    </row>
    <row r="240" spans="3:5" x14ac:dyDescent="0.25">
      <c r="E240" t="s">
        <v>742</v>
      </c>
    </row>
    <row r="241" spans="2:5" x14ac:dyDescent="0.25">
      <c r="E241" t="s">
        <v>5141</v>
      </c>
    </row>
    <row r="242" spans="2:5" x14ac:dyDescent="0.25">
      <c r="D242" t="s">
        <v>5118</v>
      </c>
    </row>
    <row r="243" spans="2:5" x14ac:dyDescent="0.25">
      <c r="E243" t="s">
        <v>741</v>
      </c>
    </row>
    <row r="244" spans="2:5" x14ac:dyDescent="0.25">
      <c r="E244" t="s">
        <v>742</v>
      </c>
    </row>
    <row r="245" spans="2:5" x14ac:dyDescent="0.25">
      <c r="E245" t="s">
        <v>5141</v>
      </c>
    </row>
    <row r="246" spans="2:5" x14ac:dyDescent="0.25">
      <c r="E246" t="s">
        <v>5142</v>
      </c>
    </row>
    <row r="247" spans="2:5" x14ac:dyDescent="0.25">
      <c r="E247" t="s">
        <v>5143</v>
      </c>
    </row>
    <row r="248" spans="2:5" x14ac:dyDescent="0.25">
      <c r="B248" t="s">
        <v>5122</v>
      </c>
    </row>
    <row r="249" spans="2:5" x14ac:dyDescent="0.25">
      <c r="C249" t="s">
        <v>5117</v>
      </c>
    </row>
    <row r="250" spans="2:5" x14ac:dyDescent="0.25">
      <c r="D250" t="s">
        <v>741</v>
      </c>
    </row>
    <row r="251" spans="2:5" x14ac:dyDescent="0.25">
      <c r="D251" t="s">
        <v>742</v>
      </c>
    </row>
    <row r="252" spans="2:5" x14ac:dyDescent="0.25">
      <c r="D252" t="s">
        <v>5141</v>
      </c>
    </row>
    <row r="253" spans="2:5" x14ac:dyDescent="0.25">
      <c r="C253" t="s">
        <v>5118</v>
      </c>
    </row>
    <row r="254" spans="2:5" x14ac:dyDescent="0.25">
      <c r="D254" t="s">
        <v>741</v>
      </c>
    </row>
    <row r="255" spans="2:5" x14ac:dyDescent="0.25">
      <c r="D255" t="s">
        <v>742</v>
      </c>
    </row>
    <row r="256" spans="2:5" x14ac:dyDescent="0.25">
      <c r="D256" t="s">
        <v>5141</v>
      </c>
    </row>
    <row r="257" spans="3:4" x14ac:dyDescent="0.25">
      <c r="D257" t="s">
        <v>5142</v>
      </c>
    </row>
    <row r="258" spans="3:4" x14ac:dyDescent="0.25">
      <c r="C258" t="s">
        <v>5119</v>
      </c>
    </row>
    <row r="259" spans="3:4" x14ac:dyDescent="0.25">
      <c r="D259" t="s">
        <v>741</v>
      </c>
    </row>
    <row r="260" spans="3:4" x14ac:dyDescent="0.25">
      <c r="D260" t="s">
        <v>742</v>
      </c>
    </row>
    <row r="261" spans="3:4" x14ac:dyDescent="0.25">
      <c r="D261" t="s">
        <v>5141</v>
      </c>
    </row>
    <row r="262" spans="3:4" x14ac:dyDescent="0.25">
      <c r="D262" t="s">
        <v>5142</v>
      </c>
    </row>
    <row r="263" spans="3:4" x14ac:dyDescent="0.25">
      <c r="D263" t="s">
        <v>5143</v>
      </c>
    </row>
    <row r="264" spans="3:4" x14ac:dyDescent="0.25">
      <c r="D264" t="s">
        <v>714</v>
      </c>
    </row>
    <row r="265" spans="3:4" x14ac:dyDescent="0.25">
      <c r="D265" t="s">
        <v>720</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topLeftCell="AA1" zoomScale="140" zoomScaleNormal="140" workbookViewId="0">
      <selection activeCell="AD8" sqref="AD8:AE8"/>
    </sheetView>
  </sheetViews>
  <sheetFormatPr defaultColWidth="10.140625" defaultRowHeight="12.75" x14ac:dyDescent="0.2"/>
  <cols>
    <col min="1" max="1" width="9" style="63" bestFit="1" customWidth="1"/>
    <col min="2" max="2" width="9.85546875" style="63" bestFit="1" customWidth="1"/>
    <col min="3" max="3" width="4.28515625" style="12" bestFit="1" customWidth="1"/>
    <col min="4" max="4" width="13.85546875" style="12" bestFit="1" customWidth="1"/>
    <col min="5" max="5" width="14.28515625" style="12" bestFit="1" customWidth="1"/>
    <col min="6" max="6" width="15.85546875" style="12" customWidth="1"/>
    <col min="7" max="8" width="0.5703125" style="12" customWidth="1"/>
    <col min="9" max="9" width="20.7109375" style="12" bestFit="1" customWidth="1"/>
    <col min="10" max="10" width="22.140625" style="12" bestFit="1" customWidth="1"/>
    <col min="11" max="12" width="7" style="60" bestFit="1" customWidth="1"/>
    <col min="13" max="13" width="7" style="12" bestFit="1" customWidth="1"/>
    <col min="14" max="14" width="11" style="12" bestFit="1" customWidth="1"/>
    <col min="15" max="15" width="34.5703125" style="12" bestFit="1" customWidth="1"/>
    <col min="16" max="18" width="8.140625" style="12" bestFit="1" customWidth="1"/>
    <col min="19" max="19" width="11" style="12" bestFit="1" customWidth="1"/>
    <col min="20" max="23" width="13.42578125" style="12" bestFit="1" customWidth="1"/>
    <col min="24" max="24" width="10.42578125" style="12" bestFit="1" customWidth="1"/>
    <col min="25" max="26" width="9.85546875" style="12" bestFit="1" customWidth="1"/>
    <col min="27" max="27" width="11" style="12" bestFit="1" customWidth="1"/>
    <col min="28" max="28" width="10.140625" style="12" bestFit="1" customWidth="1"/>
    <col min="29" max="29" width="6.42578125" style="12" bestFit="1" customWidth="1"/>
    <col min="30" max="30" width="36.28515625" style="12" bestFit="1" customWidth="1"/>
    <col min="31" max="31" width="18.5703125" style="12" bestFit="1" customWidth="1"/>
    <col min="32" max="34" width="18.5703125" style="12" customWidth="1"/>
    <col min="35" max="35" width="25.28515625" style="12" bestFit="1" customWidth="1"/>
    <col min="36" max="36" width="17" style="12" bestFit="1" customWidth="1"/>
    <col min="37" max="37" width="23.42578125" style="12" bestFit="1" customWidth="1"/>
    <col min="38" max="38" width="47.7109375" style="12" bestFit="1" customWidth="1"/>
    <col min="39" max="39" width="37.85546875" style="12" bestFit="1" customWidth="1"/>
    <col min="40" max="16384" width="10.140625" style="12"/>
  </cols>
  <sheetData>
    <row r="1" spans="1:38" s="11" customFormat="1" ht="36" customHeight="1" x14ac:dyDescent="0.2">
      <c r="A1" s="15" t="s">
        <v>5557</v>
      </c>
      <c r="B1" s="15" t="s">
        <v>5571</v>
      </c>
      <c r="C1" s="15" t="s">
        <v>697</v>
      </c>
      <c r="D1" s="15" t="s">
        <v>33</v>
      </c>
      <c r="E1" s="15" t="s">
        <v>5576</v>
      </c>
      <c r="F1" s="15" t="s">
        <v>706</v>
      </c>
      <c r="G1" s="15" t="s">
        <v>734</v>
      </c>
      <c r="H1" s="15" t="s">
        <v>735</v>
      </c>
      <c r="I1" s="15" t="s">
        <v>32</v>
      </c>
      <c r="J1" s="15" t="s">
        <v>698</v>
      </c>
      <c r="K1" s="59" t="s">
        <v>5549</v>
      </c>
      <c r="L1" s="59" t="s">
        <v>5550</v>
      </c>
      <c r="M1" s="15" t="s">
        <v>5551</v>
      </c>
      <c r="N1" s="15" t="s">
        <v>732</v>
      </c>
      <c r="O1" s="15" t="s">
        <v>733</v>
      </c>
      <c r="P1" s="15" t="s">
        <v>5553</v>
      </c>
      <c r="Q1" s="15" t="s">
        <v>5552</v>
      </c>
      <c r="R1" s="15" t="s">
        <v>5554</v>
      </c>
      <c r="S1" s="15" t="s">
        <v>5567</v>
      </c>
      <c r="T1" s="15" t="s">
        <v>5563</v>
      </c>
      <c r="U1" s="15" t="s">
        <v>5564</v>
      </c>
      <c r="V1" s="15" t="s">
        <v>5565</v>
      </c>
      <c r="W1" s="15" t="s">
        <v>5566</v>
      </c>
      <c r="X1" s="15" t="s">
        <v>5558</v>
      </c>
      <c r="Y1" s="15" t="s">
        <v>5559</v>
      </c>
      <c r="Z1" s="15" t="s">
        <v>5560</v>
      </c>
      <c r="AA1" s="15" t="s">
        <v>5568</v>
      </c>
      <c r="AB1" s="15" t="s">
        <v>5561</v>
      </c>
      <c r="AC1" s="13" t="s">
        <v>5569</v>
      </c>
      <c r="AD1" s="13" t="s">
        <v>5555</v>
      </c>
      <c r="AE1" s="13" t="s">
        <v>5587</v>
      </c>
      <c r="AF1" s="13" t="s">
        <v>5595</v>
      </c>
      <c r="AG1" s="13" t="s">
        <v>5596</v>
      </c>
      <c r="AH1" s="13" t="s">
        <v>5597</v>
      </c>
      <c r="AI1" s="13" t="s">
        <v>5556</v>
      </c>
      <c r="AJ1" s="13" t="s">
        <v>883</v>
      </c>
      <c r="AK1" s="13" t="s">
        <v>884</v>
      </c>
    </row>
    <row r="2" spans="1:38" x14ac:dyDescent="0.2">
      <c r="A2" s="63" t="s">
        <v>5570</v>
      </c>
      <c r="B2" s="63" t="s">
        <v>5572</v>
      </c>
      <c r="C2" s="14">
        <v>247</v>
      </c>
      <c r="D2" s="14" t="s">
        <v>699</v>
      </c>
      <c r="E2" s="14" t="s">
        <v>5577</v>
      </c>
      <c r="F2" s="14" t="s">
        <v>704</v>
      </c>
      <c r="G2" s="14">
        <v>1740</v>
      </c>
      <c r="H2" s="14">
        <v>1758</v>
      </c>
      <c r="I2" s="14" t="s">
        <v>703</v>
      </c>
      <c r="J2" s="14" t="s">
        <v>701</v>
      </c>
      <c r="K2" s="61">
        <v>31</v>
      </c>
      <c r="L2" s="61">
        <v>3</v>
      </c>
      <c r="M2" s="14">
        <v>1675</v>
      </c>
      <c r="N2" s="14" t="str">
        <f>_xlfn.CONCAT(IF(LEN(K2)=1,_xlfn.CONCAT("0",K2),K2),"/",IF(LEN(L2)=1,_xlfn.CONCAT("0",L2),L2),"/",M2)</f>
        <v>31/03/1675</v>
      </c>
      <c r="O2" s="14" t="s">
        <v>702</v>
      </c>
      <c r="P2" s="61">
        <v>17</v>
      </c>
      <c r="Q2" s="61">
        <v>8</v>
      </c>
      <c r="R2" s="14">
        <v>1740</v>
      </c>
      <c r="S2" s="14" t="str">
        <f>_xlfn.CONCAT(IF(LEN(P2)=1,_xlfn.CONCAT("0",P2),P2),"/",IF(LEN(Q2)=1,_xlfn.CONCAT("0",Q2),Q2),"/",R2)</f>
        <v>17/08/1740</v>
      </c>
      <c r="T2" s="61">
        <v>25</v>
      </c>
      <c r="U2" s="61">
        <v>8</v>
      </c>
      <c r="V2" s="14">
        <v>1740</v>
      </c>
      <c r="W2" s="14" t="str">
        <f>_xlfn.CONCAT(IF(LEN(T2)=1,_xlfn.CONCAT("0",T2),T2),"/",IF(LEN(U2)=1,_xlfn.CONCAT("0",U2),U2),"/",V2)</f>
        <v>25/08/1740</v>
      </c>
      <c r="X2" s="61">
        <v>3</v>
      </c>
      <c r="Y2" s="61">
        <v>5</v>
      </c>
      <c r="Z2" s="14">
        <v>1758</v>
      </c>
      <c r="AA2" s="14" t="str">
        <f t="shared" ref="AA2:AA21" si="0">_xlfn.CONCAT(IF(LEN(X2)=1,_xlfn.CONCAT("0",X2),X2),"/",IF(LEN(Y2)=1,_xlfn.CONCAT("0",Y2),Y2),"/",Z2)</f>
        <v>03/05/1758</v>
      </c>
      <c r="AB2" s="14" t="s">
        <v>5562</v>
      </c>
      <c r="AC2" s="14" t="s">
        <v>705</v>
      </c>
      <c r="AD2" s="14" t="s">
        <v>5592</v>
      </c>
      <c r="AE2" s="14" t="s">
        <v>5575</v>
      </c>
      <c r="AF2" s="14"/>
      <c r="AG2" s="14"/>
      <c r="AH2" s="14"/>
      <c r="AI2" s="14" t="s">
        <v>896</v>
      </c>
      <c r="AJ2" s="12">
        <v>0</v>
      </c>
      <c r="AK2" s="12" t="str">
        <f t="shared" ref="AK2:AK22" si="1">_xlfn.CONCAT("[" &amp; "'" &amp; D2 &amp; " " &amp; F2 &amp; "'" &amp; ", " &amp; "'" &amp; C2 &amp; "'" &amp; "],")</f>
        <v>['Benedetto XIV', '247'],</v>
      </c>
      <c r="AL2" s="12" t="str">
        <f>_xlfn.CONCAT("{""","value"":","""",SUBSTITUTE(_xlfn.CONCAT(D2,F2)," ",""),""",","""","label"":","""",_xlfn.CONCAT(D2," ",F2),"""},")</f>
        <v>{"value":"BenedettoXIV","label":"Benedetto XIV"},</v>
      </c>
    </row>
    <row r="3" spans="1:38" x14ac:dyDescent="0.2">
      <c r="A3" s="63" t="s">
        <v>5570</v>
      </c>
      <c r="B3" s="63" t="s">
        <v>5572</v>
      </c>
      <c r="C3" s="14">
        <v>248</v>
      </c>
      <c r="D3" s="14" t="s">
        <v>708</v>
      </c>
      <c r="E3" s="14" t="s">
        <v>5578</v>
      </c>
      <c r="F3" s="14" t="s">
        <v>707</v>
      </c>
      <c r="G3" s="14">
        <v>1758</v>
      </c>
      <c r="H3" s="14">
        <v>1769</v>
      </c>
      <c r="I3" s="14" t="s">
        <v>710</v>
      </c>
      <c r="J3" s="14" t="s">
        <v>5586</v>
      </c>
      <c r="K3" s="61">
        <v>7</v>
      </c>
      <c r="L3" s="61">
        <v>3</v>
      </c>
      <c r="M3" s="14">
        <v>1693</v>
      </c>
      <c r="N3" s="14" t="str">
        <f>_xlfn.CONCAT(IF(LEN(K3)=1,_xlfn.CONCAT("0",K3),K3),"/",IF(LEN(L3)=1,_xlfn.CONCAT("0",L3),L3),"/",M3)</f>
        <v>07/03/1693</v>
      </c>
      <c r="O3" s="14" t="s">
        <v>709</v>
      </c>
      <c r="P3" s="61">
        <v>6</v>
      </c>
      <c r="Q3" s="61">
        <v>7</v>
      </c>
      <c r="R3" s="14">
        <v>1758</v>
      </c>
      <c r="S3" s="14" t="str">
        <f t="shared" ref="S3:S22" si="2">_xlfn.CONCAT(IF(LEN(P3)=1,_xlfn.CONCAT("0",P3),P3),"/",IF(LEN(Q3)=1,_xlfn.CONCAT("0",Q3),Q3),"/",R3)</f>
        <v>06/07/1758</v>
      </c>
      <c r="T3" s="61">
        <v>16</v>
      </c>
      <c r="U3" s="61">
        <v>7</v>
      </c>
      <c r="V3" s="14">
        <v>1758</v>
      </c>
      <c r="W3" s="14" t="str">
        <f t="shared" ref="W3:W22" si="3">_xlfn.CONCAT(IF(LEN(T3)=1,_xlfn.CONCAT("0",T3),T3),"/",IF(LEN(U3)=1,_xlfn.CONCAT("0",U3),U3),"/",V3)</f>
        <v>16/07/1758</v>
      </c>
      <c r="X3" s="61">
        <v>2</v>
      </c>
      <c r="Y3" s="61">
        <v>2</v>
      </c>
      <c r="Z3" s="14">
        <v>1769</v>
      </c>
      <c r="AA3" s="14" t="str">
        <f t="shared" si="0"/>
        <v>02/02/1769</v>
      </c>
      <c r="AB3" s="14" t="s">
        <v>5562</v>
      </c>
      <c r="AC3" s="14" t="s">
        <v>705</v>
      </c>
      <c r="AD3" s="14" t="s">
        <v>5592</v>
      </c>
      <c r="AE3" s="14" t="s">
        <v>5575</v>
      </c>
      <c r="AF3" s="14"/>
      <c r="AG3" s="14"/>
      <c r="AH3" s="14"/>
      <c r="AI3" s="14" t="s">
        <v>896</v>
      </c>
      <c r="AJ3" s="12">
        <v>1</v>
      </c>
      <c r="AK3" s="12" t="str">
        <f t="shared" si="1"/>
        <v>['Clemente XIII', '248'],</v>
      </c>
      <c r="AL3" s="12" t="str">
        <f t="shared" ref="AL3:AL20" si="4">_xlfn.CONCAT("{""","value"":","""",SUBSTITUTE(_xlfn.CONCAT(D3,F3)," ",""),""",","""","label"":","""",_xlfn.CONCAT(D3," ",F3),"""},")</f>
        <v>{"value":"ClementeXIII","label":"Clemente XIII"},</v>
      </c>
    </row>
    <row r="4" spans="1:38" x14ac:dyDescent="0.2">
      <c r="A4" s="63" t="s">
        <v>5570</v>
      </c>
      <c r="B4" s="63" t="s">
        <v>5572</v>
      </c>
      <c r="C4" s="14">
        <v>249</v>
      </c>
      <c r="D4" s="14" t="s">
        <v>708</v>
      </c>
      <c r="E4" s="14" t="s">
        <v>5578</v>
      </c>
      <c r="F4" s="14" t="s">
        <v>704</v>
      </c>
      <c r="G4" s="14">
        <v>1769</v>
      </c>
      <c r="H4" s="14">
        <v>1774</v>
      </c>
      <c r="I4" s="14" t="s">
        <v>712</v>
      </c>
      <c r="J4" s="14" t="s">
        <v>713</v>
      </c>
      <c r="K4" s="61">
        <v>31</v>
      </c>
      <c r="L4" s="61">
        <v>10</v>
      </c>
      <c r="M4" s="14">
        <v>1705</v>
      </c>
      <c r="N4" s="14" t="str">
        <f t="shared" ref="N4:N22" si="5">_xlfn.CONCAT(IF(LEN(K4)=1,_xlfn.CONCAT("0",K4),K4),"/",IF(LEN(L4)=1,_xlfn.CONCAT("0",L4),L4),"/",M4)</f>
        <v>31/10/1705</v>
      </c>
      <c r="O4" s="14" t="s">
        <v>711</v>
      </c>
      <c r="P4" s="61">
        <v>19</v>
      </c>
      <c r="Q4" s="61">
        <v>5</v>
      </c>
      <c r="R4" s="14">
        <v>1769</v>
      </c>
      <c r="S4" s="14" t="str">
        <f t="shared" si="2"/>
        <v>19/05/1769</v>
      </c>
      <c r="T4" s="61">
        <v>4</v>
      </c>
      <c r="U4" s="61">
        <v>6</v>
      </c>
      <c r="V4" s="14">
        <v>1769</v>
      </c>
      <c r="W4" s="14" t="str">
        <f t="shared" si="3"/>
        <v>04/06/1769</v>
      </c>
      <c r="X4" s="61">
        <v>22</v>
      </c>
      <c r="Y4" s="61">
        <v>9</v>
      </c>
      <c r="Z4" s="14">
        <v>1774</v>
      </c>
      <c r="AA4" s="14" t="str">
        <f t="shared" si="0"/>
        <v>22/09/1774</v>
      </c>
      <c r="AB4" s="14" t="s">
        <v>5562</v>
      </c>
      <c r="AC4" s="14" t="s">
        <v>705</v>
      </c>
      <c r="AD4" s="14" t="s">
        <v>5588</v>
      </c>
      <c r="AE4" s="14" t="s">
        <v>5589</v>
      </c>
      <c r="AF4" s="14"/>
      <c r="AG4" s="14"/>
      <c r="AH4" s="14"/>
      <c r="AI4" s="14" t="s">
        <v>896</v>
      </c>
      <c r="AJ4" s="12">
        <v>2</v>
      </c>
      <c r="AK4" s="12" t="str">
        <f t="shared" si="1"/>
        <v>['Clemente XIV', '249'],</v>
      </c>
      <c r="AL4" s="12" t="str">
        <f t="shared" si="4"/>
        <v>{"value":"ClementeXIV","label":"Clemente XIV"},</v>
      </c>
    </row>
    <row r="5" spans="1:38" x14ac:dyDescent="0.2">
      <c r="A5" s="63" t="s">
        <v>5570</v>
      </c>
      <c r="B5" s="63" t="s">
        <v>5572</v>
      </c>
      <c r="C5" s="14">
        <v>250</v>
      </c>
      <c r="D5" s="14" t="s">
        <v>715</v>
      </c>
      <c r="E5" s="14" t="s">
        <v>5579</v>
      </c>
      <c r="F5" s="14" t="s">
        <v>714</v>
      </c>
      <c r="G5" s="14">
        <v>1775</v>
      </c>
      <c r="H5" s="14">
        <v>1799</v>
      </c>
      <c r="I5" s="14" t="s">
        <v>718</v>
      </c>
      <c r="J5" s="14" t="s">
        <v>717</v>
      </c>
      <c r="K5" s="61">
        <v>27</v>
      </c>
      <c r="L5" s="61">
        <v>12</v>
      </c>
      <c r="M5" s="14">
        <v>1717</v>
      </c>
      <c r="N5" s="14" t="str">
        <f t="shared" si="5"/>
        <v>27/12/1717</v>
      </c>
      <c r="O5" s="14" t="s">
        <v>716</v>
      </c>
      <c r="P5" s="61">
        <v>15</v>
      </c>
      <c r="Q5" s="61">
        <v>2</v>
      </c>
      <c r="R5" s="14">
        <v>1775</v>
      </c>
      <c r="S5" s="14" t="str">
        <f t="shared" si="2"/>
        <v>15/02/1775</v>
      </c>
      <c r="T5" s="61">
        <v>22</v>
      </c>
      <c r="U5" s="61">
        <v>2</v>
      </c>
      <c r="V5" s="14">
        <v>1775</v>
      </c>
      <c r="W5" s="14" t="str">
        <f t="shared" si="3"/>
        <v>22/02/1775</v>
      </c>
      <c r="X5" s="61">
        <v>29</v>
      </c>
      <c r="Y5" s="61">
        <v>8</v>
      </c>
      <c r="Z5" s="14">
        <v>1799</v>
      </c>
      <c r="AA5" s="14" t="str">
        <f t="shared" si="0"/>
        <v>29/08/1799</v>
      </c>
      <c r="AB5" s="14" t="s">
        <v>5562</v>
      </c>
      <c r="AC5" s="14" t="s">
        <v>5593</v>
      </c>
      <c r="AD5" s="14" t="s">
        <v>5591</v>
      </c>
      <c r="AE5" s="14" t="s">
        <v>5590</v>
      </c>
      <c r="AF5" s="14"/>
      <c r="AG5" s="14"/>
      <c r="AH5" s="14"/>
      <c r="AI5" s="14" t="s">
        <v>896</v>
      </c>
      <c r="AJ5" s="12">
        <v>3</v>
      </c>
      <c r="AK5" s="12" t="str">
        <f t="shared" si="1"/>
        <v>['Pio VI', '250'],</v>
      </c>
      <c r="AL5" s="12" t="str">
        <f t="shared" si="4"/>
        <v>{"value":"PioVI","label":"Pio VI"},</v>
      </c>
    </row>
    <row r="6" spans="1:38" x14ac:dyDescent="0.2">
      <c r="A6" s="63" t="s">
        <v>5570</v>
      </c>
      <c r="B6" s="63" t="s">
        <v>5572</v>
      </c>
      <c r="C6" s="14">
        <v>251</v>
      </c>
      <c r="D6" s="14" t="s">
        <v>715</v>
      </c>
      <c r="E6" s="14" t="s">
        <v>5579</v>
      </c>
      <c r="F6" s="14" t="s">
        <v>720</v>
      </c>
      <c r="G6" s="14">
        <v>1800</v>
      </c>
      <c r="H6" s="14">
        <v>1823</v>
      </c>
      <c r="I6" s="14" t="s">
        <v>5594</v>
      </c>
      <c r="J6" s="14" t="s">
        <v>719</v>
      </c>
      <c r="K6" s="61">
        <v>14</v>
      </c>
      <c r="L6" s="61">
        <v>8</v>
      </c>
      <c r="M6" s="14">
        <v>1742</v>
      </c>
      <c r="N6" s="14" t="str">
        <f t="shared" si="5"/>
        <v>14/08/1742</v>
      </c>
      <c r="O6" s="14" t="s">
        <v>716</v>
      </c>
      <c r="P6" s="61">
        <v>14</v>
      </c>
      <c r="Q6" s="61">
        <v>3</v>
      </c>
      <c r="R6" s="14">
        <v>1800</v>
      </c>
      <c r="S6" s="14" t="str">
        <f t="shared" si="2"/>
        <v>14/03/1800</v>
      </c>
      <c r="T6" s="61">
        <v>21</v>
      </c>
      <c r="U6" s="61">
        <v>3</v>
      </c>
      <c r="V6" s="14">
        <v>1800</v>
      </c>
      <c r="W6" s="14" t="str">
        <f t="shared" si="3"/>
        <v>21/03/1800</v>
      </c>
      <c r="X6" s="61">
        <v>20</v>
      </c>
      <c r="Y6" s="61">
        <v>8</v>
      </c>
      <c r="Z6" s="14">
        <v>1823</v>
      </c>
      <c r="AA6" s="14" t="str">
        <f t="shared" si="0"/>
        <v>20/08/1823</v>
      </c>
      <c r="AB6" s="14" t="s">
        <v>5562</v>
      </c>
      <c r="AC6" s="14" t="s">
        <v>705</v>
      </c>
      <c r="AD6" s="14" t="s">
        <v>5592</v>
      </c>
      <c r="AE6" s="14" t="s">
        <v>5575</v>
      </c>
      <c r="AF6" s="14"/>
      <c r="AG6" s="14"/>
      <c r="AH6" s="14"/>
      <c r="AI6" s="14" t="s">
        <v>896</v>
      </c>
      <c r="AJ6" s="12">
        <v>4</v>
      </c>
      <c r="AK6" s="12" t="str">
        <f t="shared" si="1"/>
        <v>['Pio VII', '251'],</v>
      </c>
      <c r="AL6" s="12" t="str">
        <f t="shared" si="4"/>
        <v>{"value":"PioVII","label":"Pio VII"},</v>
      </c>
    </row>
    <row r="7" spans="1:38" x14ac:dyDescent="0.2">
      <c r="A7" s="63" t="s">
        <v>5570</v>
      </c>
      <c r="B7" s="63" t="s">
        <v>5572</v>
      </c>
      <c r="C7" s="14">
        <v>252</v>
      </c>
      <c r="D7" s="14" t="s">
        <v>723</v>
      </c>
      <c r="E7" s="14" t="s">
        <v>5580</v>
      </c>
      <c r="F7" s="14" t="s">
        <v>724</v>
      </c>
      <c r="G7" s="14">
        <v>1823</v>
      </c>
      <c r="H7" s="14">
        <v>1829</v>
      </c>
      <c r="I7" s="14" t="s">
        <v>5598</v>
      </c>
      <c r="J7" s="14" t="s">
        <v>722</v>
      </c>
      <c r="K7" s="61">
        <v>2</v>
      </c>
      <c r="L7" s="61">
        <v>8</v>
      </c>
      <c r="M7" s="14">
        <v>1760</v>
      </c>
      <c r="N7" s="14" t="str">
        <f t="shared" si="5"/>
        <v>02/08/1760</v>
      </c>
      <c r="O7" s="14" t="s">
        <v>721</v>
      </c>
      <c r="P7" s="61">
        <v>27</v>
      </c>
      <c r="Q7" s="61">
        <v>9</v>
      </c>
      <c r="R7" s="14">
        <v>1823</v>
      </c>
      <c r="S7" s="14" t="str">
        <f t="shared" si="2"/>
        <v>27/09/1823</v>
      </c>
      <c r="T7" s="61">
        <v>5</v>
      </c>
      <c r="U7" s="61">
        <v>10</v>
      </c>
      <c r="V7" s="14">
        <v>1823</v>
      </c>
      <c r="W7" s="14" t="str">
        <f t="shared" si="3"/>
        <v>05/10/1823</v>
      </c>
      <c r="X7" s="61">
        <v>10</v>
      </c>
      <c r="Y7" s="61">
        <v>2</v>
      </c>
      <c r="Z7" s="14">
        <v>1829</v>
      </c>
      <c r="AA7" s="14" t="str">
        <f t="shared" si="0"/>
        <v>10/02/1829</v>
      </c>
      <c r="AB7" s="14" t="s">
        <v>5562</v>
      </c>
      <c r="AC7" s="14" t="s">
        <v>705</v>
      </c>
      <c r="AD7" s="14" t="s">
        <v>5592</v>
      </c>
      <c r="AE7" s="14" t="s">
        <v>5575</v>
      </c>
      <c r="AF7" s="14"/>
      <c r="AG7" s="14"/>
      <c r="AH7" s="14"/>
      <c r="AI7" s="14" t="s">
        <v>896</v>
      </c>
      <c r="AJ7" s="12">
        <v>5</v>
      </c>
      <c r="AK7" s="12" t="str">
        <f t="shared" si="1"/>
        <v>['Leone XII', '252'],</v>
      </c>
      <c r="AL7" s="12" t="str">
        <f t="shared" si="4"/>
        <v>{"value":"LeoneXII","label":"Leone XII"},</v>
      </c>
    </row>
    <row r="8" spans="1:38" x14ac:dyDescent="0.2">
      <c r="A8" s="63" t="s">
        <v>5574</v>
      </c>
      <c r="B8" s="63" t="s">
        <v>5573</v>
      </c>
      <c r="C8" s="14">
        <v>253</v>
      </c>
      <c r="D8" s="14" t="s">
        <v>715</v>
      </c>
      <c r="E8" s="14" t="s">
        <v>5579</v>
      </c>
      <c r="F8" s="14" t="s">
        <v>726</v>
      </c>
      <c r="G8" s="14">
        <v>1829</v>
      </c>
      <c r="H8" s="14">
        <v>1830</v>
      </c>
      <c r="I8" s="14" t="s">
        <v>5599</v>
      </c>
      <c r="J8" s="14" t="s">
        <v>731</v>
      </c>
      <c r="K8" s="61">
        <v>20</v>
      </c>
      <c r="L8" s="61">
        <v>11</v>
      </c>
      <c r="M8" s="14">
        <v>1761</v>
      </c>
      <c r="N8" s="14" t="str">
        <f t="shared" si="5"/>
        <v>20/11/1761</v>
      </c>
      <c r="O8" s="14" t="s">
        <v>728</v>
      </c>
      <c r="P8" s="61">
        <v>31</v>
      </c>
      <c r="Q8" s="61">
        <v>3</v>
      </c>
      <c r="R8" s="14">
        <v>1829</v>
      </c>
      <c r="S8" s="14" t="str">
        <f t="shared" si="2"/>
        <v>31/03/1829</v>
      </c>
      <c r="T8" s="61">
        <v>5</v>
      </c>
      <c r="U8" s="61">
        <v>4</v>
      </c>
      <c r="V8" s="14">
        <v>1829</v>
      </c>
      <c r="W8" s="14" t="str">
        <f t="shared" si="3"/>
        <v>05/04/1829</v>
      </c>
      <c r="X8" s="61">
        <v>30</v>
      </c>
      <c r="Y8" s="61">
        <v>11</v>
      </c>
      <c r="Z8" s="14">
        <v>1830</v>
      </c>
      <c r="AA8" s="14" t="str">
        <f t="shared" si="0"/>
        <v>30/11/1830</v>
      </c>
      <c r="AB8" s="14" t="s">
        <v>5562</v>
      </c>
      <c r="AC8" s="14" t="s">
        <v>705</v>
      </c>
      <c r="AD8" s="14" t="s">
        <v>5592</v>
      </c>
      <c r="AE8" s="14" t="s">
        <v>5575</v>
      </c>
      <c r="AF8" s="14"/>
      <c r="AG8" s="14"/>
      <c r="AH8" s="14"/>
      <c r="AI8" s="14" t="s">
        <v>896</v>
      </c>
      <c r="AJ8" s="12">
        <v>6</v>
      </c>
      <c r="AK8" s="12" t="str">
        <f t="shared" si="1"/>
        <v>['Pio VIII', '253'],</v>
      </c>
      <c r="AL8" s="12" t="str">
        <f t="shared" si="4"/>
        <v>{"value":"PioVIII","label":"Pio VIII"},</v>
      </c>
    </row>
    <row r="9" spans="1:38" x14ac:dyDescent="0.2">
      <c r="A9" s="63" t="s">
        <v>5574</v>
      </c>
      <c r="B9" s="63" t="s">
        <v>5573</v>
      </c>
      <c r="C9" s="14">
        <v>254</v>
      </c>
      <c r="D9" s="14" t="s">
        <v>725</v>
      </c>
      <c r="E9" s="14" t="s">
        <v>5581</v>
      </c>
      <c r="F9" s="14" t="s">
        <v>700</v>
      </c>
      <c r="G9" s="14">
        <v>1831</v>
      </c>
      <c r="H9" s="14">
        <v>1846</v>
      </c>
      <c r="I9" s="14" t="s">
        <v>729</v>
      </c>
      <c r="J9" s="14" t="s">
        <v>730</v>
      </c>
      <c r="K9" s="61"/>
      <c r="L9" s="61"/>
      <c r="M9" s="14"/>
      <c r="N9" s="14" t="str">
        <f t="shared" si="5"/>
        <v>//</v>
      </c>
      <c r="O9" s="14" t="s">
        <v>727</v>
      </c>
      <c r="P9" s="61"/>
      <c r="Q9" s="61"/>
      <c r="R9" s="14"/>
      <c r="S9" s="14" t="str">
        <f t="shared" si="2"/>
        <v>//</v>
      </c>
      <c r="T9" s="61"/>
      <c r="U9" s="61"/>
      <c r="V9" s="14"/>
      <c r="W9" s="14" t="str">
        <f t="shared" si="3"/>
        <v>//</v>
      </c>
      <c r="X9" s="61">
        <v>1</v>
      </c>
      <c r="Y9" s="61">
        <v>6</v>
      </c>
      <c r="Z9" s="14">
        <v>1846</v>
      </c>
      <c r="AA9" s="14" t="str">
        <f t="shared" si="0"/>
        <v>01/06/1846</v>
      </c>
      <c r="AB9" s="14"/>
      <c r="AC9" s="14" t="s">
        <v>705</v>
      </c>
      <c r="AD9" s="14"/>
      <c r="AE9" s="14"/>
      <c r="AF9" s="14"/>
      <c r="AG9" s="14"/>
      <c r="AH9" s="14"/>
      <c r="AI9" s="14" t="s">
        <v>896</v>
      </c>
      <c r="AJ9" s="12">
        <v>7</v>
      </c>
      <c r="AK9" s="12" t="str">
        <f t="shared" si="1"/>
        <v>['Gregorio XVI', '254'],</v>
      </c>
      <c r="AL9" s="12" t="str">
        <f t="shared" si="4"/>
        <v>{"value":"GregorioXVI","label":"Gregorio XVI"},</v>
      </c>
    </row>
    <row r="10" spans="1:38" x14ac:dyDescent="0.2">
      <c r="A10" s="63" t="s">
        <v>5574</v>
      </c>
      <c r="B10" s="63" t="s">
        <v>5573</v>
      </c>
      <c r="C10" s="14">
        <v>255</v>
      </c>
      <c r="D10" s="14" t="s">
        <v>715</v>
      </c>
      <c r="E10" s="14" t="s">
        <v>5579</v>
      </c>
      <c r="F10" s="14" t="s">
        <v>736</v>
      </c>
      <c r="G10" s="14">
        <v>1846</v>
      </c>
      <c r="H10" s="14">
        <v>1878</v>
      </c>
      <c r="I10" s="14" t="s">
        <v>774</v>
      </c>
      <c r="J10" s="14" t="s">
        <v>773</v>
      </c>
      <c r="K10" s="61"/>
      <c r="L10" s="61"/>
      <c r="M10" s="14"/>
      <c r="N10" s="14" t="str">
        <f t="shared" si="5"/>
        <v>//</v>
      </c>
      <c r="O10" s="14" t="s">
        <v>775</v>
      </c>
      <c r="P10" s="61"/>
      <c r="Q10" s="61"/>
      <c r="R10" s="14"/>
      <c r="S10" s="14" t="str">
        <f t="shared" si="2"/>
        <v>//</v>
      </c>
      <c r="T10" s="61"/>
      <c r="U10" s="61"/>
      <c r="V10" s="14"/>
      <c r="W10" s="14" t="str">
        <f t="shared" si="3"/>
        <v>//</v>
      </c>
      <c r="X10" s="61">
        <v>7</v>
      </c>
      <c r="Y10" s="61">
        <v>2</v>
      </c>
      <c r="Z10" s="14">
        <v>1878</v>
      </c>
      <c r="AA10" s="14" t="str">
        <f t="shared" si="0"/>
        <v>07/02/1878</v>
      </c>
      <c r="AB10" s="14"/>
      <c r="AC10" s="14" t="s">
        <v>705</v>
      </c>
      <c r="AD10" s="14"/>
      <c r="AE10" s="14"/>
      <c r="AF10" s="14"/>
      <c r="AG10" s="14"/>
      <c r="AH10" s="14"/>
      <c r="AI10" s="14" t="s">
        <v>896</v>
      </c>
      <c r="AJ10" s="12">
        <v>8</v>
      </c>
      <c r="AK10" s="12" t="str">
        <f t="shared" si="1"/>
        <v>['Pio IX', '255'],</v>
      </c>
      <c r="AL10" s="12" t="str">
        <f t="shared" si="4"/>
        <v>{"value":"PioIX","label":"Pio IX"},</v>
      </c>
    </row>
    <row r="11" spans="1:38" x14ac:dyDescent="0.2">
      <c r="A11" s="63" t="s">
        <v>5574</v>
      </c>
      <c r="B11" s="63" t="s">
        <v>5573</v>
      </c>
      <c r="C11" s="14">
        <v>256</v>
      </c>
      <c r="D11" s="14" t="s">
        <v>723</v>
      </c>
      <c r="E11" s="14" t="s">
        <v>5580</v>
      </c>
      <c r="F11" s="14" t="s">
        <v>707</v>
      </c>
      <c r="G11" s="14">
        <v>1878</v>
      </c>
      <c r="H11" s="14">
        <v>1903</v>
      </c>
      <c r="I11" s="14" t="s">
        <v>776</v>
      </c>
      <c r="J11" s="14" t="s">
        <v>772</v>
      </c>
      <c r="K11" s="61"/>
      <c r="L11" s="61"/>
      <c r="M11" s="14"/>
      <c r="N11" s="14" t="str">
        <f t="shared" si="5"/>
        <v>//</v>
      </c>
      <c r="O11" s="14" t="s">
        <v>777</v>
      </c>
      <c r="P11" s="61"/>
      <c r="Q11" s="61"/>
      <c r="R11" s="14"/>
      <c r="S11" s="14" t="str">
        <f t="shared" si="2"/>
        <v>//</v>
      </c>
      <c r="T11" s="61"/>
      <c r="U11" s="61"/>
      <c r="V11" s="14"/>
      <c r="W11" s="14" t="str">
        <f t="shared" si="3"/>
        <v>//</v>
      </c>
      <c r="X11" s="61">
        <v>20</v>
      </c>
      <c r="Y11" s="61">
        <v>7</v>
      </c>
      <c r="Z11" s="14">
        <v>1903</v>
      </c>
      <c r="AA11" s="14" t="str">
        <f t="shared" si="0"/>
        <v>20/07/1903</v>
      </c>
      <c r="AB11" s="14"/>
      <c r="AC11" s="14" t="s">
        <v>705</v>
      </c>
      <c r="AD11" s="14"/>
      <c r="AE11" s="14"/>
      <c r="AF11" s="14"/>
      <c r="AG11" s="14"/>
      <c r="AH11" s="14"/>
      <c r="AI11" s="14" t="s">
        <v>896</v>
      </c>
      <c r="AJ11" s="12">
        <v>9</v>
      </c>
      <c r="AK11" s="12" t="str">
        <f t="shared" si="1"/>
        <v>['Leone XIII', '256'],</v>
      </c>
      <c r="AL11" s="12" t="str">
        <f t="shared" si="4"/>
        <v>{"value":"LeoneXIII","label":"Leone XIII"},</v>
      </c>
    </row>
    <row r="12" spans="1:38" x14ac:dyDescent="0.2">
      <c r="A12" s="63" t="s">
        <v>5574</v>
      </c>
      <c r="B12" s="63" t="s">
        <v>5573</v>
      </c>
      <c r="C12" s="12">
        <v>257</v>
      </c>
      <c r="D12" s="12" t="s">
        <v>715</v>
      </c>
      <c r="E12" s="12" t="s">
        <v>5579</v>
      </c>
      <c r="F12" s="12" t="s">
        <v>737</v>
      </c>
      <c r="G12" s="12">
        <v>1903</v>
      </c>
      <c r="H12" s="12">
        <v>1914</v>
      </c>
      <c r="I12" s="12" t="s">
        <v>778</v>
      </c>
      <c r="J12" s="12" t="s">
        <v>771</v>
      </c>
      <c r="K12" s="62"/>
      <c r="L12" s="62"/>
      <c r="N12" s="12" t="str">
        <f t="shared" si="5"/>
        <v>//</v>
      </c>
      <c r="O12" s="12" t="s">
        <v>779</v>
      </c>
      <c r="P12" s="62"/>
      <c r="Q12" s="62"/>
      <c r="S12" s="12" t="str">
        <f t="shared" si="2"/>
        <v>//</v>
      </c>
      <c r="T12" s="62"/>
      <c r="U12" s="62"/>
      <c r="W12" s="12" t="str">
        <f t="shared" si="3"/>
        <v>//</v>
      </c>
      <c r="X12" s="62">
        <v>20</v>
      </c>
      <c r="Y12" s="62">
        <v>8</v>
      </c>
      <c r="Z12" s="12">
        <v>1914</v>
      </c>
      <c r="AA12" s="12" t="str">
        <f t="shared" si="0"/>
        <v>20/08/1914</v>
      </c>
      <c r="AC12" s="12" t="s">
        <v>705</v>
      </c>
      <c r="AJ12" s="12">
        <v>10</v>
      </c>
      <c r="AK12" s="12" t="str">
        <f t="shared" si="1"/>
        <v>['Pio X', '257'],</v>
      </c>
      <c r="AL12" s="12" t="str">
        <f t="shared" si="4"/>
        <v>{"value":"PioX","label":"Pio X"},</v>
      </c>
    </row>
    <row r="13" spans="1:38" x14ac:dyDescent="0.2">
      <c r="A13" s="63" t="s">
        <v>5574</v>
      </c>
      <c r="B13" s="63" t="s">
        <v>5573</v>
      </c>
      <c r="C13" s="12">
        <v>258</v>
      </c>
      <c r="D13" s="12" t="s">
        <v>699</v>
      </c>
      <c r="E13" s="12" t="s">
        <v>5577</v>
      </c>
      <c r="F13" s="12" t="s">
        <v>738</v>
      </c>
      <c r="G13" s="12">
        <v>1914</v>
      </c>
      <c r="H13" s="12">
        <v>1922</v>
      </c>
      <c r="I13" s="12" t="s">
        <v>780</v>
      </c>
      <c r="J13" s="12" t="s">
        <v>770</v>
      </c>
      <c r="K13" s="62"/>
      <c r="L13" s="62"/>
      <c r="N13" s="12" t="str">
        <f t="shared" si="5"/>
        <v>//</v>
      </c>
      <c r="O13" s="12" t="s">
        <v>781</v>
      </c>
      <c r="P13" s="62"/>
      <c r="Q13" s="62"/>
      <c r="S13" s="12" t="str">
        <f t="shared" si="2"/>
        <v>//</v>
      </c>
      <c r="T13" s="62"/>
      <c r="U13" s="62"/>
      <c r="W13" s="12" t="str">
        <f t="shared" si="3"/>
        <v>//</v>
      </c>
      <c r="X13" s="62">
        <v>22</v>
      </c>
      <c r="Y13" s="62">
        <v>1</v>
      </c>
      <c r="Z13" s="12">
        <v>1922</v>
      </c>
      <c r="AA13" s="12" t="str">
        <f t="shared" si="0"/>
        <v>22/01/1922</v>
      </c>
      <c r="AC13" s="12" t="s">
        <v>705</v>
      </c>
      <c r="AJ13" s="12">
        <v>11</v>
      </c>
      <c r="AK13" s="12" t="str">
        <f t="shared" si="1"/>
        <v>['Benedetto XV', '258'],</v>
      </c>
      <c r="AL13" s="12" t="str">
        <f t="shared" si="4"/>
        <v>{"value":"BenedettoXV","label":"Benedetto XV"},</v>
      </c>
    </row>
    <row r="14" spans="1:38" x14ac:dyDescent="0.2">
      <c r="A14" s="63" t="s">
        <v>5574</v>
      </c>
      <c r="B14" s="63" t="s">
        <v>5573</v>
      </c>
      <c r="C14" s="12">
        <v>259</v>
      </c>
      <c r="D14" s="12" t="s">
        <v>715</v>
      </c>
      <c r="E14" s="12" t="s">
        <v>5579</v>
      </c>
      <c r="F14" s="12" t="s">
        <v>739</v>
      </c>
      <c r="G14" s="12">
        <v>1922</v>
      </c>
      <c r="H14" s="12">
        <v>1939</v>
      </c>
      <c r="I14" s="12" t="s">
        <v>768</v>
      </c>
      <c r="J14" s="12" t="s">
        <v>769</v>
      </c>
      <c r="K14" s="62"/>
      <c r="L14" s="62"/>
      <c r="N14" s="12" t="str">
        <f t="shared" si="5"/>
        <v>//</v>
      </c>
      <c r="O14" s="12" t="s">
        <v>767</v>
      </c>
      <c r="P14" s="62"/>
      <c r="Q14" s="62"/>
      <c r="S14" s="12" t="str">
        <f t="shared" si="2"/>
        <v>//</v>
      </c>
      <c r="T14" s="62"/>
      <c r="U14" s="62"/>
      <c r="W14" s="12" t="str">
        <f t="shared" si="3"/>
        <v>//</v>
      </c>
      <c r="X14" s="62">
        <v>10</v>
      </c>
      <c r="Y14" s="62">
        <v>2</v>
      </c>
      <c r="Z14" s="12">
        <v>1939</v>
      </c>
      <c r="AA14" s="12" t="str">
        <f t="shared" si="0"/>
        <v>10/02/1939</v>
      </c>
      <c r="AC14" s="12" t="s">
        <v>705</v>
      </c>
      <c r="AJ14" s="12">
        <v>12</v>
      </c>
      <c r="AK14" s="12" t="str">
        <f t="shared" si="1"/>
        <v>['Pio XI', '259'],</v>
      </c>
      <c r="AL14" s="12" t="str">
        <f t="shared" si="4"/>
        <v>{"value":"PioXI","label":"Pio XI"},</v>
      </c>
    </row>
    <row r="15" spans="1:38" x14ac:dyDescent="0.2">
      <c r="A15" s="63" t="s">
        <v>5574</v>
      </c>
      <c r="B15" s="63" t="s">
        <v>5573</v>
      </c>
      <c r="C15" s="12">
        <v>260</v>
      </c>
      <c r="D15" s="12" t="s">
        <v>715</v>
      </c>
      <c r="E15" s="12" t="s">
        <v>5579</v>
      </c>
      <c r="F15" s="12" t="s">
        <v>724</v>
      </c>
      <c r="G15" s="12">
        <v>1939</v>
      </c>
      <c r="H15" s="12">
        <v>1958</v>
      </c>
      <c r="I15" s="12" t="s">
        <v>765</v>
      </c>
      <c r="J15" s="12" t="s">
        <v>766</v>
      </c>
      <c r="K15" s="62"/>
      <c r="L15" s="62"/>
      <c r="N15" s="12" t="str">
        <f t="shared" si="5"/>
        <v>//</v>
      </c>
      <c r="O15" s="12" t="s">
        <v>705</v>
      </c>
      <c r="P15" s="62"/>
      <c r="Q15" s="62"/>
      <c r="S15" s="12" t="str">
        <f t="shared" si="2"/>
        <v>//</v>
      </c>
      <c r="T15" s="62"/>
      <c r="U15" s="62"/>
      <c r="W15" s="12" t="str">
        <f t="shared" si="3"/>
        <v>//</v>
      </c>
      <c r="X15" s="62">
        <v>9</v>
      </c>
      <c r="Y15" s="62">
        <v>10</v>
      </c>
      <c r="Z15" s="12">
        <v>1958</v>
      </c>
      <c r="AA15" s="12" t="str">
        <f t="shared" si="0"/>
        <v>09/10/1958</v>
      </c>
      <c r="AC15" s="12" t="s">
        <v>705</v>
      </c>
      <c r="AJ15" s="12">
        <v>13</v>
      </c>
      <c r="AK15" s="12" t="str">
        <f t="shared" si="1"/>
        <v>['Pio XII', '260'],</v>
      </c>
      <c r="AL15" s="12" t="str">
        <f t="shared" si="4"/>
        <v>{"value":"PioXII","label":"Pio XII"},</v>
      </c>
    </row>
    <row r="16" spans="1:38" x14ac:dyDescent="0.2">
      <c r="A16" s="63" t="s">
        <v>5574</v>
      </c>
      <c r="B16" s="63" t="s">
        <v>5573</v>
      </c>
      <c r="C16" s="12">
        <v>261</v>
      </c>
      <c r="D16" s="12" t="s">
        <v>744</v>
      </c>
      <c r="E16" s="12" t="s">
        <v>5582</v>
      </c>
      <c r="F16" s="12" t="s">
        <v>740</v>
      </c>
      <c r="G16" s="12">
        <v>1958</v>
      </c>
      <c r="H16" s="12">
        <v>1963</v>
      </c>
      <c r="I16" s="12" t="s">
        <v>763</v>
      </c>
      <c r="J16" s="12" t="s">
        <v>764</v>
      </c>
      <c r="K16" s="62"/>
      <c r="L16" s="62"/>
      <c r="N16" s="12" t="str">
        <f t="shared" si="5"/>
        <v>//</v>
      </c>
      <c r="O16" s="12" t="s">
        <v>762</v>
      </c>
      <c r="P16" s="62"/>
      <c r="Q16" s="62"/>
      <c r="S16" s="12" t="str">
        <f t="shared" si="2"/>
        <v>//</v>
      </c>
      <c r="T16" s="62"/>
      <c r="U16" s="62"/>
      <c r="W16" s="12" t="str">
        <f t="shared" si="3"/>
        <v>//</v>
      </c>
      <c r="X16" s="62">
        <v>3</v>
      </c>
      <c r="Y16" s="62">
        <v>6</v>
      </c>
      <c r="Z16" s="12">
        <v>1963</v>
      </c>
      <c r="AA16" s="12" t="str">
        <f t="shared" si="0"/>
        <v>03/06/1963</v>
      </c>
      <c r="AC16" s="12" t="s">
        <v>705</v>
      </c>
      <c r="AJ16" s="12">
        <v>14</v>
      </c>
      <c r="AK16" s="12" t="str">
        <f t="shared" si="1"/>
        <v>['Giovanni XXIII', '261'],</v>
      </c>
      <c r="AL16" s="12" t="str">
        <f t="shared" si="4"/>
        <v>{"value":"GiovanniXXIII","label":"Giovanni XXIII"},</v>
      </c>
    </row>
    <row r="17" spans="1:39" x14ac:dyDescent="0.2">
      <c r="A17" s="63" t="s">
        <v>5574</v>
      </c>
      <c r="B17" s="63" t="s">
        <v>5573</v>
      </c>
      <c r="C17" s="12">
        <v>262</v>
      </c>
      <c r="D17" s="12" t="s">
        <v>745</v>
      </c>
      <c r="E17" s="12" t="s">
        <v>5583</v>
      </c>
      <c r="F17" s="12" t="s">
        <v>714</v>
      </c>
      <c r="G17" s="12">
        <v>1963</v>
      </c>
      <c r="H17" s="12">
        <v>1978</v>
      </c>
      <c r="I17" s="12" t="s">
        <v>760</v>
      </c>
      <c r="J17" s="12" t="s">
        <v>759</v>
      </c>
      <c r="K17" s="62"/>
      <c r="L17" s="62"/>
      <c r="N17" s="12" t="str">
        <f t="shared" si="5"/>
        <v>//</v>
      </c>
      <c r="O17" s="12" t="s">
        <v>761</v>
      </c>
      <c r="P17" s="62"/>
      <c r="Q17" s="62"/>
      <c r="S17" s="12" t="str">
        <f t="shared" si="2"/>
        <v>//</v>
      </c>
      <c r="T17" s="62"/>
      <c r="U17" s="62"/>
      <c r="W17" s="12" t="str">
        <f t="shared" si="3"/>
        <v>//</v>
      </c>
      <c r="X17" s="62">
        <v>6</v>
      </c>
      <c r="Y17" s="62">
        <v>8</v>
      </c>
      <c r="Z17" s="12">
        <v>1978</v>
      </c>
      <c r="AA17" s="12" t="str">
        <f t="shared" si="0"/>
        <v>06/08/1978</v>
      </c>
      <c r="AC17" s="12" t="s">
        <v>705</v>
      </c>
      <c r="AJ17" s="12">
        <v>15</v>
      </c>
      <c r="AK17" s="12" t="str">
        <f t="shared" si="1"/>
        <v>['Paolo VI', '262'],</v>
      </c>
      <c r="AL17" s="12" t="str">
        <f t="shared" si="4"/>
        <v>{"value":"PaoloVI","label":"Paolo VI"},</v>
      </c>
    </row>
    <row r="18" spans="1:39" x14ac:dyDescent="0.2">
      <c r="A18" s="63" t="s">
        <v>5574</v>
      </c>
      <c r="B18" s="63" t="s">
        <v>5573</v>
      </c>
      <c r="C18" s="12">
        <v>263</v>
      </c>
      <c r="D18" s="12" t="s">
        <v>746</v>
      </c>
      <c r="E18" s="12" t="s">
        <v>5584</v>
      </c>
      <c r="F18" s="12" t="s">
        <v>741</v>
      </c>
      <c r="G18" s="12">
        <v>1978</v>
      </c>
      <c r="H18" s="12">
        <v>1978</v>
      </c>
      <c r="I18" s="12" t="s">
        <v>757</v>
      </c>
      <c r="J18" s="12" t="s">
        <v>758</v>
      </c>
      <c r="K18" s="62"/>
      <c r="L18" s="62"/>
      <c r="N18" s="12" t="str">
        <f t="shared" si="5"/>
        <v>//</v>
      </c>
      <c r="O18" s="12" t="s">
        <v>756</v>
      </c>
      <c r="P18" s="62"/>
      <c r="Q18" s="62"/>
      <c r="S18" s="12" t="str">
        <f t="shared" si="2"/>
        <v>//</v>
      </c>
      <c r="T18" s="62"/>
      <c r="U18" s="62"/>
      <c r="W18" s="12" t="str">
        <f t="shared" si="3"/>
        <v>//</v>
      </c>
      <c r="X18" s="62">
        <v>28</v>
      </c>
      <c r="Y18" s="62">
        <v>9</v>
      </c>
      <c r="Z18" s="12">
        <v>1978</v>
      </c>
      <c r="AA18" s="12" t="str">
        <f t="shared" si="0"/>
        <v>28/09/1978</v>
      </c>
      <c r="AC18" s="12" t="s">
        <v>705</v>
      </c>
      <c r="AJ18" s="12">
        <v>16</v>
      </c>
      <c r="AK18" s="12" t="str">
        <f t="shared" si="1"/>
        <v>['Giovanni Paolo I', '263'],</v>
      </c>
      <c r="AL18" s="12" t="str">
        <f t="shared" si="4"/>
        <v>{"value":"GiovanniPaoloI","label":"Giovanni Paolo I"},</v>
      </c>
    </row>
    <row r="19" spans="1:39" x14ac:dyDescent="0.2">
      <c r="A19" s="63" t="s">
        <v>5574</v>
      </c>
      <c r="B19" s="63" t="s">
        <v>5573</v>
      </c>
      <c r="C19" s="12">
        <v>264</v>
      </c>
      <c r="D19" s="12" t="s">
        <v>746</v>
      </c>
      <c r="E19" s="12" t="s">
        <v>5584</v>
      </c>
      <c r="F19" s="12" t="s">
        <v>742</v>
      </c>
      <c r="G19" s="12">
        <v>1978</v>
      </c>
      <c r="H19" s="12">
        <v>2005</v>
      </c>
      <c r="I19" s="12" t="s">
        <v>754</v>
      </c>
      <c r="J19" s="12" t="s">
        <v>755</v>
      </c>
      <c r="K19" s="62"/>
      <c r="L19" s="62"/>
      <c r="N19" s="12" t="str">
        <f t="shared" si="5"/>
        <v>//</v>
      </c>
      <c r="O19" s="12" t="s">
        <v>753</v>
      </c>
      <c r="P19" s="62"/>
      <c r="Q19" s="62"/>
      <c r="S19" s="12" t="str">
        <f t="shared" si="2"/>
        <v>//</v>
      </c>
      <c r="T19" s="62"/>
      <c r="U19" s="62"/>
      <c r="W19" s="12" t="str">
        <f t="shared" si="3"/>
        <v>//</v>
      </c>
      <c r="X19" s="62">
        <v>2</v>
      </c>
      <c r="Y19" s="62">
        <v>5</v>
      </c>
      <c r="Z19" s="12">
        <v>2005</v>
      </c>
      <c r="AA19" s="12" t="str">
        <f t="shared" si="0"/>
        <v>02/05/2005</v>
      </c>
      <c r="AC19" s="12" t="s">
        <v>705</v>
      </c>
      <c r="AJ19" s="12">
        <v>17</v>
      </c>
      <c r="AK19" s="12" t="str">
        <f t="shared" si="1"/>
        <v>['Giovanni Paolo II', '264'],</v>
      </c>
      <c r="AL19" s="12" t="str">
        <f t="shared" si="4"/>
        <v>{"value":"GiovanniPaoloII","label":"Giovanni Paolo II"},</v>
      </c>
    </row>
    <row r="20" spans="1:39" x14ac:dyDescent="0.2">
      <c r="A20" s="63" t="s">
        <v>5574</v>
      </c>
      <c r="B20" s="63" t="s">
        <v>5573</v>
      </c>
      <c r="C20" s="12">
        <v>265</v>
      </c>
      <c r="D20" s="12" t="s">
        <v>699</v>
      </c>
      <c r="E20" s="12" t="s">
        <v>5577</v>
      </c>
      <c r="F20" s="12" t="s">
        <v>700</v>
      </c>
      <c r="G20" s="12">
        <v>2005</v>
      </c>
      <c r="H20" s="12">
        <v>2013</v>
      </c>
      <c r="I20" s="12" t="s">
        <v>751</v>
      </c>
      <c r="J20" s="12" t="s">
        <v>752</v>
      </c>
      <c r="K20" s="62"/>
      <c r="L20" s="62"/>
      <c r="N20" s="12" t="str">
        <f t="shared" si="5"/>
        <v>//</v>
      </c>
      <c r="O20" s="12" t="s">
        <v>750</v>
      </c>
      <c r="P20" s="62"/>
      <c r="Q20" s="62"/>
      <c r="S20" s="12" t="str">
        <f t="shared" si="2"/>
        <v>//</v>
      </c>
      <c r="T20" s="62"/>
      <c r="U20" s="62"/>
      <c r="W20" s="12" t="str">
        <f t="shared" si="3"/>
        <v>//</v>
      </c>
      <c r="X20" s="62">
        <v>28</v>
      </c>
      <c r="Y20" s="62">
        <v>2</v>
      </c>
      <c r="Z20" s="12">
        <v>2013</v>
      </c>
      <c r="AA20" s="12" t="str">
        <f t="shared" si="0"/>
        <v>28/02/2013</v>
      </c>
      <c r="AC20" s="12" t="s">
        <v>705</v>
      </c>
      <c r="AJ20" s="12">
        <v>18</v>
      </c>
      <c r="AK20" s="12" t="str">
        <f t="shared" si="1"/>
        <v>['Benedetto XVI', '265'],</v>
      </c>
      <c r="AL20" s="12" t="str">
        <f t="shared" si="4"/>
        <v>{"value":"BenedettoXVI","label":"Benedetto XVI"},</v>
      </c>
    </row>
    <row r="21" spans="1:39" x14ac:dyDescent="0.2">
      <c r="A21" s="63" t="s">
        <v>5574</v>
      </c>
      <c r="B21" s="63" t="s">
        <v>5573</v>
      </c>
      <c r="C21" s="12">
        <v>266</v>
      </c>
      <c r="D21" s="12" t="s">
        <v>743</v>
      </c>
      <c r="E21" s="12" t="s">
        <v>5585</v>
      </c>
      <c r="F21" s="12" t="s">
        <v>741</v>
      </c>
      <c r="G21" s="12">
        <v>2013</v>
      </c>
      <c r="H21" s="64">
        <v>2025</v>
      </c>
      <c r="I21" s="12" t="s">
        <v>748</v>
      </c>
      <c r="J21" s="12" t="s">
        <v>749</v>
      </c>
      <c r="K21" s="62"/>
      <c r="L21" s="62"/>
      <c r="N21" s="12" t="str">
        <f t="shared" si="5"/>
        <v>//</v>
      </c>
      <c r="O21" s="12" t="s">
        <v>747</v>
      </c>
      <c r="P21" s="62"/>
      <c r="Q21" s="62"/>
      <c r="S21" s="12" t="str">
        <f t="shared" si="2"/>
        <v>//</v>
      </c>
      <c r="T21" s="62"/>
      <c r="U21" s="62"/>
      <c r="W21" s="12" t="str">
        <f t="shared" si="3"/>
        <v>//</v>
      </c>
      <c r="X21" s="62">
        <v>21</v>
      </c>
      <c r="Y21" s="62">
        <v>4</v>
      </c>
      <c r="Z21" s="12">
        <v>2025</v>
      </c>
      <c r="AA21" s="12" t="str">
        <f t="shared" si="0"/>
        <v>21/04/2025</v>
      </c>
      <c r="AC21" s="12" t="s">
        <v>705</v>
      </c>
      <c r="AJ21" s="12">
        <v>19</v>
      </c>
      <c r="AK21" s="12" t="str">
        <f t="shared" si="1"/>
        <v>['Francesco I', '266'],</v>
      </c>
      <c r="AL21" s="12" t="str">
        <f>_xlfn.CONCAT("{""","value"":","""",SUBSTITUTE(_xlfn.CONCAT(D21,F21)," ",""),""",","""","label"":","""",_xlfn.CONCAT(D21," ",F21),"""},")</f>
        <v>{"value":"FrancescoI","label":"Francesco I"},</v>
      </c>
    </row>
    <row r="22" spans="1:39" x14ac:dyDescent="0.2">
      <c r="A22" s="63" t="s">
        <v>5574</v>
      </c>
      <c r="B22" s="63" t="s">
        <v>5573</v>
      </c>
      <c r="C22" s="12">
        <v>267</v>
      </c>
      <c r="D22" s="12" t="s">
        <v>723</v>
      </c>
      <c r="E22" s="12" t="s">
        <v>5580</v>
      </c>
      <c r="F22" s="12" t="s">
        <v>704</v>
      </c>
      <c r="G22" s="12">
        <v>2025</v>
      </c>
      <c r="I22" s="12" t="s">
        <v>5547</v>
      </c>
      <c r="J22" s="12" t="s">
        <v>5548</v>
      </c>
      <c r="K22" s="62"/>
      <c r="L22" s="62"/>
      <c r="N22" s="12" t="str">
        <f t="shared" si="5"/>
        <v>//</v>
      </c>
      <c r="P22" s="62"/>
      <c r="Q22" s="62"/>
      <c r="S22" s="12" t="str">
        <f t="shared" si="2"/>
        <v>//</v>
      </c>
      <c r="T22" s="62"/>
      <c r="U22" s="62"/>
      <c r="W22" s="12" t="str">
        <f t="shared" si="3"/>
        <v>//</v>
      </c>
      <c r="X22" s="62"/>
      <c r="Y22" s="62"/>
      <c r="AJ22" s="12">
        <v>20</v>
      </c>
      <c r="AK22" s="12" t="str">
        <f t="shared" si="1"/>
        <v>['Leone XIV', '267'],</v>
      </c>
      <c r="AL22" s="12" t="str">
        <f>_xlfn.CONCAT("{""","value"":","""",SUBSTITUTE(_xlfn.CONCAT(D22,F22)," ",""),""",","""","label"":","""",_xlfn.CONCAT(D22," ",F22),"""}")</f>
        <v>{"value":"LeoneXIV","label":"Leone XIV"}</v>
      </c>
      <c r="AM22" s="65" t="s">
        <v>5238</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topLeftCell="A311" workbookViewId="0">
      <selection activeCell="A328" sqref="A328"/>
    </sheetView>
  </sheetViews>
  <sheetFormatPr defaultColWidth="11.28515625" defaultRowHeight="18" x14ac:dyDescent="0.25"/>
  <cols>
    <col min="1" max="1" width="11.28515625" style="2" bestFit="1" customWidth="1"/>
    <col min="2" max="2" width="38.7109375" style="2" bestFit="1" customWidth="1"/>
    <col min="3" max="3" width="75.85546875" style="12" bestFit="1" customWidth="1"/>
    <col min="4" max="4" width="13.28515625" style="12" bestFit="1" customWidth="1"/>
    <col min="5" max="5" width="11.140625" style="12" bestFit="1" customWidth="1"/>
    <col min="6" max="6" width="41.7109375" style="2" bestFit="1" customWidth="1"/>
    <col min="7" max="7" width="16.140625" style="3" bestFit="1" customWidth="1"/>
    <col min="8" max="16384" width="11.28515625" style="2"/>
  </cols>
  <sheetData>
    <row r="1" spans="1:7" s="1" customFormat="1" x14ac:dyDescent="0.25">
      <c r="A1" s="9" t="s">
        <v>31</v>
      </c>
      <c r="B1" s="9" t="s">
        <v>33</v>
      </c>
      <c r="C1" s="16" t="s">
        <v>32</v>
      </c>
      <c r="D1" s="16" t="s">
        <v>543</v>
      </c>
      <c r="E1" s="16" t="s">
        <v>34</v>
      </c>
      <c r="F1" s="9" t="s">
        <v>1</v>
      </c>
      <c r="G1" s="10" t="s">
        <v>0</v>
      </c>
    </row>
    <row r="2" spans="1:7" x14ac:dyDescent="0.25">
      <c r="A2" s="4">
        <v>247</v>
      </c>
      <c r="B2" s="4" t="s">
        <v>2</v>
      </c>
      <c r="C2" s="14" t="s">
        <v>338</v>
      </c>
      <c r="D2" s="14">
        <v>1</v>
      </c>
      <c r="E2" s="14">
        <v>1</v>
      </c>
      <c r="F2" s="4" t="s">
        <v>3</v>
      </c>
      <c r="G2" s="5" t="s">
        <v>35</v>
      </c>
    </row>
    <row r="3" spans="1:7" x14ac:dyDescent="0.25">
      <c r="A3" s="4"/>
      <c r="B3" s="4" t="s">
        <v>2</v>
      </c>
      <c r="C3" s="14"/>
      <c r="D3" s="14">
        <v>2</v>
      </c>
      <c r="E3" s="14">
        <v>2</v>
      </c>
      <c r="F3" s="4" t="s">
        <v>339</v>
      </c>
      <c r="G3" s="5" t="s">
        <v>370</v>
      </c>
    </row>
    <row r="4" spans="1:7" x14ac:dyDescent="0.25">
      <c r="A4" s="4"/>
      <c r="B4" s="4" t="s">
        <v>2</v>
      </c>
      <c r="C4" s="14"/>
      <c r="D4" s="14">
        <v>3</v>
      </c>
      <c r="E4" s="14">
        <v>3</v>
      </c>
      <c r="F4" s="4" t="s">
        <v>340</v>
      </c>
      <c r="G4" s="5" t="s">
        <v>371</v>
      </c>
    </row>
    <row r="5" spans="1:7" x14ac:dyDescent="0.25">
      <c r="A5" s="4"/>
      <c r="B5" s="4" t="s">
        <v>2</v>
      </c>
      <c r="C5" s="14"/>
      <c r="D5" s="14">
        <v>4</v>
      </c>
      <c r="E5" s="14">
        <v>4</v>
      </c>
      <c r="F5" s="4" t="s">
        <v>341</v>
      </c>
      <c r="G5" s="5" t="s">
        <v>372</v>
      </c>
    </row>
    <row r="6" spans="1:7" x14ac:dyDescent="0.25">
      <c r="A6" s="4"/>
      <c r="B6" s="4" t="s">
        <v>2</v>
      </c>
      <c r="C6" s="14"/>
      <c r="D6" s="14">
        <v>5</v>
      </c>
      <c r="E6" s="14">
        <v>5</v>
      </c>
      <c r="F6" s="4" t="s">
        <v>342</v>
      </c>
      <c r="G6" s="5" t="s">
        <v>373</v>
      </c>
    </row>
    <row r="7" spans="1:7" x14ac:dyDescent="0.25">
      <c r="A7" s="4"/>
      <c r="B7" s="4" t="s">
        <v>2</v>
      </c>
      <c r="C7" s="14"/>
      <c r="D7" s="14">
        <v>6</v>
      </c>
      <c r="E7" s="14">
        <v>6</v>
      </c>
      <c r="F7" s="4" t="s">
        <v>343</v>
      </c>
      <c r="G7" s="5" t="s">
        <v>374</v>
      </c>
    </row>
    <row r="8" spans="1:7" x14ac:dyDescent="0.25">
      <c r="A8" s="4"/>
      <c r="B8" s="4" t="s">
        <v>2</v>
      </c>
      <c r="C8" s="14"/>
      <c r="D8" s="14">
        <v>7</v>
      </c>
      <c r="E8" s="14">
        <v>7</v>
      </c>
      <c r="F8" s="4" t="s">
        <v>344</v>
      </c>
      <c r="G8" s="5" t="s">
        <v>375</v>
      </c>
    </row>
    <row r="9" spans="1:7" x14ac:dyDescent="0.25">
      <c r="A9" s="4"/>
      <c r="B9" s="4" t="s">
        <v>2</v>
      </c>
      <c r="C9" s="14"/>
      <c r="D9" s="14">
        <v>8</v>
      </c>
      <c r="E9" s="14">
        <v>8</v>
      </c>
      <c r="F9" s="4" t="s">
        <v>345</v>
      </c>
      <c r="G9" s="5" t="s">
        <v>376</v>
      </c>
    </row>
    <row r="10" spans="1:7" x14ac:dyDescent="0.25">
      <c r="A10" s="4"/>
      <c r="B10" s="4" t="s">
        <v>2</v>
      </c>
      <c r="C10" s="14"/>
      <c r="D10" s="14">
        <v>9</v>
      </c>
      <c r="E10" s="14">
        <v>9</v>
      </c>
      <c r="F10" s="4" t="s">
        <v>346</v>
      </c>
      <c r="G10" s="5" t="s">
        <v>377</v>
      </c>
    </row>
    <row r="11" spans="1:7" x14ac:dyDescent="0.25">
      <c r="A11" s="4"/>
      <c r="B11" s="4" t="s">
        <v>2</v>
      </c>
      <c r="C11" s="14"/>
      <c r="D11" s="14">
        <v>10</v>
      </c>
      <c r="E11" s="14">
        <v>10</v>
      </c>
      <c r="F11" s="4" t="s">
        <v>347</v>
      </c>
      <c r="G11" s="5" t="s">
        <v>378</v>
      </c>
    </row>
    <row r="12" spans="1:7" x14ac:dyDescent="0.25">
      <c r="A12" s="4"/>
      <c r="B12" s="4" t="s">
        <v>2</v>
      </c>
      <c r="C12" s="14"/>
      <c r="D12" s="14">
        <v>11</v>
      </c>
      <c r="E12" s="14">
        <v>11</v>
      </c>
      <c r="F12" s="4" t="s">
        <v>348</v>
      </c>
      <c r="G12" s="5" t="s">
        <v>379</v>
      </c>
    </row>
    <row r="13" spans="1:7" x14ac:dyDescent="0.25">
      <c r="A13" s="4"/>
      <c r="B13" s="4" t="s">
        <v>2</v>
      </c>
      <c r="C13" s="14"/>
      <c r="D13" s="14">
        <v>12</v>
      </c>
      <c r="E13" s="14">
        <v>12</v>
      </c>
      <c r="F13" s="4" t="s">
        <v>349</v>
      </c>
      <c r="G13" s="5" t="s">
        <v>380</v>
      </c>
    </row>
    <row r="14" spans="1:7" x14ac:dyDescent="0.25">
      <c r="A14" s="4"/>
      <c r="B14" s="4" t="s">
        <v>2</v>
      </c>
      <c r="C14" s="14"/>
      <c r="D14" s="14">
        <v>13</v>
      </c>
      <c r="E14" s="14">
        <v>13</v>
      </c>
      <c r="F14" s="4" t="s">
        <v>350</v>
      </c>
      <c r="G14" s="5" t="s">
        <v>381</v>
      </c>
    </row>
    <row r="15" spans="1:7" x14ac:dyDescent="0.25">
      <c r="A15" s="4"/>
      <c r="B15" s="4" t="s">
        <v>2</v>
      </c>
      <c r="C15" s="14"/>
      <c r="D15" s="14">
        <v>14</v>
      </c>
      <c r="E15" s="14">
        <v>14</v>
      </c>
      <c r="F15" s="4" t="s">
        <v>351</v>
      </c>
      <c r="G15" s="5" t="s">
        <v>382</v>
      </c>
    </row>
    <row r="16" spans="1:7" x14ac:dyDescent="0.25">
      <c r="A16" s="4"/>
      <c r="B16" s="4" t="s">
        <v>2</v>
      </c>
      <c r="C16" s="14"/>
      <c r="D16" s="14">
        <v>15</v>
      </c>
      <c r="E16" s="14">
        <v>15</v>
      </c>
      <c r="F16" s="4" t="s">
        <v>352</v>
      </c>
      <c r="G16" s="5" t="s">
        <v>383</v>
      </c>
    </row>
    <row r="17" spans="1:7" x14ac:dyDescent="0.25">
      <c r="A17" s="4"/>
      <c r="B17" s="4" t="s">
        <v>2</v>
      </c>
      <c r="C17" s="14"/>
      <c r="D17" s="14">
        <v>16</v>
      </c>
      <c r="E17" s="14">
        <v>16</v>
      </c>
      <c r="F17" s="4" t="s">
        <v>353</v>
      </c>
      <c r="G17" s="5" t="s">
        <v>384</v>
      </c>
    </row>
    <row r="18" spans="1:7" x14ac:dyDescent="0.25">
      <c r="A18" s="4"/>
      <c r="B18" s="4" t="s">
        <v>2</v>
      </c>
      <c r="C18" s="14"/>
      <c r="D18" s="14">
        <v>17</v>
      </c>
      <c r="E18" s="14">
        <v>17</v>
      </c>
      <c r="F18" s="4" t="s">
        <v>354</v>
      </c>
      <c r="G18" s="5" t="s">
        <v>385</v>
      </c>
    </row>
    <row r="19" spans="1:7" x14ac:dyDescent="0.25">
      <c r="A19" s="4"/>
      <c r="B19" s="4" t="s">
        <v>2</v>
      </c>
      <c r="C19" s="14"/>
      <c r="D19" s="14">
        <v>18</v>
      </c>
      <c r="E19" s="14">
        <v>18</v>
      </c>
      <c r="F19" s="4" t="s">
        <v>355</v>
      </c>
      <c r="G19" s="5" t="s">
        <v>386</v>
      </c>
    </row>
    <row r="20" spans="1:7" x14ac:dyDescent="0.25">
      <c r="A20" s="4"/>
      <c r="B20" s="4" t="s">
        <v>2</v>
      </c>
      <c r="C20" s="14"/>
      <c r="D20" s="14">
        <v>19</v>
      </c>
      <c r="E20" s="14">
        <v>19</v>
      </c>
      <c r="F20" s="4" t="s">
        <v>356</v>
      </c>
      <c r="G20" s="5" t="s">
        <v>387</v>
      </c>
    </row>
    <row r="21" spans="1:7" x14ac:dyDescent="0.25">
      <c r="A21" s="4"/>
      <c r="B21" s="4" t="s">
        <v>2</v>
      </c>
      <c r="C21" s="14"/>
      <c r="D21" s="14">
        <v>20</v>
      </c>
      <c r="E21" s="14">
        <v>20</v>
      </c>
      <c r="F21" s="4" t="s">
        <v>357</v>
      </c>
      <c r="G21" s="5" t="s">
        <v>388</v>
      </c>
    </row>
    <row r="22" spans="1:7" x14ac:dyDescent="0.25">
      <c r="A22" s="4"/>
      <c r="B22" s="4" t="s">
        <v>2</v>
      </c>
      <c r="C22" s="14"/>
      <c r="D22" s="14">
        <v>21</v>
      </c>
      <c r="E22" s="14">
        <v>21</v>
      </c>
      <c r="F22" s="4" t="s">
        <v>358</v>
      </c>
      <c r="G22" s="5" t="s">
        <v>389</v>
      </c>
    </row>
    <row r="23" spans="1:7" x14ac:dyDescent="0.25">
      <c r="A23" s="4"/>
      <c r="B23" s="4" t="s">
        <v>2</v>
      </c>
      <c r="C23" s="14"/>
      <c r="D23" s="14">
        <v>22</v>
      </c>
      <c r="E23" s="14">
        <v>22</v>
      </c>
      <c r="F23" s="4" t="s">
        <v>359</v>
      </c>
      <c r="G23" s="5" t="s">
        <v>390</v>
      </c>
    </row>
    <row r="24" spans="1:7" x14ac:dyDescent="0.25">
      <c r="A24" s="4"/>
      <c r="B24" s="4" t="s">
        <v>2</v>
      </c>
      <c r="C24" s="14"/>
      <c r="D24" s="14">
        <v>23</v>
      </c>
      <c r="E24" s="14">
        <v>23</v>
      </c>
      <c r="F24" s="4" t="s">
        <v>360</v>
      </c>
      <c r="G24" s="5" t="s">
        <v>391</v>
      </c>
    </row>
    <row r="25" spans="1:7" x14ac:dyDescent="0.25">
      <c r="A25" s="4"/>
      <c r="B25" s="4" t="s">
        <v>2</v>
      </c>
      <c r="C25" s="14"/>
      <c r="D25" s="14">
        <v>24</v>
      </c>
      <c r="E25" s="14">
        <v>24</v>
      </c>
      <c r="F25" s="4" t="s">
        <v>361</v>
      </c>
      <c r="G25" s="5" t="s">
        <v>392</v>
      </c>
    </row>
    <row r="26" spans="1:7" x14ac:dyDescent="0.25">
      <c r="A26" s="4"/>
      <c r="B26" s="4" t="s">
        <v>2</v>
      </c>
      <c r="C26" s="14"/>
      <c r="D26" s="14">
        <v>25</v>
      </c>
      <c r="E26" s="14">
        <v>25</v>
      </c>
      <c r="F26" s="4" t="s">
        <v>362</v>
      </c>
      <c r="G26" s="5" t="s">
        <v>393</v>
      </c>
    </row>
    <row r="27" spans="1:7" x14ac:dyDescent="0.25">
      <c r="A27" s="4"/>
      <c r="B27" s="4" t="s">
        <v>2</v>
      </c>
      <c r="C27" s="14"/>
      <c r="D27" s="14">
        <v>26</v>
      </c>
      <c r="E27" s="14">
        <v>26</v>
      </c>
      <c r="F27" s="4" t="s">
        <v>363</v>
      </c>
      <c r="G27" s="5" t="s">
        <v>394</v>
      </c>
    </row>
    <row r="28" spans="1:7" x14ac:dyDescent="0.25">
      <c r="A28" s="4"/>
      <c r="B28" s="4" t="s">
        <v>2</v>
      </c>
      <c r="C28" s="14"/>
      <c r="D28" s="14">
        <v>27</v>
      </c>
      <c r="E28" s="14">
        <v>27</v>
      </c>
      <c r="F28" s="4" t="s">
        <v>364</v>
      </c>
      <c r="G28" s="5" t="s">
        <v>395</v>
      </c>
    </row>
    <row r="29" spans="1:7" x14ac:dyDescent="0.25">
      <c r="A29" s="4"/>
      <c r="B29" s="4" t="s">
        <v>2</v>
      </c>
      <c r="C29" s="14"/>
      <c r="D29" s="14">
        <v>28</v>
      </c>
      <c r="E29" s="14">
        <v>28</v>
      </c>
      <c r="F29" s="4" t="s">
        <v>365</v>
      </c>
      <c r="G29" s="5" t="s">
        <v>396</v>
      </c>
    </row>
    <row r="30" spans="1:7" x14ac:dyDescent="0.25">
      <c r="A30" s="4"/>
      <c r="B30" s="4" t="s">
        <v>2</v>
      </c>
      <c r="C30" s="14"/>
      <c r="D30" s="14">
        <v>29</v>
      </c>
      <c r="E30" s="14">
        <v>29</v>
      </c>
      <c r="F30" s="4" t="s">
        <v>366</v>
      </c>
      <c r="G30" s="5" t="s">
        <v>397</v>
      </c>
    </row>
    <row r="31" spans="1:7" x14ac:dyDescent="0.25">
      <c r="A31" s="4"/>
      <c r="B31" s="4" t="s">
        <v>2</v>
      </c>
      <c r="C31" s="14"/>
      <c r="D31" s="14">
        <v>30</v>
      </c>
      <c r="E31" s="14">
        <v>30</v>
      </c>
      <c r="F31" s="4" t="s">
        <v>367</v>
      </c>
      <c r="G31" s="5" t="s">
        <v>398</v>
      </c>
    </row>
    <row r="32" spans="1:7" x14ac:dyDescent="0.25">
      <c r="A32" s="4"/>
      <c r="B32" s="4" t="s">
        <v>2</v>
      </c>
      <c r="C32" s="14"/>
      <c r="D32" s="14">
        <v>31</v>
      </c>
      <c r="E32" s="14">
        <v>31</v>
      </c>
      <c r="F32" s="4" t="s">
        <v>368</v>
      </c>
      <c r="G32" s="5" t="s">
        <v>399</v>
      </c>
    </row>
    <row r="33" spans="1:7" x14ac:dyDescent="0.25">
      <c r="A33" s="4"/>
      <c r="B33" s="4" t="s">
        <v>2</v>
      </c>
      <c r="C33" s="14"/>
      <c r="D33" s="14">
        <v>32</v>
      </c>
      <c r="E33" s="14">
        <v>32</v>
      </c>
      <c r="F33" s="4" t="s">
        <v>369</v>
      </c>
      <c r="G33" s="5" t="s">
        <v>400</v>
      </c>
    </row>
    <row r="34" spans="1:7" x14ac:dyDescent="0.25">
      <c r="A34" s="4">
        <v>248</v>
      </c>
      <c r="B34" s="4" t="s">
        <v>14</v>
      </c>
      <c r="C34" s="14" t="s">
        <v>332</v>
      </c>
      <c r="D34" s="14">
        <v>33</v>
      </c>
      <c r="E34" s="14">
        <v>1</v>
      </c>
      <c r="F34" s="4" t="s">
        <v>333</v>
      </c>
      <c r="G34" s="5" t="s">
        <v>401</v>
      </c>
    </row>
    <row r="35" spans="1:7" x14ac:dyDescent="0.25">
      <c r="A35" s="4"/>
      <c r="B35" s="4" t="s">
        <v>14</v>
      </c>
      <c r="C35" s="14"/>
      <c r="D35" s="14">
        <v>34</v>
      </c>
      <c r="E35" s="14">
        <v>2</v>
      </c>
      <c r="F35" s="4" t="s">
        <v>304</v>
      </c>
      <c r="G35" s="5" t="s">
        <v>402</v>
      </c>
    </row>
    <row r="36" spans="1:7" x14ac:dyDescent="0.25">
      <c r="A36" s="4"/>
      <c r="B36" s="4" t="s">
        <v>14</v>
      </c>
      <c r="C36" s="14"/>
      <c r="D36" s="14">
        <v>35</v>
      </c>
      <c r="E36" s="14">
        <v>3</v>
      </c>
      <c r="F36" s="4" t="s">
        <v>334</v>
      </c>
      <c r="G36" s="5" t="s">
        <v>403</v>
      </c>
    </row>
    <row r="37" spans="1:7" x14ac:dyDescent="0.25">
      <c r="A37" s="4"/>
      <c r="B37" s="4" t="s">
        <v>14</v>
      </c>
      <c r="C37" s="14"/>
      <c r="D37" s="14">
        <v>36</v>
      </c>
      <c r="E37" s="14">
        <v>4</v>
      </c>
      <c r="F37" s="4" t="s">
        <v>335</v>
      </c>
      <c r="G37" s="5" t="s">
        <v>404</v>
      </c>
    </row>
    <row r="38" spans="1:7" x14ac:dyDescent="0.25">
      <c r="A38" s="4"/>
      <c r="B38" s="4" t="s">
        <v>14</v>
      </c>
      <c r="C38" s="14"/>
      <c r="D38" s="14">
        <v>37</v>
      </c>
      <c r="E38" s="14">
        <v>5</v>
      </c>
      <c r="F38" s="4" t="s">
        <v>336</v>
      </c>
      <c r="G38" s="5" t="s">
        <v>405</v>
      </c>
    </row>
    <row r="39" spans="1:7" x14ac:dyDescent="0.25">
      <c r="A39" s="4"/>
      <c r="B39" s="4" t="s">
        <v>14</v>
      </c>
      <c r="C39" s="14"/>
      <c r="D39" s="14">
        <v>38</v>
      </c>
      <c r="E39" s="14">
        <v>6</v>
      </c>
      <c r="F39" s="4" t="s">
        <v>337</v>
      </c>
      <c r="G39" s="5" t="s">
        <v>406</v>
      </c>
    </row>
    <row r="40" spans="1:7" x14ac:dyDescent="0.25">
      <c r="A40" s="4">
        <v>249</v>
      </c>
      <c r="B40" s="4" t="s">
        <v>15</v>
      </c>
      <c r="C40" s="14" t="s">
        <v>329</v>
      </c>
      <c r="D40" s="14">
        <v>39</v>
      </c>
      <c r="E40" s="14">
        <v>1</v>
      </c>
      <c r="F40" s="4" t="s">
        <v>330</v>
      </c>
      <c r="G40" s="5" t="s">
        <v>407</v>
      </c>
    </row>
    <row r="41" spans="1:7" x14ac:dyDescent="0.25">
      <c r="A41" s="4"/>
      <c r="B41" s="4" t="s">
        <v>15</v>
      </c>
      <c r="C41" s="14"/>
      <c r="D41" s="14">
        <v>40</v>
      </c>
      <c r="E41" s="14">
        <v>2</v>
      </c>
      <c r="F41" s="4" t="s">
        <v>331</v>
      </c>
      <c r="G41" s="5" t="s">
        <v>408</v>
      </c>
    </row>
    <row r="42" spans="1:7" x14ac:dyDescent="0.25">
      <c r="A42" s="4">
        <v>250</v>
      </c>
      <c r="B42" s="4" t="s">
        <v>16</v>
      </c>
      <c r="C42" s="14" t="s">
        <v>320</v>
      </c>
      <c r="D42" s="14">
        <v>41</v>
      </c>
      <c r="E42" s="14">
        <v>1</v>
      </c>
      <c r="F42" s="4" t="s">
        <v>321</v>
      </c>
      <c r="G42" s="5" t="s">
        <v>409</v>
      </c>
    </row>
    <row r="43" spans="1:7" x14ac:dyDescent="0.25">
      <c r="A43" s="4"/>
      <c r="B43" s="4" t="s">
        <v>16</v>
      </c>
      <c r="C43" s="14"/>
      <c r="D43" s="14">
        <v>42</v>
      </c>
      <c r="E43" s="14">
        <v>2</v>
      </c>
      <c r="F43" s="4" t="s">
        <v>322</v>
      </c>
      <c r="G43" s="5" t="s">
        <v>410</v>
      </c>
    </row>
    <row r="44" spans="1:7" x14ac:dyDescent="0.25">
      <c r="A44" s="4"/>
      <c r="B44" s="4" t="s">
        <v>16</v>
      </c>
      <c r="C44" s="14"/>
      <c r="D44" s="14">
        <v>43</v>
      </c>
      <c r="E44" s="14">
        <v>3</v>
      </c>
      <c r="F44" s="4" t="s">
        <v>323</v>
      </c>
      <c r="G44" s="5" t="s">
        <v>411</v>
      </c>
    </row>
    <row r="45" spans="1:7" x14ac:dyDescent="0.25">
      <c r="A45" s="4"/>
      <c r="B45" s="4" t="s">
        <v>16</v>
      </c>
      <c r="C45" s="14"/>
      <c r="D45" s="14">
        <v>44</v>
      </c>
      <c r="E45" s="14">
        <v>4</v>
      </c>
      <c r="F45" s="4" t="s">
        <v>324</v>
      </c>
      <c r="G45" s="5" t="s">
        <v>411</v>
      </c>
    </row>
    <row r="46" spans="1:7" x14ac:dyDescent="0.25">
      <c r="A46" s="4"/>
      <c r="B46" s="4" t="s">
        <v>16</v>
      </c>
      <c r="C46" s="14"/>
      <c r="D46" s="14">
        <v>45</v>
      </c>
      <c r="E46" s="14">
        <v>5</v>
      </c>
      <c r="F46" s="4" t="s">
        <v>325</v>
      </c>
      <c r="G46" s="5" t="s">
        <v>412</v>
      </c>
    </row>
    <row r="47" spans="1:7" x14ac:dyDescent="0.25">
      <c r="A47" s="4"/>
      <c r="B47" s="4" t="s">
        <v>16</v>
      </c>
      <c r="C47" s="14"/>
      <c r="D47" s="14">
        <v>46</v>
      </c>
      <c r="E47" s="14">
        <v>6</v>
      </c>
      <c r="F47" s="4" t="s">
        <v>326</v>
      </c>
      <c r="G47" s="5" t="s">
        <v>413</v>
      </c>
    </row>
    <row r="48" spans="1:7" x14ac:dyDescent="0.25">
      <c r="A48" s="4"/>
      <c r="B48" s="4" t="s">
        <v>16</v>
      </c>
      <c r="C48" s="14"/>
      <c r="D48" s="14">
        <v>47</v>
      </c>
      <c r="E48" s="14">
        <v>7</v>
      </c>
      <c r="F48" s="4" t="s">
        <v>327</v>
      </c>
      <c r="G48" s="5" t="s">
        <v>414</v>
      </c>
    </row>
    <row r="49" spans="1:7" x14ac:dyDescent="0.25">
      <c r="A49" s="4"/>
      <c r="B49" s="4" t="s">
        <v>16</v>
      </c>
      <c r="C49" s="14"/>
      <c r="D49" s="14">
        <v>48</v>
      </c>
      <c r="E49" s="14">
        <v>8</v>
      </c>
      <c r="F49" s="4" t="s">
        <v>328</v>
      </c>
      <c r="G49" s="5" t="s">
        <v>415</v>
      </c>
    </row>
    <row r="50" spans="1:7" x14ac:dyDescent="0.25">
      <c r="A50" s="4">
        <v>251</v>
      </c>
      <c r="B50" s="4" t="s">
        <v>17</v>
      </c>
      <c r="C50" s="14" t="s">
        <v>315</v>
      </c>
      <c r="D50" s="14">
        <v>49</v>
      </c>
      <c r="E50" s="14">
        <v>1</v>
      </c>
      <c r="F50" s="4" t="s">
        <v>316</v>
      </c>
      <c r="G50" s="5" t="s">
        <v>416</v>
      </c>
    </row>
    <row r="51" spans="1:7" x14ac:dyDescent="0.25">
      <c r="A51" s="4"/>
      <c r="B51" s="4" t="s">
        <v>17</v>
      </c>
      <c r="C51" s="14"/>
      <c r="D51" s="14">
        <v>50</v>
      </c>
      <c r="E51" s="14">
        <v>2</v>
      </c>
      <c r="F51" s="4" t="s">
        <v>317</v>
      </c>
      <c r="G51" s="5" t="s">
        <v>417</v>
      </c>
    </row>
    <row r="52" spans="1:7" x14ac:dyDescent="0.25">
      <c r="A52" s="4"/>
      <c r="B52" s="4" t="s">
        <v>17</v>
      </c>
      <c r="C52" s="14"/>
      <c r="D52" s="14">
        <v>51</v>
      </c>
      <c r="E52" s="14">
        <v>3</v>
      </c>
      <c r="F52" s="4" t="s">
        <v>318</v>
      </c>
      <c r="G52" s="5" t="s">
        <v>418</v>
      </c>
    </row>
    <row r="53" spans="1:7" x14ac:dyDescent="0.25">
      <c r="A53" s="4"/>
      <c r="B53" s="4" t="s">
        <v>17</v>
      </c>
      <c r="C53" s="14"/>
      <c r="D53" s="14">
        <v>52</v>
      </c>
      <c r="E53" s="14">
        <v>4</v>
      </c>
      <c r="F53" s="4" t="s">
        <v>319</v>
      </c>
      <c r="G53" s="5" t="s">
        <v>419</v>
      </c>
    </row>
    <row r="54" spans="1:7" x14ac:dyDescent="0.25">
      <c r="A54" s="4">
        <v>252</v>
      </c>
      <c r="B54" s="4" t="s">
        <v>18</v>
      </c>
      <c r="C54" s="14" t="s">
        <v>314</v>
      </c>
      <c r="D54" s="14">
        <v>53</v>
      </c>
      <c r="E54" s="14">
        <v>1</v>
      </c>
      <c r="F54" s="4" t="s">
        <v>3</v>
      </c>
      <c r="G54" s="5" t="s">
        <v>420</v>
      </c>
    </row>
    <row r="55" spans="1:7" x14ac:dyDescent="0.25">
      <c r="A55" s="4"/>
      <c r="B55" s="4" t="s">
        <v>18</v>
      </c>
      <c r="C55" s="14"/>
      <c r="D55" s="14">
        <v>54</v>
      </c>
      <c r="E55" s="14">
        <v>2</v>
      </c>
      <c r="F55" s="4" t="s">
        <v>313</v>
      </c>
      <c r="G55" s="5" t="s">
        <v>421</v>
      </c>
    </row>
    <row r="56" spans="1:7" x14ac:dyDescent="0.25">
      <c r="A56" s="4">
        <v>253</v>
      </c>
      <c r="B56" s="4" t="s">
        <v>19</v>
      </c>
      <c r="C56" s="14" t="s">
        <v>311</v>
      </c>
      <c r="D56" s="14">
        <v>55</v>
      </c>
      <c r="E56" s="14">
        <v>1</v>
      </c>
      <c r="F56" s="4" t="s">
        <v>312</v>
      </c>
      <c r="G56" s="5" t="s">
        <v>422</v>
      </c>
    </row>
    <row r="57" spans="1:7" x14ac:dyDescent="0.25">
      <c r="A57" s="4">
        <v>254</v>
      </c>
      <c r="B57" s="4" t="s">
        <v>20</v>
      </c>
      <c r="C57" s="14" t="s">
        <v>301</v>
      </c>
      <c r="D57" s="14">
        <v>56</v>
      </c>
      <c r="E57" s="14">
        <v>1</v>
      </c>
      <c r="F57" s="4" t="s">
        <v>302</v>
      </c>
      <c r="G57" s="5" t="s">
        <v>423</v>
      </c>
    </row>
    <row r="58" spans="1:7" x14ac:dyDescent="0.25">
      <c r="A58" s="4"/>
      <c r="B58" s="4" t="s">
        <v>20</v>
      </c>
      <c r="C58" s="14"/>
      <c r="D58" s="14">
        <v>57</v>
      </c>
      <c r="E58" s="14">
        <v>2</v>
      </c>
      <c r="F58" s="4" t="s">
        <v>303</v>
      </c>
      <c r="G58" s="5" t="s">
        <v>424</v>
      </c>
    </row>
    <row r="59" spans="1:7" x14ac:dyDescent="0.25">
      <c r="A59" s="4"/>
      <c r="B59" s="4" t="s">
        <v>20</v>
      </c>
      <c r="C59" s="14"/>
      <c r="D59" s="14">
        <v>58</v>
      </c>
      <c r="E59" s="14">
        <v>3</v>
      </c>
      <c r="F59" s="4" t="s">
        <v>304</v>
      </c>
      <c r="G59" s="5" t="s">
        <v>425</v>
      </c>
    </row>
    <row r="60" spans="1:7" x14ac:dyDescent="0.25">
      <c r="A60" s="4"/>
      <c r="B60" s="4" t="s">
        <v>20</v>
      </c>
      <c r="C60" s="14"/>
      <c r="D60" s="14">
        <v>59</v>
      </c>
      <c r="E60" s="14">
        <v>4</v>
      </c>
      <c r="F60" s="4" t="s">
        <v>305</v>
      </c>
      <c r="G60" s="5" t="s">
        <v>426</v>
      </c>
    </row>
    <row r="61" spans="1:7" x14ac:dyDescent="0.25">
      <c r="A61" s="4"/>
      <c r="B61" s="4" t="s">
        <v>20</v>
      </c>
      <c r="C61" s="14"/>
      <c r="D61" s="14">
        <v>60</v>
      </c>
      <c r="E61" s="14">
        <v>5</v>
      </c>
      <c r="F61" s="4" t="s">
        <v>306</v>
      </c>
      <c r="G61" s="5" t="s">
        <v>427</v>
      </c>
    </row>
    <row r="62" spans="1:7" x14ac:dyDescent="0.25">
      <c r="A62" s="4"/>
      <c r="B62" s="4" t="s">
        <v>20</v>
      </c>
      <c r="C62" s="14"/>
      <c r="D62" s="14">
        <v>61</v>
      </c>
      <c r="E62" s="14">
        <v>6</v>
      </c>
      <c r="F62" s="4" t="s">
        <v>307</v>
      </c>
      <c r="G62" s="5" t="s">
        <v>428</v>
      </c>
    </row>
    <row r="63" spans="1:7" x14ac:dyDescent="0.25">
      <c r="A63" s="4"/>
      <c r="B63" s="4" t="s">
        <v>20</v>
      </c>
      <c r="C63" s="14"/>
      <c r="D63" s="14">
        <v>62</v>
      </c>
      <c r="E63" s="14">
        <v>7</v>
      </c>
      <c r="F63" s="4" t="s">
        <v>308</v>
      </c>
      <c r="G63" s="5" t="s">
        <v>429</v>
      </c>
    </row>
    <row r="64" spans="1:7" x14ac:dyDescent="0.25">
      <c r="A64" s="4"/>
      <c r="B64" s="4" t="s">
        <v>20</v>
      </c>
      <c r="C64" s="14"/>
      <c r="D64" s="14">
        <v>63</v>
      </c>
      <c r="E64" s="14">
        <v>8</v>
      </c>
      <c r="F64" s="4" t="s">
        <v>309</v>
      </c>
      <c r="G64" s="5" t="s">
        <v>430</v>
      </c>
    </row>
    <row r="65" spans="1:7" x14ac:dyDescent="0.25">
      <c r="A65" s="4"/>
      <c r="B65" s="4" t="s">
        <v>20</v>
      </c>
      <c r="C65" s="14"/>
      <c r="D65" s="14">
        <v>64</v>
      </c>
      <c r="E65" s="14">
        <v>9</v>
      </c>
      <c r="F65" s="4" t="s">
        <v>310</v>
      </c>
      <c r="G65" s="5" t="s">
        <v>431</v>
      </c>
    </row>
    <row r="66" spans="1:7" x14ac:dyDescent="0.25">
      <c r="A66" s="4">
        <v>255</v>
      </c>
      <c r="B66" s="4" t="s">
        <v>21</v>
      </c>
      <c r="C66" s="14" t="s">
        <v>261</v>
      </c>
      <c r="D66" s="14">
        <v>65</v>
      </c>
      <c r="E66" s="14">
        <v>1</v>
      </c>
      <c r="F66" s="4" t="s">
        <v>262</v>
      </c>
      <c r="G66" s="5" t="s">
        <v>432</v>
      </c>
    </row>
    <row r="67" spans="1:7" x14ac:dyDescent="0.25">
      <c r="A67" s="4"/>
      <c r="B67" s="4" t="s">
        <v>21</v>
      </c>
      <c r="C67" s="14"/>
      <c r="D67" s="14">
        <v>66</v>
      </c>
      <c r="E67" s="14">
        <v>2</v>
      </c>
      <c r="F67" s="4" t="s">
        <v>263</v>
      </c>
      <c r="G67" s="5" t="s">
        <v>433</v>
      </c>
    </row>
    <row r="68" spans="1:7" x14ac:dyDescent="0.25">
      <c r="A68" s="4"/>
      <c r="B68" s="4" t="s">
        <v>21</v>
      </c>
      <c r="C68" s="14"/>
      <c r="D68" s="14">
        <v>67</v>
      </c>
      <c r="E68" s="14">
        <v>3</v>
      </c>
      <c r="F68" s="4" t="s">
        <v>264</v>
      </c>
      <c r="G68" s="5" t="s">
        <v>434</v>
      </c>
    </row>
    <row r="69" spans="1:7" x14ac:dyDescent="0.25">
      <c r="A69" s="4"/>
      <c r="B69" s="4" t="s">
        <v>21</v>
      </c>
      <c r="C69" s="14"/>
      <c r="D69" s="14">
        <v>68</v>
      </c>
      <c r="E69" s="14">
        <v>4</v>
      </c>
      <c r="F69" s="4" t="s">
        <v>265</v>
      </c>
      <c r="G69" s="5" t="s">
        <v>435</v>
      </c>
    </row>
    <row r="70" spans="1:7" x14ac:dyDescent="0.25">
      <c r="A70" s="4"/>
      <c r="B70" s="4" t="s">
        <v>21</v>
      </c>
      <c r="C70" s="14"/>
      <c r="D70" s="14">
        <v>69</v>
      </c>
      <c r="E70" s="14">
        <v>5</v>
      </c>
      <c r="F70" s="4" t="s">
        <v>264</v>
      </c>
      <c r="G70" s="5" t="s">
        <v>436</v>
      </c>
    </row>
    <row r="71" spans="1:7" x14ac:dyDescent="0.25">
      <c r="A71" s="4"/>
      <c r="B71" s="4" t="s">
        <v>21</v>
      </c>
      <c r="C71" s="14"/>
      <c r="D71" s="14">
        <v>70</v>
      </c>
      <c r="E71" s="14">
        <v>6</v>
      </c>
      <c r="F71" s="4" t="s">
        <v>266</v>
      </c>
      <c r="G71" s="5" t="s">
        <v>437</v>
      </c>
    </row>
    <row r="72" spans="1:7" x14ac:dyDescent="0.25">
      <c r="A72" s="4"/>
      <c r="B72" s="4" t="s">
        <v>21</v>
      </c>
      <c r="C72" s="14"/>
      <c r="D72" s="14">
        <v>71</v>
      </c>
      <c r="E72" s="14">
        <v>7</v>
      </c>
      <c r="F72" s="4" t="s">
        <v>267</v>
      </c>
      <c r="G72" s="5" t="s">
        <v>438</v>
      </c>
    </row>
    <row r="73" spans="1:7" x14ac:dyDescent="0.25">
      <c r="A73" s="4"/>
      <c r="B73" s="4" t="s">
        <v>21</v>
      </c>
      <c r="C73" s="14"/>
      <c r="D73" s="14">
        <v>72</v>
      </c>
      <c r="E73" s="14">
        <v>8</v>
      </c>
      <c r="F73" s="4" t="s">
        <v>268</v>
      </c>
      <c r="G73" s="5" t="s">
        <v>438</v>
      </c>
    </row>
    <row r="74" spans="1:7" x14ac:dyDescent="0.25">
      <c r="A74" s="4"/>
      <c r="B74" s="4" t="s">
        <v>21</v>
      </c>
      <c r="C74" s="14"/>
      <c r="D74" s="14">
        <v>73</v>
      </c>
      <c r="E74" s="14">
        <v>9</v>
      </c>
      <c r="F74" s="4" t="s">
        <v>269</v>
      </c>
      <c r="G74" s="5" t="s">
        <v>439</v>
      </c>
    </row>
    <row r="75" spans="1:7" x14ac:dyDescent="0.25">
      <c r="A75" s="4"/>
      <c r="B75" s="4" t="s">
        <v>21</v>
      </c>
      <c r="C75" s="14"/>
      <c r="D75" s="14">
        <v>74</v>
      </c>
      <c r="E75" s="14">
        <v>10</v>
      </c>
      <c r="F75" s="4" t="s">
        <v>270</v>
      </c>
      <c r="G75" s="5" t="s">
        <v>440</v>
      </c>
    </row>
    <row r="76" spans="1:7" x14ac:dyDescent="0.25">
      <c r="A76" s="4"/>
      <c r="B76" s="4" t="s">
        <v>21</v>
      </c>
      <c r="C76" s="14"/>
      <c r="D76" s="14">
        <v>75</v>
      </c>
      <c r="E76" s="14">
        <v>11</v>
      </c>
      <c r="F76" s="4" t="s">
        <v>271</v>
      </c>
      <c r="G76" s="5" t="s">
        <v>441</v>
      </c>
    </row>
    <row r="77" spans="1:7" x14ac:dyDescent="0.25">
      <c r="A77" s="4"/>
      <c r="B77" s="4" t="s">
        <v>21</v>
      </c>
      <c r="C77" s="14"/>
      <c r="D77" s="14">
        <v>76</v>
      </c>
      <c r="E77" s="14">
        <v>12</v>
      </c>
      <c r="F77" s="4" t="s">
        <v>272</v>
      </c>
      <c r="G77" s="5" t="s">
        <v>442</v>
      </c>
    </row>
    <row r="78" spans="1:7" x14ac:dyDescent="0.25">
      <c r="A78" s="4"/>
      <c r="B78" s="4" t="s">
        <v>21</v>
      </c>
      <c r="C78" s="14"/>
      <c r="D78" s="14">
        <v>77</v>
      </c>
      <c r="E78" s="14">
        <v>13</v>
      </c>
      <c r="F78" s="4" t="s">
        <v>273</v>
      </c>
      <c r="G78" s="5" t="s">
        <v>443</v>
      </c>
    </row>
    <row r="79" spans="1:7" x14ac:dyDescent="0.25">
      <c r="A79" s="4"/>
      <c r="B79" s="4" t="s">
        <v>21</v>
      </c>
      <c r="C79" s="14"/>
      <c r="D79" s="14">
        <v>78</v>
      </c>
      <c r="E79" s="14">
        <v>14</v>
      </c>
      <c r="F79" s="4" t="s">
        <v>274</v>
      </c>
      <c r="G79" s="5" t="s">
        <v>444</v>
      </c>
    </row>
    <row r="80" spans="1:7" x14ac:dyDescent="0.25">
      <c r="A80" s="4"/>
      <c r="B80" s="4" t="s">
        <v>21</v>
      </c>
      <c r="C80" s="14"/>
      <c r="D80" s="14">
        <v>79</v>
      </c>
      <c r="E80" s="14">
        <v>15</v>
      </c>
      <c r="F80" s="4" t="s">
        <v>273</v>
      </c>
      <c r="G80" s="5" t="s">
        <v>445</v>
      </c>
    </row>
    <row r="81" spans="1:7" x14ac:dyDescent="0.25">
      <c r="A81" s="4"/>
      <c r="B81" s="4" t="s">
        <v>21</v>
      </c>
      <c r="C81" s="14"/>
      <c r="D81" s="14">
        <v>80</v>
      </c>
      <c r="E81" s="14">
        <v>16</v>
      </c>
      <c r="F81" s="4" t="s">
        <v>275</v>
      </c>
      <c r="G81" s="5" t="s">
        <v>446</v>
      </c>
    </row>
    <row r="82" spans="1:7" x14ac:dyDescent="0.25">
      <c r="A82" s="4"/>
      <c r="B82" s="4" t="s">
        <v>21</v>
      </c>
      <c r="C82" s="14"/>
      <c r="D82" s="14">
        <v>81</v>
      </c>
      <c r="E82" s="14">
        <v>17</v>
      </c>
      <c r="F82" s="4" t="s">
        <v>276</v>
      </c>
      <c r="G82" s="5" t="s">
        <v>447</v>
      </c>
    </row>
    <row r="83" spans="1:7" x14ac:dyDescent="0.25">
      <c r="A83" s="4"/>
      <c r="B83" s="4" t="s">
        <v>21</v>
      </c>
      <c r="C83" s="14"/>
      <c r="D83" s="14">
        <v>82</v>
      </c>
      <c r="E83" s="14">
        <v>18</v>
      </c>
      <c r="F83" s="4" t="s">
        <v>277</v>
      </c>
      <c r="G83" s="5" t="s">
        <v>448</v>
      </c>
    </row>
    <row r="84" spans="1:7" x14ac:dyDescent="0.25">
      <c r="A84" s="4"/>
      <c r="B84" s="4" t="s">
        <v>21</v>
      </c>
      <c r="C84" s="14"/>
      <c r="D84" s="14">
        <v>83</v>
      </c>
      <c r="E84" s="14">
        <v>19</v>
      </c>
      <c r="F84" s="4" t="s">
        <v>278</v>
      </c>
      <c r="G84" s="5" t="s">
        <v>449</v>
      </c>
    </row>
    <row r="85" spans="1:7" x14ac:dyDescent="0.25">
      <c r="A85" s="4"/>
      <c r="B85" s="4" t="s">
        <v>21</v>
      </c>
      <c r="C85" s="14"/>
      <c r="D85" s="14">
        <v>84</v>
      </c>
      <c r="E85" s="14">
        <v>20</v>
      </c>
      <c r="F85" s="4" t="s">
        <v>279</v>
      </c>
      <c r="G85" s="5" t="s">
        <v>450</v>
      </c>
    </row>
    <row r="86" spans="1:7" x14ac:dyDescent="0.25">
      <c r="A86" s="4"/>
      <c r="B86" s="4" t="s">
        <v>21</v>
      </c>
      <c r="C86" s="14"/>
      <c r="D86" s="14">
        <v>85</v>
      </c>
      <c r="E86" s="14">
        <v>21</v>
      </c>
      <c r="F86" s="4" t="s">
        <v>280</v>
      </c>
      <c r="G86" s="5" t="s">
        <v>451</v>
      </c>
    </row>
    <row r="87" spans="1:7" x14ac:dyDescent="0.25">
      <c r="A87" s="4"/>
      <c r="B87" s="4" t="s">
        <v>21</v>
      </c>
      <c r="C87" s="14"/>
      <c r="D87" s="14">
        <v>86</v>
      </c>
      <c r="E87" s="14">
        <v>22</v>
      </c>
      <c r="F87" s="4" t="s">
        <v>281</v>
      </c>
      <c r="G87" s="5" t="s">
        <v>452</v>
      </c>
    </row>
    <row r="88" spans="1:7" x14ac:dyDescent="0.25">
      <c r="A88" s="4"/>
      <c r="B88" s="4" t="s">
        <v>21</v>
      </c>
      <c r="C88" s="14"/>
      <c r="D88" s="14">
        <v>87</v>
      </c>
      <c r="E88" s="14">
        <v>23</v>
      </c>
      <c r="F88" s="4" t="s">
        <v>282</v>
      </c>
      <c r="G88" s="5" t="s">
        <v>453</v>
      </c>
    </row>
    <row r="89" spans="1:7" x14ac:dyDescent="0.25">
      <c r="A89" s="4"/>
      <c r="B89" s="4" t="s">
        <v>21</v>
      </c>
      <c r="C89" s="14"/>
      <c r="D89" s="14">
        <v>88</v>
      </c>
      <c r="E89" s="14">
        <v>24</v>
      </c>
      <c r="F89" s="4" t="s">
        <v>283</v>
      </c>
      <c r="G89" s="5" t="s">
        <v>454</v>
      </c>
    </row>
    <row r="90" spans="1:7" x14ac:dyDescent="0.25">
      <c r="A90" s="4"/>
      <c r="B90" s="4" t="s">
        <v>21</v>
      </c>
      <c r="C90" s="14"/>
      <c r="D90" s="14">
        <v>89</v>
      </c>
      <c r="E90" s="14">
        <v>25</v>
      </c>
      <c r="F90" s="4" t="s">
        <v>284</v>
      </c>
      <c r="G90" s="5" t="s">
        <v>455</v>
      </c>
    </row>
    <row r="91" spans="1:7" x14ac:dyDescent="0.25">
      <c r="A91" s="4"/>
      <c r="B91" s="4" t="s">
        <v>21</v>
      </c>
      <c r="C91" s="14"/>
      <c r="D91" s="14">
        <v>90</v>
      </c>
      <c r="E91" s="14">
        <v>26</v>
      </c>
      <c r="F91" s="4" t="s">
        <v>285</v>
      </c>
      <c r="G91" s="5" t="s">
        <v>456</v>
      </c>
    </row>
    <row r="92" spans="1:7" x14ac:dyDescent="0.25">
      <c r="A92" s="4"/>
      <c r="B92" s="4" t="s">
        <v>21</v>
      </c>
      <c r="C92" s="14"/>
      <c r="D92" s="14">
        <v>91</v>
      </c>
      <c r="E92" s="14">
        <v>27</v>
      </c>
      <c r="F92" s="4" t="s">
        <v>286</v>
      </c>
      <c r="G92" s="5" t="s">
        <v>457</v>
      </c>
    </row>
    <row r="93" spans="1:7" x14ac:dyDescent="0.25">
      <c r="A93" s="4"/>
      <c r="B93" s="4" t="s">
        <v>21</v>
      </c>
      <c r="C93" s="14"/>
      <c r="D93" s="14">
        <v>92</v>
      </c>
      <c r="E93" s="14">
        <v>28</v>
      </c>
      <c r="F93" s="4" t="s">
        <v>287</v>
      </c>
      <c r="G93" s="5" t="s">
        <v>458</v>
      </c>
    </row>
    <row r="94" spans="1:7" x14ac:dyDescent="0.25">
      <c r="A94" s="4"/>
      <c r="B94" s="4" t="s">
        <v>21</v>
      </c>
      <c r="C94" s="14"/>
      <c r="D94" s="14">
        <v>93</v>
      </c>
      <c r="E94" s="14">
        <v>29</v>
      </c>
      <c r="F94" s="4" t="s">
        <v>288</v>
      </c>
      <c r="G94" s="5" t="s">
        <v>459</v>
      </c>
    </row>
    <row r="95" spans="1:7" x14ac:dyDescent="0.25">
      <c r="A95" s="4"/>
      <c r="B95" s="4" t="s">
        <v>21</v>
      </c>
      <c r="C95" s="14"/>
      <c r="D95" s="14">
        <v>94</v>
      </c>
      <c r="E95" s="14">
        <v>30</v>
      </c>
      <c r="F95" s="4" t="s">
        <v>289</v>
      </c>
      <c r="G95" s="5" t="s">
        <v>460</v>
      </c>
    </row>
    <row r="96" spans="1:7" x14ac:dyDescent="0.25">
      <c r="A96" s="4"/>
      <c r="B96" s="4" t="s">
        <v>21</v>
      </c>
      <c r="C96" s="14"/>
      <c r="D96" s="14">
        <v>95</v>
      </c>
      <c r="E96" s="14">
        <v>31</v>
      </c>
      <c r="F96" s="4" t="s">
        <v>290</v>
      </c>
      <c r="G96" s="5" t="s">
        <v>461</v>
      </c>
    </row>
    <row r="97" spans="1:7" x14ac:dyDescent="0.25">
      <c r="A97" s="4"/>
      <c r="B97" s="4" t="s">
        <v>21</v>
      </c>
      <c r="C97" s="14"/>
      <c r="D97" s="14">
        <v>96</v>
      </c>
      <c r="E97" s="14">
        <v>32</v>
      </c>
      <c r="F97" s="4" t="s">
        <v>291</v>
      </c>
      <c r="G97" s="5" t="s">
        <v>462</v>
      </c>
    </row>
    <row r="98" spans="1:7" x14ac:dyDescent="0.25">
      <c r="A98" s="4"/>
      <c r="B98" s="4" t="s">
        <v>21</v>
      </c>
      <c r="C98" s="14"/>
      <c r="D98" s="14">
        <v>97</v>
      </c>
      <c r="E98" s="14">
        <v>33</v>
      </c>
      <c r="F98" s="4" t="s">
        <v>292</v>
      </c>
      <c r="G98" s="5" t="s">
        <v>463</v>
      </c>
    </row>
    <row r="99" spans="1:7" x14ac:dyDescent="0.25">
      <c r="A99" s="4"/>
      <c r="B99" s="4" t="s">
        <v>21</v>
      </c>
      <c r="C99" s="14"/>
      <c r="D99" s="14">
        <v>98</v>
      </c>
      <c r="E99" s="14">
        <v>34</v>
      </c>
      <c r="F99" s="4" t="s">
        <v>293</v>
      </c>
      <c r="G99" s="5" t="s">
        <v>464</v>
      </c>
    </row>
    <row r="100" spans="1:7" x14ac:dyDescent="0.25">
      <c r="A100" s="4"/>
      <c r="B100" s="4" t="s">
        <v>21</v>
      </c>
      <c r="C100" s="14"/>
      <c r="D100" s="14">
        <v>99</v>
      </c>
      <c r="E100" s="14">
        <v>35</v>
      </c>
      <c r="F100" s="4" t="s">
        <v>294</v>
      </c>
      <c r="G100" s="5" t="s">
        <v>465</v>
      </c>
    </row>
    <row r="101" spans="1:7" x14ac:dyDescent="0.25">
      <c r="A101" s="4"/>
      <c r="B101" s="4" t="s">
        <v>21</v>
      </c>
      <c r="C101" s="14"/>
      <c r="D101" s="14">
        <v>100</v>
      </c>
      <c r="E101" s="14">
        <v>36</v>
      </c>
      <c r="F101" s="4" t="s">
        <v>295</v>
      </c>
      <c r="G101" s="5" t="s">
        <v>466</v>
      </c>
    </row>
    <row r="102" spans="1:7" x14ac:dyDescent="0.25">
      <c r="A102" s="4"/>
      <c r="B102" s="4" t="s">
        <v>21</v>
      </c>
      <c r="C102" s="14"/>
      <c r="D102" s="14">
        <v>101</v>
      </c>
      <c r="E102" s="14">
        <v>37</v>
      </c>
      <c r="F102" s="4" t="s">
        <v>296</v>
      </c>
      <c r="G102" s="5" t="s">
        <v>467</v>
      </c>
    </row>
    <row r="103" spans="1:7" x14ac:dyDescent="0.25">
      <c r="A103" s="4"/>
      <c r="B103" s="4" t="s">
        <v>21</v>
      </c>
      <c r="C103" s="14"/>
      <c r="D103" s="14">
        <v>102</v>
      </c>
      <c r="E103" s="14">
        <v>38</v>
      </c>
      <c r="F103" s="4" t="s">
        <v>297</v>
      </c>
      <c r="G103" s="5" t="s">
        <v>468</v>
      </c>
    </row>
    <row r="104" spans="1:7" x14ac:dyDescent="0.25">
      <c r="A104" s="4"/>
      <c r="B104" s="4" t="s">
        <v>21</v>
      </c>
      <c r="C104" s="14"/>
      <c r="D104" s="14">
        <v>103</v>
      </c>
      <c r="E104" s="14">
        <v>39</v>
      </c>
      <c r="F104" s="4" t="s">
        <v>298</v>
      </c>
      <c r="G104" s="5" t="s">
        <v>469</v>
      </c>
    </row>
    <row r="105" spans="1:7" x14ac:dyDescent="0.25">
      <c r="A105" s="4"/>
      <c r="B105" s="4" t="s">
        <v>21</v>
      </c>
      <c r="C105" s="14"/>
      <c r="D105" s="14">
        <v>104</v>
      </c>
      <c r="E105" s="14">
        <v>40</v>
      </c>
      <c r="F105" s="4" t="s">
        <v>299</v>
      </c>
      <c r="G105" s="5" t="s">
        <v>470</v>
      </c>
    </row>
    <row r="106" spans="1:7" x14ac:dyDescent="0.25">
      <c r="A106" s="4"/>
      <c r="B106" s="4" t="s">
        <v>21</v>
      </c>
      <c r="C106" s="14"/>
      <c r="D106" s="14">
        <v>105</v>
      </c>
      <c r="E106" s="14">
        <v>41</v>
      </c>
      <c r="F106" s="4" t="s">
        <v>300</v>
      </c>
      <c r="G106" s="5" t="s">
        <v>471</v>
      </c>
    </row>
    <row r="107" spans="1:7" x14ac:dyDescent="0.25">
      <c r="A107" s="4">
        <v>256</v>
      </c>
      <c r="B107" s="4" t="s">
        <v>22</v>
      </c>
      <c r="C107" s="14" t="s">
        <v>172</v>
      </c>
      <c r="D107" s="14">
        <v>106</v>
      </c>
      <c r="E107" s="14">
        <v>1</v>
      </c>
      <c r="F107" s="4" t="s">
        <v>173</v>
      </c>
      <c r="G107" s="5" t="s">
        <v>472</v>
      </c>
    </row>
    <row r="108" spans="1:7" x14ac:dyDescent="0.25">
      <c r="A108" s="4"/>
      <c r="B108" s="4" t="s">
        <v>22</v>
      </c>
      <c r="C108" s="14"/>
      <c r="D108" s="14">
        <v>107</v>
      </c>
      <c r="E108" s="14">
        <v>2</v>
      </c>
      <c r="F108" s="4" t="s">
        <v>174</v>
      </c>
      <c r="G108" s="5" t="s">
        <v>473</v>
      </c>
    </row>
    <row r="109" spans="1:7" x14ac:dyDescent="0.25">
      <c r="A109" s="4"/>
      <c r="B109" s="4" t="s">
        <v>22</v>
      </c>
      <c r="C109" s="14"/>
      <c r="D109" s="14">
        <v>108</v>
      </c>
      <c r="E109" s="14">
        <v>3</v>
      </c>
      <c r="F109" s="4" t="s">
        <v>175</v>
      </c>
      <c r="G109" s="5" t="s">
        <v>474</v>
      </c>
    </row>
    <row r="110" spans="1:7" x14ac:dyDescent="0.25">
      <c r="A110" s="4"/>
      <c r="B110" s="4" t="s">
        <v>22</v>
      </c>
      <c r="C110" s="14"/>
      <c r="D110" s="14">
        <v>109</v>
      </c>
      <c r="E110" s="14">
        <v>4</v>
      </c>
      <c r="F110" s="4" t="s">
        <v>176</v>
      </c>
      <c r="G110" s="5" t="s">
        <v>475</v>
      </c>
    </row>
    <row r="111" spans="1:7" x14ac:dyDescent="0.25">
      <c r="A111" s="4"/>
      <c r="B111" s="4" t="s">
        <v>22</v>
      </c>
      <c r="C111" s="14"/>
      <c r="D111" s="14">
        <v>110</v>
      </c>
      <c r="E111" s="14">
        <v>5</v>
      </c>
      <c r="F111" s="4" t="s">
        <v>177</v>
      </c>
      <c r="G111" s="5" t="s">
        <v>476</v>
      </c>
    </row>
    <row r="112" spans="1:7" x14ac:dyDescent="0.25">
      <c r="A112" s="4"/>
      <c r="B112" s="4" t="s">
        <v>22</v>
      </c>
      <c r="C112" s="14"/>
      <c r="D112" s="14">
        <v>111</v>
      </c>
      <c r="E112" s="14">
        <v>6</v>
      </c>
      <c r="F112" s="4" t="s">
        <v>178</v>
      </c>
      <c r="G112" s="5" t="s">
        <v>477</v>
      </c>
    </row>
    <row r="113" spans="1:7" x14ac:dyDescent="0.25">
      <c r="A113" s="4"/>
      <c r="B113" s="4" t="s">
        <v>22</v>
      </c>
      <c r="C113" s="14"/>
      <c r="D113" s="14">
        <v>112</v>
      </c>
      <c r="E113" s="14">
        <v>7</v>
      </c>
      <c r="F113" s="4" t="s">
        <v>179</v>
      </c>
      <c r="G113" s="5" t="s">
        <v>478</v>
      </c>
    </row>
    <row r="114" spans="1:7" x14ac:dyDescent="0.25">
      <c r="A114" s="4"/>
      <c r="B114" s="4" t="s">
        <v>22</v>
      </c>
      <c r="C114" s="14"/>
      <c r="D114" s="14">
        <v>113</v>
      </c>
      <c r="E114" s="14">
        <v>8</v>
      </c>
      <c r="F114" s="4" t="s">
        <v>180</v>
      </c>
      <c r="G114" s="5" t="s">
        <v>479</v>
      </c>
    </row>
    <row r="115" spans="1:7" x14ac:dyDescent="0.25">
      <c r="A115" s="4"/>
      <c r="B115" s="4" t="s">
        <v>22</v>
      </c>
      <c r="C115" s="14"/>
      <c r="D115" s="14">
        <v>114</v>
      </c>
      <c r="E115" s="14">
        <v>9</v>
      </c>
      <c r="F115" s="4" t="s">
        <v>181</v>
      </c>
      <c r="G115" s="5" t="s">
        <v>480</v>
      </c>
    </row>
    <row r="116" spans="1:7" x14ac:dyDescent="0.25">
      <c r="A116" s="4"/>
      <c r="B116" s="4" t="s">
        <v>22</v>
      </c>
      <c r="C116" s="14"/>
      <c r="D116" s="14">
        <v>115</v>
      </c>
      <c r="E116" s="14">
        <v>10</v>
      </c>
      <c r="F116" s="4" t="s">
        <v>182</v>
      </c>
      <c r="G116" s="5" t="s">
        <v>481</v>
      </c>
    </row>
    <row r="117" spans="1:7" x14ac:dyDescent="0.25">
      <c r="A117" s="4"/>
      <c r="B117" s="4" t="s">
        <v>22</v>
      </c>
      <c r="C117" s="14"/>
      <c r="D117" s="14">
        <v>116</v>
      </c>
      <c r="E117" s="14">
        <v>11</v>
      </c>
      <c r="F117" s="4" t="s">
        <v>183</v>
      </c>
      <c r="G117" s="5" t="s">
        <v>482</v>
      </c>
    </row>
    <row r="118" spans="1:7" x14ac:dyDescent="0.25">
      <c r="A118" s="4"/>
      <c r="B118" s="4" t="s">
        <v>22</v>
      </c>
      <c r="C118" s="14"/>
      <c r="D118" s="14">
        <v>117</v>
      </c>
      <c r="E118" s="14">
        <v>12</v>
      </c>
      <c r="F118" s="4" t="s">
        <v>184</v>
      </c>
      <c r="G118" s="5" t="s">
        <v>483</v>
      </c>
    </row>
    <row r="119" spans="1:7" x14ac:dyDescent="0.25">
      <c r="A119" s="4"/>
      <c r="B119" s="4" t="s">
        <v>22</v>
      </c>
      <c r="C119" s="14"/>
      <c r="D119" s="14">
        <v>118</v>
      </c>
      <c r="E119" s="14">
        <v>13</v>
      </c>
      <c r="F119" s="4" t="s">
        <v>185</v>
      </c>
      <c r="G119" s="5" t="s">
        <v>484</v>
      </c>
    </row>
    <row r="120" spans="1:7" x14ac:dyDescent="0.25">
      <c r="A120" s="4"/>
      <c r="B120" s="4" t="s">
        <v>22</v>
      </c>
      <c r="C120" s="14"/>
      <c r="D120" s="14">
        <v>119</v>
      </c>
      <c r="E120" s="14">
        <v>14</v>
      </c>
      <c r="F120" s="4" t="s">
        <v>186</v>
      </c>
      <c r="G120" s="5" t="s">
        <v>485</v>
      </c>
    </row>
    <row r="121" spans="1:7" x14ac:dyDescent="0.25">
      <c r="A121" s="4"/>
      <c r="B121" s="4" t="s">
        <v>22</v>
      </c>
      <c r="C121" s="14"/>
      <c r="D121" s="14">
        <v>120</v>
      </c>
      <c r="E121" s="14">
        <v>15</v>
      </c>
      <c r="F121" s="4" t="s">
        <v>187</v>
      </c>
      <c r="G121" s="5" t="s">
        <v>486</v>
      </c>
    </row>
    <row r="122" spans="1:7" x14ac:dyDescent="0.25">
      <c r="A122" s="4"/>
      <c r="B122" s="4" t="s">
        <v>22</v>
      </c>
      <c r="C122" s="14"/>
      <c r="D122" s="14">
        <v>121</v>
      </c>
      <c r="E122" s="14">
        <v>16</v>
      </c>
      <c r="F122" s="4" t="s">
        <v>188</v>
      </c>
      <c r="G122" s="5" t="s">
        <v>487</v>
      </c>
    </row>
    <row r="123" spans="1:7" x14ac:dyDescent="0.25">
      <c r="A123" s="4"/>
      <c r="B123" s="4" t="s">
        <v>22</v>
      </c>
      <c r="C123" s="14"/>
      <c r="D123" s="14">
        <v>122</v>
      </c>
      <c r="E123" s="14">
        <v>17</v>
      </c>
      <c r="F123" s="4" t="s">
        <v>189</v>
      </c>
      <c r="G123" s="5" t="s">
        <v>488</v>
      </c>
    </row>
    <row r="124" spans="1:7" x14ac:dyDescent="0.25">
      <c r="A124" s="4"/>
      <c r="B124" s="4" t="s">
        <v>22</v>
      </c>
      <c r="C124" s="14"/>
      <c r="D124" s="14">
        <v>123</v>
      </c>
      <c r="E124" s="14">
        <v>18</v>
      </c>
      <c r="F124" s="4" t="s">
        <v>190</v>
      </c>
      <c r="G124" s="5" t="s">
        <v>489</v>
      </c>
    </row>
    <row r="125" spans="1:7" x14ac:dyDescent="0.25">
      <c r="A125" s="4"/>
      <c r="B125" s="4" t="s">
        <v>22</v>
      </c>
      <c r="C125" s="14"/>
      <c r="D125" s="14">
        <v>124</v>
      </c>
      <c r="E125" s="14">
        <v>19</v>
      </c>
      <c r="F125" s="4" t="s">
        <v>191</v>
      </c>
      <c r="G125" s="5" t="s">
        <v>490</v>
      </c>
    </row>
    <row r="126" spans="1:7" x14ac:dyDescent="0.25">
      <c r="A126" s="4"/>
      <c r="B126" s="4" t="s">
        <v>22</v>
      </c>
      <c r="C126" s="14"/>
      <c r="D126" s="14">
        <v>125</v>
      </c>
      <c r="E126" s="14">
        <v>20</v>
      </c>
      <c r="F126" s="4" t="s">
        <v>192</v>
      </c>
      <c r="G126" s="5" t="s">
        <v>491</v>
      </c>
    </row>
    <row r="127" spans="1:7" x14ac:dyDescent="0.25">
      <c r="A127" s="4"/>
      <c r="B127" s="4" t="s">
        <v>22</v>
      </c>
      <c r="C127" s="14"/>
      <c r="D127" s="14">
        <v>126</v>
      </c>
      <c r="E127" s="14">
        <v>21</v>
      </c>
      <c r="F127" s="4" t="s">
        <v>193</v>
      </c>
      <c r="G127" s="5" t="s">
        <v>492</v>
      </c>
    </row>
    <row r="128" spans="1:7" x14ac:dyDescent="0.25">
      <c r="A128" s="4"/>
      <c r="B128" s="4" t="s">
        <v>22</v>
      </c>
      <c r="C128" s="14"/>
      <c r="D128" s="14">
        <v>127</v>
      </c>
      <c r="E128" s="14">
        <v>22</v>
      </c>
      <c r="F128" s="4" t="s">
        <v>194</v>
      </c>
      <c r="G128" s="5" t="s">
        <v>493</v>
      </c>
    </row>
    <row r="129" spans="1:7" x14ac:dyDescent="0.25">
      <c r="A129" s="4"/>
      <c r="B129" s="4" t="s">
        <v>22</v>
      </c>
      <c r="C129" s="14"/>
      <c r="D129" s="14">
        <v>128</v>
      </c>
      <c r="E129" s="14">
        <v>23</v>
      </c>
      <c r="F129" s="4" t="s">
        <v>195</v>
      </c>
      <c r="G129" s="5" t="s">
        <v>494</v>
      </c>
    </row>
    <row r="130" spans="1:7" x14ac:dyDescent="0.25">
      <c r="A130" s="4"/>
      <c r="B130" s="4" t="s">
        <v>22</v>
      </c>
      <c r="C130" s="14"/>
      <c r="D130" s="14">
        <v>129</v>
      </c>
      <c r="E130" s="14">
        <v>24</v>
      </c>
      <c r="F130" s="4" t="s">
        <v>196</v>
      </c>
      <c r="G130" s="5" t="s">
        <v>495</v>
      </c>
    </row>
    <row r="131" spans="1:7" x14ac:dyDescent="0.25">
      <c r="A131" s="4"/>
      <c r="B131" s="4" t="s">
        <v>22</v>
      </c>
      <c r="C131" s="14"/>
      <c r="D131" s="14">
        <v>130</v>
      </c>
      <c r="E131" s="14">
        <v>25</v>
      </c>
      <c r="F131" s="4" t="s">
        <v>197</v>
      </c>
      <c r="G131" s="5" t="s">
        <v>496</v>
      </c>
    </row>
    <row r="132" spans="1:7" x14ac:dyDescent="0.25">
      <c r="A132" s="4"/>
      <c r="B132" s="4" t="s">
        <v>22</v>
      </c>
      <c r="C132" s="14"/>
      <c r="D132" s="14">
        <v>131</v>
      </c>
      <c r="E132" s="14">
        <v>26</v>
      </c>
      <c r="F132" s="4" t="s">
        <v>198</v>
      </c>
      <c r="G132" s="5" t="s">
        <v>497</v>
      </c>
    </row>
    <row r="133" spans="1:7" x14ac:dyDescent="0.25">
      <c r="A133" s="4"/>
      <c r="B133" s="4" t="s">
        <v>22</v>
      </c>
      <c r="C133" s="14"/>
      <c r="D133" s="14">
        <v>132</v>
      </c>
      <c r="E133" s="14">
        <v>27</v>
      </c>
      <c r="F133" s="4" t="s">
        <v>199</v>
      </c>
      <c r="G133" s="5" t="s">
        <v>498</v>
      </c>
    </row>
    <row r="134" spans="1:7" x14ac:dyDescent="0.25">
      <c r="A134" s="4"/>
      <c r="B134" s="4" t="s">
        <v>22</v>
      </c>
      <c r="C134" s="14"/>
      <c r="D134" s="14">
        <v>133</v>
      </c>
      <c r="E134" s="14">
        <v>28</v>
      </c>
      <c r="F134" s="4" t="s">
        <v>200</v>
      </c>
      <c r="G134" s="5" t="s">
        <v>499</v>
      </c>
    </row>
    <row r="135" spans="1:7" x14ac:dyDescent="0.25">
      <c r="A135" s="4"/>
      <c r="B135" s="4" t="s">
        <v>22</v>
      </c>
      <c r="C135" s="14"/>
      <c r="D135" s="14">
        <v>134</v>
      </c>
      <c r="E135" s="14">
        <v>29</v>
      </c>
      <c r="F135" s="4" t="s">
        <v>201</v>
      </c>
      <c r="G135" s="5" t="s">
        <v>500</v>
      </c>
    </row>
    <row r="136" spans="1:7" x14ac:dyDescent="0.25">
      <c r="A136" s="4"/>
      <c r="B136" s="4" t="s">
        <v>22</v>
      </c>
      <c r="C136" s="14"/>
      <c r="D136" s="14">
        <v>135</v>
      </c>
      <c r="E136" s="14">
        <v>30</v>
      </c>
      <c r="F136" s="4" t="s">
        <v>202</v>
      </c>
      <c r="G136" s="5" t="s">
        <v>501</v>
      </c>
    </row>
    <row r="137" spans="1:7" x14ac:dyDescent="0.25">
      <c r="A137" s="4"/>
      <c r="B137" s="4" t="s">
        <v>22</v>
      </c>
      <c r="C137" s="14"/>
      <c r="D137" s="14">
        <v>136</v>
      </c>
      <c r="E137" s="14">
        <v>31</v>
      </c>
      <c r="F137" s="4" t="s">
        <v>203</v>
      </c>
      <c r="G137" s="5" t="s">
        <v>502</v>
      </c>
    </row>
    <row r="138" spans="1:7" x14ac:dyDescent="0.25">
      <c r="A138" s="4"/>
      <c r="B138" s="4" t="s">
        <v>22</v>
      </c>
      <c r="C138" s="14"/>
      <c r="D138" s="14">
        <v>137</v>
      </c>
      <c r="E138" s="14">
        <v>32</v>
      </c>
      <c r="F138" s="4" t="s">
        <v>204</v>
      </c>
      <c r="G138" s="5" t="s">
        <v>503</v>
      </c>
    </row>
    <row r="139" spans="1:7" x14ac:dyDescent="0.25">
      <c r="A139" s="4"/>
      <c r="B139" s="4" t="s">
        <v>22</v>
      </c>
      <c r="C139" s="14"/>
      <c r="D139" s="14">
        <v>138</v>
      </c>
      <c r="E139" s="14">
        <v>33</v>
      </c>
      <c r="F139" s="4" t="s">
        <v>205</v>
      </c>
      <c r="G139" s="5" t="s">
        <v>504</v>
      </c>
    </row>
    <row r="140" spans="1:7" x14ac:dyDescent="0.25">
      <c r="A140" s="4"/>
      <c r="B140" s="4" t="s">
        <v>22</v>
      </c>
      <c r="C140" s="14"/>
      <c r="D140" s="14">
        <v>139</v>
      </c>
      <c r="E140" s="14">
        <v>34</v>
      </c>
      <c r="F140" s="4" t="s">
        <v>206</v>
      </c>
      <c r="G140" s="5" t="s">
        <v>505</v>
      </c>
    </row>
    <row r="141" spans="1:7" x14ac:dyDescent="0.25">
      <c r="A141" s="4"/>
      <c r="B141" s="4" t="s">
        <v>22</v>
      </c>
      <c r="C141" s="14"/>
      <c r="D141" s="14">
        <v>140</v>
      </c>
      <c r="E141" s="14">
        <v>35</v>
      </c>
      <c r="F141" s="4" t="s">
        <v>207</v>
      </c>
      <c r="G141" s="5" t="s">
        <v>506</v>
      </c>
    </row>
    <row r="142" spans="1:7" x14ac:dyDescent="0.25">
      <c r="A142" s="4"/>
      <c r="B142" s="4" t="s">
        <v>22</v>
      </c>
      <c r="C142" s="14"/>
      <c r="D142" s="14">
        <v>141</v>
      </c>
      <c r="E142" s="14">
        <v>36</v>
      </c>
      <c r="F142" s="4" t="s">
        <v>208</v>
      </c>
      <c r="G142" s="5" t="s">
        <v>507</v>
      </c>
    </row>
    <row r="143" spans="1:7" x14ac:dyDescent="0.25">
      <c r="A143" s="4"/>
      <c r="B143" s="4" t="s">
        <v>22</v>
      </c>
      <c r="C143" s="14"/>
      <c r="D143" s="14">
        <v>142</v>
      </c>
      <c r="E143" s="14">
        <v>37</v>
      </c>
      <c r="F143" s="4" t="s">
        <v>209</v>
      </c>
      <c r="G143" s="5" t="s">
        <v>508</v>
      </c>
    </row>
    <row r="144" spans="1:7" x14ac:dyDescent="0.25">
      <c r="A144" s="4"/>
      <c r="B144" s="4" t="s">
        <v>22</v>
      </c>
      <c r="C144" s="14"/>
      <c r="D144" s="14">
        <v>143</v>
      </c>
      <c r="E144" s="14">
        <v>38</v>
      </c>
      <c r="F144" s="4" t="s">
        <v>210</v>
      </c>
      <c r="G144" s="5" t="s">
        <v>509</v>
      </c>
    </row>
    <row r="145" spans="1:7" x14ac:dyDescent="0.25">
      <c r="A145" s="4"/>
      <c r="B145" s="4" t="s">
        <v>22</v>
      </c>
      <c r="C145" s="14"/>
      <c r="D145" s="14">
        <v>144</v>
      </c>
      <c r="E145" s="14">
        <v>39</v>
      </c>
      <c r="F145" s="4" t="s">
        <v>211</v>
      </c>
      <c r="G145" s="5" t="s">
        <v>510</v>
      </c>
    </row>
    <row r="146" spans="1:7" x14ac:dyDescent="0.25">
      <c r="A146" s="4"/>
      <c r="B146" s="4" t="s">
        <v>22</v>
      </c>
      <c r="C146" s="14"/>
      <c r="D146" s="14">
        <v>145</v>
      </c>
      <c r="E146" s="14">
        <v>40</v>
      </c>
      <c r="F146" s="4" t="s">
        <v>212</v>
      </c>
      <c r="G146" s="5" t="s">
        <v>511</v>
      </c>
    </row>
    <row r="147" spans="1:7" x14ac:dyDescent="0.25">
      <c r="A147" s="4"/>
      <c r="B147" s="4" t="s">
        <v>22</v>
      </c>
      <c r="C147" s="14"/>
      <c r="D147" s="14">
        <v>146</v>
      </c>
      <c r="E147" s="14">
        <v>41</v>
      </c>
      <c r="F147" s="4" t="s">
        <v>213</v>
      </c>
      <c r="G147" s="5" t="s">
        <v>512</v>
      </c>
    </row>
    <row r="148" spans="1:7" x14ac:dyDescent="0.25">
      <c r="A148" s="4"/>
      <c r="B148" s="4" t="s">
        <v>22</v>
      </c>
      <c r="C148" s="14"/>
      <c r="D148" s="14">
        <v>147</v>
      </c>
      <c r="E148" s="14">
        <v>42</v>
      </c>
      <c r="F148" s="4" t="s">
        <v>214</v>
      </c>
      <c r="G148" s="5" t="s">
        <v>513</v>
      </c>
    </row>
    <row r="149" spans="1:7" x14ac:dyDescent="0.25">
      <c r="A149" s="4"/>
      <c r="B149" s="4" t="s">
        <v>22</v>
      </c>
      <c r="C149" s="14"/>
      <c r="D149" s="14">
        <v>148</v>
      </c>
      <c r="E149" s="14">
        <v>43</v>
      </c>
      <c r="F149" s="4" t="s">
        <v>215</v>
      </c>
      <c r="G149" s="5" t="s">
        <v>514</v>
      </c>
    </row>
    <row r="150" spans="1:7" x14ac:dyDescent="0.25">
      <c r="A150" s="4"/>
      <c r="B150" s="4" t="s">
        <v>22</v>
      </c>
      <c r="C150" s="14"/>
      <c r="D150" s="14">
        <v>149</v>
      </c>
      <c r="E150" s="14">
        <v>44</v>
      </c>
      <c r="F150" s="4" t="s">
        <v>216</v>
      </c>
      <c r="G150" s="5" t="s">
        <v>515</v>
      </c>
    </row>
    <row r="151" spans="1:7" x14ac:dyDescent="0.25">
      <c r="A151" s="4"/>
      <c r="B151" s="4" t="s">
        <v>22</v>
      </c>
      <c r="C151" s="14"/>
      <c r="D151" s="14">
        <v>150</v>
      </c>
      <c r="E151" s="14">
        <v>45</v>
      </c>
      <c r="F151" s="4" t="s">
        <v>217</v>
      </c>
      <c r="G151" s="5" t="s">
        <v>516</v>
      </c>
    </row>
    <row r="152" spans="1:7" x14ac:dyDescent="0.25">
      <c r="A152" s="4"/>
      <c r="B152" s="4" t="s">
        <v>22</v>
      </c>
      <c r="C152" s="14"/>
      <c r="D152" s="14">
        <v>151</v>
      </c>
      <c r="E152" s="14">
        <v>46</v>
      </c>
      <c r="F152" s="4" t="s">
        <v>218</v>
      </c>
      <c r="G152" s="5" t="s">
        <v>516</v>
      </c>
    </row>
    <row r="153" spans="1:7" x14ac:dyDescent="0.25">
      <c r="A153" s="4"/>
      <c r="B153" s="4" t="s">
        <v>22</v>
      </c>
      <c r="C153" s="14"/>
      <c r="D153" s="14">
        <v>152</v>
      </c>
      <c r="E153" s="14">
        <v>47</v>
      </c>
      <c r="F153" s="4" t="s">
        <v>219</v>
      </c>
      <c r="G153" s="5" t="s">
        <v>517</v>
      </c>
    </row>
    <row r="154" spans="1:7" x14ac:dyDescent="0.25">
      <c r="A154" s="4"/>
      <c r="B154" s="4" t="s">
        <v>22</v>
      </c>
      <c r="C154" s="14"/>
      <c r="D154" s="14">
        <v>153</v>
      </c>
      <c r="E154" s="14">
        <v>48</v>
      </c>
      <c r="F154" s="4" t="s">
        <v>220</v>
      </c>
      <c r="G154" s="5" t="s">
        <v>518</v>
      </c>
    </row>
    <row r="155" spans="1:7" x14ac:dyDescent="0.25">
      <c r="A155" s="4"/>
      <c r="B155" s="4" t="s">
        <v>22</v>
      </c>
      <c r="C155" s="14"/>
      <c r="D155" s="14">
        <v>154</v>
      </c>
      <c r="E155" s="14">
        <v>49</v>
      </c>
      <c r="F155" s="4" t="s">
        <v>221</v>
      </c>
      <c r="G155" s="5" t="s">
        <v>519</v>
      </c>
    </row>
    <row r="156" spans="1:7" x14ac:dyDescent="0.25">
      <c r="A156" s="4"/>
      <c r="B156" s="4" t="s">
        <v>22</v>
      </c>
      <c r="C156" s="14"/>
      <c r="D156" s="14">
        <v>155</v>
      </c>
      <c r="E156" s="14">
        <v>50</v>
      </c>
      <c r="F156" s="4" t="s">
        <v>222</v>
      </c>
      <c r="G156" s="5" t="s">
        <v>520</v>
      </c>
    </row>
    <row r="157" spans="1:7" x14ac:dyDescent="0.25">
      <c r="A157" s="4"/>
      <c r="B157" s="4" t="s">
        <v>22</v>
      </c>
      <c r="C157" s="14"/>
      <c r="D157" s="14">
        <v>156</v>
      </c>
      <c r="E157" s="14">
        <v>51</v>
      </c>
      <c r="F157" s="4" t="s">
        <v>223</v>
      </c>
      <c r="G157" s="5" t="s">
        <v>521</v>
      </c>
    </row>
    <row r="158" spans="1:7" x14ac:dyDescent="0.25">
      <c r="A158" s="4"/>
      <c r="B158" s="4" t="s">
        <v>22</v>
      </c>
      <c r="C158" s="14"/>
      <c r="D158" s="14">
        <v>157</v>
      </c>
      <c r="E158" s="14">
        <v>52</v>
      </c>
      <c r="F158" s="4" t="s">
        <v>224</v>
      </c>
      <c r="G158" s="5" t="s">
        <v>522</v>
      </c>
    </row>
    <row r="159" spans="1:7" x14ac:dyDescent="0.25">
      <c r="A159" s="4"/>
      <c r="B159" s="4" t="s">
        <v>22</v>
      </c>
      <c r="C159" s="14"/>
      <c r="D159" s="14">
        <v>158</v>
      </c>
      <c r="E159" s="14">
        <v>53</v>
      </c>
      <c r="F159" s="4" t="s">
        <v>225</v>
      </c>
      <c r="G159" s="5" t="s">
        <v>523</v>
      </c>
    </row>
    <row r="160" spans="1:7" x14ac:dyDescent="0.25">
      <c r="A160" s="4"/>
      <c r="B160" s="4" t="s">
        <v>22</v>
      </c>
      <c r="C160" s="14"/>
      <c r="D160" s="14">
        <v>159</v>
      </c>
      <c r="E160" s="14">
        <v>54</v>
      </c>
      <c r="F160" s="4" t="s">
        <v>226</v>
      </c>
      <c r="G160" s="5" t="s">
        <v>524</v>
      </c>
    </row>
    <row r="161" spans="1:7" x14ac:dyDescent="0.25">
      <c r="A161" s="4"/>
      <c r="B161" s="4" t="s">
        <v>22</v>
      </c>
      <c r="C161" s="14"/>
      <c r="D161" s="14">
        <v>160</v>
      </c>
      <c r="E161" s="14">
        <v>55</v>
      </c>
      <c r="F161" s="4" t="s">
        <v>227</v>
      </c>
      <c r="G161" s="5" t="s">
        <v>525</v>
      </c>
    </row>
    <row r="162" spans="1:7" x14ac:dyDescent="0.25">
      <c r="A162" s="4"/>
      <c r="B162" s="4" t="s">
        <v>22</v>
      </c>
      <c r="C162" s="14"/>
      <c r="D162" s="14">
        <v>161</v>
      </c>
      <c r="E162" s="14">
        <v>56</v>
      </c>
      <c r="F162" s="4" t="s">
        <v>228</v>
      </c>
      <c r="G162" s="5" t="s">
        <v>526</v>
      </c>
    </row>
    <row r="163" spans="1:7" x14ac:dyDescent="0.25">
      <c r="A163" s="4"/>
      <c r="B163" s="4" t="s">
        <v>22</v>
      </c>
      <c r="C163" s="14"/>
      <c r="D163" s="14">
        <v>162</v>
      </c>
      <c r="E163" s="14">
        <v>57</v>
      </c>
      <c r="F163" s="4" t="s">
        <v>229</v>
      </c>
      <c r="G163" s="5" t="s">
        <v>527</v>
      </c>
    </row>
    <row r="164" spans="1:7" x14ac:dyDescent="0.25">
      <c r="A164" s="4"/>
      <c r="B164" s="4" t="s">
        <v>22</v>
      </c>
      <c r="C164" s="14"/>
      <c r="D164" s="14">
        <v>163</v>
      </c>
      <c r="E164" s="14">
        <v>58</v>
      </c>
      <c r="F164" s="4" t="s">
        <v>230</v>
      </c>
      <c r="G164" s="5" t="s">
        <v>528</v>
      </c>
    </row>
    <row r="165" spans="1:7" x14ac:dyDescent="0.25">
      <c r="A165" s="4"/>
      <c r="B165" s="4" t="s">
        <v>22</v>
      </c>
      <c r="C165" s="14"/>
      <c r="D165" s="14">
        <v>164</v>
      </c>
      <c r="E165" s="14">
        <v>59</v>
      </c>
      <c r="F165" s="4" t="s">
        <v>231</v>
      </c>
      <c r="G165" s="5" t="s">
        <v>529</v>
      </c>
    </row>
    <row r="166" spans="1:7" x14ac:dyDescent="0.25">
      <c r="A166" s="4"/>
      <c r="B166" s="4" t="s">
        <v>22</v>
      </c>
      <c r="C166" s="14"/>
      <c r="D166" s="14">
        <v>165</v>
      </c>
      <c r="E166" s="14">
        <v>60</v>
      </c>
      <c r="F166" s="4" t="s">
        <v>232</v>
      </c>
      <c r="G166" s="5" t="s">
        <v>530</v>
      </c>
    </row>
    <row r="167" spans="1:7" x14ac:dyDescent="0.25">
      <c r="A167" s="4"/>
      <c r="B167" s="4" t="s">
        <v>22</v>
      </c>
      <c r="C167" s="14"/>
      <c r="D167" s="14">
        <v>166</v>
      </c>
      <c r="E167" s="14">
        <v>61</v>
      </c>
      <c r="F167" s="4" t="s">
        <v>233</v>
      </c>
      <c r="G167" s="5" t="s">
        <v>531</v>
      </c>
    </row>
    <row r="168" spans="1:7" x14ac:dyDescent="0.25">
      <c r="A168" s="4"/>
      <c r="B168" s="4" t="s">
        <v>22</v>
      </c>
      <c r="C168" s="14"/>
      <c r="D168" s="14">
        <v>167</v>
      </c>
      <c r="E168" s="14">
        <v>62</v>
      </c>
      <c r="F168" s="4" t="s">
        <v>234</v>
      </c>
      <c r="G168" s="5" t="s">
        <v>532</v>
      </c>
    </row>
    <row r="169" spans="1:7" x14ac:dyDescent="0.25">
      <c r="A169" s="4"/>
      <c r="B169" s="4" t="s">
        <v>22</v>
      </c>
      <c r="C169" s="14"/>
      <c r="D169" s="14">
        <v>168</v>
      </c>
      <c r="E169" s="14">
        <v>63</v>
      </c>
      <c r="F169" s="4" t="s">
        <v>235</v>
      </c>
      <c r="G169" s="5" t="s">
        <v>533</v>
      </c>
    </row>
    <row r="170" spans="1:7" x14ac:dyDescent="0.25">
      <c r="A170" s="4"/>
      <c r="B170" s="4" t="s">
        <v>22</v>
      </c>
      <c r="C170" s="14"/>
      <c r="D170" s="14">
        <v>169</v>
      </c>
      <c r="E170" s="14">
        <v>64</v>
      </c>
      <c r="F170" s="4" t="s">
        <v>236</v>
      </c>
      <c r="G170" s="5" t="s">
        <v>534</v>
      </c>
    </row>
    <row r="171" spans="1:7" x14ac:dyDescent="0.25">
      <c r="A171" s="4"/>
      <c r="B171" s="4" t="s">
        <v>22</v>
      </c>
      <c r="C171" s="14"/>
      <c r="D171" s="14">
        <v>170</v>
      </c>
      <c r="E171" s="14">
        <v>65</v>
      </c>
      <c r="F171" s="4" t="s">
        <v>237</v>
      </c>
      <c r="G171" s="5" t="s">
        <v>535</v>
      </c>
    </row>
    <row r="172" spans="1:7" x14ac:dyDescent="0.25">
      <c r="A172" s="4"/>
      <c r="B172" s="4" t="s">
        <v>22</v>
      </c>
      <c r="C172" s="14"/>
      <c r="D172" s="14">
        <v>171</v>
      </c>
      <c r="E172" s="14">
        <v>66</v>
      </c>
      <c r="F172" s="4" t="s">
        <v>238</v>
      </c>
      <c r="G172" s="5" t="s">
        <v>536</v>
      </c>
    </row>
    <row r="173" spans="1:7" x14ac:dyDescent="0.25">
      <c r="A173" s="4"/>
      <c r="B173" s="4" t="s">
        <v>22</v>
      </c>
      <c r="C173" s="14"/>
      <c r="D173" s="14">
        <v>172</v>
      </c>
      <c r="E173" s="14">
        <v>67</v>
      </c>
      <c r="F173" s="4" t="s">
        <v>239</v>
      </c>
      <c r="G173" s="5" t="s">
        <v>537</v>
      </c>
    </row>
    <row r="174" spans="1:7" x14ac:dyDescent="0.25">
      <c r="A174" s="4"/>
      <c r="B174" s="4" t="s">
        <v>22</v>
      </c>
      <c r="C174" s="14"/>
      <c r="D174" s="14">
        <v>173</v>
      </c>
      <c r="E174" s="14">
        <v>68</v>
      </c>
      <c r="F174" s="4" t="s">
        <v>240</v>
      </c>
      <c r="G174" s="5" t="s">
        <v>538</v>
      </c>
    </row>
    <row r="175" spans="1:7" x14ac:dyDescent="0.25">
      <c r="A175" s="4"/>
      <c r="B175" s="4" t="s">
        <v>22</v>
      </c>
      <c r="C175" s="14"/>
      <c r="D175" s="14">
        <v>174</v>
      </c>
      <c r="E175" s="14">
        <v>69</v>
      </c>
      <c r="F175" s="4" t="s">
        <v>241</v>
      </c>
      <c r="G175" s="5" t="s">
        <v>539</v>
      </c>
    </row>
    <row r="176" spans="1:7" x14ac:dyDescent="0.25">
      <c r="A176" s="4"/>
      <c r="B176" s="4" t="s">
        <v>22</v>
      </c>
      <c r="C176" s="14"/>
      <c r="D176" s="14">
        <v>175</v>
      </c>
      <c r="E176" s="14">
        <v>70</v>
      </c>
      <c r="F176" s="4" t="s">
        <v>242</v>
      </c>
      <c r="G176" s="5" t="s">
        <v>540</v>
      </c>
    </row>
    <row r="177" spans="1:7" x14ac:dyDescent="0.25">
      <c r="A177" s="4"/>
      <c r="B177" s="4" t="s">
        <v>22</v>
      </c>
      <c r="C177" s="14"/>
      <c r="D177" s="14">
        <v>176</v>
      </c>
      <c r="E177" s="14">
        <v>71</v>
      </c>
      <c r="F177" s="4" t="s">
        <v>243</v>
      </c>
      <c r="G177" s="5" t="s">
        <v>541</v>
      </c>
    </row>
    <row r="178" spans="1:7" x14ac:dyDescent="0.25">
      <c r="A178" s="4"/>
      <c r="B178" s="4" t="s">
        <v>22</v>
      </c>
      <c r="C178" s="14"/>
      <c r="D178" s="14">
        <v>177</v>
      </c>
      <c r="E178" s="14">
        <v>72</v>
      </c>
      <c r="F178" s="4" t="s">
        <v>244</v>
      </c>
      <c r="G178" s="5" t="s">
        <v>542</v>
      </c>
    </row>
    <row r="179" spans="1:7" x14ac:dyDescent="0.25">
      <c r="A179" s="4"/>
      <c r="B179" s="4" t="s">
        <v>22</v>
      </c>
      <c r="C179" s="14"/>
      <c r="D179" s="14">
        <v>178</v>
      </c>
      <c r="E179" s="14">
        <v>73</v>
      </c>
      <c r="F179" s="4" t="s">
        <v>245</v>
      </c>
      <c r="G179" s="5" t="s">
        <v>260</v>
      </c>
    </row>
    <row r="180" spans="1:7" x14ac:dyDescent="0.25">
      <c r="A180" s="4"/>
      <c r="B180" s="4" t="s">
        <v>22</v>
      </c>
      <c r="C180" s="14"/>
      <c r="D180" s="14">
        <v>179</v>
      </c>
      <c r="E180" s="14">
        <v>74</v>
      </c>
      <c r="F180" s="4" t="s">
        <v>246</v>
      </c>
      <c r="G180" s="5" t="s">
        <v>259</v>
      </c>
    </row>
    <row r="181" spans="1:7" x14ac:dyDescent="0.25">
      <c r="A181" s="4"/>
      <c r="B181" s="4" t="s">
        <v>22</v>
      </c>
      <c r="C181" s="14"/>
      <c r="D181" s="14">
        <v>180</v>
      </c>
      <c r="E181" s="14">
        <v>75</v>
      </c>
      <c r="F181" s="4" t="s">
        <v>247</v>
      </c>
      <c r="G181" s="5">
        <v>203</v>
      </c>
    </row>
    <row r="182" spans="1:7" x14ac:dyDescent="0.25">
      <c r="A182" s="4"/>
      <c r="B182" s="4" t="s">
        <v>22</v>
      </c>
      <c r="C182" s="14"/>
      <c r="D182" s="14">
        <v>181</v>
      </c>
      <c r="E182" s="14">
        <v>76</v>
      </c>
      <c r="F182" s="4" t="s">
        <v>248</v>
      </c>
      <c r="G182" s="5">
        <v>306</v>
      </c>
    </row>
    <row r="183" spans="1:7" x14ac:dyDescent="0.25">
      <c r="A183" s="4"/>
      <c r="B183" s="4" t="s">
        <v>22</v>
      </c>
      <c r="C183" s="14"/>
      <c r="D183" s="14">
        <v>182</v>
      </c>
      <c r="E183" s="14">
        <v>77</v>
      </c>
      <c r="F183" s="4" t="s">
        <v>249</v>
      </c>
      <c r="G183" s="5">
        <v>384</v>
      </c>
    </row>
    <row r="184" spans="1:7" x14ac:dyDescent="0.25">
      <c r="A184" s="4"/>
      <c r="B184" s="4" t="s">
        <v>22</v>
      </c>
      <c r="C184" s="14"/>
      <c r="D184" s="14">
        <v>183</v>
      </c>
      <c r="E184" s="14">
        <v>78</v>
      </c>
      <c r="F184" s="4" t="s">
        <v>250</v>
      </c>
      <c r="G184" s="5">
        <v>502</v>
      </c>
    </row>
    <row r="185" spans="1:7" x14ac:dyDescent="0.25">
      <c r="A185" s="4"/>
      <c r="B185" s="4" t="s">
        <v>22</v>
      </c>
      <c r="C185" s="14"/>
      <c r="D185" s="14">
        <v>184</v>
      </c>
      <c r="E185" s="14">
        <v>79</v>
      </c>
      <c r="F185" s="4" t="s">
        <v>251</v>
      </c>
      <c r="G185" s="5">
        <v>598</v>
      </c>
    </row>
    <row r="186" spans="1:7" x14ac:dyDescent="0.25">
      <c r="A186" s="4"/>
      <c r="B186" s="4" t="s">
        <v>22</v>
      </c>
      <c r="C186" s="14"/>
      <c r="D186" s="14">
        <v>185</v>
      </c>
      <c r="E186" s="14">
        <v>80</v>
      </c>
      <c r="F186" s="4" t="s">
        <v>252</v>
      </c>
      <c r="G186" s="5">
        <v>690</v>
      </c>
    </row>
    <row r="187" spans="1:7" x14ac:dyDescent="0.25">
      <c r="A187" s="4"/>
      <c r="B187" s="4" t="s">
        <v>22</v>
      </c>
      <c r="C187" s="14"/>
      <c r="D187" s="14">
        <v>186</v>
      </c>
      <c r="E187" s="14">
        <v>81</v>
      </c>
      <c r="F187" s="4" t="s">
        <v>253</v>
      </c>
      <c r="G187" s="5">
        <v>836</v>
      </c>
    </row>
    <row r="188" spans="1:7" x14ac:dyDescent="0.25">
      <c r="A188" s="4"/>
      <c r="B188" s="4" t="s">
        <v>22</v>
      </c>
      <c r="C188" s="14"/>
      <c r="D188" s="14">
        <v>187</v>
      </c>
      <c r="E188" s="14">
        <v>82</v>
      </c>
      <c r="F188" s="4" t="s">
        <v>254</v>
      </c>
      <c r="G188" s="5">
        <v>851</v>
      </c>
    </row>
    <row r="189" spans="1:7" x14ac:dyDescent="0.25">
      <c r="A189" s="4"/>
      <c r="B189" s="4" t="s">
        <v>22</v>
      </c>
      <c r="C189" s="14"/>
      <c r="D189" s="14">
        <v>188</v>
      </c>
      <c r="E189" s="14">
        <v>83</v>
      </c>
      <c r="F189" s="4" t="s">
        <v>255</v>
      </c>
      <c r="G189" s="5">
        <v>879</v>
      </c>
    </row>
    <row r="190" spans="1:7" x14ac:dyDescent="0.25">
      <c r="A190" s="4"/>
      <c r="B190" s="4" t="s">
        <v>22</v>
      </c>
      <c r="C190" s="14"/>
      <c r="D190" s="14">
        <v>189</v>
      </c>
      <c r="E190" s="14">
        <v>84</v>
      </c>
      <c r="F190" s="4" t="s">
        <v>256</v>
      </c>
      <c r="G190" s="5">
        <v>1057</v>
      </c>
    </row>
    <row r="191" spans="1:7" x14ac:dyDescent="0.25">
      <c r="A191" s="4"/>
      <c r="B191" s="4" t="s">
        <v>22</v>
      </c>
      <c r="C191" s="14"/>
      <c r="D191" s="14">
        <v>190</v>
      </c>
      <c r="E191" s="14">
        <v>85</v>
      </c>
      <c r="F191" s="4" t="s">
        <v>257</v>
      </c>
      <c r="G191" s="5">
        <v>1073</v>
      </c>
    </row>
    <row r="192" spans="1:7" x14ac:dyDescent="0.25">
      <c r="A192" s="4"/>
      <c r="B192" s="4" t="s">
        <v>22</v>
      </c>
      <c r="C192" s="14"/>
      <c r="D192" s="14">
        <v>191</v>
      </c>
      <c r="E192" s="14">
        <v>86</v>
      </c>
      <c r="F192" s="4" t="s">
        <v>258</v>
      </c>
      <c r="G192" s="5">
        <v>1089</v>
      </c>
    </row>
    <row r="193" spans="1:7" x14ac:dyDescent="0.25">
      <c r="A193" s="4">
        <v>257</v>
      </c>
      <c r="B193" s="4" t="s">
        <v>23</v>
      </c>
      <c r="C193" s="14" t="s">
        <v>155</v>
      </c>
      <c r="D193" s="14">
        <v>192</v>
      </c>
      <c r="E193" s="14">
        <v>1</v>
      </c>
      <c r="F193" s="4" t="s">
        <v>156</v>
      </c>
      <c r="G193" s="5">
        <v>1373</v>
      </c>
    </row>
    <row r="194" spans="1:7" x14ac:dyDescent="0.25">
      <c r="A194" s="4"/>
      <c r="B194" s="4" t="s">
        <v>23</v>
      </c>
      <c r="C194" s="14"/>
      <c r="D194" s="14">
        <v>193</v>
      </c>
      <c r="E194" s="14">
        <v>2</v>
      </c>
      <c r="F194" s="4" t="s">
        <v>157</v>
      </c>
      <c r="G194" s="5">
        <v>1494</v>
      </c>
    </row>
    <row r="195" spans="1:7" x14ac:dyDescent="0.25">
      <c r="A195" s="4"/>
      <c r="B195" s="4" t="s">
        <v>23</v>
      </c>
      <c r="C195" s="14"/>
      <c r="D195" s="14">
        <v>194</v>
      </c>
      <c r="E195" s="14">
        <v>3</v>
      </c>
      <c r="F195" s="4" t="s">
        <v>158</v>
      </c>
      <c r="G195" s="5">
        <v>1533</v>
      </c>
    </row>
    <row r="196" spans="1:7" x14ac:dyDescent="0.25">
      <c r="A196" s="4"/>
      <c r="B196" s="4" t="s">
        <v>23</v>
      </c>
      <c r="C196" s="14"/>
      <c r="D196" s="14">
        <v>195</v>
      </c>
      <c r="E196" s="14">
        <v>4</v>
      </c>
      <c r="F196" s="4" t="s">
        <v>159</v>
      </c>
      <c r="G196" s="5">
        <v>1932</v>
      </c>
    </row>
    <row r="197" spans="1:7" x14ac:dyDescent="0.25">
      <c r="A197" s="4"/>
      <c r="B197" s="4" t="s">
        <v>23</v>
      </c>
      <c r="C197" s="14"/>
      <c r="D197" s="14">
        <v>196</v>
      </c>
      <c r="E197" s="14">
        <v>5</v>
      </c>
      <c r="F197" s="4" t="s">
        <v>160</v>
      </c>
      <c r="G197" s="5">
        <v>1989</v>
      </c>
    </row>
    <row r="198" spans="1:7" x14ac:dyDescent="0.25">
      <c r="A198" s="4"/>
      <c r="B198" s="4" t="s">
        <v>23</v>
      </c>
      <c r="C198" s="14"/>
      <c r="D198" s="14">
        <v>197</v>
      </c>
      <c r="E198" s="14">
        <v>6</v>
      </c>
      <c r="F198" s="4" t="s">
        <v>161</v>
      </c>
      <c r="G198" s="5">
        <v>2234</v>
      </c>
    </row>
    <row r="199" spans="1:7" x14ac:dyDescent="0.25">
      <c r="A199" s="4"/>
      <c r="B199" s="4" t="s">
        <v>23</v>
      </c>
      <c r="C199" s="14"/>
      <c r="D199" s="14">
        <v>198</v>
      </c>
      <c r="E199" s="14">
        <v>7</v>
      </c>
      <c r="F199" s="4" t="s">
        <v>162</v>
      </c>
      <c r="G199" s="5">
        <v>2287</v>
      </c>
    </row>
    <row r="200" spans="1:7" x14ac:dyDescent="0.25">
      <c r="A200" s="4"/>
      <c r="B200" s="4" t="s">
        <v>23</v>
      </c>
      <c r="C200" s="14"/>
      <c r="D200" s="14">
        <v>199</v>
      </c>
      <c r="E200" s="14">
        <v>8</v>
      </c>
      <c r="F200" s="4" t="s">
        <v>163</v>
      </c>
      <c r="G200" s="5">
        <v>2401</v>
      </c>
    </row>
    <row r="201" spans="1:7" x14ac:dyDescent="0.25">
      <c r="A201" s="4"/>
      <c r="B201" s="4" t="s">
        <v>23</v>
      </c>
      <c r="C201" s="14"/>
      <c r="D201" s="14">
        <v>200</v>
      </c>
      <c r="E201" s="14">
        <v>9</v>
      </c>
      <c r="F201" s="4" t="s">
        <v>164</v>
      </c>
      <c r="G201" s="5">
        <v>2414</v>
      </c>
    </row>
    <row r="202" spans="1:7" x14ac:dyDescent="0.25">
      <c r="A202" s="4"/>
      <c r="B202" s="4" t="s">
        <v>23</v>
      </c>
      <c r="C202" s="14"/>
      <c r="D202" s="14">
        <v>201</v>
      </c>
      <c r="E202" s="14">
        <v>10</v>
      </c>
      <c r="F202" s="4" t="s">
        <v>165</v>
      </c>
      <c r="G202" s="5">
        <v>2563</v>
      </c>
    </row>
    <row r="203" spans="1:7" x14ac:dyDescent="0.25">
      <c r="A203" s="4"/>
      <c r="B203" s="4" t="s">
        <v>23</v>
      </c>
      <c r="C203" s="14"/>
      <c r="D203" s="14">
        <v>202</v>
      </c>
      <c r="E203" s="14">
        <v>11</v>
      </c>
      <c r="F203" s="4" t="s">
        <v>166</v>
      </c>
      <c r="G203" s="5">
        <v>2808</v>
      </c>
    </row>
    <row r="204" spans="1:7" x14ac:dyDescent="0.25">
      <c r="A204" s="4"/>
      <c r="B204" s="4" t="s">
        <v>23</v>
      </c>
      <c r="C204" s="14"/>
      <c r="D204" s="14">
        <v>203</v>
      </c>
      <c r="E204" s="14">
        <v>12</v>
      </c>
      <c r="F204" s="4" t="s">
        <v>167</v>
      </c>
      <c r="G204" s="5">
        <v>3399</v>
      </c>
    </row>
    <row r="205" spans="1:7" x14ac:dyDescent="0.25">
      <c r="A205" s="4"/>
      <c r="B205" s="4" t="s">
        <v>23</v>
      </c>
      <c r="C205" s="14"/>
      <c r="D205" s="14">
        <v>204</v>
      </c>
      <c r="E205" s="14">
        <v>13</v>
      </c>
      <c r="F205" s="4" t="s">
        <v>168</v>
      </c>
      <c r="G205" s="5">
        <v>3799</v>
      </c>
    </row>
    <row r="206" spans="1:7" x14ac:dyDescent="0.25">
      <c r="A206" s="4"/>
      <c r="B206" s="4" t="s">
        <v>23</v>
      </c>
      <c r="C206" s="14"/>
      <c r="D206" s="14">
        <v>205</v>
      </c>
      <c r="E206" s="14">
        <v>14</v>
      </c>
      <c r="F206" s="4" t="s">
        <v>169</v>
      </c>
      <c r="G206" s="5">
        <v>4162</v>
      </c>
    </row>
    <row r="207" spans="1:7" x14ac:dyDescent="0.25">
      <c r="A207" s="4"/>
      <c r="B207" s="4" t="s">
        <v>23</v>
      </c>
      <c r="C207" s="14"/>
      <c r="D207" s="14">
        <v>206</v>
      </c>
      <c r="E207" s="14">
        <v>15</v>
      </c>
      <c r="F207" s="4" t="s">
        <v>170</v>
      </c>
      <c r="G207" s="5">
        <v>4542</v>
      </c>
    </row>
    <row r="208" spans="1:7" x14ac:dyDescent="0.25">
      <c r="A208" s="4"/>
      <c r="B208" s="4" t="s">
        <v>23</v>
      </c>
      <c r="C208" s="14"/>
      <c r="D208" s="14">
        <v>207</v>
      </c>
      <c r="E208" s="14">
        <v>16</v>
      </c>
      <c r="F208" s="4" t="s">
        <v>171</v>
      </c>
      <c r="G208" s="5">
        <v>4651</v>
      </c>
    </row>
    <row r="209" spans="1:7" x14ac:dyDescent="0.25">
      <c r="A209" s="4">
        <v>258</v>
      </c>
      <c r="B209" s="4" t="s">
        <v>24</v>
      </c>
      <c r="C209" s="14" t="s">
        <v>142</v>
      </c>
      <c r="D209" s="14">
        <v>208</v>
      </c>
      <c r="E209" s="14">
        <v>1</v>
      </c>
      <c r="F209" s="4" t="s">
        <v>143</v>
      </c>
      <c r="G209" s="5">
        <v>5419</v>
      </c>
    </row>
    <row r="210" spans="1:7" x14ac:dyDescent="0.25">
      <c r="A210" s="4"/>
      <c r="B210" s="4" t="s">
        <v>24</v>
      </c>
      <c r="C210" s="14"/>
      <c r="D210" s="14">
        <v>209</v>
      </c>
      <c r="E210" s="14">
        <v>2</v>
      </c>
      <c r="F210" s="4" t="s">
        <v>144</v>
      </c>
      <c r="G210" s="5">
        <v>6376</v>
      </c>
    </row>
    <row r="211" spans="1:7" x14ac:dyDescent="0.25">
      <c r="A211" s="4"/>
      <c r="B211" s="4" t="s">
        <v>24</v>
      </c>
      <c r="C211" s="14"/>
      <c r="D211" s="14">
        <v>210</v>
      </c>
      <c r="E211" s="14">
        <v>3</v>
      </c>
      <c r="F211" s="4" t="s">
        <v>145</v>
      </c>
      <c r="G211" s="5">
        <v>6910</v>
      </c>
    </row>
    <row r="212" spans="1:7" x14ac:dyDescent="0.25">
      <c r="A212" s="4"/>
      <c r="B212" s="4" t="s">
        <v>24</v>
      </c>
      <c r="C212" s="14"/>
      <c r="D212" s="14">
        <v>211</v>
      </c>
      <c r="E212" s="14">
        <v>4</v>
      </c>
      <c r="F212" s="4" t="s">
        <v>146</v>
      </c>
      <c r="G212" s="5">
        <v>7074</v>
      </c>
    </row>
    <row r="213" spans="1:7" x14ac:dyDescent="0.25">
      <c r="A213" s="4"/>
      <c r="B213" s="4" t="s">
        <v>24</v>
      </c>
      <c r="C213" s="14"/>
      <c r="D213" s="14">
        <v>212</v>
      </c>
      <c r="E213" s="14">
        <v>5</v>
      </c>
      <c r="F213" s="4" t="s">
        <v>147</v>
      </c>
      <c r="G213" s="5">
        <v>7268</v>
      </c>
    </row>
    <row r="214" spans="1:7" x14ac:dyDescent="0.25">
      <c r="A214" s="4"/>
      <c r="B214" s="4" t="s">
        <v>24</v>
      </c>
      <c r="C214" s="14"/>
      <c r="D214" s="14">
        <v>213</v>
      </c>
      <c r="E214" s="14">
        <v>6</v>
      </c>
      <c r="F214" s="4" t="s">
        <v>148</v>
      </c>
      <c r="G214" s="5">
        <v>7449</v>
      </c>
    </row>
    <row r="215" spans="1:7" x14ac:dyDescent="0.25">
      <c r="A215" s="4"/>
      <c r="B215" s="4" t="s">
        <v>24</v>
      </c>
      <c r="C215" s="14"/>
      <c r="D215" s="14">
        <v>214</v>
      </c>
      <c r="E215" s="14">
        <v>7</v>
      </c>
      <c r="F215" s="4" t="s">
        <v>149</v>
      </c>
      <c r="G215" s="5">
        <v>7564</v>
      </c>
    </row>
    <row r="216" spans="1:7" x14ac:dyDescent="0.25">
      <c r="A216" s="4"/>
      <c r="B216" s="4" t="s">
        <v>24</v>
      </c>
      <c r="C216" s="14"/>
      <c r="D216" s="14">
        <v>215</v>
      </c>
      <c r="E216" s="14">
        <v>8</v>
      </c>
      <c r="F216" s="4" t="s">
        <v>150</v>
      </c>
      <c r="G216" s="5">
        <v>7584</v>
      </c>
    </row>
    <row r="217" spans="1:7" x14ac:dyDescent="0.25">
      <c r="A217" s="4"/>
      <c r="B217" s="4" t="s">
        <v>24</v>
      </c>
      <c r="C217" s="14"/>
      <c r="D217" s="14">
        <v>216</v>
      </c>
      <c r="E217" s="14">
        <v>9</v>
      </c>
      <c r="F217" s="4" t="s">
        <v>151</v>
      </c>
      <c r="G217" s="5">
        <v>7641</v>
      </c>
    </row>
    <row r="218" spans="1:7" x14ac:dyDescent="0.25">
      <c r="A218" s="4"/>
      <c r="B218" s="4" t="s">
        <v>24</v>
      </c>
      <c r="C218" s="14"/>
      <c r="D218" s="14">
        <v>217</v>
      </c>
      <c r="E218" s="14">
        <v>10</v>
      </c>
      <c r="F218" s="4" t="s">
        <v>152</v>
      </c>
      <c r="G218" s="5">
        <v>7677</v>
      </c>
    </row>
    <row r="219" spans="1:7" x14ac:dyDescent="0.25">
      <c r="A219" s="4"/>
      <c r="B219" s="4" t="s">
        <v>24</v>
      </c>
      <c r="C219" s="14"/>
      <c r="D219" s="14">
        <v>218</v>
      </c>
      <c r="E219" s="14">
        <v>11</v>
      </c>
      <c r="F219" s="4" t="s">
        <v>153</v>
      </c>
      <c r="G219" s="5">
        <v>7791</v>
      </c>
    </row>
    <row r="220" spans="1:7" x14ac:dyDescent="0.25">
      <c r="A220" s="4"/>
      <c r="B220" s="4" t="s">
        <v>24</v>
      </c>
      <c r="C220" s="14"/>
      <c r="D220" s="14">
        <v>219</v>
      </c>
      <c r="E220" s="14">
        <v>12</v>
      </c>
      <c r="F220" s="4" t="s">
        <v>154</v>
      </c>
      <c r="G220" s="5">
        <v>7851</v>
      </c>
    </row>
    <row r="221" spans="1:7" x14ac:dyDescent="0.25">
      <c r="A221" s="4">
        <v>259</v>
      </c>
      <c r="B221" s="4" t="s">
        <v>25</v>
      </c>
      <c r="C221" s="14" t="s">
        <v>111</v>
      </c>
      <c r="D221" s="14">
        <v>220</v>
      </c>
      <c r="E221" s="14">
        <v>1</v>
      </c>
      <c r="F221" s="4" t="s">
        <v>112</v>
      </c>
      <c r="G221" s="5">
        <v>8393</v>
      </c>
    </row>
    <row r="222" spans="1:7" x14ac:dyDescent="0.25">
      <c r="A222" s="4"/>
      <c r="B222" s="4" t="s">
        <v>25</v>
      </c>
      <c r="C222" s="14"/>
      <c r="D222" s="14">
        <v>221</v>
      </c>
      <c r="E222" s="14">
        <v>2</v>
      </c>
      <c r="F222" s="4" t="s">
        <v>113</v>
      </c>
      <c r="G222" s="5">
        <v>8427</v>
      </c>
    </row>
    <row r="223" spans="1:7" x14ac:dyDescent="0.25">
      <c r="A223" s="4"/>
      <c r="B223" s="4" t="s">
        <v>25</v>
      </c>
      <c r="C223" s="14"/>
      <c r="D223" s="14">
        <v>222</v>
      </c>
      <c r="E223" s="14">
        <v>3</v>
      </c>
      <c r="F223" s="4" t="s">
        <v>114</v>
      </c>
      <c r="G223" s="5">
        <v>8581</v>
      </c>
    </row>
    <row r="224" spans="1:7" x14ac:dyDescent="0.25">
      <c r="A224" s="4"/>
      <c r="B224" s="4" t="s">
        <v>25</v>
      </c>
      <c r="C224" s="14"/>
      <c r="D224" s="14">
        <v>223</v>
      </c>
      <c r="E224" s="14">
        <v>4</v>
      </c>
      <c r="F224" s="4" t="s">
        <v>115</v>
      </c>
      <c r="G224" s="5">
        <v>8717</v>
      </c>
    </row>
    <row r="225" spans="1:7" x14ac:dyDescent="0.25">
      <c r="A225" s="4"/>
      <c r="B225" s="4" t="s">
        <v>25</v>
      </c>
      <c r="C225" s="14"/>
      <c r="D225" s="14">
        <v>224</v>
      </c>
      <c r="E225" s="14">
        <v>5</v>
      </c>
      <c r="F225" s="4" t="s">
        <v>116</v>
      </c>
      <c r="G225" s="5">
        <v>8784</v>
      </c>
    </row>
    <row r="226" spans="1:7" x14ac:dyDescent="0.25">
      <c r="A226" s="4"/>
      <c r="B226" s="4" t="s">
        <v>25</v>
      </c>
      <c r="C226" s="14"/>
      <c r="D226" s="14">
        <v>225</v>
      </c>
      <c r="E226" s="14">
        <v>6</v>
      </c>
      <c r="F226" s="4" t="s">
        <v>117</v>
      </c>
      <c r="G226" s="5">
        <v>9477</v>
      </c>
    </row>
    <row r="227" spans="1:7" x14ac:dyDescent="0.25">
      <c r="A227" s="4"/>
      <c r="B227" s="4" t="s">
        <v>25</v>
      </c>
      <c r="C227" s="14"/>
      <c r="D227" s="14">
        <v>226</v>
      </c>
      <c r="E227" s="14">
        <v>7</v>
      </c>
      <c r="F227" s="4" t="s">
        <v>118</v>
      </c>
      <c r="G227" s="5">
        <v>9556</v>
      </c>
    </row>
    <row r="228" spans="1:7" x14ac:dyDescent="0.25">
      <c r="A228" s="4"/>
      <c r="B228" s="4" t="s">
        <v>25</v>
      </c>
      <c r="C228" s="14"/>
      <c r="D228" s="14">
        <v>227</v>
      </c>
      <c r="E228" s="14">
        <v>8</v>
      </c>
      <c r="F228" s="4" t="s">
        <v>119</v>
      </c>
      <c r="G228" s="5">
        <v>9617</v>
      </c>
    </row>
    <row r="229" spans="1:7" x14ac:dyDescent="0.25">
      <c r="A229" s="4"/>
      <c r="B229" s="4" t="s">
        <v>25</v>
      </c>
      <c r="C229" s="14"/>
      <c r="D229" s="14">
        <v>228</v>
      </c>
      <c r="E229" s="14">
        <v>9</v>
      </c>
      <c r="F229" s="4" t="s">
        <v>120</v>
      </c>
      <c r="G229" s="5">
        <v>9819</v>
      </c>
    </row>
    <row r="230" spans="1:7" x14ac:dyDescent="0.25">
      <c r="A230" s="4"/>
      <c r="B230" s="4" t="s">
        <v>25</v>
      </c>
      <c r="C230" s="14"/>
      <c r="D230" s="14">
        <v>229</v>
      </c>
      <c r="E230" s="14">
        <v>10</v>
      </c>
      <c r="F230" s="4" t="s">
        <v>121</v>
      </c>
      <c r="G230" s="5">
        <v>10233</v>
      </c>
    </row>
    <row r="231" spans="1:7" x14ac:dyDescent="0.25">
      <c r="A231" s="4"/>
      <c r="B231" s="4" t="s">
        <v>25</v>
      </c>
      <c r="C231" s="14"/>
      <c r="D231" s="14">
        <v>230</v>
      </c>
      <c r="E231" s="14">
        <v>11</v>
      </c>
      <c r="F231" s="4" t="s">
        <v>122</v>
      </c>
      <c r="G231" s="5">
        <v>10356</v>
      </c>
    </row>
    <row r="232" spans="1:7" x14ac:dyDescent="0.25">
      <c r="A232" s="4"/>
      <c r="B232" s="4" t="s">
        <v>25</v>
      </c>
      <c r="C232" s="14"/>
      <c r="D232" s="14">
        <v>231</v>
      </c>
      <c r="E232" s="14">
        <v>12</v>
      </c>
      <c r="F232" s="4" t="s">
        <v>123</v>
      </c>
      <c r="G232" s="5">
        <v>10479</v>
      </c>
    </row>
    <row r="233" spans="1:7" x14ac:dyDescent="0.25">
      <c r="A233" s="4"/>
      <c r="B233" s="4" t="s">
        <v>25</v>
      </c>
      <c r="C233" s="14"/>
      <c r="D233" s="14">
        <v>232</v>
      </c>
      <c r="E233" s="14">
        <v>13</v>
      </c>
      <c r="F233" s="4" t="s">
        <v>124</v>
      </c>
      <c r="G233" s="5">
        <v>10947</v>
      </c>
    </row>
    <row r="234" spans="1:7" x14ac:dyDescent="0.25">
      <c r="A234" s="4"/>
      <c r="B234" s="4" t="s">
        <v>25</v>
      </c>
      <c r="C234" s="14"/>
      <c r="D234" s="14">
        <v>233</v>
      </c>
      <c r="E234" s="14">
        <v>14</v>
      </c>
      <c r="F234" s="4" t="s">
        <v>125</v>
      </c>
      <c r="G234" s="5">
        <v>10950</v>
      </c>
    </row>
    <row r="235" spans="1:7" x14ac:dyDescent="0.25">
      <c r="A235" s="4"/>
      <c r="B235" s="4" t="s">
        <v>25</v>
      </c>
      <c r="C235" s="14"/>
      <c r="D235" s="14">
        <v>234</v>
      </c>
      <c r="E235" s="14">
        <v>15</v>
      </c>
      <c r="F235" s="4" t="s">
        <v>126</v>
      </c>
      <c r="G235" s="5">
        <v>10958</v>
      </c>
    </row>
    <row r="236" spans="1:7" x14ac:dyDescent="0.25">
      <c r="A236" s="4"/>
      <c r="B236" s="4" t="s">
        <v>25</v>
      </c>
      <c r="C236" s="14"/>
      <c r="D236" s="14">
        <v>235</v>
      </c>
      <c r="E236" s="14">
        <v>16</v>
      </c>
      <c r="F236" s="4" t="s">
        <v>127</v>
      </c>
      <c r="G236" s="5">
        <v>11068</v>
      </c>
    </row>
    <row r="237" spans="1:7" x14ac:dyDescent="0.25">
      <c r="A237" s="4"/>
      <c r="B237" s="4" t="s">
        <v>25</v>
      </c>
      <c r="C237" s="14"/>
      <c r="D237" s="14">
        <v>236</v>
      </c>
      <c r="E237" s="14">
        <v>17</v>
      </c>
      <c r="F237" s="4" t="s">
        <v>128</v>
      </c>
      <c r="G237" s="5">
        <v>11323</v>
      </c>
    </row>
    <row r="238" spans="1:7" x14ac:dyDescent="0.25">
      <c r="A238" s="4"/>
      <c r="B238" s="4" t="s">
        <v>25</v>
      </c>
      <c r="C238" s="14"/>
      <c r="D238" s="14">
        <v>237</v>
      </c>
      <c r="E238" s="14">
        <v>18</v>
      </c>
      <c r="F238" s="4" t="s">
        <v>129</v>
      </c>
      <c r="G238" s="5">
        <v>11458</v>
      </c>
    </row>
    <row r="239" spans="1:7" x14ac:dyDescent="0.25">
      <c r="A239" s="4"/>
      <c r="B239" s="4" t="s">
        <v>25</v>
      </c>
      <c r="C239" s="14"/>
      <c r="D239" s="14">
        <v>238</v>
      </c>
      <c r="E239" s="14">
        <v>19</v>
      </c>
      <c r="F239" s="4" t="s">
        <v>130</v>
      </c>
      <c r="G239" s="5">
        <v>11503</v>
      </c>
    </row>
    <row r="240" spans="1:7" x14ac:dyDescent="0.25">
      <c r="A240" s="4"/>
      <c r="B240" s="4" t="s">
        <v>25</v>
      </c>
      <c r="C240" s="14"/>
      <c r="D240" s="14">
        <v>239</v>
      </c>
      <c r="E240" s="14">
        <v>20</v>
      </c>
      <c r="F240" s="4" t="s">
        <v>131</v>
      </c>
      <c r="G240" s="5">
        <v>11598</v>
      </c>
    </row>
    <row r="241" spans="1:7" x14ac:dyDescent="0.25">
      <c r="A241" s="4"/>
      <c r="B241" s="4" t="s">
        <v>25</v>
      </c>
      <c r="C241" s="14"/>
      <c r="D241" s="14">
        <v>240</v>
      </c>
      <c r="E241" s="14">
        <v>21</v>
      </c>
      <c r="F241" s="4" t="s">
        <v>132</v>
      </c>
      <c r="G241" s="5">
        <v>11682</v>
      </c>
    </row>
    <row r="242" spans="1:7" x14ac:dyDescent="0.25">
      <c r="A242" s="4"/>
      <c r="B242" s="4" t="s">
        <v>25</v>
      </c>
      <c r="C242" s="14"/>
      <c r="D242" s="14">
        <v>241</v>
      </c>
      <c r="E242" s="14">
        <v>22</v>
      </c>
      <c r="F242" s="4" t="s">
        <v>133</v>
      </c>
      <c r="G242" s="5">
        <v>11812</v>
      </c>
    </row>
    <row r="243" spans="1:7" x14ac:dyDescent="0.25">
      <c r="A243" s="4"/>
      <c r="B243" s="4" t="s">
        <v>25</v>
      </c>
      <c r="C243" s="14"/>
      <c r="D243" s="14">
        <v>242</v>
      </c>
      <c r="E243" s="14">
        <v>23</v>
      </c>
      <c r="F243" s="4" t="s">
        <v>134</v>
      </c>
      <c r="G243" s="5">
        <v>11961</v>
      </c>
    </row>
    <row r="244" spans="1:7" x14ac:dyDescent="0.25">
      <c r="A244" s="4"/>
      <c r="B244" s="4" t="s">
        <v>25</v>
      </c>
      <c r="C244" s="14"/>
      <c r="D244" s="14">
        <v>243</v>
      </c>
      <c r="E244" s="14">
        <v>24</v>
      </c>
      <c r="F244" s="4" t="s">
        <v>135</v>
      </c>
      <c r="G244" s="5">
        <v>12208</v>
      </c>
    </row>
    <row r="245" spans="1:7" x14ac:dyDescent="0.25">
      <c r="A245" s="4"/>
      <c r="B245" s="4" t="s">
        <v>25</v>
      </c>
      <c r="C245" s="14"/>
      <c r="D245" s="14">
        <v>244</v>
      </c>
      <c r="E245" s="14">
        <v>25</v>
      </c>
      <c r="F245" s="4" t="s">
        <v>136</v>
      </c>
      <c r="G245" s="5">
        <v>13138</v>
      </c>
    </row>
    <row r="246" spans="1:7" x14ac:dyDescent="0.25">
      <c r="A246" s="4"/>
      <c r="B246" s="4" t="s">
        <v>25</v>
      </c>
      <c r="C246" s="14"/>
      <c r="D246" s="14">
        <v>245</v>
      </c>
      <c r="E246" s="14">
        <v>26</v>
      </c>
      <c r="F246" s="4" t="s">
        <v>137</v>
      </c>
      <c r="G246" s="5">
        <v>13330</v>
      </c>
    </row>
    <row r="247" spans="1:7" x14ac:dyDescent="0.25">
      <c r="A247" s="4"/>
      <c r="B247" s="4" t="s">
        <v>25</v>
      </c>
      <c r="C247" s="14"/>
      <c r="D247" s="14">
        <v>246</v>
      </c>
      <c r="E247" s="14">
        <v>27</v>
      </c>
      <c r="F247" s="4" t="s">
        <v>138</v>
      </c>
      <c r="G247" s="5" t="s">
        <v>605</v>
      </c>
    </row>
    <row r="248" spans="1:7" x14ac:dyDescent="0.25">
      <c r="A248" s="4"/>
      <c r="B248" s="4" t="s">
        <v>25</v>
      </c>
      <c r="C248" s="14"/>
      <c r="D248" s="14">
        <v>247</v>
      </c>
      <c r="E248" s="14">
        <v>28</v>
      </c>
      <c r="F248" s="4" t="s">
        <v>139</v>
      </c>
      <c r="G248" s="5">
        <v>13593</v>
      </c>
    </row>
    <row r="249" spans="1:7" x14ac:dyDescent="0.25">
      <c r="A249" s="4"/>
      <c r="B249" s="4" t="s">
        <v>25</v>
      </c>
      <c r="C249" s="14"/>
      <c r="D249" s="14">
        <v>248</v>
      </c>
      <c r="E249" s="14">
        <v>29</v>
      </c>
      <c r="F249" s="4" t="s">
        <v>140</v>
      </c>
      <c r="G249" s="5">
        <v>13602</v>
      </c>
    </row>
    <row r="250" spans="1:7" x14ac:dyDescent="0.25">
      <c r="A250" s="4"/>
      <c r="B250" s="4" t="s">
        <v>25</v>
      </c>
      <c r="C250" s="14"/>
      <c r="D250" s="14">
        <v>249</v>
      </c>
      <c r="E250" s="14">
        <v>30</v>
      </c>
      <c r="F250" s="4" t="s">
        <v>141</v>
      </c>
      <c r="G250" s="5">
        <v>13787</v>
      </c>
    </row>
    <row r="251" spans="1:7" x14ac:dyDescent="0.25">
      <c r="A251" s="4">
        <v>260</v>
      </c>
      <c r="B251" s="4" t="s">
        <v>26</v>
      </c>
      <c r="C251" s="14" t="s">
        <v>69</v>
      </c>
      <c r="D251" s="14">
        <v>250</v>
      </c>
      <c r="E251" s="14">
        <v>1</v>
      </c>
      <c r="F251" s="4" t="s">
        <v>70</v>
      </c>
      <c r="G251" s="5">
        <v>14538</v>
      </c>
    </row>
    <row r="252" spans="1:7" x14ac:dyDescent="0.25">
      <c r="A252" s="4"/>
      <c r="B252" s="4" t="s">
        <v>26</v>
      </c>
      <c r="C252" s="14"/>
      <c r="D252" s="14">
        <v>251</v>
      </c>
      <c r="E252" s="14">
        <v>2</v>
      </c>
      <c r="F252" s="4" t="s">
        <v>71</v>
      </c>
      <c r="G252" s="5">
        <v>14550</v>
      </c>
    </row>
    <row r="253" spans="1:7" x14ac:dyDescent="0.25">
      <c r="A253" s="4"/>
      <c r="B253" s="4" t="s">
        <v>26</v>
      </c>
      <c r="C253" s="14"/>
      <c r="D253" s="14">
        <v>252</v>
      </c>
      <c r="E253" s="14">
        <v>3</v>
      </c>
      <c r="F253" s="4" t="s">
        <v>72</v>
      </c>
      <c r="G253" s="5">
        <v>14775</v>
      </c>
    </row>
    <row r="254" spans="1:7" x14ac:dyDescent="0.25">
      <c r="A254" s="4"/>
      <c r="B254" s="4" t="s">
        <v>26</v>
      </c>
      <c r="C254" s="14"/>
      <c r="D254" s="14">
        <v>253</v>
      </c>
      <c r="E254" s="14">
        <v>4</v>
      </c>
      <c r="F254" s="4" t="s">
        <v>73</v>
      </c>
      <c r="G254" s="5">
        <v>15886</v>
      </c>
    </row>
    <row r="255" spans="1:7" x14ac:dyDescent="0.25">
      <c r="A255" s="4"/>
      <c r="B255" s="4" t="s">
        <v>26</v>
      </c>
      <c r="C255" s="14"/>
      <c r="D255" s="14">
        <v>254</v>
      </c>
      <c r="E255" s="14">
        <v>5</v>
      </c>
      <c r="F255" s="4" t="s">
        <v>74</v>
      </c>
      <c r="G255" s="5">
        <v>15979</v>
      </c>
    </row>
    <row r="256" spans="1:7" x14ac:dyDescent="0.25">
      <c r="A256" s="4"/>
      <c r="B256" s="4" t="s">
        <v>26</v>
      </c>
      <c r="C256" s="14"/>
      <c r="D256" s="14">
        <v>255</v>
      </c>
      <c r="E256" s="14">
        <v>6</v>
      </c>
      <c r="F256" s="4" t="s">
        <v>75</v>
      </c>
      <c r="G256" s="5">
        <v>16171</v>
      </c>
    </row>
    <row r="257" spans="1:7" x14ac:dyDescent="0.25">
      <c r="A257" s="4"/>
      <c r="B257" s="4" t="s">
        <v>26</v>
      </c>
      <c r="C257" s="14"/>
      <c r="D257" s="14">
        <v>256</v>
      </c>
      <c r="E257" s="14">
        <v>7</v>
      </c>
      <c r="F257" s="4" t="s">
        <v>76</v>
      </c>
      <c r="G257" s="5">
        <v>16542</v>
      </c>
    </row>
    <row r="258" spans="1:7" x14ac:dyDescent="0.25">
      <c r="A258" s="4"/>
      <c r="B258" s="4" t="s">
        <v>26</v>
      </c>
      <c r="C258" s="14"/>
      <c r="D258" s="14">
        <v>257</v>
      </c>
      <c r="E258" s="14">
        <v>8</v>
      </c>
      <c r="F258" s="4" t="s">
        <v>77</v>
      </c>
      <c r="G258" s="5">
        <v>16794</v>
      </c>
    </row>
    <row r="259" spans="1:7" x14ac:dyDescent="0.25">
      <c r="A259" s="4"/>
      <c r="B259" s="4" t="s">
        <v>26</v>
      </c>
      <c r="C259" s="14"/>
      <c r="D259" s="14">
        <v>258</v>
      </c>
      <c r="E259" s="14">
        <v>9</v>
      </c>
      <c r="F259" s="4" t="s">
        <v>78</v>
      </c>
      <c r="G259" s="5">
        <v>16808</v>
      </c>
    </row>
    <row r="260" spans="1:7" x14ac:dyDescent="0.25">
      <c r="A260" s="4"/>
      <c r="B260" s="4" t="s">
        <v>26</v>
      </c>
      <c r="C260" s="14"/>
      <c r="D260" s="14">
        <v>259</v>
      </c>
      <c r="E260" s="14">
        <v>10</v>
      </c>
      <c r="F260" s="4" t="s">
        <v>79</v>
      </c>
      <c r="G260" s="5">
        <v>16923</v>
      </c>
    </row>
    <row r="261" spans="1:7" x14ac:dyDescent="0.25">
      <c r="A261" s="4"/>
      <c r="B261" s="4" t="s">
        <v>26</v>
      </c>
      <c r="C261" s="14"/>
      <c r="D261" s="14">
        <v>260</v>
      </c>
      <c r="E261" s="14">
        <v>11</v>
      </c>
      <c r="F261" s="4" t="s">
        <v>80</v>
      </c>
      <c r="G261" s="5">
        <v>17247</v>
      </c>
    </row>
    <row r="262" spans="1:7" x14ac:dyDescent="0.25">
      <c r="A262" s="4"/>
      <c r="B262" s="4" t="s">
        <v>26</v>
      </c>
      <c r="C262" s="14"/>
      <c r="D262" s="14">
        <v>261</v>
      </c>
      <c r="E262" s="14">
        <v>12</v>
      </c>
      <c r="F262" s="4" t="s">
        <v>81</v>
      </c>
      <c r="G262" s="5">
        <v>17491</v>
      </c>
    </row>
    <row r="263" spans="1:7" x14ac:dyDescent="0.25">
      <c r="A263" s="4"/>
      <c r="B263" s="4" t="s">
        <v>26</v>
      </c>
      <c r="C263" s="14"/>
      <c r="D263" s="14">
        <v>262</v>
      </c>
      <c r="E263" s="14">
        <v>13</v>
      </c>
      <c r="F263" s="4" t="s">
        <v>82</v>
      </c>
      <c r="G263" s="5">
        <v>17519</v>
      </c>
    </row>
    <row r="264" spans="1:7" x14ac:dyDescent="0.25">
      <c r="A264" s="4"/>
      <c r="B264" s="4" t="s">
        <v>26</v>
      </c>
      <c r="C264" s="14"/>
      <c r="D264" s="14">
        <v>263</v>
      </c>
      <c r="E264" s="14">
        <v>14</v>
      </c>
      <c r="F264" s="4" t="s">
        <v>83</v>
      </c>
      <c r="G264" s="5">
        <v>17654</v>
      </c>
    </row>
    <row r="265" spans="1:7" x14ac:dyDescent="0.25">
      <c r="A265" s="4"/>
      <c r="B265" s="4" t="s">
        <v>26</v>
      </c>
      <c r="C265" s="14"/>
      <c r="D265" s="14">
        <v>264</v>
      </c>
      <c r="E265" s="14">
        <v>15</v>
      </c>
      <c r="F265" s="4" t="s">
        <v>84</v>
      </c>
      <c r="G265" s="5">
        <v>17830</v>
      </c>
    </row>
    <row r="266" spans="1:7" x14ac:dyDescent="0.25">
      <c r="A266" s="4"/>
      <c r="B266" s="4" t="s">
        <v>26</v>
      </c>
      <c r="C266" s="14"/>
      <c r="D266" s="14">
        <v>265</v>
      </c>
      <c r="E266" s="14">
        <v>16</v>
      </c>
      <c r="F266" s="4" t="s">
        <v>85</v>
      </c>
      <c r="G266" s="5">
        <v>18003</v>
      </c>
    </row>
    <row r="267" spans="1:7" x14ac:dyDescent="0.25">
      <c r="A267" s="4"/>
      <c r="B267" s="4" t="s">
        <v>26</v>
      </c>
      <c r="C267" s="14"/>
      <c r="D267" s="14">
        <v>266</v>
      </c>
      <c r="E267" s="14">
        <v>17</v>
      </c>
      <c r="F267" s="4" t="s">
        <v>86</v>
      </c>
      <c r="G267" s="5">
        <v>18334</v>
      </c>
    </row>
    <row r="268" spans="1:7" x14ac:dyDescent="0.25">
      <c r="A268" s="4"/>
      <c r="B268" s="4" t="s">
        <v>26</v>
      </c>
      <c r="C268" s="14"/>
      <c r="D268" s="14">
        <v>267</v>
      </c>
      <c r="E268" s="14">
        <v>18</v>
      </c>
      <c r="F268" s="4" t="s">
        <v>87</v>
      </c>
      <c r="G268" s="5">
        <v>18463</v>
      </c>
    </row>
    <row r="269" spans="1:7" x14ac:dyDescent="0.25">
      <c r="A269" s="4"/>
      <c r="B269" s="4" t="s">
        <v>26</v>
      </c>
      <c r="C269" s="14"/>
      <c r="D269" s="14">
        <v>268</v>
      </c>
      <c r="E269" s="14">
        <v>19</v>
      </c>
      <c r="F269" s="4" t="s">
        <v>88</v>
      </c>
      <c r="G269" s="5">
        <v>18497</v>
      </c>
    </row>
    <row r="270" spans="1:7" x14ac:dyDescent="0.25">
      <c r="A270" s="4"/>
      <c r="B270" s="4" t="s">
        <v>26</v>
      </c>
      <c r="C270" s="14"/>
      <c r="D270" s="14">
        <v>269</v>
      </c>
      <c r="E270" s="14">
        <v>20</v>
      </c>
      <c r="F270" s="4" t="s">
        <v>89</v>
      </c>
      <c r="G270" s="5">
        <v>18603</v>
      </c>
    </row>
    <row r="271" spans="1:7" x14ac:dyDescent="0.25">
      <c r="A271" s="4"/>
      <c r="B271" s="4" t="s">
        <v>26</v>
      </c>
      <c r="C271" s="14"/>
      <c r="D271" s="14">
        <v>270</v>
      </c>
      <c r="E271" s="14">
        <v>21</v>
      </c>
      <c r="F271" s="4" t="s">
        <v>90</v>
      </c>
      <c r="G271" s="5">
        <v>18781</v>
      </c>
    </row>
    <row r="272" spans="1:7" x14ac:dyDescent="0.25">
      <c r="A272" s="4"/>
      <c r="B272" s="4" t="s">
        <v>26</v>
      </c>
      <c r="C272" s="14"/>
      <c r="D272" s="14">
        <v>271</v>
      </c>
      <c r="E272" s="14">
        <v>22</v>
      </c>
      <c r="F272" s="4" t="s">
        <v>91</v>
      </c>
      <c r="G272" s="5">
        <v>18879</v>
      </c>
    </row>
    <row r="273" spans="1:7" x14ac:dyDescent="0.25">
      <c r="A273" s="4"/>
      <c r="B273" s="4" t="s">
        <v>26</v>
      </c>
      <c r="C273" s="14"/>
      <c r="D273" s="14">
        <v>272</v>
      </c>
      <c r="E273" s="14">
        <v>23</v>
      </c>
      <c r="F273" s="4" t="s">
        <v>92</v>
      </c>
      <c r="G273" s="5">
        <v>18886</v>
      </c>
    </row>
    <row r="274" spans="1:7" x14ac:dyDescent="0.25">
      <c r="A274" s="4"/>
      <c r="B274" s="4" t="s">
        <v>26</v>
      </c>
      <c r="C274" s="14"/>
      <c r="D274" s="14">
        <v>273</v>
      </c>
      <c r="E274" s="14">
        <v>24</v>
      </c>
      <c r="F274" s="4" t="s">
        <v>93</v>
      </c>
      <c r="G274" s="5">
        <v>19343</v>
      </c>
    </row>
    <row r="275" spans="1:7" x14ac:dyDescent="0.25">
      <c r="A275" s="4"/>
      <c r="B275" s="4" t="s">
        <v>26</v>
      </c>
      <c r="C275" s="14"/>
      <c r="D275" s="14">
        <v>274</v>
      </c>
      <c r="E275" s="14">
        <v>25</v>
      </c>
      <c r="F275" s="4" t="s">
        <v>94</v>
      </c>
      <c r="G275" s="5">
        <v>19503</v>
      </c>
    </row>
    <row r="276" spans="1:7" x14ac:dyDescent="0.25">
      <c r="A276" s="4"/>
      <c r="B276" s="4" t="s">
        <v>26</v>
      </c>
      <c r="C276" s="14"/>
      <c r="D276" s="14">
        <v>275</v>
      </c>
      <c r="E276" s="14">
        <v>26</v>
      </c>
      <c r="F276" s="4" t="s">
        <v>95</v>
      </c>
      <c r="G276" s="5">
        <v>19610</v>
      </c>
    </row>
    <row r="277" spans="1:7" x14ac:dyDescent="0.25">
      <c r="A277" s="4"/>
      <c r="B277" s="4" t="s">
        <v>26</v>
      </c>
      <c r="C277" s="14"/>
      <c r="D277" s="14">
        <v>276</v>
      </c>
      <c r="E277" s="14">
        <v>27</v>
      </c>
      <c r="F277" s="4" t="s">
        <v>96</v>
      </c>
      <c r="G277" s="5">
        <v>19808</v>
      </c>
    </row>
    <row r="278" spans="1:7" x14ac:dyDescent="0.25">
      <c r="A278" s="4"/>
      <c r="B278" s="4" t="s">
        <v>26</v>
      </c>
      <c r="C278" s="14"/>
      <c r="D278" s="14">
        <v>277</v>
      </c>
      <c r="E278" s="14">
        <v>28</v>
      </c>
      <c r="F278" s="4" t="s">
        <v>97</v>
      </c>
      <c r="G278" s="5">
        <v>19880</v>
      </c>
    </row>
    <row r="279" spans="1:7" x14ac:dyDescent="0.25">
      <c r="A279" s="4"/>
      <c r="B279" s="4" t="s">
        <v>26</v>
      </c>
      <c r="C279" s="14"/>
      <c r="D279" s="14">
        <v>278</v>
      </c>
      <c r="E279" s="14">
        <v>29</v>
      </c>
      <c r="F279" s="4" t="s">
        <v>98</v>
      </c>
      <c r="G279" s="5">
        <v>20004</v>
      </c>
    </row>
    <row r="280" spans="1:7" x14ac:dyDescent="0.25">
      <c r="A280" s="4"/>
      <c r="B280" s="4" t="s">
        <v>26</v>
      </c>
      <c r="C280" s="14"/>
      <c r="D280" s="14">
        <v>279</v>
      </c>
      <c r="E280" s="14">
        <v>30</v>
      </c>
      <c r="F280" s="4" t="s">
        <v>99</v>
      </c>
      <c r="G280" s="5">
        <v>20008</v>
      </c>
    </row>
    <row r="281" spans="1:7" x14ac:dyDescent="0.25">
      <c r="A281" s="4"/>
      <c r="B281" s="4" t="s">
        <v>26</v>
      </c>
      <c r="C281" s="14"/>
      <c r="D281" s="14">
        <v>280</v>
      </c>
      <c r="E281" s="14">
        <v>31</v>
      </c>
      <c r="F281" s="4" t="s">
        <v>100</v>
      </c>
      <c r="G281" s="5">
        <v>20448</v>
      </c>
    </row>
    <row r="282" spans="1:7" x14ac:dyDescent="0.25">
      <c r="A282" s="4"/>
      <c r="B282" s="4" t="s">
        <v>26</v>
      </c>
      <c r="C282" s="14"/>
      <c r="D282" s="14">
        <v>281</v>
      </c>
      <c r="E282" s="14">
        <v>32</v>
      </c>
      <c r="F282" s="4" t="s">
        <v>101</v>
      </c>
      <c r="G282" s="5">
        <v>20590</v>
      </c>
    </row>
    <row r="283" spans="1:7" x14ac:dyDescent="0.25">
      <c r="A283" s="4"/>
      <c r="B283" s="4" t="s">
        <v>26</v>
      </c>
      <c r="C283" s="14"/>
      <c r="D283" s="14">
        <v>282</v>
      </c>
      <c r="E283" s="14">
        <v>33</v>
      </c>
      <c r="F283" s="4" t="s">
        <v>102</v>
      </c>
      <c r="G283" s="5">
        <v>20756</v>
      </c>
    </row>
    <row r="284" spans="1:7" x14ac:dyDescent="0.25">
      <c r="A284" s="4"/>
      <c r="B284" s="4" t="s">
        <v>26</v>
      </c>
      <c r="C284" s="14"/>
      <c r="D284" s="14">
        <v>283</v>
      </c>
      <c r="E284" s="14">
        <v>34</v>
      </c>
      <c r="F284" s="4" t="s">
        <v>103</v>
      </c>
      <c r="G284" s="5">
        <v>20760</v>
      </c>
    </row>
    <row r="285" spans="1:7" x14ac:dyDescent="0.25">
      <c r="A285" s="4"/>
      <c r="B285" s="4" t="s">
        <v>26</v>
      </c>
      <c r="C285" s="14"/>
      <c r="D285" s="14">
        <v>284</v>
      </c>
      <c r="E285" s="14">
        <v>35</v>
      </c>
      <c r="F285" s="4" t="s">
        <v>104</v>
      </c>
      <c r="G285" s="5">
        <v>20764</v>
      </c>
    </row>
    <row r="286" spans="1:7" x14ac:dyDescent="0.25">
      <c r="A286" s="4"/>
      <c r="B286" s="4" t="s">
        <v>26</v>
      </c>
      <c r="C286" s="14"/>
      <c r="D286" s="14">
        <v>285</v>
      </c>
      <c r="E286" s="14">
        <v>36</v>
      </c>
      <c r="F286" s="4" t="s">
        <v>105</v>
      </c>
      <c r="G286" s="5">
        <v>20931</v>
      </c>
    </row>
    <row r="287" spans="1:7" x14ac:dyDescent="0.25">
      <c r="A287" s="4"/>
      <c r="B287" s="4" t="s">
        <v>26</v>
      </c>
      <c r="C287" s="14"/>
      <c r="D287" s="14">
        <v>286</v>
      </c>
      <c r="E287" s="14">
        <v>37</v>
      </c>
      <c r="F287" s="4" t="s">
        <v>106</v>
      </c>
      <c r="G287" s="5">
        <v>20956</v>
      </c>
    </row>
    <row r="288" spans="1:7" x14ac:dyDescent="0.25">
      <c r="A288" s="4"/>
      <c r="B288" s="4" t="s">
        <v>26</v>
      </c>
      <c r="C288" s="14"/>
      <c r="D288" s="14">
        <v>287</v>
      </c>
      <c r="E288" s="14">
        <v>38</v>
      </c>
      <c r="F288" s="4" t="s">
        <v>107</v>
      </c>
      <c r="G288" s="5">
        <v>21003</v>
      </c>
    </row>
    <row r="289" spans="1:7" x14ac:dyDescent="0.25">
      <c r="A289" s="4"/>
      <c r="B289" s="4" t="s">
        <v>26</v>
      </c>
      <c r="C289" s="14"/>
      <c r="D289" s="14">
        <v>288</v>
      </c>
      <c r="E289" s="14">
        <v>39</v>
      </c>
      <c r="F289" s="4" t="s">
        <v>108</v>
      </c>
      <c r="G289" s="5">
        <v>21071</v>
      </c>
    </row>
    <row r="290" spans="1:7" x14ac:dyDescent="0.25">
      <c r="A290" s="4"/>
      <c r="B290" s="4" t="s">
        <v>26</v>
      </c>
      <c r="C290" s="14"/>
      <c r="D290" s="14">
        <v>289</v>
      </c>
      <c r="E290" s="14">
        <v>40</v>
      </c>
      <c r="F290" s="4" t="s">
        <v>109</v>
      </c>
      <c r="G290" s="5">
        <v>21365</v>
      </c>
    </row>
    <row r="291" spans="1:7" x14ac:dyDescent="0.25">
      <c r="A291" s="4"/>
      <c r="B291" s="4" t="s">
        <v>26</v>
      </c>
      <c r="C291" s="14"/>
      <c r="D291" s="14">
        <v>290</v>
      </c>
      <c r="E291" s="14">
        <v>41</v>
      </c>
      <c r="F291" s="4" t="s">
        <v>110</v>
      </c>
      <c r="G291" s="5">
        <v>21380</v>
      </c>
    </row>
    <row r="292" spans="1:7" s="4" customFormat="1" x14ac:dyDescent="0.25">
      <c r="A292" s="4">
        <v>261</v>
      </c>
      <c r="B292" s="4" t="s">
        <v>27</v>
      </c>
      <c r="C292" s="14" t="s">
        <v>68</v>
      </c>
      <c r="D292" s="14">
        <v>291</v>
      </c>
      <c r="E292" s="14">
        <v>1</v>
      </c>
      <c r="F292" s="4" t="s">
        <v>60</v>
      </c>
      <c r="G292" s="5">
        <v>21730</v>
      </c>
    </row>
    <row r="293" spans="1:7" s="4" customFormat="1" x14ac:dyDescent="0.25">
      <c r="B293" s="4" t="s">
        <v>27</v>
      </c>
      <c r="C293" s="14"/>
      <c r="D293" s="14">
        <v>292</v>
      </c>
      <c r="E293" s="14">
        <v>2</v>
      </c>
      <c r="F293" s="4" t="s">
        <v>61</v>
      </c>
      <c r="G293" s="5">
        <v>21763</v>
      </c>
    </row>
    <row r="294" spans="1:7" s="4" customFormat="1" x14ac:dyDescent="0.25">
      <c r="B294" s="4" t="s">
        <v>27</v>
      </c>
      <c r="C294" s="14"/>
      <c r="D294" s="14">
        <v>293</v>
      </c>
      <c r="E294" s="14">
        <v>3</v>
      </c>
      <c r="F294" s="4" t="s">
        <v>62</v>
      </c>
      <c r="G294" s="5">
        <v>21819</v>
      </c>
    </row>
    <row r="295" spans="1:7" s="4" customFormat="1" x14ac:dyDescent="0.25">
      <c r="B295" s="4" t="s">
        <v>27</v>
      </c>
      <c r="C295" s="14"/>
      <c r="D295" s="14">
        <v>294</v>
      </c>
      <c r="E295" s="14">
        <v>4</v>
      </c>
      <c r="F295" s="4" t="s">
        <v>63</v>
      </c>
      <c r="G295" s="5">
        <v>21882</v>
      </c>
    </row>
    <row r="296" spans="1:7" s="4" customFormat="1" x14ac:dyDescent="0.25">
      <c r="B296" s="4" t="s">
        <v>27</v>
      </c>
      <c r="C296" s="14"/>
      <c r="D296" s="14">
        <v>295</v>
      </c>
      <c r="E296" s="14">
        <v>5</v>
      </c>
      <c r="F296" s="4" t="s">
        <v>64</v>
      </c>
      <c r="G296" s="5">
        <v>22416</v>
      </c>
    </row>
    <row r="297" spans="1:7" s="4" customFormat="1" x14ac:dyDescent="0.25">
      <c r="B297" s="4" t="s">
        <v>27</v>
      </c>
      <c r="C297" s="14"/>
      <c r="D297" s="14">
        <v>296</v>
      </c>
      <c r="E297" s="14">
        <v>6</v>
      </c>
      <c r="F297" s="4" t="s">
        <v>65</v>
      </c>
      <c r="G297" s="5">
        <v>22596</v>
      </c>
    </row>
    <row r="298" spans="1:7" s="4" customFormat="1" x14ac:dyDescent="0.25">
      <c r="B298" s="4" t="s">
        <v>27</v>
      </c>
      <c r="C298" s="14"/>
      <c r="D298" s="14">
        <v>297</v>
      </c>
      <c r="E298" s="14">
        <v>7</v>
      </c>
      <c r="F298" s="4" t="s">
        <v>66</v>
      </c>
      <c r="G298" s="5">
        <v>22828</v>
      </c>
    </row>
    <row r="299" spans="1:7" s="4" customFormat="1" x14ac:dyDescent="0.25">
      <c r="B299" s="4" t="s">
        <v>27</v>
      </c>
      <c r="C299" s="14"/>
      <c r="D299" s="14">
        <v>298</v>
      </c>
      <c r="E299" s="14">
        <v>8</v>
      </c>
      <c r="F299" s="4" t="s">
        <v>67</v>
      </c>
      <c r="G299" s="5">
        <v>23112</v>
      </c>
    </row>
    <row r="300" spans="1:7" s="4" customFormat="1" x14ac:dyDescent="0.25">
      <c r="A300" s="4">
        <v>262</v>
      </c>
      <c r="B300" s="4" t="s">
        <v>28</v>
      </c>
      <c r="C300" s="14" t="s">
        <v>52</v>
      </c>
      <c r="D300" s="14">
        <v>299</v>
      </c>
      <c r="E300" s="14">
        <v>1</v>
      </c>
      <c r="F300" s="4" t="s">
        <v>53</v>
      </c>
      <c r="G300" s="5">
        <v>23595</v>
      </c>
    </row>
    <row r="301" spans="1:7" s="4" customFormat="1" x14ac:dyDescent="0.25">
      <c r="B301" s="4" t="s">
        <v>28</v>
      </c>
      <c r="C301" s="14"/>
      <c r="D301" s="14">
        <v>300</v>
      </c>
      <c r="E301" s="14">
        <v>2</v>
      </c>
      <c r="F301" s="4" t="s">
        <v>54</v>
      </c>
      <c r="G301" s="5">
        <v>23861</v>
      </c>
    </row>
    <row r="302" spans="1:7" s="4" customFormat="1" x14ac:dyDescent="0.25">
      <c r="B302" s="4" t="s">
        <v>28</v>
      </c>
      <c r="C302" s="14"/>
      <c r="D302" s="14">
        <v>301</v>
      </c>
      <c r="E302" s="14">
        <v>3</v>
      </c>
      <c r="F302" s="4" t="s">
        <v>55</v>
      </c>
      <c r="G302" s="5">
        <v>23988</v>
      </c>
    </row>
    <row r="303" spans="1:7" s="4" customFormat="1" x14ac:dyDescent="0.25">
      <c r="B303" s="4" t="s">
        <v>28</v>
      </c>
      <c r="C303" s="14"/>
      <c r="D303" s="14">
        <v>302</v>
      </c>
      <c r="E303" s="14">
        <v>4</v>
      </c>
      <c r="F303" s="4" t="s">
        <v>56</v>
      </c>
      <c r="G303" s="5">
        <v>24365</v>
      </c>
    </row>
    <row r="304" spans="1:7" s="4" customFormat="1" x14ac:dyDescent="0.25">
      <c r="B304" s="4" t="s">
        <v>28</v>
      </c>
      <c r="C304" s="14"/>
      <c r="D304" s="14">
        <v>303</v>
      </c>
      <c r="E304" s="14">
        <v>5</v>
      </c>
      <c r="F304" s="4" t="s">
        <v>57</v>
      </c>
      <c r="G304" s="5">
        <v>24557</v>
      </c>
    </row>
    <row r="305" spans="1:7" s="4" customFormat="1" x14ac:dyDescent="0.25">
      <c r="B305" s="4" t="s">
        <v>28</v>
      </c>
      <c r="C305" s="14"/>
      <c r="D305" s="14">
        <v>304</v>
      </c>
      <c r="E305" s="14">
        <v>6</v>
      </c>
      <c r="F305" s="4" t="s">
        <v>58</v>
      </c>
      <c r="G305" s="5">
        <v>24647</v>
      </c>
    </row>
    <row r="306" spans="1:7" s="4" customFormat="1" x14ac:dyDescent="0.25">
      <c r="B306" s="4" t="s">
        <v>28</v>
      </c>
      <c r="C306" s="14"/>
      <c r="D306" s="14">
        <v>305</v>
      </c>
      <c r="E306" s="14">
        <v>7</v>
      </c>
      <c r="F306" s="4" t="s">
        <v>59</v>
      </c>
      <c r="G306" s="5">
        <v>25044</v>
      </c>
    </row>
    <row r="307" spans="1:7" s="4" customFormat="1" x14ac:dyDescent="0.25">
      <c r="A307" s="4">
        <v>263</v>
      </c>
      <c r="B307" s="4" t="s">
        <v>29</v>
      </c>
      <c r="C307" s="14" t="s">
        <v>51</v>
      </c>
      <c r="D307" s="14"/>
      <c r="E307" s="14"/>
      <c r="G307" s="5"/>
    </row>
    <row r="308" spans="1:7" s="4" customFormat="1" x14ac:dyDescent="0.25">
      <c r="A308" s="4">
        <v>264</v>
      </c>
      <c r="B308" s="4" t="s">
        <v>30</v>
      </c>
      <c r="C308" s="14" t="s">
        <v>50</v>
      </c>
      <c r="D308" s="14">
        <v>306</v>
      </c>
      <c r="E308" s="14">
        <v>1</v>
      </c>
      <c r="F308" s="4" t="s">
        <v>36</v>
      </c>
      <c r="G308" s="5">
        <v>28918</v>
      </c>
    </row>
    <row r="309" spans="1:7" s="4" customFormat="1" x14ac:dyDescent="0.25">
      <c r="B309" s="4" t="s">
        <v>30</v>
      </c>
      <c r="C309" s="14"/>
      <c r="D309" s="14">
        <v>307</v>
      </c>
      <c r="E309" s="14">
        <v>2</v>
      </c>
      <c r="F309" s="4" t="s">
        <v>37</v>
      </c>
      <c r="G309" s="5">
        <v>29555</v>
      </c>
    </row>
    <row r="310" spans="1:7" s="4" customFormat="1" x14ac:dyDescent="0.25">
      <c r="B310" s="4" t="s">
        <v>30</v>
      </c>
      <c r="C310" s="14"/>
      <c r="D310" s="14">
        <v>308</v>
      </c>
      <c r="E310" s="14">
        <v>3</v>
      </c>
      <c r="F310" s="4" t="s">
        <v>38</v>
      </c>
      <c r="G310" s="5">
        <v>29843</v>
      </c>
    </row>
    <row r="311" spans="1:7" s="4" customFormat="1" x14ac:dyDescent="0.25">
      <c r="B311" s="4" t="s">
        <v>30</v>
      </c>
      <c r="C311" s="14"/>
      <c r="D311" s="14">
        <v>309</v>
      </c>
      <c r="E311" s="14">
        <v>4</v>
      </c>
      <c r="F311" s="4" t="s">
        <v>39</v>
      </c>
      <c r="G311" s="5">
        <v>31200</v>
      </c>
    </row>
    <row r="312" spans="1:7" s="4" customFormat="1" x14ac:dyDescent="0.25">
      <c r="B312" s="4" t="s">
        <v>30</v>
      </c>
      <c r="C312" s="14"/>
      <c r="D312" s="14">
        <v>310</v>
      </c>
      <c r="E312" s="14">
        <v>5</v>
      </c>
      <c r="F312" s="4" t="s">
        <v>40</v>
      </c>
      <c r="G312" s="5">
        <v>31550</v>
      </c>
    </row>
    <row r="313" spans="1:7" s="4" customFormat="1" x14ac:dyDescent="0.25">
      <c r="B313" s="4" t="s">
        <v>30</v>
      </c>
      <c r="C313" s="14"/>
      <c r="D313" s="14">
        <v>311</v>
      </c>
      <c r="E313" s="14">
        <v>6</v>
      </c>
      <c r="F313" s="4" t="s">
        <v>41</v>
      </c>
      <c r="G313" s="5">
        <v>31861</v>
      </c>
    </row>
    <row r="314" spans="1:7" s="4" customFormat="1" x14ac:dyDescent="0.25">
      <c r="B314" s="4" t="s">
        <v>30</v>
      </c>
      <c r="C314" s="14"/>
      <c r="D314" s="14">
        <v>312</v>
      </c>
      <c r="E314" s="14">
        <v>7</v>
      </c>
      <c r="F314" s="4" t="s">
        <v>42</v>
      </c>
      <c r="G314" s="5">
        <v>32141</v>
      </c>
    </row>
    <row r="315" spans="1:7" s="4" customFormat="1" x14ac:dyDescent="0.25">
      <c r="B315" s="4" t="s">
        <v>30</v>
      </c>
      <c r="C315" s="14"/>
      <c r="D315" s="14">
        <v>313</v>
      </c>
      <c r="E315" s="14">
        <v>8</v>
      </c>
      <c r="F315" s="4" t="s">
        <v>43</v>
      </c>
      <c r="G315" s="5">
        <v>33214</v>
      </c>
    </row>
    <row r="316" spans="1:7" s="4" customFormat="1" x14ac:dyDescent="0.25">
      <c r="B316" s="4" t="s">
        <v>30</v>
      </c>
      <c r="C316" s="14"/>
      <c r="D316" s="14">
        <v>314</v>
      </c>
      <c r="E316" s="14">
        <v>9</v>
      </c>
      <c r="F316" s="4" t="s">
        <v>44</v>
      </c>
      <c r="G316" s="5">
        <v>33359</v>
      </c>
    </row>
    <row r="317" spans="1:7" s="4" customFormat="1" x14ac:dyDescent="0.25">
      <c r="B317" s="4" t="s">
        <v>30</v>
      </c>
      <c r="C317" s="14"/>
      <c r="D317" s="14">
        <v>315</v>
      </c>
      <c r="E317" s="14">
        <v>10</v>
      </c>
      <c r="F317" s="4" t="s">
        <v>45</v>
      </c>
      <c r="G317" s="5">
        <v>34187</v>
      </c>
    </row>
    <row r="318" spans="1:7" s="4" customFormat="1" x14ac:dyDescent="0.25">
      <c r="B318" s="4" t="s">
        <v>30</v>
      </c>
      <c r="C318" s="14"/>
      <c r="D318" s="14">
        <v>316</v>
      </c>
      <c r="E318" s="14">
        <v>11</v>
      </c>
      <c r="F318" s="4" t="s">
        <v>46</v>
      </c>
      <c r="G318" s="5">
        <v>34783</v>
      </c>
    </row>
    <row r="319" spans="1:7" s="4" customFormat="1" x14ac:dyDescent="0.25">
      <c r="B319" s="4" t="s">
        <v>30</v>
      </c>
      <c r="C319" s="14"/>
      <c r="D319" s="14">
        <v>317</v>
      </c>
      <c r="E319" s="14">
        <v>12</v>
      </c>
      <c r="F319" s="4" t="s">
        <v>47</v>
      </c>
      <c r="G319" s="5">
        <v>34844</v>
      </c>
    </row>
    <row r="320" spans="1:7" s="4" customFormat="1" x14ac:dyDescent="0.25">
      <c r="B320" s="4" t="s">
        <v>30</v>
      </c>
      <c r="C320" s="14"/>
      <c r="D320" s="14">
        <v>318</v>
      </c>
      <c r="E320" s="14">
        <v>13</v>
      </c>
      <c r="F320" s="4" t="s">
        <v>48</v>
      </c>
      <c r="G320" s="5">
        <v>36052</v>
      </c>
    </row>
    <row r="321" spans="1:7" s="4" customFormat="1" x14ac:dyDescent="0.25">
      <c r="B321" s="4" t="s">
        <v>30</v>
      </c>
      <c r="C321" s="14"/>
      <c r="D321" s="14">
        <v>319</v>
      </c>
      <c r="E321" s="14">
        <v>14</v>
      </c>
      <c r="F321" s="4" t="s">
        <v>49</v>
      </c>
      <c r="G321" s="5">
        <v>37728</v>
      </c>
    </row>
    <row r="322" spans="1:7" s="4" customFormat="1" x14ac:dyDescent="0.25">
      <c r="A322" s="4">
        <v>265</v>
      </c>
      <c r="B322" s="4" t="s">
        <v>9</v>
      </c>
      <c r="C322" s="14" t="s">
        <v>10</v>
      </c>
      <c r="D322" s="14">
        <v>320</v>
      </c>
      <c r="E322" s="14">
        <v>1</v>
      </c>
      <c r="F322" s="4" t="s">
        <v>11</v>
      </c>
      <c r="G322" s="5">
        <v>38711</v>
      </c>
    </row>
    <row r="323" spans="1:7" s="4" customFormat="1" x14ac:dyDescent="0.25">
      <c r="B323" s="4" t="s">
        <v>9</v>
      </c>
      <c r="C323" s="14"/>
      <c r="D323" s="14">
        <v>321</v>
      </c>
      <c r="E323" s="14">
        <v>2</v>
      </c>
      <c r="F323" s="4" t="s">
        <v>12</v>
      </c>
      <c r="G323" s="5">
        <v>39416</v>
      </c>
    </row>
    <row r="324" spans="1:7" s="4" customFormat="1" x14ac:dyDescent="0.25">
      <c r="B324" s="4" t="s">
        <v>9</v>
      </c>
      <c r="C324" s="14"/>
      <c r="D324" s="14">
        <v>322</v>
      </c>
      <c r="E324" s="14">
        <v>3</v>
      </c>
      <c r="F324" s="4" t="s">
        <v>13</v>
      </c>
      <c r="G324" s="5">
        <v>39993</v>
      </c>
    </row>
    <row r="325" spans="1:7" s="4" customFormat="1" x14ac:dyDescent="0.25">
      <c r="A325" s="4">
        <v>266</v>
      </c>
      <c r="B325" s="4" t="s">
        <v>4</v>
      </c>
      <c r="C325" s="14" t="s">
        <v>8</v>
      </c>
      <c r="D325" s="14">
        <v>323</v>
      </c>
      <c r="E325" s="14">
        <v>1</v>
      </c>
      <c r="F325" s="4" t="s">
        <v>5</v>
      </c>
      <c r="G325" s="5">
        <v>41454</v>
      </c>
    </row>
    <row r="326" spans="1:7" s="4" customFormat="1" x14ac:dyDescent="0.25">
      <c r="B326" s="4" t="s">
        <v>4</v>
      </c>
      <c r="C326" s="14"/>
      <c r="D326" s="14">
        <v>324</v>
      </c>
      <c r="E326" s="14">
        <v>2</v>
      </c>
      <c r="F326" s="4" t="s">
        <v>6</v>
      </c>
      <c r="G326" s="5">
        <v>42148</v>
      </c>
    </row>
    <row r="327" spans="1:7" s="4" customFormat="1" x14ac:dyDescent="0.25">
      <c r="B327" s="4" t="s">
        <v>4</v>
      </c>
      <c r="C327" s="14"/>
      <c r="D327" s="14">
        <v>325</v>
      </c>
      <c r="E327" s="14">
        <v>3</v>
      </c>
      <c r="F327" s="4" t="s">
        <v>7</v>
      </c>
      <c r="G327" s="5">
        <v>44107</v>
      </c>
    </row>
    <row r="328" spans="1:7" s="4" customFormat="1" x14ac:dyDescent="0.25">
      <c r="B328" s="4" t="s">
        <v>4</v>
      </c>
      <c r="C328" s="14"/>
      <c r="D328" s="14">
        <v>326</v>
      </c>
      <c r="E328" s="14">
        <v>4</v>
      </c>
      <c r="F328" s="4" t="s">
        <v>5179</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workbookViewId="0">
      <pane ySplit="1" topLeftCell="A312" activePane="bottomLeft" state="frozen"/>
      <selection pane="bottomLeft" activeCell="A327" sqref="A327"/>
    </sheetView>
  </sheetViews>
  <sheetFormatPr defaultRowHeight="18" x14ac:dyDescent="0.25"/>
  <cols>
    <col min="1" max="1" width="10" style="12" bestFit="1" customWidth="1"/>
    <col min="2" max="2" width="13.85546875" style="17" bestFit="1" customWidth="1"/>
    <col min="3" max="3" width="23.85546875" style="4" bestFit="1" customWidth="1"/>
    <col min="4" max="4" width="22.28515625" style="4" bestFit="1" customWidth="1"/>
    <col min="5" max="5" width="15.42578125" style="5" bestFit="1" customWidth="1"/>
    <col min="6" max="6" width="18" style="18" bestFit="1" customWidth="1"/>
    <col min="7" max="7" width="12.5703125" style="18" bestFit="1" customWidth="1"/>
    <col min="8" max="8" width="24.42578125" style="4" bestFit="1" customWidth="1"/>
    <col min="9" max="9" width="21.42578125" style="4" bestFit="1" customWidth="1"/>
    <col min="10" max="10" width="12.5703125" style="4" bestFit="1" customWidth="1"/>
    <col min="11" max="11" width="41.7109375" style="2" bestFit="1" customWidth="1"/>
    <col min="12" max="12" width="60.5703125" style="14" bestFit="1" customWidth="1"/>
    <col min="13" max="14" width="37.28515625" style="14" bestFit="1" customWidth="1"/>
    <col min="15" max="15" width="28.5703125" style="14" bestFit="1" customWidth="1"/>
    <col min="16" max="16" width="72" style="14" bestFit="1" customWidth="1"/>
    <col min="17" max="17" width="28.140625" style="14" bestFit="1" customWidth="1"/>
    <col min="18" max="18" width="27.85546875" style="14" bestFit="1" customWidth="1"/>
    <col min="19" max="19" width="61.42578125" style="14" bestFit="1" customWidth="1"/>
    <col min="20" max="16384" width="9.140625" style="2"/>
  </cols>
  <sheetData>
    <row r="1" spans="1:19" s="7" customFormat="1" ht="57.75" customHeight="1" x14ac:dyDescent="0.25">
      <c r="A1" s="43" t="s">
        <v>545</v>
      </c>
      <c r="B1" s="42" t="s">
        <v>655</v>
      </c>
      <c r="C1" s="42" t="s">
        <v>695</v>
      </c>
      <c r="D1" s="42" t="s">
        <v>1159</v>
      </c>
      <c r="E1" s="45" t="s">
        <v>544</v>
      </c>
      <c r="F1" s="19" t="s">
        <v>653</v>
      </c>
      <c r="G1" s="19" t="s">
        <v>693</v>
      </c>
      <c r="H1" s="42" t="s">
        <v>687</v>
      </c>
      <c r="I1" s="42" t="s">
        <v>688</v>
      </c>
      <c r="J1" s="42" t="s">
        <v>654</v>
      </c>
      <c r="K1" s="44" t="s">
        <v>1</v>
      </c>
      <c r="L1" s="19" t="s">
        <v>1158</v>
      </c>
      <c r="M1" s="19" t="s">
        <v>696</v>
      </c>
      <c r="N1" s="19" t="s">
        <v>692</v>
      </c>
      <c r="O1" s="19" t="s">
        <v>691</v>
      </c>
      <c r="P1" s="19" t="s">
        <v>690</v>
      </c>
      <c r="Q1" s="19" t="s">
        <v>689</v>
      </c>
      <c r="R1" s="19" t="s">
        <v>685</v>
      </c>
      <c r="S1" s="19" t="s">
        <v>684</v>
      </c>
    </row>
    <row r="2" spans="1:19" x14ac:dyDescent="0.25">
      <c r="A2" s="12">
        <v>1</v>
      </c>
      <c r="B2" s="17" t="s">
        <v>606</v>
      </c>
      <c r="C2" s="4" t="s">
        <v>607</v>
      </c>
      <c r="D2" s="4" t="s">
        <v>1138</v>
      </c>
      <c r="E2" s="5" t="s">
        <v>35</v>
      </c>
      <c r="F2" s="18" t="s">
        <v>579</v>
      </c>
      <c r="G2" s="18" t="s">
        <v>694</v>
      </c>
      <c r="H2" s="4" t="s">
        <v>603</v>
      </c>
      <c r="I2" s="4" t="s">
        <v>686</v>
      </c>
      <c r="J2" s="4" t="s">
        <v>983</v>
      </c>
      <c r="K2" s="2" t="s">
        <v>3</v>
      </c>
      <c r="L2" s="14" t="str">
        <f t="shared" ref="L2:L65" si="0">_xlfn.CONCAT(K2 &amp; " (" &amp; LEFT(E2,2) &amp; " " &amp; TEXT(VALUE(MID(E2,4,2))*29,"mmmm") &amp; " " &amp; RIGHT(E2,4) &amp; ") | " &amp; D2)</f>
        <v>Ubi primum (03 dicembre 1740) | Benedetto XIV</v>
      </c>
      <c r="M2" s="14" t="str">
        <f t="shared" ref="M2:M65" si="1">_xlfn.CONCAT(G2 &amp; " " &amp; K2)</f>
        <v>Enciclica Ubi primum</v>
      </c>
      <c r="N2" s="14" t="str">
        <f t="shared" ref="N2:N65" si="2">_xlfn.CONCAT(G2 &amp; " " &amp; K2)</f>
        <v>Enciclica Ubi primum</v>
      </c>
      <c r="O2" s="14" t="str">
        <f t="shared" ref="O2:O33" si="3">_xlfn.CONCAT(RIGHT(E2,4) &amp; "/" &amp; MID(E2,4,2) &amp; "/" &amp; LEFT(E2,2))</f>
        <v>1740/12/03</v>
      </c>
      <c r="P2" s="14" t="str">
        <f t="shared" ref="P2:P65" si="4">_xlfn.CONCAT(D2 &amp; ", " &amp; I2 &amp; " " &amp; K2 &amp; ", " &amp; LEFT(E2,2) &amp; " " &amp; TEXT(VALUE(MID(E2,4,2))*29,"mmmm") &amp; " " &amp; RIGHT(E2,4))</f>
        <v>Benedetto XIV, Lettera Enciclica Ubi primum, 03 dicembre 1740</v>
      </c>
      <c r="Q2" s="14" t="str">
        <f t="shared" ref="Q2:Q33" si="5">_xlfn.CONCAT(RIGHT(E2,4) &amp; "-" &amp; MID(E2,4,2) &amp; "-" &amp; LEFT(E2,2) &amp; "T08:00:00.000+02:00")</f>
        <v>1740-12-03T08:00:00.000+02:00</v>
      </c>
      <c r="R2" s="14" t="str">
        <f t="shared" ref="R2:R65" si="6">_xlfn.CONCAT(B2 &amp; "-" &amp; F2 &amp; "-" &amp; J2)</f>
        <v>bxiv-enc-ubi</v>
      </c>
      <c r="S2" s="14" t="str">
        <f t="shared" ref="S2:S65" si="7">_xlfn.CONCAT(C2 &amp; " - " &amp; H2 &amp; " - " &amp; K2)</f>
        <v>Benedictus XIV - Litterae Encyclicae - Ubi primum</v>
      </c>
    </row>
    <row r="3" spans="1:19" x14ac:dyDescent="0.25">
      <c r="A3" s="14">
        <v>2</v>
      </c>
      <c r="B3" s="17" t="s">
        <v>606</v>
      </c>
      <c r="C3" s="4" t="s">
        <v>607</v>
      </c>
      <c r="D3" s="4" t="s">
        <v>1138</v>
      </c>
      <c r="E3" s="5" t="s">
        <v>370</v>
      </c>
      <c r="F3" s="18" t="s">
        <v>579</v>
      </c>
      <c r="G3" s="18" t="s">
        <v>694</v>
      </c>
      <c r="H3" s="4" t="s">
        <v>603</v>
      </c>
      <c r="I3" s="4" t="s">
        <v>686</v>
      </c>
      <c r="J3" s="4" t="s">
        <v>611</v>
      </c>
      <c r="K3" s="4" t="s">
        <v>339</v>
      </c>
      <c r="L3" s="14" t="str">
        <f t="shared" si="0"/>
        <v>Pro eximia tua (30 giugno 1741) | Benedetto XIV</v>
      </c>
      <c r="M3" s="14" t="str">
        <f t="shared" si="1"/>
        <v>Enciclica Pro eximia tua</v>
      </c>
      <c r="N3" s="14" t="str">
        <f t="shared" si="2"/>
        <v>Enciclica Pro eximia tua</v>
      </c>
      <c r="O3" s="14" t="str">
        <f t="shared" si="3"/>
        <v>1741/06/30</v>
      </c>
      <c r="P3" s="14" t="str">
        <f t="shared" si="4"/>
        <v>Benedetto XIV, Lettera Enciclica Pro eximia tua, 30 giugno 1741</v>
      </c>
      <c r="Q3" s="14" t="str">
        <f t="shared" si="5"/>
        <v>1741-06-30T08:00:00.000+02:00</v>
      </c>
      <c r="R3" s="14" t="str">
        <f t="shared" si="6"/>
        <v>bxiv-enc-pet</v>
      </c>
      <c r="S3" s="14" t="str">
        <f t="shared" si="7"/>
        <v>Benedictus XIV - Litterae Encyclicae - Pro eximia tua</v>
      </c>
    </row>
    <row r="4" spans="1:19" x14ac:dyDescent="0.25">
      <c r="A4" s="12">
        <v>3</v>
      </c>
      <c r="B4" s="17" t="s">
        <v>606</v>
      </c>
      <c r="C4" s="4" t="s">
        <v>607</v>
      </c>
      <c r="D4" s="4" t="s">
        <v>1138</v>
      </c>
      <c r="E4" s="5" t="s">
        <v>371</v>
      </c>
      <c r="F4" s="18" t="s">
        <v>579</v>
      </c>
      <c r="G4" s="18" t="s">
        <v>694</v>
      </c>
      <c r="H4" s="4" t="s">
        <v>603</v>
      </c>
      <c r="I4" s="4" t="s">
        <v>686</v>
      </c>
      <c r="J4" s="4" t="s">
        <v>612</v>
      </c>
      <c r="K4" s="2" t="s">
        <v>340</v>
      </c>
      <c r="L4" s="14" t="str">
        <f t="shared" si="0"/>
        <v>Quamvis paternae (26 agosto 1741) | Benedetto XIV</v>
      </c>
      <c r="M4" s="14" t="str">
        <f t="shared" si="1"/>
        <v>Enciclica Quamvis paternae</v>
      </c>
      <c r="N4" s="14" t="str">
        <f t="shared" si="2"/>
        <v>Enciclica Quamvis paternae</v>
      </c>
      <c r="O4" s="14" t="str">
        <f t="shared" si="3"/>
        <v>1741/08/26</v>
      </c>
      <c r="P4" s="14" t="str">
        <f t="shared" si="4"/>
        <v>Benedetto XIV, Lettera Enciclica Quamvis paternae, 26 agosto 1741</v>
      </c>
      <c r="Q4" s="14" t="str">
        <f t="shared" si="5"/>
        <v>1741-08-26T08:00:00.000+02:00</v>
      </c>
      <c r="R4" s="14" t="str">
        <f t="shared" si="6"/>
        <v>bxiv-enc-qup</v>
      </c>
      <c r="S4" s="14" t="str">
        <f t="shared" si="7"/>
        <v>Benedictus XIV - Litterae Encyclicae - Quamvis paternae</v>
      </c>
    </row>
    <row r="5" spans="1:19" x14ac:dyDescent="0.25">
      <c r="A5" s="12">
        <v>4</v>
      </c>
      <c r="B5" s="17" t="s">
        <v>606</v>
      </c>
      <c r="C5" s="4" t="s">
        <v>607</v>
      </c>
      <c r="D5" s="4" t="s">
        <v>1138</v>
      </c>
      <c r="E5" s="5" t="s">
        <v>372</v>
      </c>
      <c r="F5" s="18" t="s">
        <v>579</v>
      </c>
      <c r="G5" s="18" t="s">
        <v>694</v>
      </c>
      <c r="H5" s="4" t="s">
        <v>603</v>
      </c>
      <c r="I5" s="4" t="s">
        <v>686</v>
      </c>
      <c r="J5" s="4" t="s">
        <v>613</v>
      </c>
      <c r="K5" s="2" t="s">
        <v>341</v>
      </c>
      <c r="L5" s="14" t="str">
        <f t="shared" si="0"/>
        <v>Satis vobis compertum (17 novembre 1741) | Benedetto XIV</v>
      </c>
      <c r="M5" s="14" t="str">
        <f t="shared" si="1"/>
        <v>Enciclica Satis vobis compertum</v>
      </c>
      <c r="N5" s="14" t="str">
        <f t="shared" si="2"/>
        <v>Enciclica Satis vobis compertum</v>
      </c>
      <c r="O5" s="14" t="str">
        <f t="shared" si="3"/>
        <v>1741/11/17</v>
      </c>
      <c r="P5" s="14" t="str">
        <f t="shared" si="4"/>
        <v>Benedetto XIV, Lettera Enciclica Satis vobis compertum, 17 novembre 1741</v>
      </c>
      <c r="Q5" s="14" t="str">
        <f t="shared" si="5"/>
        <v>1741-11-17T08:00:00.000+02:00</v>
      </c>
      <c r="R5" s="14" t="str">
        <f t="shared" si="6"/>
        <v>bxiv-enc-svc</v>
      </c>
      <c r="S5" s="14" t="str">
        <f t="shared" si="7"/>
        <v>Benedictus XIV - Litterae Encyclicae - Satis vobis compertum</v>
      </c>
    </row>
    <row r="6" spans="1:19" x14ac:dyDescent="0.25">
      <c r="A6" s="12">
        <v>5</v>
      </c>
      <c r="B6" s="17" t="s">
        <v>606</v>
      </c>
      <c r="C6" s="4" t="s">
        <v>607</v>
      </c>
      <c r="D6" s="4" t="s">
        <v>1138</v>
      </c>
      <c r="E6" s="5" t="s">
        <v>373</v>
      </c>
      <c r="F6" s="18" t="s">
        <v>579</v>
      </c>
      <c r="G6" s="18" t="s">
        <v>694</v>
      </c>
      <c r="H6" s="4" t="s">
        <v>603</v>
      </c>
      <c r="I6" s="4" t="s">
        <v>686</v>
      </c>
      <c r="J6" s="4" t="s">
        <v>614</v>
      </c>
      <c r="K6" s="2" t="s">
        <v>342</v>
      </c>
      <c r="L6" s="14" t="str">
        <f t="shared" si="0"/>
        <v>Immensa pastorum (20 dicembre 1741) | Benedetto XIV</v>
      </c>
      <c r="M6" s="14" t="str">
        <f t="shared" si="1"/>
        <v>Enciclica Immensa pastorum</v>
      </c>
      <c r="N6" s="14" t="str">
        <f t="shared" si="2"/>
        <v>Enciclica Immensa pastorum</v>
      </c>
      <c r="O6" s="14" t="str">
        <f t="shared" si="3"/>
        <v>1741/12/20</v>
      </c>
      <c r="P6" s="14" t="str">
        <f t="shared" si="4"/>
        <v>Benedetto XIV, Lettera Enciclica Immensa pastorum, 20 dicembre 1741</v>
      </c>
      <c r="Q6" s="14" t="str">
        <f t="shared" si="5"/>
        <v>1741-12-20T08:00:00.000+02:00</v>
      </c>
      <c r="R6" s="14" t="str">
        <f t="shared" si="6"/>
        <v>bxiv-enc-imp</v>
      </c>
      <c r="S6" s="14" t="str">
        <f t="shared" si="7"/>
        <v>Benedictus XIV - Litterae Encyclicae - Immensa pastorum</v>
      </c>
    </row>
    <row r="7" spans="1:19" x14ac:dyDescent="0.25">
      <c r="A7" s="12">
        <v>6</v>
      </c>
      <c r="B7" s="17" t="s">
        <v>606</v>
      </c>
      <c r="C7" s="4" t="s">
        <v>607</v>
      </c>
      <c r="D7" s="4" t="s">
        <v>1138</v>
      </c>
      <c r="E7" s="5" t="s">
        <v>374</v>
      </c>
      <c r="F7" s="18" t="s">
        <v>579</v>
      </c>
      <c r="G7" s="18" t="s">
        <v>694</v>
      </c>
      <c r="H7" s="4" t="s">
        <v>603</v>
      </c>
      <c r="I7" s="4" t="s">
        <v>686</v>
      </c>
      <c r="J7" s="4" t="s">
        <v>615</v>
      </c>
      <c r="K7" s="2" t="s">
        <v>343</v>
      </c>
      <c r="L7" s="14" t="str">
        <f t="shared" si="0"/>
        <v>Etsi minime (07 febbraio 1742) | Benedetto XIV</v>
      </c>
      <c r="M7" s="14" t="str">
        <f t="shared" si="1"/>
        <v>Enciclica Etsi minime</v>
      </c>
      <c r="N7" s="14" t="str">
        <f t="shared" si="2"/>
        <v>Enciclica Etsi minime</v>
      </c>
      <c r="O7" s="14" t="str">
        <f t="shared" si="3"/>
        <v>1742/02/07</v>
      </c>
      <c r="P7" s="14" t="str">
        <f t="shared" si="4"/>
        <v>Benedetto XIV, Lettera Enciclica Etsi minime, 07 febbraio 1742</v>
      </c>
      <c r="Q7" s="14" t="str">
        <f t="shared" si="5"/>
        <v>1742-02-07T08:00:00.000+02:00</v>
      </c>
      <c r="R7" s="14" t="str">
        <f t="shared" si="6"/>
        <v>bxiv-enc-etm</v>
      </c>
      <c r="S7" s="14" t="str">
        <f t="shared" si="7"/>
        <v>Benedictus XIV - Litterae Encyclicae - Etsi minime</v>
      </c>
    </row>
    <row r="8" spans="1:19" x14ac:dyDescent="0.25">
      <c r="A8" s="12">
        <v>7</v>
      </c>
      <c r="B8" s="17" t="s">
        <v>606</v>
      </c>
      <c r="C8" s="4" t="s">
        <v>607</v>
      </c>
      <c r="D8" s="4" t="s">
        <v>1138</v>
      </c>
      <c r="E8" s="5" t="s">
        <v>375</v>
      </c>
      <c r="F8" s="18" t="s">
        <v>579</v>
      </c>
      <c r="G8" s="18" t="s">
        <v>694</v>
      </c>
      <c r="H8" s="4" t="s">
        <v>603</v>
      </c>
      <c r="I8" s="4" t="s">
        <v>686</v>
      </c>
      <c r="J8" s="4" t="s">
        <v>616</v>
      </c>
      <c r="K8" s="2" t="s">
        <v>344</v>
      </c>
      <c r="L8" s="14" t="str">
        <f t="shared" si="0"/>
        <v>Certiores effecti (13 novembre 1742) | Benedetto XIV</v>
      </c>
      <c r="M8" s="14" t="str">
        <f t="shared" si="1"/>
        <v>Enciclica Certiores effecti</v>
      </c>
      <c r="N8" s="14" t="str">
        <f t="shared" si="2"/>
        <v>Enciclica Certiores effecti</v>
      </c>
      <c r="O8" s="14" t="str">
        <f t="shared" si="3"/>
        <v>1742/11/13</v>
      </c>
      <c r="P8" s="14" t="str">
        <f t="shared" si="4"/>
        <v>Benedetto XIV, Lettera Enciclica Certiores effecti, 13 novembre 1742</v>
      </c>
      <c r="Q8" s="14" t="str">
        <f t="shared" si="5"/>
        <v>1742-11-13T08:00:00.000+02:00</v>
      </c>
      <c r="R8" s="14" t="str">
        <f t="shared" si="6"/>
        <v>bxiv-enc-cee</v>
      </c>
      <c r="S8" s="14" t="str">
        <f t="shared" si="7"/>
        <v>Benedictus XIV - Litterae Encyclicae - Certiores effecti</v>
      </c>
    </row>
    <row r="9" spans="1:19" x14ac:dyDescent="0.25">
      <c r="A9" s="12">
        <v>8</v>
      </c>
      <c r="B9" s="17" t="s">
        <v>606</v>
      </c>
      <c r="C9" s="4" t="s">
        <v>607</v>
      </c>
      <c r="D9" s="4" t="s">
        <v>1138</v>
      </c>
      <c r="E9" s="5" t="s">
        <v>376</v>
      </c>
      <c r="F9" s="18" t="s">
        <v>579</v>
      </c>
      <c r="G9" s="18" t="s">
        <v>694</v>
      </c>
      <c r="H9" s="4" t="s">
        <v>603</v>
      </c>
      <c r="I9" s="4" t="s">
        <v>686</v>
      </c>
      <c r="J9" s="4" t="s">
        <v>617</v>
      </c>
      <c r="K9" s="2" t="s">
        <v>345</v>
      </c>
      <c r="L9" s="14" t="str">
        <f t="shared" si="0"/>
        <v>Cum illud semper (14 dicembre 1742) | Benedetto XIV</v>
      </c>
      <c r="M9" s="14" t="str">
        <f t="shared" si="1"/>
        <v>Enciclica Cum illud semper</v>
      </c>
      <c r="N9" s="14" t="str">
        <f t="shared" si="2"/>
        <v>Enciclica Cum illud semper</v>
      </c>
      <c r="O9" s="14" t="str">
        <f t="shared" si="3"/>
        <v>1742/12/14</v>
      </c>
      <c r="P9" s="14" t="str">
        <f t="shared" si="4"/>
        <v>Benedetto XIV, Lettera Enciclica Cum illud semper, 14 dicembre 1742</v>
      </c>
      <c r="Q9" s="14" t="str">
        <f t="shared" si="5"/>
        <v>1742-12-14T08:00:00.000+02:00</v>
      </c>
      <c r="R9" s="14" t="str">
        <f t="shared" si="6"/>
        <v>bxiv-enc-cis</v>
      </c>
      <c r="S9" s="14" t="str">
        <f t="shared" si="7"/>
        <v>Benedictus XIV - Litterae Encyclicae - Cum illud semper</v>
      </c>
    </row>
    <row r="10" spans="1:19" x14ac:dyDescent="0.25">
      <c r="A10" s="12">
        <v>9</v>
      </c>
      <c r="B10" s="17" t="s">
        <v>606</v>
      </c>
      <c r="C10" s="4" t="s">
        <v>607</v>
      </c>
      <c r="D10" s="4" t="s">
        <v>1138</v>
      </c>
      <c r="E10" s="5" t="s">
        <v>377</v>
      </c>
      <c r="F10" s="18" t="s">
        <v>579</v>
      </c>
      <c r="G10" s="18" t="s">
        <v>694</v>
      </c>
      <c r="H10" s="4" t="s">
        <v>603</v>
      </c>
      <c r="I10" s="4" t="s">
        <v>686</v>
      </c>
      <c r="J10" s="4" t="s">
        <v>612</v>
      </c>
      <c r="K10" s="2" t="s">
        <v>346</v>
      </c>
      <c r="L10" s="14" t="str">
        <f t="shared" si="0"/>
        <v>Quemadmodum preces (23 marzo 1743) | Benedetto XIV</v>
      </c>
      <c r="M10" s="14" t="str">
        <f t="shared" si="1"/>
        <v>Enciclica Quemadmodum preces</v>
      </c>
      <c r="N10" s="14" t="str">
        <f t="shared" si="2"/>
        <v>Enciclica Quemadmodum preces</v>
      </c>
      <c r="O10" s="14" t="str">
        <f t="shared" si="3"/>
        <v>1743/03/23</v>
      </c>
      <c r="P10" s="14" t="str">
        <f t="shared" si="4"/>
        <v>Benedetto XIV, Lettera Enciclica Quemadmodum preces, 23 marzo 1743</v>
      </c>
      <c r="Q10" s="14" t="str">
        <f t="shared" si="5"/>
        <v>1743-03-23T08:00:00.000+02:00</v>
      </c>
      <c r="R10" s="14" t="str">
        <f t="shared" si="6"/>
        <v>bxiv-enc-qup</v>
      </c>
      <c r="S10" s="14" t="str">
        <f t="shared" si="7"/>
        <v>Benedictus XIV - Litterae Encyclicae - Quemadmodum preces</v>
      </c>
    </row>
    <row r="11" spans="1:19" x14ac:dyDescent="0.25">
      <c r="A11" s="12">
        <v>10</v>
      </c>
      <c r="B11" s="17" t="s">
        <v>606</v>
      </c>
      <c r="C11" s="4" t="s">
        <v>607</v>
      </c>
      <c r="D11" s="4" t="s">
        <v>1138</v>
      </c>
      <c r="E11" s="5" t="s">
        <v>378</v>
      </c>
      <c r="F11" s="18" t="s">
        <v>579</v>
      </c>
      <c r="G11" s="18" t="s">
        <v>694</v>
      </c>
      <c r="H11" s="4" t="s">
        <v>603</v>
      </c>
      <c r="I11" s="4" t="s">
        <v>686</v>
      </c>
      <c r="J11" s="4" t="s">
        <v>618</v>
      </c>
      <c r="K11" s="2" t="s">
        <v>347</v>
      </c>
      <c r="L11" s="14" t="str">
        <f t="shared" si="0"/>
        <v>Inter omnigenas (02 febbraio 1744) | Benedetto XIV</v>
      </c>
      <c r="M11" s="14" t="str">
        <f t="shared" si="1"/>
        <v>Enciclica Inter omnigenas</v>
      </c>
      <c r="N11" s="14" t="str">
        <f t="shared" si="2"/>
        <v>Enciclica Inter omnigenas</v>
      </c>
      <c r="O11" s="14" t="str">
        <f t="shared" si="3"/>
        <v>1744/02/02</v>
      </c>
      <c r="P11" s="14" t="str">
        <f t="shared" si="4"/>
        <v>Benedetto XIV, Lettera Enciclica Inter omnigenas, 02 febbraio 1744</v>
      </c>
      <c r="Q11" s="14" t="str">
        <f t="shared" si="5"/>
        <v>1744-02-02T08:00:00.000+02:00</v>
      </c>
      <c r="R11" s="14" t="str">
        <f t="shared" si="6"/>
        <v>bxiv-enc-ino</v>
      </c>
      <c r="S11" s="14" t="str">
        <f t="shared" si="7"/>
        <v>Benedictus XIV - Litterae Encyclicae - Inter omnigenas</v>
      </c>
    </row>
    <row r="12" spans="1:19" x14ac:dyDescent="0.25">
      <c r="A12" s="12">
        <v>11</v>
      </c>
      <c r="B12" s="17" t="s">
        <v>606</v>
      </c>
      <c r="C12" s="4" t="s">
        <v>607</v>
      </c>
      <c r="D12" s="4" t="s">
        <v>1138</v>
      </c>
      <c r="E12" s="5" t="s">
        <v>379</v>
      </c>
      <c r="F12" s="18" t="s">
        <v>579</v>
      </c>
      <c r="G12" s="18" t="s">
        <v>694</v>
      </c>
      <c r="H12" s="4" t="s">
        <v>603</v>
      </c>
      <c r="I12" s="4" t="s">
        <v>686</v>
      </c>
      <c r="J12" s="4" t="s">
        <v>619</v>
      </c>
      <c r="K12" s="2" t="s">
        <v>348</v>
      </c>
      <c r="L12" s="14" t="str">
        <f t="shared" si="0"/>
        <v>Cum semper oblatas (19 agosto 1744) | Benedetto XIV</v>
      </c>
      <c r="M12" s="14" t="str">
        <f t="shared" si="1"/>
        <v>Enciclica Cum semper oblatas</v>
      </c>
      <c r="N12" s="14" t="str">
        <f t="shared" si="2"/>
        <v>Enciclica Cum semper oblatas</v>
      </c>
      <c r="O12" s="14" t="str">
        <f t="shared" si="3"/>
        <v>1744/08/19</v>
      </c>
      <c r="P12" s="14" t="str">
        <f t="shared" si="4"/>
        <v>Benedetto XIV, Lettera Enciclica Cum semper oblatas, 19 agosto 1744</v>
      </c>
      <c r="Q12" s="14" t="str">
        <f t="shared" si="5"/>
        <v>1744-08-19T08:00:00.000+02:00</v>
      </c>
      <c r="R12" s="14" t="str">
        <f t="shared" si="6"/>
        <v>bxiv-enc-cso</v>
      </c>
      <c r="S12" s="14" t="str">
        <f t="shared" si="7"/>
        <v>Benedictus XIV - Litterae Encyclicae - Cum semper oblatas</v>
      </c>
    </row>
    <row r="13" spans="1:19" x14ac:dyDescent="0.25">
      <c r="A13" s="12">
        <v>12</v>
      </c>
      <c r="B13" s="17" t="s">
        <v>606</v>
      </c>
      <c r="C13" s="4" t="s">
        <v>607</v>
      </c>
      <c r="D13" s="4" t="s">
        <v>1138</v>
      </c>
      <c r="E13" s="5" t="s">
        <v>380</v>
      </c>
      <c r="F13" s="18" t="s">
        <v>579</v>
      </c>
      <c r="G13" s="18" t="s">
        <v>694</v>
      </c>
      <c r="H13" s="4" t="s">
        <v>603</v>
      </c>
      <c r="I13" s="4" t="s">
        <v>686</v>
      </c>
      <c r="J13" s="4" t="s">
        <v>620</v>
      </c>
      <c r="K13" s="2" t="s">
        <v>349</v>
      </c>
      <c r="L13" s="14" t="str">
        <f t="shared" si="0"/>
        <v>Libentissime quidem (10 giugno 1745) | Benedetto XIV</v>
      </c>
      <c r="M13" s="14" t="str">
        <f t="shared" si="1"/>
        <v>Enciclica Libentissime quidem</v>
      </c>
      <c r="N13" s="14" t="str">
        <f t="shared" si="2"/>
        <v>Enciclica Libentissime quidem</v>
      </c>
      <c r="O13" s="14" t="str">
        <f t="shared" si="3"/>
        <v>1745/06/10</v>
      </c>
      <c r="P13" s="14" t="str">
        <f t="shared" si="4"/>
        <v>Benedetto XIV, Lettera Enciclica Libentissime quidem, 10 giugno 1745</v>
      </c>
      <c r="Q13" s="14" t="str">
        <f t="shared" si="5"/>
        <v>1745-06-10T08:00:00.000+02:00</v>
      </c>
      <c r="R13" s="14" t="str">
        <f t="shared" si="6"/>
        <v>bxiv-enc-liq</v>
      </c>
      <c r="S13" s="14" t="str">
        <f t="shared" si="7"/>
        <v>Benedictus XIV - Litterae Encyclicae - Libentissime quidem</v>
      </c>
    </row>
    <row r="14" spans="1:19" x14ac:dyDescent="0.25">
      <c r="A14" s="12">
        <v>13</v>
      </c>
      <c r="B14" s="17" t="s">
        <v>606</v>
      </c>
      <c r="C14" s="4" t="s">
        <v>607</v>
      </c>
      <c r="D14" s="4" t="s">
        <v>1138</v>
      </c>
      <c r="E14" s="5" t="s">
        <v>381</v>
      </c>
      <c r="F14" s="18" t="s">
        <v>579</v>
      </c>
      <c r="G14" s="18" t="s">
        <v>694</v>
      </c>
      <c r="H14" s="4" t="s">
        <v>603</v>
      </c>
      <c r="I14" s="4" t="s">
        <v>686</v>
      </c>
      <c r="J14" s="4" t="s">
        <v>621</v>
      </c>
      <c r="K14" s="2" t="s">
        <v>350</v>
      </c>
      <c r="L14" s="14" t="str">
        <f t="shared" si="0"/>
        <v>Gravissimum supremi (08 settembre 1745) | Benedetto XIV</v>
      </c>
      <c r="M14" s="14" t="str">
        <f t="shared" si="1"/>
        <v>Enciclica Gravissimum supremi</v>
      </c>
      <c r="N14" s="14" t="str">
        <f t="shared" si="2"/>
        <v>Enciclica Gravissimum supremi</v>
      </c>
      <c r="O14" s="14" t="str">
        <f t="shared" si="3"/>
        <v>1745/09/08</v>
      </c>
      <c r="P14" s="14" t="str">
        <f t="shared" si="4"/>
        <v>Benedetto XIV, Lettera Enciclica Gravissimum supremi, 08 settembre 1745</v>
      </c>
      <c r="Q14" s="14" t="str">
        <f t="shared" si="5"/>
        <v>1745-09-08T08:00:00.000+02:00</v>
      </c>
      <c r="R14" s="14" t="str">
        <f t="shared" si="6"/>
        <v>bxiv-enc-grs</v>
      </c>
      <c r="S14" s="14" t="str">
        <f t="shared" si="7"/>
        <v>Benedictus XIV - Litterae Encyclicae - Gravissimum supremi</v>
      </c>
    </row>
    <row r="15" spans="1:19" x14ac:dyDescent="0.25">
      <c r="A15" s="12">
        <v>14</v>
      </c>
      <c r="B15" s="17" t="s">
        <v>606</v>
      </c>
      <c r="C15" s="4" t="s">
        <v>607</v>
      </c>
      <c r="D15" s="4" t="s">
        <v>1138</v>
      </c>
      <c r="E15" s="5" t="s">
        <v>382</v>
      </c>
      <c r="F15" s="18" t="s">
        <v>579</v>
      </c>
      <c r="G15" s="18" t="s">
        <v>694</v>
      </c>
      <c r="H15" s="4" t="s">
        <v>603</v>
      </c>
      <c r="I15" s="4" t="s">
        <v>686</v>
      </c>
      <c r="J15" s="4" t="s">
        <v>622</v>
      </c>
      <c r="K15" s="2" t="s">
        <v>351</v>
      </c>
      <c r="L15" s="14" t="str">
        <f t="shared" si="0"/>
        <v>Vix pervenit (01 novembre 1745) | Benedetto XIV</v>
      </c>
      <c r="M15" s="14" t="str">
        <f t="shared" si="1"/>
        <v>Enciclica Vix pervenit</v>
      </c>
      <c r="N15" s="14" t="str">
        <f t="shared" si="2"/>
        <v>Enciclica Vix pervenit</v>
      </c>
      <c r="O15" s="14" t="str">
        <f t="shared" si="3"/>
        <v>1745/11/01</v>
      </c>
      <c r="P15" s="14" t="str">
        <f t="shared" si="4"/>
        <v>Benedetto XIV, Lettera Enciclica Vix pervenit, 01 novembre 1745</v>
      </c>
      <c r="Q15" s="14" t="str">
        <f t="shared" si="5"/>
        <v>1745-11-01T08:00:00.000+02:00</v>
      </c>
      <c r="R15" s="14" t="str">
        <f t="shared" si="6"/>
        <v>bxiv-enc-vip</v>
      </c>
      <c r="S15" s="14" t="str">
        <f t="shared" si="7"/>
        <v>Benedictus XIV - Litterae Encyclicae - Vix pervenit</v>
      </c>
    </row>
    <row r="16" spans="1:19" x14ac:dyDescent="0.25">
      <c r="A16" s="12">
        <v>15</v>
      </c>
      <c r="B16" s="17" t="s">
        <v>606</v>
      </c>
      <c r="C16" s="4" t="s">
        <v>607</v>
      </c>
      <c r="D16" s="4" t="s">
        <v>1138</v>
      </c>
      <c r="E16" s="5" t="s">
        <v>383</v>
      </c>
      <c r="F16" s="18" t="s">
        <v>579</v>
      </c>
      <c r="G16" s="18" t="s">
        <v>694</v>
      </c>
      <c r="H16" s="4" t="s">
        <v>603</v>
      </c>
      <c r="I16" s="4" t="s">
        <v>686</v>
      </c>
      <c r="J16" s="4" t="s">
        <v>623</v>
      </c>
      <c r="K16" s="2" t="s">
        <v>352</v>
      </c>
      <c r="L16" s="14" t="str">
        <f t="shared" si="0"/>
        <v>Accepimus praestantium (16 luglio 1746) | Benedetto XIV</v>
      </c>
      <c r="M16" s="14" t="str">
        <f t="shared" si="1"/>
        <v>Enciclica Accepimus praestantium</v>
      </c>
      <c r="N16" s="14" t="str">
        <f t="shared" si="2"/>
        <v>Enciclica Accepimus praestantium</v>
      </c>
      <c r="O16" s="14" t="str">
        <f t="shared" si="3"/>
        <v>1746/07/16</v>
      </c>
      <c r="P16" s="14" t="str">
        <f t="shared" si="4"/>
        <v>Benedetto XIV, Lettera Enciclica Accepimus praestantium, 16 luglio 1746</v>
      </c>
      <c r="Q16" s="14" t="str">
        <f t="shared" si="5"/>
        <v>1746-07-16T08:00:00.000+02:00</v>
      </c>
      <c r="R16" s="14" t="str">
        <f t="shared" si="6"/>
        <v>bxiv-enc-acp</v>
      </c>
      <c r="S16" s="14" t="str">
        <f t="shared" si="7"/>
        <v>Benedictus XIV - Litterae Encyclicae - Accepimus praestantium</v>
      </c>
    </row>
    <row r="17" spans="1:19" x14ac:dyDescent="0.25">
      <c r="A17" s="12">
        <v>16</v>
      </c>
      <c r="B17" s="17" t="s">
        <v>606</v>
      </c>
      <c r="C17" s="4" t="s">
        <v>607</v>
      </c>
      <c r="D17" s="4" t="s">
        <v>1138</v>
      </c>
      <c r="E17" s="5" t="s">
        <v>384</v>
      </c>
      <c r="F17" s="18" t="s">
        <v>579</v>
      </c>
      <c r="G17" s="18" t="s">
        <v>694</v>
      </c>
      <c r="H17" s="4" t="s">
        <v>603</v>
      </c>
      <c r="I17" s="4" t="s">
        <v>686</v>
      </c>
      <c r="J17" s="4" t="s">
        <v>624</v>
      </c>
      <c r="K17" s="2" t="s">
        <v>353</v>
      </c>
      <c r="L17" s="14" t="str">
        <f t="shared" si="0"/>
        <v>Inter caetera (01 gennaio 1748) | Benedetto XIV</v>
      </c>
      <c r="M17" s="14" t="str">
        <f t="shared" si="1"/>
        <v>Enciclica Inter caetera</v>
      </c>
      <c r="N17" s="14" t="str">
        <f t="shared" si="2"/>
        <v>Enciclica Inter caetera</v>
      </c>
      <c r="O17" s="14" t="str">
        <f t="shared" si="3"/>
        <v>1748/01/01</v>
      </c>
      <c r="P17" s="14" t="str">
        <f t="shared" si="4"/>
        <v>Benedetto XIV, Lettera Enciclica Inter caetera, 01 gennaio 1748</v>
      </c>
      <c r="Q17" s="14" t="str">
        <f t="shared" si="5"/>
        <v>1748-01-01T08:00:00.000+02:00</v>
      </c>
      <c r="R17" s="14" t="str">
        <f t="shared" si="6"/>
        <v>bxiv-enc-inc</v>
      </c>
      <c r="S17" s="14" t="str">
        <f t="shared" si="7"/>
        <v>Benedictus XIV - Litterae Encyclicae - Inter caetera</v>
      </c>
    </row>
    <row r="18" spans="1:19" x14ac:dyDescent="0.25">
      <c r="A18" s="12">
        <v>17</v>
      </c>
      <c r="B18" s="17" t="s">
        <v>606</v>
      </c>
      <c r="C18" s="4" t="s">
        <v>607</v>
      </c>
      <c r="D18" s="4" t="s">
        <v>1138</v>
      </c>
      <c r="E18" s="5" t="s">
        <v>385</v>
      </c>
      <c r="F18" s="18" t="s">
        <v>579</v>
      </c>
      <c r="G18" s="18" t="s">
        <v>694</v>
      </c>
      <c r="H18" s="4" t="s">
        <v>603</v>
      </c>
      <c r="I18" s="4" t="s">
        <v>686</v>
      </c>
      <c r="J18" s="4" t="s">
        <v>625</v>
      </c>
      <c r="K18" s="2" t="s">
        <v>354</v>
      </c>
      <c r="L18" s="14" t="str">
        <f t="shared" si="0"/>
        <v>Magnae nobis (29 giugno 1748) | Benedetto XIV</v>
      </c>
      <c r="M18" s="14" t="str">
        <f t="shared" si="1"/>
        <v>Enciclica Magnae nobis</v>
      </c>
      <c r="N18" s="14" t="str">
        <f t="shared" si="2"/>
        <v>Enciclica Magnae nobis</v>
      </c>
      <c r="O18" s="14" t="str">
        <f t="shared" si="3"/>
        <v>1748/06/29</v>
      </c>
      <c r="P18" s="14" t="str">
        <f t="shared" si="4"/>
        <v>Benedetto XIV, Lettera Enciclica Magnae nobis, 29 giugno 1748</v>
      </c>
      <c r="Q18" s="14" t="str">
        <f t="shared" si="5"/>
        <v>1748-06-29T08:00:00.000+02:00</v>
      </c>
      <c r="R18" s="14" t="str">
        <f t="shared" si="6"/>
        <v>bxiv-enc-man</v>
      </c>
      <c r="S18" s="14" t="str">
        <f t="shared" si="7"/>
        <v>Benedictus XIV - Litterae Encyclicae - Magnae nobis</v>
      </c>
    </row>
    <row r="19" spans="1:19" x14ac:dyDescent="0.25">
      <c r="A19" s="12">
        <v>18</v>
      </c>
      <c r="B19" s="17" t="s">
        <v>606</v>
      </c>
      <c r="C19" s="4" t="s">
        <v>607</v>
      </c>
      <c r="D19" s="4" t="s">
        <v>1138</v>
      </c>
      <c r="E19" s="5" t="s">
        <v>386</v>
      </c>
      <c r="F19" s="18" t="s">
        <v>579</v>
      </c>
      <c r="G19" s="18" t="s">
        <v>694</v>
      </c>
      <c r="H19" s="4" t="s">
        <v>603</v>
      </c>
      <c r="I19" s="4" t="s">
        <v>686</v>
      </c>
      <c r="J19" s="4" t="s">
        <v>626</v>
      </c>
      <c r="K19" s="2" t="s">
        <v>355</v>
      </c>
      <c r="L19" s="14" t="str">
        <f t="shared" si="0"/>
        <v>Annus qui hunc (19 febbraio 1749) | Benedetto XIV</v>
      </c>
      <c r="M19" s="14" t="str">
        <f t="shared" si="1"/>
        <v>Enciclica Annus qui hunc</v>
      </c>
      <c r="N19" s="14" t="str">
        <f t="shared" si="2"/>
        <v>Enciclica Annus qui hunc</v>
      </c>
      <c r="O19" s="14" t="str">
        <f t="shared" si="3"/>
        <v>1749/02/19</v>
      </c>
      <c r="P19" s="14" t="str">
        <f t="shared" si="4"/>
        <v>Benedetto XIV, Lettera Enciclica Annus qui hunc, 19 febbraio 1749</v>
      </c>
      <c r="Q19" s="14" t="str">
        <f t="shared" si="5"/>
        <v>1749-02-19T08:00:00.000+02:00</v>
      </c>
      <c r="R19" s="14" t="str">
        <f t="shared" si="6"/>
        <v>bxiv-enc-aqh</v>
      </c>
      <c r="S19" s="14" t="str">
        <f t="shared" si="7"/>
        <v>Benedictus XIV - Litterae Encyclicae - Annus qui hunc</v>
      </c>
    </row>
    <row r="20" spans="1:19" x14ac:dyDescent="0.25">
      <c r="A20" s="12">
        <v>19</v>
      </c>
      <c r="B20" s="17" t="s">
        <v>606</v>
      </c>
      <c r="C20" s="4" t="s">
        <v>607</v>
      </c>
      <c r="D20" s="4" t="s">
        <v>1138</v>
      </c>
      <c r="E20" s="5" t="s">
        <v>387</v>
      </c>
      <c r="F20" s="18" t="s">
        <v>579</v>
      </c>
      <c r="G20" s="18" t="s">
        <v>694</v>
      </c>
      <c r="H20" s="4" t="s">
        <v>603</v>
      </c>
      <c r="I20" s="4" t="s">
        <v>686</v>
      </c>
      <c r="J20" s="4" t="s">
        <v>627</v>
      </c>
      <c r="K20" s="2" t="s">
        <v>356</v>
      </c>
      <c r="L20" s="14" t="str">
        <f t="shared" si="0"/>
        <v>Apostolica constitutio (26 giugno 1749) | Benedetto XIV</v>
      </c>
      <c r="M20" s="14" t="str">
        <f t="shared" si="1"/>
        <v>Enciclica Apostolica constitutio</v>
      </c>
      <c r="N20" s="14" t="str">
        <f t="shared" si="2"/>
        <v>Enciclica Apostolica constitutio</v>
      </c>
      <c r="O20" s="14" t="str">
        <f t="shared" si="3"/>
        <v>1749/06/26</v>
      </c>
      <c r="P20" s="14" t="str">
        <f t="shared" si="4"/>
        <v>Benedetto XIV, Lettera Enciclica Apostolica constitutio, 26 giugno 1749</v>
      </c>
      <c r="Q20" s="14" t="str">
        <f t="shared" si="5"/>
        <v>1749-06-26T08:00:00.000+02:00</v>
      </c>
      <c r="R20" s="14" t="str">
        <f t="shared" si="6"/>
        <v>bxiv-enc-apc</v>
      </c>
      <c r="S20" s="14" t="str">
        <f t="shared" si="7"/>
        <v>Benedictus XIV - Litterae Encyclicae - Apostolica constitutio</v>
      </c>
    </row>
    <row r="21" spans="1:19" x14ac:dyDescent="0.25">
      <c r="A21" s="12">
        <v>20</v>
      </c>
      <c r="B21" s="17" t="s">
        <v>606</v>
      </c>
      <c r="C21" s="4" t="s">
        <v>607</v>
      </c>
      <c r="D21" s="4" t="s">
        <v>1138</v>
      </c>
      <c r="E21" s="5" t="s">
        <v>388</v>
      </c>
      <c r="F21" s="18" t="s">
        <v>579</v>
      </c>
      <c r="G21" s="18" t="s">
        <v>694</v>
      </c>
      <c r="H21" s="4" t="s">
        <v>603</v>
      </c>
      <c r="I21" s="4" t="s">
        <v>686</v>
      </c>
      <c r="J21" s="4" t="s">
        <v>628</v>
      </c>
      <c r="K21" s="2" t="s">
        <v>357</v>
      </c>
      <c r="L21" s="14" t="str">
        <f t="shared" si="0"/>
        <v>Gravissimo animi (31 ottobre 1749) | Benedetto XIV</v>
      </c>
      <c r="M21" s="14" t="str">
        <f t="shared" si="1"/>
        <v>Enciclica Gravissimo animi</v>
      </c>
      <c r="N21" s="14" t="str">
        <f t="shared" si="2"/>
        <v>Enciclica Gravissimo animi</v>
      </c>
      <c r="O21" s="14" t="str">
        <f t="shared" si="3"/>
        <v>1749/10/31</v>
      </c>
      <c r="P21" s="14" t="str">
        <f t="shared" si="4"/>
        <v>Benedetto XIV, Lettera Enciclica Gravissimo animi, 31 ottobre 1749</v>
      </c>
      <c r="Q21" s="14" t="str">
        <f t="shared" si="5"/>
        <v>1749-10-31T08:00:00.000+02:00</v>
      </c>
      <c r="R21" s="14" t="str">
        <f t="shared" si="6"/>
        <v>bxiv-enc-gra</v>
      </c>
      <c r="S21" s="14" t="str">
        <f t="shared" si="7"/>
        <v>Benedictus XIV - Litterae Encyclicae - Gravissimo animi</v>
      </c>
    </row>
    <row r="22" spans="1:19" x14ac:dyDescent="0.25">
      <c r="A22" s="12">
        <v>21</v>
      </c>
      <c r="B22" s="17" t="s">
        <v>606</v>
      </c>
      <c r="C22" s="4" t="s">
        <v>607</v>
      </c>
      <c r="D22" s="4" t="s">
        <v>1138</v>
      </c>
      <c r="E22" s="5" t="s">
        <v>389</v>
      </c>
      <c r="F22" s="18" t="s">
        <v>579</v>
      </c>
      <c r="G22" s="18" t="s">
        <v>694</v>
      </c>
      <c r="H22" s="4" t="s">
        <v>603</v>
      </c>
      <c r="I22" s="4" t="s">
        <v>686</v>
      </c>
      <c r="J22" s="4" t="s">
        <v>629</v>
      </c>
      <c r="K22" s="2" t="s">
        <v>358</v>
      </c>
      <c r="L22" s="14" t="str">
        <f t="shared" si="0"/>
        <v>Inter praeteritos (03 dicembre 1749) | Benedetto XIV</v>
      </c>
      <c r="M22" s="14" t="str">
        <f t="shared" si="1"/>
        <v>Enciclica Inter praeteritos</v>
      </c>
      <c r="N22" s="14" t="str">
        <f t="shared" si="2"/>
        <v>Enciclica Inter praeteritos</v>
      </c>
      <c r="O22" s="14" t="str">
        <f t="shared" si="3"/>
        <v>1749/12/03</v>
      </c>
      <c r="P22" s="14" t="str">
        <f t="shared" si="4"/>
        <v>Benedetto XIV, Lettera Enciclica Inter praeteritos, 03 dicembre 1749</v>
      </c>
      <c r="Q22" s="14" t="str">
        <f t="shared" si="5"/>
        <v>1749-12-03T08:00:00.000+02:00</v>
      </c>
      <c r="R22" s="14" t="str">
        <f t="shared" si="6"/>
        <v>bxiv-enc-inp</v>
      </c>
      <c r="S22" s="14" t="str">
        <f t="shared" si="7"/>
        <v>Benedictus XIV - Litterae Encyclicae - Inter praeteritos</v>
      </c>
    </row>
    <row r="23" spans="1:19" x14ac:dyDescent="0.25">
      <c r="A23" s="12">
        <v>22</v>
      </c>
      <c r="B23" s="17" t="s">
        <v>606</v>
      </c>
      <c r="C23" s="4" t="s">
        <v>607</v>
      </c>
      <c r="D23" s="4" t="s">
        <v>1138</v>
      </c>
      <c r="E23" s="5" t="s">
        <v>390</v>
      </c>
      <c r="F23" s="18" t="s">
        <v>579</v>
      </c>
      <c r="G23" s="18" t="s">
        <v>694</v>
      </c>
      <c r="H23" s="4" t="s">
        <v>603</v>
      </c>
      <c r="I23" s="4" t="s">
        <v>686</v>
      </c>
      <c r="J23" s="4" t="s">
        <v>630</v>
      </c>
      <c r="K23" s="2" t="s">
        <v>359</v>
      </c>
      <c r="L23" s="14" t="str">
        <f t="shared" si="0"/>
        <v>Celebrationem magni (01 gennaio 1751) | Benedetto XIV</v>
      </c>
      <c r="M23" s="14" t="str">
        <f t="shared" si="1"/>
        <v>Enciclica Celebrationem magni</v>
      </c>
      <c r="N23" s="14" t="str">
        <f t="shared" si="2"/>
        <v>Enciclica Celebrationem magni</v>
      </c>
      <c r="O23" s="14" t="str">
        <f t="shared" si="3"/>
        <v>1751/01/01</v>
      </c>
      <c r="P23" s="14" t="str">
        <f t="shared" si="4"/>
        <v>Benedetto XIV, Lettera Enciclica Celebrationem magni, 01 gennaio 1751</v>
      </c>
      <c r="Q23" s="14" t="str">
        <f t="shared" si="5"/>
        <v>1751-01-01T08:00:00.000+02:00</v>
      </c>
      <c r="R23" s="14" t="str">
        <f t="shared" si="6"/>
        <v>bxiv-enc-cem</v>
      </c>
      <c r="S23" s="14" t="str">
        <f t="shared" si="7"/>
        <v>Benedictus XIV - Litterae Encyclicae - Celebrationem magni</v>
      </c>
    </row>
    <row r="24" spans="1:19" x14ac:dyDescent="0.25">
      <c r="A24" s="12">
        <v>23</v>
      </c>
      <c r="B24" s="17" t="s">
        <v>606</v>
      </c>
      <c r="C24" s="4" t="s">
        <v>607</v>
      </c>
      <c r="D24" s="4" t="s">
        <v>1138</v>
      </c>
      <c r="E24" s="5" t="s">
        <v>391</v>
      </c>
      <c r="F24" s="18" t="s">
        <v>579</v>
      </c>
      <c r="G24" s="18" t="s">
        <v>694</v>
      </c>
      <c r="H24" s="4" t="s">
        <v>603</v>
      </c>
      <c r="I24" s="4" t="s">
        <v>686</v>
      </c>
      <c r="J24" s="4" t="s">
        <v>631</v>
      </c>
      <c r="K24" s="2" t="s">
        <v>360</v>
      </c>
      <c r="L24" s="14" t="str">
        <f t="shared" si="0"/>
        <v>Prodiit jamdudum (30 gennaio 1751) | Benedetto XIV</v>
      </c>
      <c r="M24" s="14" t="str">
        <f t="shared" si="1"/>
        <v>Enciclica Prodiit jamdudum</v>
      </c>
      <c r="N24" s="14" t="str">
        <f t="shared" si="2"/>
        <v>Enciclica Prodiit jamdudum</v>
      </c>
      <c r="O24" s="14" t="str">
        <f t="shared" si="3"/>
        <v>1751/01/30</v>
      </c>
      <c r="P24" s="14" t="str">
        <f t="shared" si="4"/>
        <v>Benedetto XIV, Lettera Enciclica Prodiit jamdudum, 30 gennaio 1751</v>
      </c>
      <c r="Q24" s="14" t="str">
        <f t="shared" si="5"/>
        <v>1751-01-30T08:00:00.000+02:00</v>
      </c>
      <c r="R24" s="14" t="str">
        <f t="shared" si="6"/>
        <v>bxiv-enc-prj</v>
      </c>
      <c r="S24" s="14" t="str">
        <f t="shared" si="7"/>
        <v>Benedictus XIV - Litterae Encyclicae - Prodiit jamdudum</v>
      </c>
    </row>
    <row r="25" spans="1:19" x14ac:dyDescent="0.25">
      <c r="A25" s="12">
        <v>24</v>
      </c>
      <c r="B25" s="17" t="s">
        <v>606</v>
      </c>
      <c r="C25" s="4" t="s">
        <v>607</v>
      </c>
      <c r="D25" s="4" t="s">
        <v>1138</v>
      </c>
      <c r="E25" s="5" t="s">
        <v>392</v>
      </c>
      <c r="F25" s="18" t="s">
        <v>579</v>
      </c>
      <c r="G25" s="18" t="s">
        <v>694</v>
      </c>
      <c r="H25" s="4" t="s">
        <v>603</v>
      </c>
      <c r="I25" s="4" t="s">
        <v>686</v>
      </c>
      <c r="J25" s="4" t="s">
        <v>632</v>
      </c>
      <c r="K25" s="2" t="s">
        <v>361</v>
      </c>
      <c r="L25" s="14" t="str">
        <f t="shared" si="0"/>
        <v>Elapso proxime anno (20 febbraio 1751) | Benedetto XIV</v>
      </c>
      <c r="M25" s="14" t="str">
        <f t="shared" si="1"/>
        <v>Enciclica Elapso proxime anno</v>
      </c>
      <c r="N25" s="14" t="str">
        <f t="shared" si="2"/>
        <v>Enciclica Elapso proxime anno</v>
      </c>
      <c r="O25" s="14" t="str">
        <f t="shared" si="3"/>
        <v>1751/02/20</v>
      </c>
      <c r="P25" s="14" t="str">
        <f t="shared" si="4"/>
        <v>Benedetto XIV, Lettera Enciclica Elapso proxime anno, 20 febbraio 1751</v>
      </c>
      <c r="Q25" s="14" t="str">
        <f t="shared" si="5"/>
        <v>1751-02-20T08:00:00.000+02:00</v>
      </c>
      <c r="R25" s="14" t="str">
        <f t="shared" si="6"/>
        <v>bxiv-enc-epa</v>
      </c>
      <c r="S25" s="14" t="str">
        <f t="shared" si="7"/>
        <v>Benedictus XIV - Litterae Encyclicae - Elapso proxime anno</v>
      </c>
    </row>
    <row r="26" spans="1:19" x14ac:dyDescent="0.25">
      <c r="A26" s="12">
        <v>25</v>
      </c>
      <c r="B26" s="17" t="s">
        <v>606</v>
      </c>
      <c r="C26" s="4" t="s">
        <v>607</v>
      </c>
      <c r="D26" s="4" t="s">
        <v>1138</v>
      </c>
      <c r="E26" s="5" t="s">
        <v>393</v>
      </c>
      <c r="F26" s="18" t="s">
        <v>579</v>
      </c>
      <c r="G26" s="18" t="s">
        <v>694</v>
      </c>
      <c r="H26" s="4" t="s">
        <v>603</v>
      </c>
      <c r="I26" s="4" t="s">
        <v>686</v>
      </c>
      <c r="J26" s="4" t="s">
        <v>633</v>
      </c>
      <c r="K26" s="2" t="s">
        <v>362</v>
      </c>
      <c r="L26" s="14" t="str">
        <f t="shared" si="0"/>
        <v>Magno cum animi (02 giugno 1751) | Benedetto XIV</v>
      </c>
      <c r="M26" s="14" t="str">
        <f t="shared" si="1"/>
        <v>Enciclica Magno cum animi</v>
      </c>
      <c r="N26" s="14" t="str">
        <f t="shared" si="2"/>
        <v>Enciclica Magno cum animi</v>
      </c>
      <c r="O26" s="14" t="str">
        <f t="shared" si="3"/>
        <v>1751/06/02</v>
      </c>
      <c r="P26" s="14" t="str">
        <f t="shared" si="4"/>
        <v>Benedetto XIV, Lettera Enciclica Magno cum animi, 02 giugno 1751</v>
      </c>
      <c r="Q26" s="14" t="str">
        <f t="shared" si="5"/>
        <v>1751-06-02T08:00:00.000+02:00</v>
      </c>
      <c r="R26" s="14" t="str">
        <f t="shared" si="6"/>
        <v>bxiv-enc-mca</v>
      </c>
      <c r="S26" s="14" t="str">
        <f t="shared" si="7"/>
        <v>Benedictus XIV - Litterae Encyclicae - Magno cum animi</v>
      </c>
    </row>
    <row r="27" spans="1:19" x14ac:dyDescent="0.25">
      <c r="A27" s="12">
        <v>26</v>
      </c>
      <c r="B27" s="17" t="s">
        <v>606</v>
      </c>
      <c r="C27" s="4" t="s">
        <v>607</v>
      </c>
      <c r="D27" s="4" t="s">
        <v>1138</v>
      </c>
      <c r="E27" s="5" t="s">
        <v>394</v>
      </c>
      <c r="F27" s="18" t="s">
        <v>579</v>
      </c>
      <c r="G27" s="18" t="s">
        <v>694</v>
      </c>
      <c r="H27" s="4" t="s">
        <v>603</v>
      </c>
      <c r="I27" s="4" t="s">
        <v>686</v>
      </c>
      <c r="J27" s="4" t="s">
        <v>634</v>
      </c>
      <c r="K27" s="2" t="s">
        <v>363</v>
      </c>
      <c r="L27" s="14" t="str">
        <f t="shared" si="0"/>
        <v>A quo primum (14 giugno 1751) | Benedetto XIV</v>
      </c>
      <c r="M27" s="14" t="str">
        <f t="shared" si="1"/>
        <v>Enciclica A quo primum</v>
      </c>
      <c r="N27" s="14" t="str">
        <f t="shared" si="2"/>
        <v>Enciclica A quo primum</v>
      </c>
      <c r="O27" s="14" t="str">
        <f t="shared" si="3"/>
        <v>1751/06/14</v>
      </c>
      <c r="P27" s="14" t="str">
        <f t="shared" si="4"/>
        <v>Benedetto XIV, Lettera Enciclica A quo primum, 14 giugno 1751</v>
      </c>
      <c r="Q27" s="14" t="str">
        <f t="shared" si="5"/>
        <v>1751-06-14T08:00:00.000+02:00</v>
      </c>
      <c r="R27" s="14" t="str">
        <f t="shared" si="6"/>
        <v>bxiv-enc-aqp</v>
      </c>
      <c r="S27" s="14" t="str">
        <f t="shared" si="7"/>
        <v>Benedictus XIV - Litterae Encyclicae - A quo primum</v>
      </c>
    </row>
    <row r="28" spans="1:19" x14ac:dyDescent="0.25">
      <c r="A28" s="12">
        <v>27</v>
      </c>
      <c r="B28" s="17" t="s">
        <v>606</v>
      </c>
      <c r="C28" s="4" t="s">
        <v>607</v>
      </c>
      <c r="D28" s="4" t="s">
        <v>1138</v>
      </c>
      <c r="E28" s="5" t="s">
        <v>395</v>
      </c>
      <c r="F28" s="18" t="s">
        <v>579</v>
      </c>
      <c r="G28" s="18" t="s">
        <v>694</v>
      </c>
      <c r="H28" s="4" t="s">
        <v>603</v>
      </c>
      <c r="I28" s="4" t="s">
        <v>686</v>
      </c>
      <c r="J28" s="4" t="s">
        <v>635</v>
      </c>
      <c r="K28" s="2" t="s">
        <v>364</v>
      </c>
      <c r="L28" s="14" t="str">
        <f t="shared" si="0"/>
        <v>Cum religiosi aeque (26 giugno 1754) | Benedetto XIV</v>
      </c>
      <c r="M28" s="14" t="str">
        <f t="shared" si="1"/>
        <v>Enciclica Cum religiosi aeque</v>
      </c>
      <c r="N28" s="14" t="str">
        <f t="shared" si="2"/>
        <v>Enciclica Cum religiosi aeque</v>
      </c>
      <c r="O28" s="14" t="str">
        <f t="shared" si="3"/>
        <v>1754/06/26</v>
      </c>
      <c r="P28" s="14" t="str">
        <f t="shared" si="4"/>
        <v>Benedetto XIV, Lettera Enciclica Cum religiosi aeque, 26 giugno 1754</v>
      </c>
      <c r="Q28" s="14" t="str">
        <f t="shared" si="5"/>
        <v>1754-06-26T08:00:00.000+02:00</v>
      </c>
      <c r="R28" s="14" t="str">
        <f t="shared" si="6"/>
        <v>bxiv-enc-cra</v>
      </c>
      <c r="S28" s="14" t="str">
        <f t="shared" si="7"/>
        <v>Benedictus XIV - Litterae Encyclicae - Cum religiosi aeque</v>
      </c>
    </row>
    <row r="29" spans="1:19" x14ac:dyDescent="0.25">
      <c r="A29" s="12">
        <v>28</v>
      </c>
      <c r="B29" s="17" t="s">
        <v>606</v>
      </c>
      <c r="C29" s="4" t="s">
        <v>607</v>
      </c>
      <c r="D29" s="4" t="s">
        <v>1138</v>
      </c>
      <c r="E29" s="5" t="s">
        <v>396</v>
      </c>
      <c r="F29" s="18" t="s">
        <v>579</v>
      </c>
      <c r="G29" s="18" t="s">
        <v>694</v>
      </c>
      <c r="H29" s="4" t="s">
        <v>603</v>
      </c>
      <c r="I29" s="4" t="s">
        <v>686</v>
      </c>
      <c r="J29" s="4" t="s">
        <v>636</v>
      </c>
      <c r="K29" s="2" t="s">
        <v>365</v>
      </c>
      <c r="L29" s="14" t="str">
        <f t="shared" si="0"/>
        <v>Quod provinciale (01 agosto 1754) | Benedetto XIV</v>
      </c>
      <c r="M29" s="14" t="str">
        <f t="shared" si="1"/>
        <v>Enciclica Quod provinciale</v>
      </c>
      <c r="N29" s="14" t="str">
        <f t="shared" si="2"/>
        <v>Enciclica Quod provinciale</v>
      </c>
      <c r="O29" s="14" t="str">
        <f t="shared" si="3"/>
        <v>1754/08/01</v>
      </c>
      <c r="P29" s="14" t="str">
        <f t="shared" si="4"/>
        <v>Benedetto XIV, Lettera Enciclica Quod provinciale, 01 agosto 1754</v>
      </c>
      <c r="Q29" s="14" t="str">
        <f t="shared" si="5"/>
        <v>1754-08-01T08:00:00.000+02:00</v>
      </c>
      <c r="R29" s="14" t="str">
        <f t="shared" si="6"/>
        <v>bxiv-enc-qpr</v>
      </c>
      <c r="S29" s="14" t="str">
        <f t="shared" si="7"/>
        <v>Benedictus XIV - Litterae Encyclicae - Quod provinciale</v>
      </c>
    </row>
    <row r="30" spans="1:19" x14ac:dyDescent="0.25">
      <c r="A30" s="12">
        <v>29</v>
      </c>
      <c r="B30" s="17" t="s">
        <v>606</v>
      </c>
      <c r="C30" s="4" t="s">
        <v>607</v>
      </c>
      <c r="D30" s="4" t="s">
        <v>1138</v>
      </c>
      <c r="E30" s="5" t="s">
        <v>397</v>
      </c>
      <c r="F30" s="18" t="s">
        <v>579</v>
      </c>
      <c r="G30" s="18" t="s">
        <v>694</v>
      </c>
      <c r="H30" s="4" t="s">
        <v>603</v>
      </c>
      <c r="I30" s="4" t="s">
        <v>686</v>
      </c>
      <c r="J30" s="4" t="s">
        <v>637</v>
      </c>
      <c r="K30" s="2" t="s">
        <v>366</v>
      </c>
      <c r="L30" s="14" t="str">
        <f t="shared" si="0"/>
        <v>Allatae sunt (26 luglio 1755) | Benedetto XIV</v>
      </c>
      <c r="M30" s="14" t="str">
        <f t="shared" si="1"/>
        <v>Enciclica Allatae sunt</v>
      </c>
      <c r="N30" s="14" t="str">
        <f t="shared" si="2"/>
        <v>Enciclica Allatae sunt</v>
      </c>
      <c r="O30" s="14" t="str">
        <f t="shared" si="3"/>
        <v>1755/07/26</v>
      </c>
      <c r="P30" s="14" t="str">
        <f t="shared" si="4"/>
        <v>Benedetto XIV, Lettera Enciclica Allatae sunt, 26 luglio 1755</v>
      </c>
      <c r="Q30" s="14" t="str">
        <f t="shared" si="5"/>
        <v>1755-07-26T08:00:00.000+02:00</v>
      </c>
      <c r="R30" s="14" t="str">
        <f t="shared" si="6"/>
        <v>bxiv-enc-als</v>
      </c>
      <c r="S30" s="14" t="str">
        <f t="shared" si="7"/>
        <v>Benedictus XIV - Litterae Encyclicae - Allatae sunt</v>
      </c>
    </row>
    <row r="31" spans="1:19" x14ac:dyDescent="0.25">
      <c r="A31" s="12">
        <v>30</v>
      </c>
      <c r="B31" s="17" t="s">
        <v>606</v>
      </c>
      <c r="C31" s="4" t="s">
        <v>607</v>
      </c>
      <c r="D31" s="4" t="s">
        <v>1138</v>
      </c>
      <c r="E31" s="5" t="s">
        <v>398</v>
      </c>
      <c r="F31" s="18" t="s">
        <v>579</v>
      </c>
      <c r="G31" s="18" t="s">
        <v>694</v>
      </c>
      <c r="H31" s="4" t="s">
        <v>603</v>
      </c>
      <c r="I31" s="4" t="s">
        <v>686</v>
      </c>
      <c r="J31" s="4" t="s">
        <v>638</v>
      </c>
      <c r="K31" s="2" t="s">
        <v>367</v>
      </c>
      <c r="L31" s="14" t="str">
        <f t="shared" si="0"/>
        <v>Ex quo primum (01 marzo 1756) | Benedetto XIV</v>
      </c>
      <c r="M31" s="14" t="str">
        <f t="shared" si="1"/>
        <v>Enciclica Ex quo primum</v>
      </c>
      <c r="N31" s="14" t="str">
        <f t="shared" si="2"/>
        <v>Enciclica Ex quo primum</v>
      </c>
      <c r="O31" s="14" t="str">
        <f t="shared" si="3"/>
        <v>1756/03/01</v>
      </c>
      <c r="P31" s="14" t="str">
        <f t="shared" si="4"/>
        <v>Benedetto XIV, Lettera Enciclica Ex quo primum, 01 marzo 1756</v>
      </c>
      <c r="Q31" s="14" t="str">
        <f t="shared" si="5"/>
        <v>1756-03-01T08:00:00.000+02:00</v>
      </c>
      <c r="R31" s="14" t="str">
        <f t="shared" si="6"/>
        <v>bxiv-enc-eqp</v>
      </c>
      <c r="S31" s="14" t="str">
        <f t="shared" si="7"/>
        <v>Benedictus XIV - Litterae Encyclicae - Ex quo primum</v>
      </c>
    </row>
    <row r="32" spans="1:19" x14ac:dyDescent="0.25">
      <c r="A32" s="12">
        <v>31</v>
      </c>
      <c r="B32" s="17" t="s">
        <v>606</v>
      </c>
      <c r="C32" s="4" t="s">
        <v>607</v>
      </c>
      <c r="D32" s="4" t="s">
        <v>1138</v>
      </c>
      <c r="E32" s="5" t="s">
        <v>399</v>
      </c>
      <c r="F32" s="18" t="s">
        <v>579</v>
      </c>
      <c r="G32" s="18" t="s">
        <v>694</v>
      </c>
      <c r="H32" s="4" t="s">
        <v>603</v>
      </c>
      <c r="I32" s="4" t="s">
        <v>686</v>
      </c>
      <c r="J32" s="4" t="s">
        <v>639</v>
      </c>
      <c r="K32" s="2" t="s">
        <v>368</v>
      </c>
      <c r="L32" s="14" t="str">
        <f t="shared" si="0"/>
        <v>Ex omnibus christiani (16 ottobre 1756) | Benedetto XIV</v>
      </c>
      <c r="M32" s="14" t="str">
        <f t="shared" si="1"/>
        <v>Enciclica Ex omnibus christiani</v>
      </c>
      <c r="N32" s="14" t="str">
        <f t="shared" si="2"/>
        <v>Enciclica Ex omnibus christiani</v>
      </c>
      <c r="O32" s="14" t="str">
        <f t="shared" si="3"/>
        <v>1756/10/16</v>
      </c>
      <c r="P32" s="14" t="str">
        <f t="shared" si="4"/>
        <v>Benedetto XIV, Lettera Enciclica Ex omnibus christiani, 16 ottobre 1756</v>
      </c>
      <c r="Q32" s="14" t="str">
        <f t="shared" si="5"/>
        <v>1756-10-16T08:00:00.000+02:00</v>
      </c>
      <c r="R32" s="14" t="str">
        <f t="shared" si="6"/>
        <v>bxiv-enc-eoc</v>
      </c>
      <c r="S32" s="14" t="str">
        <f t="shared" si="7"/>
        <v>Benedictus XIV - Litterae Encyclicae - Ex omnibus christiani</v>
      </c>
    </row>
    <row r="33" spans="1:19" x14ac:dyDescent="0.25">
      <c r="A33" s="12">
        <v>32</v>
      </c>
      <c r="B33" s="17" t="s">
        <v>606</v>
      </c>
      <c r="C33" s="4" t="s">
        <v>607</v>
      </c>
      <c r="D33" s="4" t="s">
        <v>1138</v>
      </c>
      <c r="E33" s="5" t="s">
        <v>400</v>
      </c>
      <c r="F33" s="18" t="s">
        <v>579</v>
      </c>
      <c r="G33" s="18" t="s">
        <v>694</v>
      </c>
      <c r="H33" s="4" t="s">
        <v>603</v>
      </c>
      <c r="I33" s="4" t="s">
        <v>686</v>
      </c>
      <c r="J33" s="4" t="s">
        <v>640</v>
      </c>
      <c r="K33" s="2" t="s">
        <v>369</v>
      </c>
      <c r="L33" s="14" t="str">
        <f t="shared" si="0"/>
        <v>Quam grave (02 agosto 1757) | Benedetto XIV</v>
      </c>
      <c r="M33" s="14" t="str">
        <f t="shared" si="1"/>
        <v>Enciclica Quam grave</v>
      </c>
      <c r="N33" s="14" t="str">
        <f t="shared" si="2"/>
        <v>Enciclica Quam grave</v>
      </c>
      <c r="O33" s="14" t="str">
        <f t="shared" si="3"/>
        <v>1757/08/02</v>
      </c>
      <c r="P33" s="14" t="str">
        <f t="shared" si="4"/>
        <v>Benedetto XIV, Lettera Enciclica Quam grave, 02 agosto 1757</v>
      </c>
      <c r="Q33" s="14" t="str">
        <f t="shared" si="5"/>
        <v>1757-08-02T08:00:00.000+02:00</v>
      </c>
      <c r="R33" s="14" t="str">
        <f t="shared" si="6"/>
        <v>bxiv-enc-qug</v>
      </c>
      <c r="S33" s="14" t="str">
        <f t="shared" si="7"/>
        <v>Benedictus XIV - Litterae Encyclicae - Quam grave</v>
      </c>
    </row>
    <row r="34" spans="1:19" x14ac:dyDescent="0.25">
      <c r="A34" s="12">
        <v>33</v>
      </c>
      <c r="B34" s="17" t="s">
        <v>681</v>
      </c>
      <c r="C34" s="4" t="s">
        <v>680</v>
      </c>
      <c r="D34" s="4" t="s">
        <v>1139</v>
      </c>
      <c r="E34" s="5" t="s">
        <v>401</v>
      </c>
      <c r="F34" s="18" t="s">
        <v>579</v>
      </c>
      <c r="G34" s="18" t="s">
        <v>694</v>
      </c>
      <c r="H34" s="4" t="s">
        <v>603</v>
      </c>
      <c r="I34" s="4" t="s">
        <v>686</v>
      </c>
      <c r="J34" s="4" t="s">
        <v>954</v>
      </c>
      <c r="K34" s="2" t="s">
        <v>333</v>
      </c>
      <c r="L34" s="14" t="str">
        <f t="shared" si="0"/>
        <v>A quo die (14 settembre 1758) | Clemente XIII</v>
      </c>
      <c r="M34" s="14" t="str">
        <f t="shared" si="1"/>
        <v>Enciclica A quo die</v>
      </c>
      <c r="N34" s="14" t="str">
        <f t="shared" si="2"/>
        <v>Enciclica A quo die</v>
      </c>
      <c r="O34" s="14" t="str">
        <f t="shared" ref="O34:O65" si="8">_xlfn.CONCAT(RIGHT(E34,4) &amp; "/" &amp; MID(E34,4,2) &amp; "/" &amp; LEFT(E34,2))</f>
        <v>1758/09/14</v>
      </c>
      <c r="P34" s="14" t="str">
        <f t="shared" si="4"/>
        <v>Clemente XIII, Lettera Enciclica A quo die, 14 settembre 1758</v>
      </c>
      <c r="Q34" s="14" t="str">
        <f t="shared" ref="Q34:Q65" si="9">_xlfn.CONCAT(RIGHT(E34,4) &amp; "-" &amp; MID(E34,4,2) &amp; "-" &amp; LEFT(E34,2) &amp; "T08:00:00.000+02:00")</f>
        <v>1758-09-14T08:00:00.000+02:00</v>
      </c>
      <c r="R34" s="14" t="str">
        <f t="shared" si="6"/>
        <v>clxiii-enc-aqd</v>
      </c>
      <c r="S34" s="14" t="str">
        <f t="shared" si="7"/>
        <v>Clementis XIII - Litterae Encyclicae - A quo die</v>
      </c>
    </row>
    <row r="35" spans="1:19" x14ac:dyDescent="0.25">
      <c r="A35" s="12">
        <v>34</v>
      </c>
      <c r="B35" s="17" t="s">
        <v>681</v>
      </c>
      <c r="C35" s="4" t="s">
        <v>680</v>
      </c>
      <c r="D35" s="4" t="s">
        <v>1139</v>
      </c>
      <c r="E35" s="5" t="s">
        <v>402</v>
      </c>
      <c r="F35" s="18" t="s">
        <v>579</v>
      </c>
      <c r="G35" s="18" t="s">
        <v>694</v>
      </c>
      <c r="H35" s="4" t="s">
        <v>603</v>
      </c>
      <c r="I35" s="4" t="s">
        <v>686</v>
      </c>
      <c r="J35" s="4" t="s">
        <v>955</v>
      </c>
      <c r="K35" s="2" t="s">
        <v>304</v>
      </c>
      <c r="L35" s="14" t="str">
        <f t="shared" si="0"/>
        <v>Cum primum (17 settembre 1759) | Clemente XIII</v>
      </c>
      <c r="M35" s="14" t="str">
        <f t="shared" si="1"/>
        <v>Enciclica Cum primum</v>
      </c>
      <c r="N35" s="14" t="str">
        <f t="shared" si="2"/>
        <v>Enciclica Cum primum</v>
      </c>
      <c r="O35" s="14" t="str">
        <f t="shared" si="8"/>
        <v>1759/09/17</v>
      </c>
      <c r="P35" s="14" t="str">
        <f t="shared" si="4"/>
        <v>Clemente XIII, Lettera Enciclica Cum primum, 17 settembre 1759</v>
      </c>
      <c r="Q35" s="14" t="str">
        <f t="shared" si="9"/>
        <v>1759-09-17T08:00:00.000+02:00</v>
      </c>
      <c r="R35" s="14" t="str">
        <f t="shared" si="6"/>
        <v>clxiii-enc-cup</v>
      </c>
      <c r="S35" s="14" t="str">
        <f t="shared" si="7"/>
        <v>Clementis XIII - Litterae Encyclicae - Cum primum</v>
      </c>
    </row>
    <row r="36" spans="1:19" x14ac:dyDescent="0.25">
      <c r="A36" s="12">
        <v>35</v>
      </c>
      <c r="B36" s="17" t="s">
        <v>681</v>
      </c>
      <c r="C36" s="4" t="s">
        <v>680</v>
      </c>
      <c r="D36" s="4" t="s">
        <v>1139</v>
      </c>
      <c r="E36" s="5" t="s">
        <v>403</v>
      </c>
      <c r="F36" s="18" t="s">
        <v>579</v>
      </c>
      <c r="G36" s="18" t="s">
        <v>694</v>
      </c>
      <c r="H36" s="4" t="s">
        <v>603</v>
      </c>
      <c r="I36" s="4" t="s">
        <v>686</v>
      </c>
      <c r="J36" s="4" t="s">
        <v>956</v>
      </c>
      <c r="K36" s="2" t="s">
        <v>334</v>
      </c>
      <c r="L36" s="14" t="str">
        <f t="shared" si="0"/>
        <v>Appetente sacro (20 dicembre 1759) | Clemente XIII</v>
      </c>
      <c r="M36" s="14" t="str">
        <f t="shared" si="1"/>
        <v>Enciclica Appetente sacro</v>
      </c>
      <c r="N36" s="14" t="str">
        <f t="shared" si="2"/>
        <v>Enciclica Appetente sacro</v>
      </c>
      <c r="O36" s="14" t="str">
        <f t="shared" si="8"/>
        <v>1759/12/20</v>
      </c>
      <c r="P36" s="14" t="str">
        <f t="shared" si="4"/>
        <v>Clemente XIII, Lettera Enciclica Appetente sacro, 20 dicembre 1759</v>
      </c>
      <c r="Q36" s="14" t="str">
        <f t="shared" si="9"/>
        <v>1759-12-20T08:00:00.000+02:00</v>
      </c>
      <c r="R36" s="14" t="str">
        <f t="shared" si="6"/>
        <v>clxiii-enc-aps</v>
      </c>
      <c r="S36" s="14" t="str">
        <f t="shared" si="7"/>
        <v>Clementis XIII - Litterae Encyclicae - Appetente sacro</v>
      </c>
    </row>
    <row r="37" spans="1:19" x14ac:dyDescent="0.25">
      <c r="A37" s="12">
        <v>36</v>
      </c>
      <c r="B37" s="17" t="s">
        <v>681</v>
      </c>
      <c r="C37" s="4" t="s">
        <v>680</v>
      </c>
      <c r="D37" s="4" t="s">
        <v>1139</v>
      </c>
      <c r="E37" s="5" t="s">
        <v>404</v>
      </c>
      <c r="F37" s="18" t="s">
        <v>579</v>
      </c>
      <c r="G37" s="18" t="s">
        <v>694</v>
      </c>
      <c r="H37" s="4" t="s">
        <v>603</v>
      </c>
      <c r="I37" s="4" t="s">
        <v>686</v>
      </c>
      <c r="J37" s="4" t="s">
        <v>957</v>
      </c>
      <c r="K37" s="2" t="s">
        <v>335</v>
      </c>
      <c r="L37" s="14" t="str">
        <f t="shared" si="0"/>
        <v>In dominico agro (14 giugno 1761) | Clemente XIII</v>
      </c>
      <c r="M37" s="14" t="str">
        <f t="shared" si="1"/>
        <v>Enciclica In dominico agro</v>
      </c>
      <c r="N37" s="14" t="str">
        <f t="shared" si="2"/>
        <v>Enciclica In dominico agro</v>
      </c>
      <c r="O37" s="14" t="str">
        <f t="shared" si="8"/>
        <v>1761/06/14</v>
      </c>
      <c r="P37" s="14" t="str">
        <f t="shared" si="4"/>
        <v>Clemente XIII, Lettera Enciclica In dominico agro, 14 giugno 1761</v>
      </c>
      <c r="Q37" s="14" t="str">
        <f t="shared" si="9"/>
        <v>1761-06-14T08:00:00.000+02:00</v>
      </c>
      <c r="R37" s="14" t="str">
        <f t="shared" si="6"/>
        <v>clxiii-enc-ida</v>
      </c>
      <c r="S37" s="14" t="str">
        <f t="shared" si="7"/>
        <v>Clementis XIII - Litterae Encyclicae - In dominico agro</v>
      </c>
    </row>
    <row r="38" spans="1:19" x14ac:dyDescent="0.25">
      <c r="A38" s="12">
        <v>37</v>
      </c>
      <c r="B38" s="17" t="s">
        <v>681</v>
      </c>
      <c r="C38" s="4" t="s">
        <v>680</v>
      </c>
      <c r="D38" s="4" t="s">
        <v>1139</v>
      </c>
      <c r="E38" s="5" t="s">
        <v>405</v>
      </c>
      <c r="F38" s="18" t="s">
        <v>579</v>
      </c>
      <c r="G38" s="18" t="s">
        <v>694</v>
      </c>
      <c r="H38" s="4" t="s">
        <v>603</v>
      </c>
      <c r="I38" s="4" t="s">
        <v>686</v>
      </c>
      <c r="J38" s="4" t="s">
        <v>640</v>
      </c>
      <c r="K38" s="2" t="s">
        <v>336</v>
      </c>
      <c r="L38" s="14" t="str">
        <f t="shared" si="0"/>
        <v>Quam graviter (25 giugno 1766) | Clemente XIII</v>
      </c>
      <c r="M38" s="14" t="str">
        <f t="shared" si="1"/>
        <v>Enciclica Quam graviter</v>
      </c>
      <c r="N38" s="14" t="str">
        <f t="shared" si="2"/>
        <v>Enciclica Quam graviter</v>
      </c>
      <c r="O38" s="14" t="str">
        <f t="shared" si="8"/>
        <v>1766/06/25</v>
      </c>
      <c r="P38" s="14" t="str">
        <f t="shared" si="4"/>
        <v>Clemente XIII, Lettera Enciclica Quam graviter, 25 giugno 1766</v>
      </c>
      <c r="Q38" s="14" t="str">
        <f t="shared" si="9"/>
        <v>1766-06-25T08:00:00.000+02:00</v>
      </c>
      <c r="R38" s="14" t="str">
        <f t="shared" si="6"/>
        <v>clxiii-enc-qug</v>
      </c>
      <c r="S38" s="14" t="str">
        <f t="shared" si="7"/>
        <v>Clementis XIII - Litterae Encyclicae - Quam graviter</v>
      </c>
    </row>
    <row r="39" spans="1:19" x14ac:dyDescent="0.25">
      <c r="A39" s="12">
        <v>38</v>
      </c>
      <c r="B39" s="17" t="s">
        <v>681</v>
      </c>
      <c r="C39" s="4" t="s">
        <v>680</v>
      </c>
      <c r="D39" s="4" t="s">
        <v>1139</v>
      </c>
      <c r="E39" s="5" t="s">
        <v>406</v>
      </c>
      <c r="F39" s="18" t="s">
        <v>579</v>
      </c>
      <c r="G39" s="18" t="s">
        <v>694</v>
      </c>
      <c r="H39" s="4" t="s">
        <v>603</v>
      </c>
      <c r="I39" s="4" t="s">
        <v>686</v>
      </c>
      <c r="J39" s="4" t="s">
        <v>958</v>
      </c>
      <c r="K39" s="2" t="s">
        <v>337</v>
      </c>
      <c r="L39" s="14" t="str">
        <f t="shared" si="0"/>
        <v>Christianae reipublicae (25 novembre 1766) | Clemente XIII</v>
      </c>
      <c r="M39" s="14" t="str">
        <f t="shared" si="1"/>
        <v>Enciclica Christianae reipublicae</v>
      </c>
      <c r="N39" s="14" t="str">
        <f t="shared" si="2"/>
        <v>Enciclica Christianae reipublicae</v>
      </c>
      <c r="O39" s="14" t="str">
        <f t="shared" si="8"/>
        <v>1766/11/25</v>
      </c>
      <c r="P39" s="14" t="str">
        <f t="shared" si="4"/>
        <v>Clemente XIII, Lettera Enciclica Christianae reipublicae, 25 novembre 1766</v>
      </c>
      <c r="Q39" s="14" t="str">
        <f t="shared" si="9"/>
        <v>1766-11-25T08:00:00.000+02:00</v>
      </c>
      <c r="R39" s="14" t="str">
        <f t="shared" si="6"/>
        <v>clxiii-enc-chr</v>
      </c>
      <c r="S39" s="14" t="str">
        <f t="shared" si="7"/>
        <v>Clementis XIII - Litterae Encyclicae - Christianae reipublicae</v>
      </c>
    </row>
    <row r="40" spans="1:19" x14ac:dyDescent="0.25">
      <c r="A40" s="12">
        <v>39</v>
      </c>
      <c r="B40" s="17" t="s">
        <v>682</v>
      </c>
      <c r="C40" s="4" t="s">
        <v>683</v>
      </c>
      <c r="D40" s="4" t="s">
        <v>1140</v>
      </c>
      <c r="E40" s="5" t="s">
        <v>407</v>
      </c>
      <c r="F40" s="18" t="s">
        <v>579</v>
      </c>
      <c r="G40" s="18" t="s">
        <v>694</v>
      </c>
      <c r="H40" s="4" t="s">
        <v>603</v>
      </c>
      <c r="I40" s="4" t="s">
        <v>686</v>
      </c>
      <c r="J40" s="4" t="s">
        <v>959</v>
      </c>
      <c r="K40" s="2" t="s">
        <v>330</v>
      </c>
      <c r="L40" s="14" t="str">
        <f t="shared" si="0"/>
        <v>Decet quam maxime (21 settembre 1769) | Clemente XIV</v>
      </c>
      <c r="M40" s="14" t="str">
        <f t="shared" si="1"/>
        <v>Enciclica Decet quam maxime</v>
      </c>
      <c r="N40" s="14" t="str">
        <f t="shared" si="2"/>
        <v>Enciclica Decet quam maxime</v>
      </c>
      <c r="O40" s="14" t="str">
        <f t="shared" si="8"/>
        <v>1769/09/21</v>
      </c>
      <c r="P40" s="14" t="str">
        <f t="shared" si="4"/>
        <v>Clemente XIV, Lettera Enciclica Decet quam maxime, 21 settembre 1769</v>
      </c>
      <c r="Q40" s="14" t="str">
        <f t="shared" si="9"/>
        <v>1769-09-21T08:00:00.000+02:00</v>
      </c>
      <c r="R40" s="14" t="str">
        <f t="shared" si="6"/>
        <v>clxiv-enc-dqm</v>
      </c>
      <c r="S40" s="14" t="str">
        <f t="shared" si="7"/>
        <v>Clementis XIV - Litterae Encyclicae - Decet quam maxime</v>
      </c>
    </row>
    <row r="41" spans="1:19" x14ac:dyDescent="0.25">
      <c r="A41" s="12">
        <v>40</v>
      </c>
      <c r="B41" s="17" t="s">
        <v>682</v>
      </c>
      <c r="C41" s="4" t="s">
        <v>683</v>
      </c>
      <c r="D41" s="4" t="s">
        <v>1140</v>
      </c>
      <c r="E41" s="5" t="s">
        <v>408</v>
      </c>
      <c r="F41" s="18" t="s">
        <v>579</v>
      </c>
      <c r="G41" s="18" t="s">
        <v>694</v>
      </c>
      <c r="H41" s="4" t="s">
        <v>603</v>
      </c>
      <c r="I41" s="4" t="s">
        <v>686</v>
      </c>
      <c r="J41" s="4" t="s">
        <v>960</v>
      </c>
      <c r="K41" s="2" t="s">
        <v>331</v>
      </c>
      <c r="L41" s="14" t="str">
        <f t="shared" si="0"/>
        <v>Cum summi apostolatus (12 dicembre 1769) | Clemente XIV</v>
      </c>
      <c r="M41" s="14" t="str">
        <f t="shared" si="1"/>
        <v>Enciclica Cum summi apostolatus</v>
      </c>
      <c r="N41" s="14" t="str">
        <f t="shared" si="2"/>
        <v>Enciclica Cum summi apostolatus</v>
      </c>
      <c r="O41" s="14" t="str">
        <f t="shared" si="8"/>
        <v>1769/12/12</v>
      </c>
      <c r="P41" s="14" t="str">
        <f t="shared" si="4"/>
        <v>Clemente XIV, Lettera Enciclica Cum summi apostolatus, 12 dicembre 1769</v>
      </c>
      <c r="Q41" s="14" t="str">
        <f t="shared" si="9"/>
        <v>1769-12-12T08:00:00.000+02:00</v>
      </c>
      <c r="R41" s="14" t="str">
        <f t="shared" si="6"/>
        <v>clxiv-enc-csa</v>
      </c>
      <c r="S41" s="14" t="str">
        <f t="shared" si="7"/>
        <v>Clementis XIV - Litterae Encyclicae - Cum summi apostolatus</v>
      </c>
    </row>
    <row r="42" spans="1:19" x14ac:dyDescent="0.25">
      <c r="A42" s="12">
        <v>41</v>
      </c>
      <c r="B42" s="17" t="s">
        <v>675</v>
      </c>
      <c r="C42" s="4" t="s">
        <v>674</v>
      </c>
      <c r="D42" s="4" t="s">
        <v>1141</v>
      </c>
      <c r="E42" s="5" t="s">
        <v>409</v>
      </c>
      <c r="F42" s="18" t="s">
        <v>579</v>
      </c>
      <c r="G42" s="18" t="s">
        <v>694</v>
      </c>
      <c r="H42" s="4" t="s">
        <v>603</v>
      </c>
      <c r="I42" s="4" t="s">
        <v>686</v>
      </c>
      <c r="J42" s="4" t="s">
        <v>961</v>
      </c>
      <c r="K42" s="2" t="s">
        <v>321</v>
      </c>
      <c r="L42" s="14" t="str">
        <f t="shared" si="0"/>
        <v>Inscrutabile divinae (25 dicembre 1775) | Pio VI</v>
      </c>
      <c r="M42" s="14" t="str">
        <f t="shared" si="1"/>
        <v>Enciclica Inscrutabile divinae</v>
      </c>
      <c r="N42" s="14" t="str">
        <f t="shared" si="2"/>
        <v>Enciclica Inscrutabile divinae</v>
      </c>
      <c r="O42" s="14" t="str">
        <f t="shared" si="8"/>
        <v>1775/12/25</v>
      </c>
      <c r="P42" s="14" t="str">
        <f t="shared" si="4"/>
        <v>Pio VI, Lettera Enciclica Inscrutabile divinae, 25 dicembre 1775</v>
      </c>
      <c r="Q42" s="14" t="str">
        <f t="shared" si="9"/>
        <v>1775-12-25T08:00:00.000+02:00</v>
      </c>
      <c r="R42" s="14" t="str">
        <f t="shared" si="6"/>
        <v>pivi-enc-ind</v>
      </c>
      <c r="S42" s="14" t="str">
        <f t="shared" si="7"/>
        <v>Pius VI - Litterae Encyclicae - Inscrutabile divinae</v>
      </c>
    </row>
    <row r="43" spans="1:19" x14ac:dyDescent="0.25">
      <c r="A43" s="12">
        <v>42</v>
      </c>
      <c r="B43" s="17" t="s">
        <v>675</v>
      </c>
      <c r="C43" s="4" t="s">
        <v>674</v>
      </c>
      <c r="D43" s="4" t="s">
        <v>1141</v>
      </c>
      <c r="E43" s="5" t="s">
        <v>410</v>
      </c>
      <c r="F43" s="18" t="s">
        <v>579</v>
      </c>
      <c r="G43" s="18" t="s">
        <v>694</v>
      </c>
      <c r="H43" s="4" t="s">
        <v>603</v>
      </c>
      <c r="I43" s="4" t="s">
        <v>686</v>
      </c>
      <c r="J43" s="4" t="s">
        <v>962</v>
      </c>
      <c r="K43" s="2" t="s">
        <v>322</v>
      </c>
      <c r="L43" s="14" t="str">
        <f t="shared" si="0"/>
        <v>Adeo nota (23 aprile 1791) | Pio VI</v>
      </c>
      <c r="M43" s="14" t="str">
        <f t="shared" si="1"/>
        <v>Enciclica Adeo nota</v>
      </c>
      <c r="N43" s="14" t="str">
        <f t="shared" si="2"/>
        <v>Enciclica Adeo nota</v>
      </c>
      <c r="O43" s="14" t="str">
        <f t="shared" si="8"/>
        <v>1791/04/23</v>
      </c>
      <c r="P43" s="14" t="str">
        <f t="shared" si="4"/>
        <v>Pio VI, Lettera Enciclica Adeo nota, 23 aprile 1791</v>
      </c>
      <c r="Q43" s="14" t="str">
        <f t="shared" si="9"/>
        <v>1791-04-23T08:00:00.000+02:00</v>
      </c>
      <c r="R43" s="14" t="str">
        <f t="shared" si="6"/>
        <v>pivi-enc-adn</v>
      </c>
      <c r="S43" s="14" t="str">
        <f t="shared" si="7"/>
        <v>Pius VI - Litterae Encyclicae - Adeo nota</v>
      </c>
    </row>
    <row r="44" spans="1:19" x14ac:dyDescent="0.25">
      <c r="A44" s="12">
        <v>43</v>
      </c>
      <c r="B44" s="17" t="s">
        <v>675</v>
      </c>
      <c r="C44" s="4" t="s">
        <v>674</v>
      </c>
      <c r="D44" s="4" t="s">
        <v>1141</v>
      </c>
      <c r="E44" s="5" t="s">
        <v>411</v>
      </c>
      <c r="F44" s="18" t="s">
        <v>579</v>
      </c>
      <c r="G44" s="18" t="s">
        <v>694</v>
      </c>
      <c r="H44" s="4" t="s">
        <v>603</v>
      </c>
      <c r="I44" s="4" t="s">
        <v>686</v>
      </c>
      <c r="J44" s="4" t="s">
        <v>963</v>
      </c>
      <c r="K44" s="2" t="s">
        <v>323</v>
      </c>
      <c r="L44" s="14" t="str">
        <f t="shared" si="0"/>
        <v>In gravissimis (19 marzo 1792) | Pio VI</v>
      </c>
      <c r="M44" s="14" t="str">
        <f t="shared" si="1"/>
        <v>Enciclica In gravissimis</v>
      </c>
      <c r="N44" s="14" t="str">
        <f t="shared" si="2"/>
        <v>Enciclica In gravissimis</v>
      </c>
      <c r="O44" s="14" t="str">
        <f t="shared" si="8"/>
        <v>1792/03/19</v>
      </c>
      <c r="P44" s="14" t="str">
        <f t="shared" si="4"/>
        <v>Pio VI, Lettera Enciclica In gravissimis, 19 marzo 1792</v>
      </c>
      <c r="Q44" s="14" t="str">
        <f t="shared" si="9"/>
        <v>1792-03-19T08:00:00.000+02:00</v>
      </c>
      <c r="R44" s="14" t="str">
        <f t="shared" si="6"/>
        <v>pivi-enc-ing</v>
      </c>
      <c r="S44" s="14" t="str">
        <f t="shared" si="7"/>
        <v>Pius VI - Litterae Encyclicae - In gravissimis</v>
      </c>
    </row>
    <row r="45" spans="1:19" x14ac:dyDescent="0.25">
      <c r="A45" s="12">
        <v>44</v>
      </c>
      <c r="B45" s="17" t="s">
        <v>675</v>
      </c>
      <c r="C45" s="4" t="s">
        <v>674</v>
      </c>
      <c r="D45" s="4" t="s">
        <v>1141</v>
      </c>
      <c r="E45" s="5" t="s">
        <v>411</v>
      </c>
      <c r="F45" s="18" t="s">
        <v>579</v>
      </c>
      <c r="G45" s="18" t="s">
        <v>694</v>
      </c>
      <c r="H45" s="4" t="s">
        <v>603</v>
      </c>
      <c r="I45" s="4" t="s">
        <v>686</v>
      </c>
      <c r="J45" s="4" t="s">
        <v>964</v>
      </c>
      <c r="K45" s="2" t="s">
        <v>324</v>
      </c>
      <c r="L45" s="14" t="str">
        <f t="shared" si="0"/>
        <v>Novae hae litterae (19 marzo 1792) | Pio VI</v>
      </c>
      <c r="M45" s="14" t="str">
        <f t="shared" si="1"/>
        <v>Enciclica Novae hae litterae</v>
      </c>
      <c r="N45" s="14" t="str">
        <f t="shared" si="2"/>
        <v>Enciclica Novae hae litterae</v>
      </c>
      <c r="O45" s="14" t="str">
        <f t="shared" si="8"/>
        <v>1792/03/19</v>
      </c>
      <c r="P45" s="14" t="str">
        <f t="shared" si="4"/>
        <v>Pio VI, Lettera Enciclica Novae hae litterae, 19 marzo 1792</v>
      </c>
      <c r="Q45" s="14" t="str">
        <f t="shared" si="9"/>
        <v>1792-03-19T08:00:00.000+02:00</v>
      </c>
      <c r="R45" s="14" t="str">
        <f t="shared" si="6"/>
        <v>pivi-enc-nhl</v>
      </c>
      <c r="S45" s="14" t="str">
        <f t="shared" si="7"/>
        <v>Pius VI - Litterae Encyclicae - Novae hae litterae</v>
      </c>
    </row>
    <row r="46" spans="1:19" x14ac:dyDescent="0.25">
      <c r="A46" s="12">
        <v>45</v>
      </c>
      <c r="B46" s="17" t="s">
        <v>675</v>
      </c>
      <c r="C46" s="4" t="s">
        <v>674</v>
      </c>
      <c r="D46" s="4" t="s">
        <v>1141</v>
      </c>
      <c r="E46" s="5" t="s">
        <v>412</v>
      </c>
      <c r="F46" s="18" t="s">
        <v>579</v>
      </c>
      <c r="G46" s="18" t="s">
        <v>694</v>
      </c>
      <c r="H46" s="4" t="s">
        <v>603</v>
      </c>
      <c r="I46" s="4" t="s">
        <v>686</v>
      </c>
      <c r="J46" s="4" t="s">
        <v>965</v>
      </c>
      <c r="K46" s="2" t="s">
        <v>325</v>
      </c>
      <c r="L46" s="14" t="str">
        <f t="shared" si="0"/>
        <v>Dum nos (19 aprile 1792) | Pio VI</v>
      </c>
      <c r="M46" s="14" t="str">
        <f t="shared" si="1"/>
        <v>Enciclica Dum nos</v>
      </c>
      <c r="N46" s="14" t="str">
        <f t="shared" si="2"/>
        <v>Enciclica Dum nos</v>
      </c>
      <c r="O46" s="14" t="str">
        <f t="shared" si="8"/>
        <v>1792/04/19</v>
      </c>
      <c r="P46" s="14" t="str">
        <f t="shared" si="4"/>
        <v>Pio VI, Lettera Enciclica Dum nos, 19 aprile 1792</v>
      </c>
      <c r="Q46" s="14" t="str">
        <f t="shared" si="9"/>
        <v>1792-04-19T08:00:00.000+02:00</v>
      </c>
      <c r="R46" s="14" t="str">
        <f t="shared" si="6"/>
        <v>pivi-enc-dun</v>
      </c>
      <c r="S46" s="14" t="str">
        <f t="shared" si="7"/>
        <v>Pius VI - Litterae Encyclicae - Dum nos</v>
      </c>
    </row>
    <row r="47" spans="1:19" x14ac:dyDescent="0.25">
      <c r="A47" s="12">
        <v>46</v>
      </c>
      <c r="B47" s="17" t="s">
        <v>675</v>
      </c>
      <c r="C47" s="4" t="s">
        <v>674</v>
      </c>
      <c r="D47" s="4" t="s">
        <v>1141</v>
      </c>
      <c r="E47" s="5" t="s">
        <v>413</v>
      </c>
      <c r="F47" s="18" t="s">
        <v>579</v>
      </c>
      <c r="G47" s="18" t="s">
        <v>694</v>
      </c>
      <c r="H47" s="4" t="s">
        <v>603</v>
      </c>
      <c r="I47" s="4" t="s">
        <v>686</v>
      </c>
      <c r="J47" s="4" t="s">
        <v>966</v>
      </c>
      <c r="K47" s="2" t="s">
        <v>326</v>
      </c>
      <c r="L47" s="14" t="str">
        <f t="shared" si="0"/>
        <v>Ubi Lutetiam (13 giugno 1792) | Pio VI</v>
      </c>
      <c r="M47" s="14" t="str">
        <f t="shared" si="1"/>
        <v>Enciclica Ubi Lutetiam</v>
      </c>
      <c r="N47" s="14" t="str">
        <f t="shared" si="2"/>
        <v>Enciclica Ubi Lutetiam</v>
      </c>
      <c r="O47" s="14" t="str">
        <f t="shared" si="8"/>
        <v>1792/06/13</v>
      </c>
      <c r="P47" s="14" t="str">
        <f t="shared" si="4"/>
        <v>Pio VI, Lettera Enciclica Ubi Lutetiam, 13 giugno 1792</v>
      </c>
      <c r="Q47" s="14" t="str">
        <f t="shared" si="9"/>
        <v>1792-06-13T08:00:00.000+02:00</v>
      </c>
      <c r="R47" s="14" t="str">
        <f t="shared" si="6"/>
        <v>pivi-enc-ubl</v>
      </c>
      <c r="S47" s="14" t="str">
        <f t="shared" si="7"/>
        <v>Pius VI - Litterae Encyclicae - Ubi Lutetiam</v>
      </c>
    </row>
    <row r="48" spans="1:19" x14ac:dyDescent="0.25">
      <c r="A48" s="12">
        <v>47</v>
      </c>
      <c r="B48" s="17" t="s">
        <v>675</v>
      </c>
      <c r="C48" s="4" t="s">
        <v>674</v>
      </c>
      <c r="D48" s="4" t="s">
        <v>1141</v>
      </c>
      <c r="E48" s="5" t="s">
        <v>414</v>
      </c>
      <c r="F48" s="18" t="s">
        <v>579</v>
      </c>
      <c r="G48" s="18" t="s">
        <v>694</v>
      </c>
      <c r="H48" s="4" t="s">
        <v>603</v>
      </c>
      <c r="I48" s="4" t="s">
        <v>686</v>
      </c>
      <c r="J48" s="4" t="s">
        <v>967</v>
      </c>
      <c r="K48" s="2" t="s">
        <v>327</v>
      </c>
      <c r="L48" s="14" t="str">
        <f t="shared" si="0"/>
        <v>Ignotae nemini (21 novembre 1792) | Pio VI</v>
      </c>
      <c r="M48" s="14" t="str">
        <f t="shared" si="1"/>
        <v>Enciclica Ignotae nemini</v>
      </c>
      <c r="N48" s="14" t="str">
        <f t="shared" si="2"/>
        <v>Enciclica Ignotae nemini</v>
      </c>
      <c r="O48" s="14" t="str">
        <f t="shared" si="8"/>
        <v>1792/11/21</v>
      </c>
      <c r="P48" s="14" t="str">
        <f t="shared" si="4"/>
        <v>Pio VI, Lettera Enciclica Ignotae nemini, 21 novembre 1792</v>
      </c>
      <c r="Q48" s="14" t="str">
        <f t="shared" si="9"/>
        <v>1792-11-21T08:00:00.000+02:00</v>
      </c>
      <c r="R48" s="14" t="str">
        <f t="shared" si="6"/>
        <v>pivi-enc-ign</v>
      </c>
      <c r="S48" s="14" t="str">
        <f t="shared" si="7"/>
        <v>Pius VI - Litterae Encyclicae - Ignotae nemini</v>
      </c>
    </row>
    <row r="49" spans="1:19" x14ac:dyDescent="0.25">
      <c r="A49" s="12">
        <v>48</v>
      </c>
      <c r="B49" s="17" t="s">
        <v>675</v>
      </c>
      <c r="C49" s="4" t="s">
        <v>674</v>
      </c>
      <c r="D49" s="4" t="s">
        <v>1141</v>
      </c>
      <c r="E49" s="5" t="s">
        <v>415</v>
      </c>
      <c r="F49" s="18" t="s">
        <v>579</v>
      </c>
      <c r="G49" s="18" t="s">
        <v>694</v>
      </c>
      <c r="H49" s="4" t="s">
        <v>603</v>
      </c>
      <c r="I49" s="4" t="s">
        <v>686</v>
      </c>
      <c r="J49" s="4" t="s">
        <v>968</v>
      </c>
      <c r="K49" s="2" t="s">
        <v>328</v>
      </c>
      <c r="L49" s="14" t="str">
        <f t="shared" si="0"/>
        <v>Ad nostras manus (31 luglio 1793) | Pio VI</v>
      </c>
      <c r="M49" s="14" t="str">
        <f t="shared" si="1"/>
        <v>Enciclica Ad nostras manus</v>
      </c>
      <c r="N49" s="14" t="str">
        <f t="shared" si="2"/>
        <v>Enciclica Ad nostras manus</v>
      </c>
      <c r="O49" s="14" t="str">
        <f t="shared" si="8"/>
        <v>1793/07/31</v>
      </c>
      <c r="P49" s="14" t="str">
        <f t="shared" si="4"/>
        <v>Pio VI, Lettera Enciclica Ad nostras manus, 31 luglio 1793</v>
      </c>
      <c r="Q49" s="14" t="str">
        <f t="shared" si="9"/>
        <v>1793-07-31T08:00:00.000+02:00</v>
      </c>
      <c r="R49" s="14" t="str">
        <f t="shared" si="6"/>
        <v>pivi-enc-anm</v>
      </c>
      <c r="S49" s="14" t="str">
        <f t="shared" si="7"/>
        <v>Pius VI - Litterae Encyclicae - Ad nostras manus</v>
      </c>
    </row>
    <row r="50" spans="1:19" x14ac:dyDescent="0.25">
      <c r="A50" s="12">
        <v>49</v>
      </c>
      <c r="B50" s="17" t="s">
        <v>677</v>
      </c>
      <c r="C50" s="4" t="s">
        <v>676</v>
      </c>
      <c r="D50" s="4" t="s">
        <v>1142</v>
      </c>
      <c r="E50" s="5" t="s">
        <v>416</v>
      </c>
      <c r="F50" s="18" t="s">
        <v>579</v>
      </c>
      <c r="G50" s="18" t="s">
        <v>694</v>
      </c>
      <c r="H50" s="4" t="s">
        <v>603</v>
      </c>
      <c r="I50" s="4" t="s">
        <v>686</v>
      </c>
      <c r="J50" s="4" t="s">
        <v>566</v>
      </c>
      <c r="K50" s="2" t="s">
        <v>316</v>
      </c>
      <c r="L50" s="14" t="str">
        <f t="shared" si="0"/>
        <v>Diu satis (15 maggio 1800) | Pio VII</v>
      </c>
      <c r="M50" s="14" t="str">
        <f t="shared" si="1"/>
        <v>Enciclica Diu satis</v>
      </c>
      <c r="N50" s="14" t="str">
        <f t="shared" si="2"/>
        <v>Enciclica Diu satis</v>
      </c>
      <c r="O50" s="14" t="str">
        <f t="shared" si="8"/>
        <v>1800/05/15</v>
      </c>
      <c r="P50" s="14" t="str">
        <f t="shared" si="4"/>
        <v>Pio VII, Lettera Enciclica Diu satis, 15 maggio 1800</v>
      </c>
      <c r="Q50" s="14" t="str">
        <f t="shared" si="9"/>
        <v>1800-05-15T08:00:00.000+02:00</v>
      </c>
      <c r="R50" s="14" t="str">
        <f t="shared" si="6"/>
        <v>pivii-enc-dis</v>
      </c>
      <c r="S50" s="14" t="str">
        <f t="shared" si="7"/>
        <v>Pius VII - Litterae Encyclicae - Diu satis</v>
      </c>
    </row>
    <row r="51" spans="1:19" x14ac:dyDescent="0.25">
      <c r="A51" s="12">
        <v>50</v>
      </c>
      <c r="B51" s="17" t="s">
        <v>677</v>
      </c>
      <c r="C51" s="4" t="s">
        <v>676</v>
      </c>
      <c r="D51" s="4" t="s">
        <v>1142</v>
      </c>
      <c r="E51" s="5" t="s">
        <v>417</v>
      </c>
      <c r="F51" s="18" t="s">
        <v>579</v>
      </c>
      <c r="G51" s="18" t="s">
        <v>694</v>
      </c>
      <c r="H51" s="4" t="s">
        <v>603</v>
      </c>
      <c r="I51" s="4" t="s">
        <v>686</v>
      </c>
      <c r="J51" s="4" t="s">
        <v>969</v>
      </c>
      <c r="K51" s="2" t="s">
        <v>317</v>
      </c>
      <c r="L51" s="14" t="str">
        <f t="shared" si="0"/>
        <v>Ex quo Ecclesiam (24 maggio 1800) | Pio VII</v>
      </c>
      <c r="M51" s="14" t="str">
        <f t="shared" si="1"/>
        <v>Enciclica Ex quo Ecclesiam</v>
      </c>
      <c r="N51" s="14" t="str">
        <f t="shared" si="2"/>
        <v>Enciclica Ex quo Ecclesiam</v>
      </c>
      <c r="O51" s="14" t="str">
        <f t="shared" si="8"/>
        <v>1800/05/24</v>
      </c>
      <c r="P51" s="14" t="str">
        <f t="shared" si="4"/>
        <v>Pio VII, Lettera Enciclica Ex quo Ecclesiam, 24 maggio 1800</v>
      </c>
      <c r="Q51" s="14" t="str">
        <f t="shared" si="9"/>
        <v>1800-05-24T08:00:00.000+02:00</v>
      </c>
      <c r="R51" s="14" t="str">
        <f t="shared" si="6"/>
        <v>pivii-enc-eqe</v>
      </c>
      <c r="S51" s="14" t="str">
        <f t="shared" si="7"/>
        <v>Pius VII - Litterae Encyclicae - Ex quo Ecclesiam</v>
      </c>
    </row>
    <row r="52" spans="1:19" x14ac:dyDescent="0.25">
      <c r="A52" s="12">
        <v>51</v>
      </c>
      <c r="B52" s="17" t="s">
        <v>677</v>
      </c>
      <c r="C52" s="4" t="s">
        <v>676</v>
      </c>
      <c r="D52" s="4" t="s">
        <v>1142</v>
      </c>
      <c r="E52" s="5" t="s">
        <v>418</v>
      </c>
      <c r="F52" s="18" t="s">
        <v>579</v>
      </c>
      <c r="G52" s="18" t="s">
        <v>694</v>
      </c>
      <c r="H52" s="4" t="s">
        <v>603</v>
      </c>
      <c r="I52" s="4" t="s">
        <v>686</v>
      </c>
      <c r="J52" s="4" t="s">
        <v>970</v>
      </c>
      <c r="K52" s="2" t="s">
        <v>318</v>
      </c>
      <c r="L52" s="14" t="str">
        <f t="shared" si="0"/>
        <v>Il trionfo (04 maggio 1814) | Pio VII</v>
      </c>
      <c r="M52" s="14" t="str">
        <f t="shared" si="1"/>
        <v>Enciclica Il trionfo</v>
      </c>
      <c r="N52" s="14" t="str">
        <f t="shared" si="2"/>
        <v>Enciclica Il trionfo</v>
      </c>
      <c r="O52" s="14" t="str">
        <f t="shared" si="8"/>
        <v>1814/05/04</v>
      </c>
      <c r="P52" s="14" t="str">
        <f t="shared" si="4"/>
        <v>Pio VII, Lettera Enciclica Il trionfo, 04 maggio 1814</v>
      </c>
      <c r="Q52" s="14" t="str">
        <f t="shared" si="9"/>
        <v>1814-05-04T08:00:00.000+02:00</v>
      </c>
      <c r="R52" s="14" t="str">
        <f t="shared" si="6"/>
        <v>pivii-enc-ilt</v>
      </c>
      <c r="S52" s="14" t="str">
        <f t="shared" si="7"/>
        <v>Pius VII - Litterae Encyclicae - Il trionfo</v>
      </c>
    </row>
    <row r="53" spans="1:19" x14ac:dyDescent="0.25">
      <c r="A53" s="12">
        <v>52</v>
      </c>
      <c r="B53" s="17" t="s">
        <v>677</v>
      </c>
      <c r="C53" s="4" t="s">
        <v>676</v>
      </c>
      <c r="D53" s="4" t="s">
        <v>1142</v>
      </c>
      <c r="E53" s="5" t="s">
        <v>419</v>
      </c>
      <c r="F53" s="18" t="s">
        <v>579</v>
      </c>
      <c r="G53" s="18" t="s">
        <v>694</v>
      </c>
      <c r="H53" s="4" t="s">
        <v>603</v>
      </c>
      <c r="I53" s="4" t="s">
        <v>686</v>
      </c>
      <c r="J53" s="4" t="s">
        <v>971</v>
      </c>
      <c r="K53" s="2" t="s">
        <v>319</v>
      </c>
      <c r="L53" s="14" t="str">
        <f t="shared" si="0"/>
        <v>Vineam quam plantavit (12 giugno 1817) | Pio VII</v>
      </c>
      <c r="M53" s="14" t="str">
        <f t="shared" si="1"/>
        <v>Enciclica Vineam quam plantavit</v>
      </c>
      <c r="N53" s="14" t="str">
        <f t="shared" si="2"/>
        <v>Enciclica Vineam quam plantavit</v>
      </c>
      <c r="O53" s="14" t="str">
        <f t="shared" si="8"/>
        <v>1817/06/12</v>
      </c>
      <c r="P53" s="14" t="str">
        <f t="shared" si="4"/>
        <v>Pio VII, Lettera Enciclica Vineam quam plantavit, 12 giugno 1817</v>
      </c>
      <c r="Q53" s="14" t="str">
        <f t="shared" si="9"/>
        <v>1817-06-12T08:00:00.000+02:00</v>
      </c>
      <c r="R53" s="14" t="str">
        <f t="shared" si="6"/>
        <v>pivii-enc-vqp</v>
      </c>
      <c r="S53" s="14" t="str">
        <f t="shared" si="7"/>
        <v>Pius VII - Litterae Encyclicae - Vineam quam plantavit</v>
      </c>
    </row>
    <row r="54" spans="1:19" x14ac:dyDescent="0.25">
      <c r="A54" s="12">
        <v>53</v>
      </c>
      <c r="B54" s="17" t="s">
        <v>673</v>
      </c>
      <c r="C54" s="4" t="s">
        <v>672</v>
      </c>
      <c r="D54" s="4" t="s">
        <v>1143</v>
      </c>
      <c r="E54" s="5" t="s">
        <v>420</v>
      </c>
      <c r="F54" s="18" t="s">
        <v>579</v>
      </c>
      <c r="G54" s="18" t="s">
        <v>694</v>
      </c>
      <c r="H54" s="4" t="s">
        <v>603</v>
      </c>
      <c r="I54" s="4" t="s">
        <v>686</v>
      </c>
      <c r="J54" s="4" t="s">
        <v>985</v>
      </c>
      <c r="K54" s="2" t="s">
        <v>3</v>
      </c>
      <c r="L54" s="14" t="str">
        <f t="shared" si="0"/>
        <v>Ubi primum (05 maggio 1824) | Leone XII</v>
      </c>
      <c r="M54" s="14" t="str">
        <f t="shared" si="1"/>
        <v>Enciclica Ubi primum</v>
      </c>
      <c r="N54" s="14" t="str">
        <f t="shared" si="2"/>
        <v>Enciclica Ubi primum</v>
      </c>
      <c r="O54" s="14" t="str">
        <f t="shared" si="8"/>
        <v>1824/05/05</v>
      </c>
      <c r="P54" s="14" t="str">
        <f t="shared" si="4"/>
        <v>Leone XII, Lettera Enciclica Ubi primum, 05 maggio 1824</v>
      </c>
      <c r="Q54" s="14" t="str">
        <f t="shared" si="9"/>
        <v>1824-05-05T08:00:00.000+02:00</v>
      </c>
      <c r="R54" s="14" t="str">
        <f t="shared" si="6"/>
        <v>lxii-enc-pri</v>
      </c>
      <c r="S54" s="14" t="str">
        <f t="shared" si="7"/>
        <v>Leo XII - Litterae Encyclicae - Ubi primum</v>
      </c>
    </row>
    <row r="55" spans="1:19" x14ac:dyDescent="0.25">
      <c r="A55" s="12">
        <v>54</v>
      </c>
      <c r="B55" s="17" t="s">
        <v>673</v>
      </c>
      <c r="C55" s="4" t="s">
        <v>672</v>
      </c>
      <c r="D55" s="4" t="s">
        <v>1143</v>
      </c>
      <c r="E55" s="5" t="s">
        <v>421</v>
      </c>
      <c r="F55" s="18" t="s">
        <v>579</v>
      </c>
      <c r="G55" s="18" t="s">
        <v>694</v>
      </c>
      <c r="H55" s="4" t="s">
        <v>603</v>
      </c>
      <c r="I55" s="4" t="s">
        <v>686</v>
      </c>
      <c r="J55" s="4" t="s">
        <v>972</v>
      </c>
      <c r="K55" s="2" t="s">
        <v>313</v>
      </c>
      <c r="L55" s="14" t="str">
        <f t="shared" si="0"/>
        <v>Ad plurimas (25 gennaio 1825) | Leone XII</v>
      </c>
      <c r="M55" s="14" t="str">
        <f t="shared" si="1"/>
        <v>Enciclica Ad plurimas</v>
      </c>
      <c r="N55" s="14" t="str">
        <f t="shared" si="2"/>
        <v>Enciclica Ad plurimas</v>
      </c>
      <c r="O55" s="14" t="str">
        <f t="shared" si="8"/>
        <v>1825/01/25</v>
      </c>
      <c r="P55" s="14" t="str">
        <f t="shared" si="4"/>
        <v>Leone XII, Lettera Enciclica Ad plurimas, 25 gennaio 1825</v>
      </c>
      <c r="Q55" s="14" t="str">
        <f t="shared" si="9"/>
        <v>1825-01-25T08:00:00.000+02:00</v>
      </c>
      <c r="R55" s="14" t="str">
        <f t="shared" si="6"/>
        <v>lxii-enc-adp</v>
      </c>
      <c r="S55" s="14" t="str">
        <f t="shared" si="7"/>
        <v>Leo XII - Litterae Encyclicae - Ad plurimas</v>
      </c>
    </row>
    <row r="56" spans="1:19" x14ac:dyDescent="0.25">
      <c r="A56" s="12">
        <v>55</v>
      </c>
      <c r="B56" s="17" t="s">
        <v>671</v>
      </c>
      <c r="C56" s="4" t="s">
        <v>670</v>
      </c>
      <c r="D56" s="4" t="s">
        <v>1144</v>
      </c>
      <c r="E56" s="5" t="s">
        <v>422</v>
      </c>
      <c r="F56" s="18" t="s">
        <v>579</v>
      </c>
      <c r="G56" s="18" t="s">
        <v>694</v>
      </c>
      <c r="H56" s="4" t="s">
        <v>603</v>
      </c>
      <c r="I56" s="4" t="s">
        <v>686</v>
      </c>
      <c r="J56" s="4" t="s">
        <v>973</v>
      </c>
      <c r="K56" s="2" t="s">
        <v>312</v>
      </c>
      <c r="L56" s="14" t="str">
        <f t="shared" si="0"/>
        <v>Traditi humilitati nostrae (24 maggio 1829) | Pio VIII</v>
      </c>
      <c r="M56" s="14" t="str">
        <f t="shared" si="1"/>
        <v>Enciclica Traditi humilitati nostrae</v>
      </c>
      <c r="N56" s="14" t="str">
        <f t="shared" si="2"/>
        <v>Enciclica Traditi humilitati nostrae</v>
      </c>
      <c r="O56" s="14" t="str">
        <f t="shared" si="8"/>
        <v>1829/05/24</v>
      </c>
      <c r="P56" s="14" t="str">
        <f t="shared" si="4"/>
        <v>Pio VIII, Lettera Enciclica Traditi humilitati nostrae, 24 maggio 1829</v>
      </c>
      <c r="Q56" s="14" t="str">
        <f t="shared" si="9"/>
        <v>1829-05-24T08:00:00.000+02:00</v>
      </c>
      <c r="R56" s="14" t="str">
        <f t="shared" si="6"/>
        <v>piviii-enc-thn</v>
      </c>
      <c r="S56" s="14" t="str">
        <f t="shared" si="7"/>
        <v>Pius VIII - Litterae Encyclicae - Traditi humilitati nostrae</v>
      </c>
    </row>
    <row r="57" spans="1:19" x14ac:dyDescent="0.25">
      <c r="A57" s="12">
        <v>56</v>
      </c>
      <c r="B57" s="17" t="s">
        <v>679</v>
      </c>
      <c r="C57" s="4" t="s">
        <v>678</v>
      </c>
      <c r="D57" s="4" t="s">
        <v>1145</v>
      </c>
      <c r="E57" s="5" t="s">
        <v>423</v>
      </c>
      <c r="F57" s="18" t="s">
        <v>579</v>
      </c>
      <c r="G57" s="18" t="s">
        <v>694</v>
      </c>
      <c r="H57" s="4" t="s">
        <v>603</v>
      </c>
      <c r="I57" s="4" t="s">
        <v>686</v>
      </c>
      <c r="J57" s="4" t="s">
        <v>974</v>
      </c>
      <c r="K57" s="2" t="s">
        <v>302</v>
      </c>
      <c r="L57" s="14" t="str">
        <f t="shared" si="0"/>
        <v>Quel Dio (05 aprile 1831) | Gregorio XVI</v>
      </c>
      <c r="M57" s="14" t="str">
        <f t="shared" si="1"/>
        <v>Enciclica Quel Dio</v>
      </c>
      <c r="N57" s="14" t="str">
        <f t="shared" si="2"/>
        <v>Enciclica Quel Dio</v>
      </c>
      <c r="O57" s="14" t="str">
        <f t="shared" si="8"/>
        <v>1831/04/05</v>
      </c>
      <c r="P57" s="14" t="str">
        <f t="shared" si="4"/>
        <v>Gregorio XVI, Lettera Enciclica Quel Dio, 05 aprile 1831</v>
      </c>
      <c r="Q57" s="14" t="str">
        <f t="shared" si="9"/>
        <v>1831-04-05T08:00:00.000+02:00</v>
      </c>
      <c r="R57" s="14" t="str">
        <f t="shared" si="6"/>
        <v>grxvi-enc-qud</v>
      </c>
      <c r="S57" s="14" t="str">
        <f t="shared" si="7"/>
        <v>Gregorius XVI - Litterae Encyclicae - Quel Dio</v>
      </c>
    </row>
    <row r="58" spans="1:19" x14ac:dyDescent="0.25">
      <c r="A58" s="12">
        <v>57</v>
      </c>
      <c r="B58" s="17" t="s">
        <v>679</v>
      </c>
      <c r="C58" s="4" t="s">
        <v>678</v>
      </c>
      <c r="D58" s="4" t="s">
        <v>1145</v>
      </c>
      <c r="E58" s="5" t="s">
        <v>424</v>
      </c>
      <c r="F58" s="18" t="s">
        <v>579</v>
      </c>
      <c r="G58" s="18" t="s">
        <v>694</v>
      </c>
      <c r="H58" s="4" t="s">
        <v>603</v>
      </c>
      <c r="I58" s="4" t="s">
        <v>686</v>
      </c>
      <c r="J58" s="4" t="s">
        <v>975</v>
      </c>
      <c r="K58" s="2" t="s">
        <v>303</v>
      </c>
      <c r="L58" s="14" t="str">
        <f t="shared" si="0"/>
        <v>Le armi valorose (12 luglio 1831) | Gregorio XVI</v>
      </c>
      <c r="M58" s="14" t="str">
        <f t="shared" si="1"/>
        <v>Enciclica Le armi valorose</v>
      </c>
      <c r="N58" s="14" t="str">
        <f t="shared" si="2"/>
        <v>Enciclica Le armi valorose</v>
      </c>
      <c r="O58" s="14" t="str">
        <f t="shared" si="8"/>
        <v>1831/07/12</v>
      </c>
      <c r="P58" s="14" t="str">
        <f t="shared" si="4"/>
        <v>Gregorio XVI, Lettera Enciclica Le armi valorose, 12 luglio 1831</v>
      </c>
      <c r="Q58" s="14" t="str">
        <f t="shared" si="9"/>
        <v>1831-07-12T08:00:00.000+02:00</v>
      </c>
      <c r="R58" s="14" t="str">
        <f t="shared" si="6"/>
        <v>grxvi-enc-lav</v>
      </c>
      <c r="S58" s="14" t="str">
        <f t="shared" si="7"/>
        <v>Gregorius XVI - Litterae Encyclicae - Le armi valorose</v>
      </c>
    </row>
    <row r="59" spans="1:19" x14ac:dyDescent="0.25">
      <c r="A59" s="12">
        <v>58</v>
      </c>
      <c r="B59" s="17" t="s">
        <v>679</v>
      </c>
      <c r="C59" s="4" t="s">
        <v>678</v>
      </c>
      <c r="D59" s="4" t="s">
        <v>1145</v>
      </c>
      <c r="E59" s="5" t="s">
        <v>425</v>
      </c>
      <c r="F59" s="18" t="s">
        <v>579</v>
      </c>
      <c r="G59" s="18" t="s">
        <v>694</v>
      </c>
      <c r="H59" s="4" t="s">
        <v>603</v>
      </c>
      <c r="I59" s="4" t="s">
        <v>686</v>
      </c>
      <c r="J59" s="4" t="s">
        <v>976</v>
      </c>
      <c r="K59" s="2" t="s">
        <v>304</v>
      </c>
      <c r="L59" s="14" t="str">
        <f t="shared" si="0"/>
        <v>Cum primum (09 giugno 1832) | Gregorio XVI</v>
      </c>
      <c r="M59" s="14" t="str">
        <f t="shared" si="1"/>
        <v>Enciclica Cum primum</v>
      </c>
      <c r="N59" s="14" t="str">
        <f t="shared" si="2"/>
        <v>Enciclica Cum primum</v>
      </c>
      <c r="O59" s="14" t="str">
        <f t="shared" si="8"/>
        <v>1832/06/09</v>
      </c>
      <c r="P59" s="14" t="str">
        <f t="shared" si="4"/>
        <v>Gregorio XVI, Lettera Enciclica Cum primum, 09 giugno 1832</v>
      </c>
      <c r="Q59" s="14" t="str">
        <f t="shared" si="9"/>
        <v>1832-06-09T08:00:00.000+02:00</v>
      </c>
      <c r="R59" s="14" t="str">
        <f t="shared" si="6"/>
        <v>grxvi-enc-cpr</v>
      </c>
      <c r="S59" s="14" t="str">
        <f t="shared" si="7"/>
        <v>Gregorius XVI - Litterae Encyclicae - Cum primum</v>
      </c>
    </row>
    <row r="60" spans="1:19" x14ac:dyDescent="0.25">
      <c r="A60" s="12">
        <v>59</v>
      </c>
      <c r="B60" s="17" t="s">
        <v>679</v>
      </c>
      <c r="C60" s="4" t="s">
        <v>678</v>
      </c>
      <c r="D60" s="4" t="s">
        <v>1145</v>
      </c>
      <c r="E60" s="5" t="s">
        <v>426</v>
      </c>
      <c r="F60" s="18" t="s">
        <v>579</v>
      </c>
      <c r="G60" s="18" t="s">
        <v>694</v>
      </c>
      <c r="H60" s="4" t="s">
        <v>603</v>
      </c>
      <c r="I60" s="4" t="s">
        <v>686</v>
      </c>
      <c r="J60" s="4" t="s">
        <v>977</v>
      </c>
      <c r="K60" s="2" t="s">
        <v>305</v>
      </c>
      <c r="L60" s="14" t="str">
        <f t="shared" si="0"/>
        <v>Mirari vos (15 agosto 1832) | Gregorio XVI</v>
      </c>
      <c r="M60" s="14" t="str">
        <f t="shared" si="1"/>
        <v>Enciclica Mirari vos</v>
      </c>
      <c r="N60" s="14" t="str">
        <f t="shared" si="2"/>
        <v>Enciclica Mirari vos</v>
      </c>
      <c r="O60" s="14" t="str">
        <f t="shared" si="8"/>
        <v>1832/08/15</v>
      </c>
      <c r="P60" s="14" t="str">
        <f t="shared" si="4"/>
        <v>Gregorio XVI, Lettera Enciclica Mirari vos, 15 agosto 1832</v>
      </c>
      <c r="Q60" s="14" t="str">
        <f t="shared" si="9"/>
        <v>1832-08-15T08:00:00.000+02:00</v>
      </c>
      <c r="R60" s="14" t="str">
        <f t="shared" si="6"/>
        <v>grxvi-enc-miv</v>
      </c>
      <c r="S60" s="14" t="str">
        <f t="shared" si="7"/>
        <v>Gregorius XVI - Litterae Encyclicae - Mirari vos</v>
      </c>
    </row>
    <row r="61" spans="1:19" x14ac:dyDescent="0.25">
      <c r="A61" s="12">
        <v>60</v>
      </c>
      <c r="B61" s="17" t="s">
        <v>679</v>
      </c>
      <c r="C61" s="4" t="s">
        <v>678</v>
      </c>
      <c r="D61" s="4" t="s">
        <v>1145</v>
      </c>
      <c r="E61" s="5" t="s">
        <v>427</v>
      </c>
      <c r="F61" s="18" t="s">
        <v>579</v>
      </c>
      <c r="G61" s="18" t="s">
        <v>694</v>
      </c>
      <c r="H61" s="4" t="s">
        <v>603</v>
      </c>
      <c r="I61" s="4" t="s">
        <v>686</v>
      </c>
      <c r="J61" s="4" t="s">
        <v>978</v>
      </c>
      <c r="K61" s="2" t="s">
        <v>306</v>
      </c>
      <c r="L61" s="14" t="str">
        <f t="shared" si="0"/>
        <v>Singulari nos (25 giugno 1834) | Gregorio XVI</v>
      </c>
      <c r="M61" s="14" t="str">
        <f t="shared" si="1"/>
        <v>Enciclica Singulari nos</v>
      </c>
      <c r="N61" s="14" t="str">
        <f t="shared" si="2"/>
        <v>Enciclica Singulari nos</v>
      </c>
      <c r="O61" s="14" t="str">
        <f t="shared" si="8"/>
        <v>1834/06/25</v>
      </c>
      <c r="P61" s="14" t="str">
        <f t="shared" si="4"/>
        <v>Gregorio XVI, Lettera Enciclica Singulari nos, 25 giugno 1834</v>
      </c>
      <c r="Q61" s="14" t="str">
        <f t="shared" si="9"/>
        <v>1834-06-25T08:00:00.000+02:00</v>
      </c>
      <c r="R61" s="14" t="str">
        <f t="shared" si="6"/>
        <v>grxvi-enc-sin</v>
      </c>
      <c r="S61" s="14" t="str">
        <f t="shared" si="7"/>
        <v>Gregorius XVI - Litterae Encyclicae - Singulari nos</v>
      </c>
    </row>
    <row r="62" spans="1:19" x14ac:dyDescent="0.25">
      <c r="A62" s="12">
        <v>61</v>
      </c>
      <c r="B62" s="17" t="s">
        <v>679</v>
      </c>
      <c r="C62" s="4" t="s">
        <v>678</v>
      </c>
      <c r="D62" s="4" t="s">
        <v>1145</v>
      </c>
      <c r="E62" s="5" t="s">
        <v>428</v>
      </c>
      <c r="F62" s="18" t="s">
        <v>579</v>
      </c>
      <c r="G62" s="18" t="s">
        <v>694</v>
      </c>
      <c r="H62" s="4" t="s">
        <v>603</v>
      </c>
      <c r="I62" s="4" t="s">
        <v>686</v>
      </c>
      <c r="J62" s="4" t="s">
        <v>979</v>
      </c>
      <c r="K62" s="2" t="s">
        <v>307</v>
      </c>
      <c r="L62" s="14" t="str">
        <f t="shared" si="0"/>
        <v>Commissum divinitus (17 maggio 1835) | Gregorio XVI</v>
      </c>
      <c r="M62" s="14" t="str">
        <f t="shared" si="1"/>
        <v>Enciclica Commissum divinitus</v>
      </c>
      <c r="N62" s="14" t="str">
        <f t="shared" si="2"/>
        <v>Enciclica Commissum divinitus</v>
      </c>
      <c r="O62" s="14" t="str">
        <f t="shared" si="8"/>
        <v>1835/05/17</v>
      </c>
      <c r="P62" s="14" t="str">
        <f t="shared" si="4"/>
        <v>Gregorio XVI, Lettera Enciclica Commissum divinitus, 17 maggio 1835</v>
      </c>
      <c r="Q62" s="14" t="str">
        <f t="shared" si="9"/>
        <v>1835-05-17T08:00:00.000+02:00</v>
      </c>
      <c r="R62" s="14" t="str">
        <f t="shared" si="6"/>
        <v>grxvi-enc-cod</v>
      </c>
      <c r="S62" s="14" t="str">
        <f t="shared" si="7"/>
        <v>Gregorius XVI - Litterae Encyclicae - Commissum divinitus</v>
      </c>
    </row>
    <row r="63" spans="1:19" x14ac:dyDescent="0.25">
      <c r="A63" s="12">
        <v>62</v>
      </c>
      <c r="B63" s="17" t="s">
        <v>679</v>
      </c>
      <c r="C63" s="4" t="s">
        <v>678</v>
      </c>
      <c r="D63" s="4" t="s">
        <v>1145</v>
      </c>
      <c r="E63" s="5" t="s">
        <v>429</v>
      </c>
      <c r="F63" s="18" t="s">
        <v>579</v>
      </c>
      <c r="G63" s="18" t="s">
        <v>694</v>
      </c>
      <c r="H63" s="4" t="s">
        <v>603</v>
      </c>
      <c r="I63" s="4" t="s">
        <v>686</v>
      </c>
      <c r="J63" s="4" t="s">
        <v>980</v>
      </c>
      <c r="K63" s="2" t="s">
        <v>308</v>
      </c>
      <c r="L63" s="14" t="str">
        <f t="shared" si="0"/>
        <v>Augustissimam beatissimi (21 dicembre 1840) | Gregorio XVI</v>
      </c>
      <c r="M63" s="14" t="str">
        <f t="shared" si="1"/>
        <v>Enciclica Augustissimam beatissimi</v>
      </c>
      <c r="N63" s="14" t="str">
        <f t="shared" si="2"/>
        <v>Enciclica Augustissimam beatissimi</v>
      </c>
      <c r="O63" s="14" t="str">
        <f t="shared" si="8"/>
        <v>1840/12/21</v>
      </c>
      <c r="P63" s="14" t="str">
        <f t="shared" si="4"/>
        <v>Gregorio XVI, Lettera Enciclica Augustissimam beatissimi, 21 dicembre 1840</v>
      </c>
      <c r="Q63" s="14" t="str">
        <f t="shared" si="9"/>
        <v>1840-12-21T08:00:00.000+02:00</v>
      </c>
      <c r="R63" s="14" t="str">
        <f t="shared" si="6"/>
        <v>grxvi-enc-aub</v>
      </c>
      <c r="S63" s="14" t="str">
        <f t="shared" si="7"/>
        <v>Gregorius XVI - Litterae Encyclicae - Augustissimam beatissimi</v>
      </c>
    </row>
    <row r="64" spans="1:19" x14ac:dyDescent="0.25">
      <c r="A64" s="12">
        <v>63</v>
      </c>
      <c r="B64" s="17" t="s">
        <v>679</v>
      </c>
      <c r="C64" s="4" t="s">
        <v>678</v>
      </c>
      <c r="D64" s="4" t="s">
        <v>1145</v>
      </c>
      <c r="E64" s="5" t="s">
        <v>430</v>
      </c>
      <c r="F64" s="18" t="s">
        <v>579</v>
      </c>
      <c r="G64" s="18" t="s">
        <v>694</v>
      </c>
      <c r="H64" s="4" t="s">
        <v>603</v>
      </c>
      <c r="I64" s="4" t="s">
        <v>686</v>
      </c>
      <c r="J64" s="4" t="s">
        <v>981</v>
      </c>
      <c r="K64" s="2" t="s">
        <v>309</v>
      </c>
      <c r="L64" s="14" t="str">
        <f t="shared" si="0"/>
        <v>Inter ea (01 aprile 1842) | Gregorio XVI</v>
      </c>
      <c r="M64" s="14" t="str">
        <f t="shared" si="1"/>
        <v>Enciclica Inter ea</v>
      </c>
      <c r="N64" s="14" t="str">
        <f t="shared" si="2"/>
        <v>Enciclica Inter ea</v>
      </c>
      <c r="O64" s="14" t="str">
        <f t="shared" si="8"/>
        <v>1842/04/01</v>
      </c>
      <c r="P64" s="14" t="str">
        <f t="shared" si="4"/>
        <v>Gregorio XVI, Lettera Enciclica Inter ea, 01 aprile 1842</v>
      </c>
      <c r="Q64" s="14" t="str">
        <f t="shared" si="9"/>
        <v>1842-04-01T08:00:00.000+02:00</v>
      </c>
      <c r="R64" s="14" t="str">
        <f t="shared" si="6"/>
        <v>grxvi-enc-ine</v>
      </c>
      <c r="S64" s="14" t="str">
        <f t="shared" si="7"/>
        <v>Gregorius XVI - Litterae Encyclicae - Inter ea</v>
      </c>
    </row>
    <row r="65" spans="1:19" x14ac:dyDescent="0.25">
      <c r="A65" s="12">
        <v>64</v>
      </c>
      <c r="B65" s="17" t="s">
        <v>679</v>
      </c>
      <c r="C65" s="4" t="s">
        <v>678</v>
      </c>
      <c r="D65" s="4" t="s">
        <v>1145</v>
      </c>
      <c r="E65" s="5" t="s">
        <v>431</v>
      </c>
      <c r="F65" s="18" t="s">
        <v>579</v>
      </c>
      <c r="G65" s="18" t="s">
        <v>694</v>
      </c>
      <c r="H65" s="4" t="s">
        <v>603</v>
      </c>
      <c r="I65" s="4" t="s">
        <v>686</v>
      </c>
      <c r="J65" s="4" t="s">
        <v>629</v>
      </c>
      <c r="K65" s="2" t="s">
        <v>310</v>
      </c>
      <c r="L65" s="14" t="str">
        <f t="shared" si="0"/>
        <v>Inter praecipuas (08 maggio 1844) | Gregorio XVI</v>
      </c>
      <c r="M65" s="14" t="str">
        <f t="shared" si="1"/>
        <v>Enciclica Inter praecipuas</v>
      </c>
      <c r="N65" s="14" t="str">
        <f t="shared" si="2"/>
        <v>Enciclica Inter praecipuas</v>
      </c>
      <c r="O65" s="14" t="str">
        <f t="shared" si="8"/>
        <v>1844/05/08</v>
      </c>
      <c r="P65" s="14" t="str">
        <f t="shared" si="4"/>
        <v>Gregorio XVI, Lettera Enciclica Inter praecipuas, 08 maggio 1844</v>
      </c>
      <c r="Q65" s="14" t="str">
        <f t="shared" si="9"/>
        <v>1844-05-08T08:00:00.000+02:00</v>
      </c>
      <c r="R65" s="14" t="str">
        <f t="shared" si="6"/>
        <v>grxvi-enc-inp</v>
      </c>
      <c r="S65" s="14" t="str">
        <f t="shared" si="7"/>
        <v>Gregorius XVI - Litterae Encyclicae - Inter praecipuas</v>
      </c>
    </row>
    <row r="66" spans="1:19" x14ac:dyDescent="0.25">
      <c r="A66" s="12">
        <v>65</v>
      </c>
      <c r="B66" s="17" t="s">
        <v>668</v>
      </c>
      <c r="C66" s="4" t="s">
        <v>669</v>
      </c>
      <c r="D66" s="4" t="s">
        <v>1146</v>
      </c>
      <c r="E66" s="5" t="s">
        <v>432</v>
      </c>
      <c r="F66" s="18" t="s">
        <v>579</v>
      </c>
      <c r="G66" s="18" t="s">
        <v>694</v>
      </c>
      <c r="H66" s="4" t="s">
        <v>603</v>
      </c>
      <c r="I66" s="4" t="s">
        <v>686</v>
      </c>
      <c r="J66" s="4" t="s">
        <v>612</v>
      </c>
      <c r="K66" s="2" t="s">
        <v>262</v>
      </c>
      <c r="L66" s="14" t="str">
        <f t="shared" ref="L66:L129" si="10">_xlfn.CONCAT(K66 &amp; " (" &amp; LEFT(E66,2) &amp; " " &amp; TEXT(VALUE(MID(E66,4,2))*29,"mmmm") &amp; " " &amp; RIGHT(E66,4) &amp; ") | " &amp; D66)</f>
        <v>Qui pluribus (09 novembre 1846) | Pio IX</v>
      </c>
      <c r="M66" s="14" t="str">
        <f t="shared" ref="M66:M129" si="11">_xlfn.CONCAT(G66 &amp; " " &amp; K66)</f>
        <v>Enciclica Qui pluribus</v>
      </c>
      <c r="N66" s="14" t="str">
        <f t="shared" ref="N66:N129" si="12">_xlfn.CONCAT(G66 &amp; " " &amp; K66)</f>
        <v>Enciclica Qui pluribus</v>
      </c>
      <c r="O66" s="14" t="str">
        <f t="shared" ref="O66:O97" si="13">_xlfn.CONCAT(RIGHT(E66,4) &amp; "/" &amp; MID(E66,4,2) &amp; "/" &amp; LEFT(E66,2))</f>
        <v>1846/11/09</v>
      </c>
      <c r="P66" s="14" t="str">
        <f t="shared" ref="P66:P129" si="14">_xlfn.CONCAT(D66 &amp; ", " &amp; I66 &amp; " " &amp; K66 &amp; ", " &amp; LEFT(E66,2) &amp; " " &amp; TEXT(VALUE(MID(E66,4,2))*29,"mmmm") &amp; " " &amp; RIGHT(E66,4))</f>
        <v>Pio IX, Lettera Enciclica Qui pluribus, 09 novembre 1846</v>
      </c>
      <c r="Q66" s="14" t="str">
        <f t="shared" ref="Q66:Q97" si="15">_xlfn.CONCAT(RIGHT(E66,4) &amp; "-" &amp; MID(E66,4,2) &amp; "-" &amp; LEFT(E66,2) &amp; "T08:00:00.000+02:00")</f>
        <v>1846-11-09T08:00:00.000+02:00</v>
      </c>
      <c r="R66" s="14" t="str">
        <f t="shared" ref="R66:R129" si="16">_xlfn.CONCAT(B66 &amp; "-" &amp; F66 &amp; "-" &amp; J66)</f>
        <v>piix-enc-qup</v>
      </c>
      <c r="S66" s="14" t="str">
        <f t="shared" ref="S66:S129" si="17">_xlfn.CONCAT(C66 &amp; " - " &amp; H66 &amp; " - " &amp; K66)</f>
        <v>Pius IX - Litterae Encyclicae - Qui pluribus</v>
      </c>
    </row>
    <row r="67" spans="1:19" x14ac:dyDescent="0.25">
      <c r="A67" s="12">
        <v>66</v>
      </c>
      <c r="B67" s="17" t="s">
        <v>668</v>
      </c>
      <c r="C67" s="4" t="s">
        <v>669</v>
      </c>
      <c r="D67" s="4" t="s">
        <v>1146</v>
      </c>
      <c r="E67" s="5" t="s">
        <v>433</v>
      </c>
      <c r="F67" s="18" t="s">
        <v>579</v>
      </c>
      <c r="G67" s="18" t="s">
        <v>694</v>
      </c>
      <c r="H67" s="4" t="s">
        <v>603</v>
      </c>
      <c r="I67" s="4" t="s">
        <v>686</v>
      </c>
      <c r="J67" s="4" t="s">
        <v>982</v>
      </c>
      <c r="K67" s="2" t="s">
        <v>263</v>
      </c>
      <c r="L67" s="14" t="str">
        <f t="shared" si="10"/>
        <v>Praedecessores nostros (25 marzo 1847) | Pio IX</v>
      </c>
      <c r="M67" s="14" t="str">
        <f t="shared" si="11"/>
        <v>Enciclica Praedecessores nostros</v>
      </c>
      <c r="N67" s="14" t="str">
        <f t="shared" si="12"/>
        <v>Enciclica Praedecessores nostros</v>
      </c>
      <c r="O67" s="14" t="str">
        <f t="shared" si="13"/>
        <v>1847/03/25</v>
      </c>
      <c r="P67" s="14" t="str">
        <f t="shared" si="14"/>
        <v>Pio IX, Lettera Enciclica Praedecessores nostros, 25 marzo 1847</v>
      </c>
      <c r="Q67" s="14" t="str">
        <f t="shared" si="15"/>
        <v>1847-03-25T08:00:00.000+02:00</v>
      </c>
      <c r="R67" s="14" t="str">
        <f t="shared" si="16"/>
        <v>piix-enc-prn</v>
      </c>
      <c r="S67" s="14" t="str">
        <f t="shared" si="17"/>
        <v>Pius IX - Litterae Encyclicae - Praedecessores nostros</v>
      </c>
    </row>
    <row r="68" spans="1:19" x14ac:dyDescent="0.25">
      <c r="A68" s="12">
        <v>67</v>
      </c>
      <c r="B68" s="17" t="s">
        <v>668</v>
      </c>
      <c r="C68" s="4" t="s">
        <v>669</v>
      </c>
      <c r="D68" s="4" t="s">
        <v>1146</v>
      </c>
      <c r="E68" s="5" t="s">
        <v>434</v>
      </c>
      <c r="F68" s="18" t="s">
        <v>579</v>
      </c>
      <c r="G68" s="18" t="s">
        <v>694</v>
      </c>
      <c r="H68" s="4" t="s">
        <v>603</v>
      </c>
      <c r="I68" s="4" t="s">
        <v>686</v>
      </c>
      <c r="J68" s="4" t="s">
        <v>986</v>
      </c>
      <c r="K68" s="2" t="s">
        <v>264</v>
      </c>
      <c r="L68" s="14" t="str">
        <f t="shared" si="10"/>
        <v>Ubi Primum (17 giugno 1847) | Pio IX</v>
      </c>
      <c r="M68" s="14" t="str">
        <f t="shared" si="11"/>
        <v>Enciclica Ubi Primum</v>
      </c>
      <c r="N68" s="14" t="str">
        <f t="shared" si="12"/>
        <v>Enciclica Ubi Primum</v>
      </c>
      <c r="O68" s="14" t="str">
        <f t="shared" si="13"/>
        <v>1847/06/17</v>
      </c>
      <c r="P68" s="14" t="str">
        <f t="shared" si="14"/>
        <v>Pio IX, Lettera Enciclica Ubi Primum, 17 giugno 1847</v>
      </c>
      <c r="Q68" s="14" t="str">
        <f t="shared" si="15"/>
        <v>1847-06-17T08:00:00.000+02:00</v>
      </c>
      <c r="R68" s="14" t="str">
        <f t="shared" si="16"/>
        <v>piix-enc-upr</v>
      </c>
      <c r="S68" s="14" t="str">
        <f t="shared" si="17"/>
        <v>Pius IX - Litterae Encyclicae - Ubi Primum</v>
      </c>
    </row>
    <row r="69" spans="1:19" x14ac:dyDescent="0.25">
      <c r="A69" s="12">
        <v>68</v>
      </c>
      <c r="B69" s="17" t="s">
        <v>668</v>
      </c>
      <c r="C69" s="4" t="s">
        <v>669</v>
      </c>
      <c r="D69" s="4" t="s">
        <v>1146</v>
      </c>
      <c r="E69" s="5" t="s">
        <v>435</v>
      </c>
      <c r="F69" s="18" t="s">
        <v>579</v>
      </c>
      <c r="G69" s="18" t="s">
        <v>694</v>
      </c>
      <c r="H69" s="4" t="s">
        <v>603</v>
      </c>
      <c r="I69" s="4" t="s">
        <v>686</v>
      </c>
      <c r="J69" s="4" t="s">
        <v>984</v>
      </c>
      <c r="K69" s="2" t="s">
        <v>265</v>
      </c>
      <c r="L69" s="14" t="str">
        <f t="shared" si="10"/>
        <v>In Suprema Petri sede (06 gennaio 1848) | Pio IX</v>
      </c>
      <c r="M69" s="14" t="str">
        <f t="shared" si="11"/>
        <v>Enciclica In Suprema Petri sede</v>
      </c>
      <c r="N69" s="14" t="str">
        <f t="shared" si="12"/>
        <v>Enciclica In Suprema Petri sede</v>
      </c>
      <c r="O69" s="14" t="str">
        <f t="shared" si="13"/>
        <v>1848/01/06</v>
      </c>
      <c r="P69" s="14" t="str">
        <f t="shared" si="14"/>
        <v>Pio IX, Lettera Enciclica In Suprema Petri sede, 06 gennaio 1848</v>
      </c>
      <c r="Q69" s="14" t="str">
        <f t="shared" si="15"/>
        <v>1848-01-06T08:00:00.000+02:00</v>
      </c>
      <c r="R69" s="14" t="str">
        <f t="shared" si="16"/>
        <v>piix-enc-isp</v>
      </c>
      <c r="S69" s="14" t="str">
        <f t="shared" si="17"/>
        <v>Pius IX - Litterae Encyclicae - In Suprema Petri sede</v>
      </c>
    </row>
    <row r="70" spans="1:19" x14ac:dyDescent="0.25">
      <c r="A70" s="12">
        <v>69</v>
      </c>
      <c r="B70" s="17" t="s">
        <v>668</v>
      </c>
      <c r="C70" s="4" t="s">
        <v>669</v>
      </c>
      <c r="D70" s="4" t="s">
        <v>1146</v>
      </c>
      <c r="E70" s="5" t="s">
        <v>436</v>
      </c>
      <c r="F70" s="18" t="s">
        <v>579</v>
      </c>
      <c r="G70" s="18" t="s">
        <v>694</v>
      </c>
      <c r="H70" s="4" t="s">
        <v>603</v>
      </c>
      <c r="I70" s="4" t="s">
        <v>686</v>
      </c>
      <c r="J70" s="4" t="s">
        <v>610</v>
      </c>
      <c r="K70" s="2" t="s">
        <v>264</v>
      </c>
      <c r="L70" s="14" t="str">
        <f t="shared" si="10"/>
        <v>Ubi Primum (02 febbraio 1849) | Pio IX</v>
      </c>
      <c r="M70" s="14" t="str">
        <f t="shared" si="11"/>
        <v>Enciclica Ubi Primum</v>
      </c>
      <c r="N70" s="14" t="str">
        <f t="shared" si="12"/>
        <v>Enciclica Ubi Primum</v>
      </c>
      <c r="O70" s="14" t="str">
        <f t="shared" si="13"/>
        <v>1849/02/02</v>
      </c>
      <c r="P70" s="14" t="str">
        <f t="shared" si="14"/>
        <v>Pio IX, Lettera Enciclica Ubi Primum, 02 febbraio 1849</v>
      </c>
      <c r="Q70" s="14" t="str">
        <f t="shared" si="15"/>
        <v>1849-02-02T08:00:00.000+02:00</v>
      </c>
      <c r="R70" s="14" t="str">
        <f t="shared" si="16"/>
        <v>piix-enc-ubp</v>
      </c>
      <c r="S70" s="14" t="str">
        <f t="shared" si="17"/>
        <v>Pius IX - Litterae Encyclicae - Ubi Primum</v>
      </c>
    </row>
    <row r="71" spans="1:19" x14ac:dyDescent="0.25">
      <c r="A71" s="12">
        <v>70</v>
      </c>
      <c r="B71" s="17" t="s">
        <v>668</v>
      </c>
      <c r="C71" s="4" t="s">
        <v>669</v>
      </c>
      <c r="D71" s="4" t="s">
        <v>1146</v>
      </c>
      <c r="E71" s="5" t="s">
        <v>437</v>
      </c>
      <c r="F71" s="18" t="s">
        <v>579</v>
      </c>
      <c r="G71" s="18" t="s">
        <v>694</v>
      </c>
      <c r="H71" s="4" t="s">
        <v>603</v>
      </c>
      <c r="I71" s="4" t="s">
        <v>686</v>
      </c>
      <c r="J71" s="4" t="s">
        <v>987</v>
      </c>
      <c r="K71" s="2" t="s">
        <v>266</v>
      </c>
      <c r="L71" s="14" t="str">
        <f t="shared" si="10"/>
        <v>Nostis et nobiscum (08 dicembre 1849) | Pio IX</v>
      </c>
      <c r="M71" s="14" t="str">
        <f t="shared" si="11"/>
        <v>Enciclica Nostis et nobiscum</v>
      </c>
      <c r="N71" s="14" t="str">
        <f t="shared" si="12"/>
        <v>Enciclica Nostis et nobiscum</v>
      </c>
      <c r="O71" s="14" t="str">
        <f t="shared" si="13"/>
        <v>1849/12/08</v>
      </c>
      <c r="P71" s="14" t="str">
        <f t="shared" si="14"/>
        <v>Pio IX, Lettera Enciclica Nostis et nobiscum, 08 dicembre 1849</v>
      </c>
      <c r="Q71" s="14" t="str">
        <f t="shared" si="15"/>
        <v>1849-12-08T08:00:00.000+02:00</v>
      </c>
      <c r="R71" s="14" t="str">
        <f t="shared" si="16"/>
        <v>piix-enc-nen</v>
      </c>
      <c r="S71" s="14" t="str">
        <f t="shared" si="17"/>
        <v>Pius IX - Litterae Encyclicae - Nostis et nobiscum</v>
      </c>
    </row>
    <row r="72" spans="1:19" x14ac:dyDescent="0.25">
      <c r="A72" s="12">
        <v>71</v>
      </c>
      <c r="B72" s="17" t="s">
        <v>668</v>
      </c>
      <c r="C72" s="4" t="s">
        <v>669</v>
      </c>
      <c r="D72" s="4" t="s">
        <v>1146</v>
      </c>
      <c r="E72" s="5" t="s">
        <v>438</v>
      </c>
      <c r="F72" s="18" t="s">
        <v>579</v>
      </c>
      <c r="G72" s="18" t="s">
        <v>694</v>
      </c>
      <c r="H72" s="4" t="s">
        <v>603</v>
      </c>
      <c r="I72" s="4" t="s">
        <v>686</v>
      </c>
      <c r="J72" s="4" t="s">
        <v>988</v>
      </c>
      <c r="K72" s="2" t="s">
        <v>267</v>
      </c>
      <c r="L72" s="14" t="str">
        <f t="shared" si="10"/>
        <v>Exultavit Cor Nostrum (21 novembre 1851) | Pio IX</v>
      </c>
      <c r="M72" s="14" t="str">
        <f t="shared" si="11"/>
        <v>Enciclica Exultavit Cor Nostrum</v>
      </c>
      <c r="N72" s="14" t="str">
        <f t="shared" si="12"/>
        <v>Enciclica Exultavit Cor Nostrum</v>
      </c>
      <c r="O72" s="14" t="str">
        <f t="shared" si="13"/>
        <v>1851/11/21</v>
      </c>
      <c r="P72" s="14" t="str">
        <f t="shared" si="14"/>
        <v>Pio IX, Lettera Enciclica Exultavit Cor Nostrum, 21 novembre 1851</v>
      </c>
      <c r="Q72" s="14" t="str">
        <f t="shared" si="15"/>
        <v>1851-11-21T08:00:00.000+02:00</v>
      </c>
      <c r="R72" s="14" t="str">
        <f t="shared" si="16"/>
        <v>piix-enc-ecn</v>
      </c>
      <c r="S72" s="14" t="str">
        <f t="shared" si="17"/>
        <v>Pius IX - Litterae Encyclicae - Exultavit Cor Nostrum</v>
      </c>
    </row>
    <row r="73" spans="1:19" x14ac:dyDescent="0.25">
      <c r="A73" s="12">
        <v>72</v>
      </c>
      <c r="B73" s="17" t="s">
        <v>668</v>
      </c>
      <c r="C73" s="4" t="s">
        <v>669</v>
      </c>
      <c r="D73" s="4" t="s">
        <v>1146</v>
      </c>
      <c r="E73" s="5" t="s">
        <v>438</v>
      </c>
      <c r="F73" s="18" t="s">
        <v>579</v>
      </c>
      <c r="G73" s="18" t="s">
        <v>694</v>
      </c>
      <c r="H73" s="4" t="s">
        <v>603</v>
      </c>
      <c r="I73" s="4" t="s">
        <v>686</v>
      </c>
      <c r="J73" s="4" t="s">
        <v>989</v>
      </c>
      <c r="K73" s="2" t="s">
        <v>268</v>
      </c>
      <c r="L73" s="14" t="str">
        <f t="shared" si="10"/>
        <v>Ex Aliis Nostris (21 novembre 1851) | Pio IX</v>
      </c>
      <c r="M73" s="14" t="str">
        <f t="shared" si="11"/>
        <v>Enciclica Ex Aliis Nostris</v>
      </c>
      <c r="N73" s="14" t="str">
        <f t="shared" si="12"/>
        <v>Enciclica Ex Aliis Nostris</v>
      </c>
      <c r="O73" s="14" t="str">
        <f t="shared" si="13"/>
        <v>1851/11/21</v>
      </c>
      <c r="P73" s="14" t="str">
        <f t="shared" si="14"/>
        <v>Pio IX, Lettera Enciclica Ex Aliis Nostris, 21 novembre 1851</v>
      </c>
      <c r="Q73" s="14" t="str">
        <f t="shared" si="15"/>
        <v>1851-11-21T08:00:00.000+02:00</v>
      </c>
      <c r="R73" s="14" t="str">
        <f t="shared" si="16"/>
        <v>piix-enc-ean</v>
      </c>
      <c r="S73" s="14" t="str">
        <f t="shared" si="17"/>
        <v>Pius IX - Litterae Encyclicae - Ex Aliis Nostris</v>
      </c>
    </row>
    <row r="74" spans="1:19" x14ac:dyDescent="0.25">
      <c r="A74" s="12">
        <v>73</v>
      </c>
      <c r="B74" s="17" t="s">
        <v>668</v>
      </c>
      <c r="C74" s="4" t="s">
        <v>669</v>
      </c>
      <c r="D74" s="4" t="s">
        <v>1146</v>
      </c>
      <c r="E74" s="5" t="s">
        <v>439</v>
      </c>
      <c r="F74" s="18" t="s">
        <v>579</v>
      </c>
      <c r="G74" s="18" t="s">
        <v>694</v>
      </c>
      <c r="H74" s="4" t="s">
        <v>603</v>
      </c>
      <c r="I74" s="4" t="s">
        <v>686</v>
      </c>
      <c r="J74" s="4" t="s">
        <v>990</v>
      </c>
      <c r="K74" s="2" t="s">
        <v>269</v>
      </c>
      <c r="L74" s="14" t="str">
        <f t="shared" si="10"/>
        <v>Nemo certe ignorat (25 marzo 1852) | Pio IX</v>
      </c>
      <c r="M74" s="14" t="str">
        <f t="shared" si="11"/>
        <v>Enciclica Nemo certe ignorat</v>
      </c>
      <c r="N74" s="14" t="str">
        <f t="shared" si="12"/>
        <v>Enciclica Nemo certe ignorat</v>
      </c>
      <c r="O74" s="14" t="str">
        <f t="shared" si="13"/>
        <v>1852/03/25</v>
      </c>
      <c r="P74" s="14" t="str">
        <f t="shared" si="14"/>
        <v>Pio IX, Lettera Enciclica Nemo certe ignorat, 25 marzo 1852</v>
      </c>
      <c r="Q74" s="14" t="str">
        <f t="shared" si="15"/>
        <v>1852-03-25T08:00:00.000+02:00</v>
      </c>
      <c r="R74" s="14" t="str">
        <f t="shared" si="16"/>
        <v>piix-enc-nci</v>
      </c>
      <c r="S74" s="14" t="str">
        <f t="shared" si="17"/>
        <v>Pius IX - Litterae Encyclicae - Nemo certe ignorat</v>
      </c>
    </row>
    <row r="75" spans="1:19" x14ac:dyDescent="0.25">
      <c r="A75" s="12">
        <v>74</v>
      </c>
      <c r="B75" s="17" t="s">
        <v>668</v>
      </c>
      <c r="C75" s="4" t="s">
        <v>669</v>
      </c>
      <c r="D75" s="4" t="s">
        <v>1146</v>
      </c>
      <c r="E75" s="5" t="s">
        <v>440</v>
      </c>
      <c r="F75" s="18" t="s">
        <v>579</v>
      </c>
      <c r="G75" s="18" t="s">
        <v>694</v>
      </c>
      <c r="H75" s="4" t="s">
        <v>603</v>
      </c>
      <c r="I75" s="4" t="s">
        <v>686</v>
      </c>
      <c r="J75" s="4" t="s">
        <v>982</v>
      </c>
      <c r="K75" s="2" t="s">
        <v>270</v>
      </c>
      <c r="L75" s="14" t="str">
        <f t="shared" si="10"/>
        <v>Probe Noscitis (17 maggio 1852) | Pio IX</v>
      </c>
      <c r="M75" s="14" t="str">
        <f t="shared" si="11"/>
        <v>Enciclica Probe Noscitis</v>
      </c>
      <c r="N75" s="14" t="str">
        <f t="shared" si="12"/>
        <v>Enciclica Probe Noscitis</v>
      </c>
      <c r="O75" s="14" t="str">
        <f t="shared" si="13"/>
        <v>1852/05/17</v>
      </c>
      <c r="P75" s="14" t="str">
        <f t="shared" si="14"/>
        <v>Pio IX, Lettera Enciclica Probe Noscitis, 17 maggio 1852</v>
      </c>
      <c r="Q75" s="14" t="str">
        <f t="shared" si="15"/>
        <v>1852-05-17T08:00:00.000+02:00</v>
      </c>
      <c r="R75" s="14" t="str">
        <f t="shared" si="16"/>
        <v>piix-enc-prn</v>
      </c>
      <c r="S75" s="14" t="str">
        <f t="shared" si="17"/>
        <v>Pius IX - Litterae Encyclicae - Probe Noscitis</v>
      </c>
    </row>
    <row r="76" spans="1:19" x14ac:dyDescent="0.25">
      <c r="A76" s="12">
        <v>75</v>
      </c>
      <c r="B76" s="17" t="s">
        <v>668</v>
      </c>
      <c r="C76" s="4" t="s">
        <v>669</v>
      </c>
      <c r="D76" s="4" t="s">
        <v>1146</v>
      </c>
      <c r="E76" s="5" t="s">
        <v>441</v>
      </c>
      <c r="F76" s="18" t="s">
        <v>579</v>
      </c>
      <c r="G76" s="18" t="s">
        <v>694</v>
      </c>
      <c r="H76" s="4" t="s">
        <v>603</v>
      </c>
      <c r="I76" s="4" t="s">
        <v>686</v>
      </c>
      <c r="J76" s="4" t="s">
        <v>991</v>
      </c>
      <c r="K76" s="2" t="s">
        <v>271</v>
      </c>
      <c r="L76" s="14" t="str">
        <f t="shared" si="10"/>
        <v>Inter multiplices (21 marzo 1853) | Pio IX</v>
      </c>
      <c r="M76" s="14" t="str">
        <f t="shared" si="11"/>
        <v>Enciclica Inter multiplices</v>
      </c>
      <c r="N76" s="14" t="str">
        <f t="shared" si="12"/>
        <v>Enciclica Inter multiplices</v>
      </c>
      <c r="O76" s="14" t="str">
        <f t="shared" si="13"/>
        <v>1853/03/21</v>
      </c>
      <c r="P76" s="14" t="str">
        <f t="shared" si="14"/>
        <v>Pio IX, Lettera Enciclica Inter multiplices, 21 marzo 1853</v>
      </c>
      <c r="Q76" s="14" t="str">
        <f t="shared" si="15"/>
        <v>1853-03-21T08:00:00.000+02:00</v>
      </c>
      <c r="R76" s="14" t="str">
        <f t="shared" si="16"/>
        <v>piix-enc-inm</v>
      </c>
      <c r="S76" s="14" t="str">
        <f t="shared" si="17"/>
        <v>Pius IX - Litterae Encyclicae - Inter multiplices</v>
      </c>
    </row>
    <row r="77" spans="1:19" x14ac:dyDescent="0.25">
      <c r="A77" s="12">
        <v>76</v>
      </c>
      <c r="B77" s="17" t="s">
        <v>668</v>
      </c>
      <c r="C77" s="4" t="s">
        <v>669</v>
      </c>
      <c r="D77" s="4" t="s">
        <v>1146</v>
      </c>
      <c r="E77" s="5" t="s">
        <v>442</v>
      </c>
      <c r="F77" s="18" t="s">
        <v>579</v>
      </c>
      <c r="G77" s="18" t="s">
        <v>694</v>
      </c>
      <c r="H77" s="4" t="s">
        <v>603</v>
      </c>
      <c r="I77" s="4" t="s">
        <v>686</v>
      </c>
      <c r="J77" s="4" t="s">
        <v>992</v>
      </c>
      <c r="K77" s="2" t="s">
        <v>272</v>
      </c>
      <c r="L77" s="14" t="str">
        <f t="shared" si="10"/>
        <v>Neminem Vestrum (02 febbraio 1854) | Pio IX</v>
      </c>
      <c r="M77" s="14" t="str">
        <f t="shared" si="11"/>
        <v>Enciclica Neminem Vestrum</v>
      </c>
      <c r="N77" s="14" t="str">
        <f t="shared" si="12"/>
        <v>Enciclica Neminem Vestrum</v>
      </c>
      <c r="O77" s="14" t="str">
        <f t="shared" si="13"/>
        <v>1854/02/02</v>
      </c>
      <c r="P77" s="14" t="str">
        <f t="shared" si="14"/>
        <v>Pio IX, Lettera Enciclica Neminem Vestrum, 02 febbraio 1854</v>
      </c>
      <c r="Q77" s="14" t="str">
        <f t="shared" si="15"/>
        <v>1854-02-02T08:00:00.000+02:00</v>
      </c>
      <c r="R77" s="14" t="str">
        <f t="shared" si="16"/>
        <v>piix-enc-nev</v>
      </c>
      <c r="S77" s="14" t="str">
        <f t="shared" si="17"/>
        <v>Pius IX - Litterae Encyclicae - Neminem Vestrum</v>
      </c>
    </row>
    <row r="78" spans="1:19" x14ac:dyDescent="0.25">
      <c r="A78" s="12">
        <v>77</v>
      </c>
      <c r="B78" s="17" t="s">
        <v>668</v>
      </c>
      <c r="C78" s="4" t="s">
        <v>669</v>
      </c>
      <c r="D78" s="4" t="s">
        <v>1146</v>
      </c>
      <c r="E78" s="5" t="s">
        <v>443</v>
      </c>
      <c r="F78" s="18" t="s">
        <v>579</v>
      </c>
      <c r="G78" s="18" t="s">
        <v>694</v>
      </c>
      <c r="H78" s="4" t="s">
        <v>603</v>
      </c>
      <c r="I78" s="4" t="s">
        <v>686</v>
      </c>
      <c r="J78" s="4" t="s">
        <v>993</v>
      </c>
      <c r="K78" s="2" t="s">
        <v>273</v>
      </c>
      <c r="L78" s="14" t="str">
        <f t="shared" si="10"/>
        <v>Optime noscitis (20 marzo 1854) | Pio IX</v>
      </c>
      <c r="M78" s="14" t="str">
        <f t="shared" si="11"/>
        <v>Enciclica Optime noscitis</v>
      </c>
      <c r="N78" s="14" t="str">
        <f t="shared" si="12"/>
        <v>Enciclica Optime noscitis</v>
      </c>
      <c r="O78" s="14" t="str">
        <f t="shared" si="13"/>
        <v>1854/03/20</v>
      </c>
      <c r="P78" s="14" t="str">
        <f t="shared" si="14"/>
        <v>Pio IX, Lettera Enciclica Optime noscitis, 20 marzo 1854</v>
      </c>
      <c r="Q78" s="14" t="str">
        <f t="shared" si="15"/>
        <v>1854-03-20T08:00:00.000+02:00</v>
      </c>
      <c r="R78" s="14" t="str">
        <f t="shared" si="16"/>
        <v>piix-enc-opn</v>
      </c>
      <c r="S78" s="14" t="str">
        <f t="shared" si="17"/>
        <v>Pius IX - Litterae Encyclicae - Optime noscitis</v>
      </c>
    </row>
    <row r="79" spans="1:19" x14ac:dyDescent="0.25">
      <c r="A79" s="12">
        <v>78</v>
      </c>
      <c r="B79" s="17" t="s">
        <v>668</v>
      </c>
      <c r="C79" s="4" t="s">
        <v>669</v>
      </c>
      <c r="D79" s="4" t="s">
        <v>1146</v>
      </c>
      <c r="E79" s="5" t="s">
        <v>444</v>
      </c>
      <c r="F79" s="18" t="s">
        <v>579</v>
      </c>
      <c r="G79" s="18" t="s">
        <v>694</v>
      </c>
      <c r="H79" s="4" t="s">
        <v>603</v>
      </c>
      <c r="I79" s="4" t="s">
        <v>686</v>
      </c>
      <c r="J79" s="4" t="s">
        <v>994</v>
      </c>
      <c r="K79" s="2" t="s">
        <v>274</v>
      </c>
      <c r="L79" s="14" t="str">
        <f t="shared" si="10"/>
        <v>Apostolicae Nostrae (01 agosto 1854) | Pio IX</v>
      </c>
      <c r="M79" s="14" t="str">
        <f t="shared" si="11"/>
        <v>Enciclica Apostolicae Nostrae</v>
      </c>
      <c r="N79" s="14" t="str">
        <f t="shared" si="12"/>
        <v>Enciclica Apostolicae Nostrae</v>
      </c>
      <c r="O79" s="14" t="str">
        <f t="shared" si="13"/>
        <v>1854/08/01</v>
      </c>
      <c r="P79" s="14" t="str">
        <f t="shared" si="14"/>
        <v>Pio IX, Lettera Enciclica Apostolicae Nostrae, 01 agosto 1854</v>
      </c>
      <c r="Q79" s="14" t="str">
        <f t="shared" si="15"/>
        <v>1854-08-01T08:00:00.000+02:00</v>
      </c>
      <c r="R79" s="14" t="str">
        <f t="shared" si="16"/>
        <v>piix-enc-apn</v>
      </c>
      <c r="S79" s="14" t="str">
        <f t="shared" si="17"/>
        <v>Pius IX - Litterae Encyclicae - Apostolicae Nostrae</v>
      </c>
    </row>
    <row r="80" spans="1:19" x14ac:dyDescent="0.25">
      <c r="A80" s="12">
        <v>79</v>
      </c>
      <c r="B80" s="17" t="s">
        <v>668</v>
      </c>
      <c r="C80" s="4" t="s">
        <v>669</v>
      </c>
      <c r="D80" s="4" t="s">
        <v>1146</v>
      </c>
      <c r="E80" s="5" t="s">
        <v>445</v>
      </c>
      <c r="F80" s="18" t="s">
        <v>579</v>
      </c>
      <c r="G80" s="18" t="s">
        <v>694</v>
      </c>
      <c r="H80" s="4" t="s">
        <v>603</v>
      </c>
      <c r="I80" s="4" t="s">
        <v>686</v>
      </c>
      <c r="J80" s="4" t="s">
        <v>995</v>
      </c>
      <c r="K80" s="2" t="s">
        <v>273</v>
      </c>
      <c r="L80" s="14" t="str">
        <f t="shared" si="10"/>
        <v>Optime noscitis (05 novembre 1855) | Pio IX</v>
      </c>
      <c r="M80" s="14" t="str">
        <f t="shared" si="11"/>
        <v>Enciclica Optime noscitis</v>
      </c>
      <c r="N80" s="14" t="str">
        <f t="shared" si="12"/>
        <v>Enciclica Optime noscitis</v>
      </c>
      <c r="O80" s="14" t="str">
        <f t="shared" si="13"/>
        <v>1855/11/05</v>
      </c>
      <c r="P80" s="14" t="str">
        <f t="shared" si="14"/>
        <v>Pio IX, Lettera Enciclica Optime noscitis, 05 novembre 1855</v>
      </c>
      <c r="Q80" s="14" t="str">
        <f t="shared" si="15"/>
        <v>1855-11-05T08:00:00.000+02:00</v>
      </c>
      <c r="R80" s="14" t="str">
        <f t="shared" si="16"/>
        <v>piix-enc-ono</v>
      </c>
      <c r="S80" s="14" t="str">
        <f t="shared" si="17"/>
        <v>Pius IX - Litterae Encyclicae - Optime noscitis</v>
      </c>
    </row>
    <row r="81" spans="1:19" x14ac:dyDescent="0.25">
      <c r="A81" s="12">
        <v>80</v>
      </c>
      <c r="B81" s="17" t="s">
        <v>668</v>
      </c>
      <c r="C81" s="4" t="s">
        <v>669</v>
      </c>
      <c r="D81" s="4" t="s">
        <v>1146</v>
      </c>
      <c r="E81" s="5" t="s">
        <v>446</v>
      </c>
      <c r="F81" s="18" t="s">
        <v>579</v>
      </c>
      <c r="G81" s="18" t="s">
        <v>694</v>
      </c>
      <c r="H81" s="4" t="s">
        <v>603</v>
      </c>
      <c r="I81" s="4" t="s">
        <v>686</v>
      </c>
      <c r="J81" s="4" t="s">
        <v>996</v>
      </c>
      <c r="K81" s="2" t="s">
        <v>275</v>
      </c>
      <c r="L81" s="14" t="str">
        <f t="shared" si="10"/>
        <v>Singulari quidem (17 marzo 1856) | Pio IX</v>
      </c>
      <c r="M81" s="14" t="str">
        <f t="shared" si="11"/>
        <v>Enciclica Singulari quidem</v>
      </c>
      <c r="N81" s="14" t="str">
        <f t="shared" si="12"/>
        <v>Enciclica Singulari quidem</v>
      </c>
      <c r="O81" s="14" t="str">
        <f t="shared" si="13"/>
        <v>1856/03/17</v>
      </c>
      <c r="P81" s="14" t="str">
        <f t="shared" si="14"/>
        <v>Pio IX, Lettera Enciclica Singulari quidem, 17 marzo 1856</v>
      </c>
      <c r="Q81" s="14" t="str">
        <f t="shared" si="15"/>
        <v>1856-03-17T08:00:00.000+02:00</v>
      </c>
      <c r="R81" s="14" t="str">
        <f t="shared" si="16"/>
        <v>piix-enc-siq</v>
      </c>
      <c r="S81" s="14" t="str">
        <f t="shared" si="17"/>
        <v>Pius IX - Litterae Encyclicae - Singulari quidem</v>
      </c>
    </row>
    <row r="82" spans="1:19" x14ac:dyDescent="0.25">
      <c r="A82" s="12">
        <v>81</v>
      </c>
      <c r="B82" s="17" t="s">
        <v>668</v>
      </c>
      <c r="C82" s="4" t="s">
        <v>669</v>
      </c>
      <c r="D82" s="4" t="s">
        <v>1146</v>
      </c>
      <c r="E82" s="5" t="s">
        <v>447</v>
      </c>
      <c r="F82" s="18" t="s">
        <v>579</v>
      </c>
      <c r="G82" s="18" t="s">
        <v>694</v>
      </c>
      <c r="H82" s="4" t="s">
        <v>603</v>
      </c>
      <c r="I82" s="4" t="s">
        <v>686</v>
      </c>
      <c r="J82" s="4" t="s">
        <v>997</v>
      </c>
      <c r="K82" s="2" t="s">
        <v>276</v>
      </c>
      <c r="L82" s="14" t="str">
        <f t="shared" si="10"/>
        <v>Cum Nuper (20 gennaio 1858) | Pio IX</v>
      </c>
      <c r="M82" s="14" t="str">
        <f t="shared" si="11"/>
        <v>Enciclica Cum Nuper</v>
      </c>
      <c r="N82" s="14" t="str">
        <f t="shared" si="12"/>
        <v>Enciclica Cum Nuper</v>
      </c>
      <c r="O82" s="14" t="str">
        <f t="shared" si="13"/>
        <v>1858/01/20</v>
      </c>
      <c r="P82" s="14" t="str">
        <f t="shared" si="14"/>
        <v>Pio IX, Lettera Enciclica Cum Nuper, 20 gennaio 1858</v>
      </c>
      <c r="Q82" s="14" t="str">
        <f t="shared" si="15"/>
        <v>1858-01-20T08:00:00.000+02:00</v>
      </c>
      <c r="R82" s="14" t="str">
        <f t="shared" si="16"/>
        <v>piix-enc-cun</v>
      </c>
      <c r="S82" s="14" t="str">
        <f t="shared" si="17"/>
        <v>Pius IX - Litterae Encyclicae - Cum Nuper</v>
      </c>
    </row>
    <row r="83" spans="1:19" x14ac:dyDescent="0.25">
      <c r="A83" s="12">
        <v>82</v>
      </c>
      <c r="B83" s="17" t="s">
        <v>668</v>
      </c>
      <c r="C83" s="4" t="s">
        <v>669</v>
      </c>
      <c r="D83" s="4" t="s">
        <v>1146</v>
      </c>
      <c r="E83" s="5" t="s">
        <v>448</v>
      </c>
      <c r="F83" s="18" t="s">
        <v>579</v>
      </c>
      <c r="G83" s="18" t="s">
        <v>694</v>
      </c>
      <c r="H83" s="4" t="s">
        <v>603</v>
      </c>
      <c r="I83" s="4" t="s">
        <v>686</v>
      </c>
      <c r="J83" s="4" t="s">
        <v>998</v>
      </c>
      <c r="K83" s="2" t="s">
        <v>277</v>
      </c>
      <c r="L83" s="14" t="str">
        <f t="shared" si="10"/>
        <v>Amantissimi Redemptoris (03 maggio 1858) | Pio IX</v>
      </c>
      <c r="M83" s="14" t="str">
        <f t="shared" si="11"/>
        <v>Enciclica Amantissimi Redemptoris</v>
      </c>
      <c r="N83" s="14" t="str">
        <f t="shared" si="12"/>
        <v>Enciclica Amantissimi Redemptoris</v>
      </c>
      <c r="O83" s="14" t="str">
        <f t="shared" si="13"/>
        <v>1858/05/03</v>
      </c>
      <c r="P83" s="14" t="str">
        <f t="shared" si="14"/>
        <v>Pio IX, Lettera Enciclica Amantissimi Redemptoris, 03 maggio 1858</v>
      </c>
      <c r="Q83" s="14" t="str">
        <f t="shared" si="15"/>
        <v>1858-05-03T08:00:00.000+02:00</v>
      </c>
      <c r="R83" s="14" t="str">
        <f t="shared" si="16"/>
        <v>piix-enc-amr</v>
      </c>
      <c r="S83" s="14" t="str">
        <f t="shared" si="17"/>
        <v>Pius IX - Litterae Encyclicae - Amantissimi Redemptoris</v>
      </c>
    </row>
    <row r="84" spans="1:19" x14ac:dyDescent="0.25">
      <c r="A84" s="12">
        <v>83</v>
      </c>
      <c r="B84" s="17" t="s">
        <v>668</v>
      </c>
      <c r="C84" s="4" t="s">
        <v>669</v>
      </c>
      <c r="D84" s="4" t="s">
        <v>1146</v>
      </c>
      <c r="E84" s="5" t="s">
        <v>449</v>
      </c>
      <c r="F84" s="18" t="s">
        <v>579</v>
      </c>
      <c r="G84" s="18" t="s">
        <v>694</v>
      </c>
      <c r="H84" s="4" t="s">
        <v>603</v>
      </c>
      <c r="I84" s="4" t="s">
        <v>686</v>
      </c>
      <c r="J84" s="4" t="s">
        <v>999</v>
      </c>
      <c r="K84" s="2" t="s">
        <v>278</v>
      </c>
      <c r="L84" s="14" t="str">
        <f t="shared" si="10"/>
        <v>Cum Sancta Mater (27 aprile 1859) | Pio IX</v>
      </c>
      <c r="M84" s="14" t="str">
        <f t="shared" si="11"/>
        <v>Enciclica Cum Sancta Mater</v>
      </c>
      <c r="N84" s="14" t="str">
        <f t="shared" si="12"/>
        <v>Enciclica Cum Sancta Mater</v>
      </c>
      <c r="O84" s="14" t="str">
        <f t="shared" si="13"/>
        <v>1859/04/27</v>
      </c>
      <c r="P84" s="14" t="str">
        <f t="shared" si="14"/>
        <v>Pio IX, Lettera Enciclica Cum Sancta Mater, 27 aprile 1859</v>
      </c>
      <c r="Q84" s="14" t="str">
        <f t="shared" si="15"/>
        <v>1859-04-27T08:00:00.000+02:00</v>
      </c>
      <c r="R84" s="14" t="str">
        <f t="shared" si="16"/>
        <v>piix-enc-csm</v>
      </c>
      <c r="S84" s="14" t="str">
        <f t="shared" si="17"/>
        <v>Pius IX - Litterae Encyclicae - Cum Sancta Mater</v>
      </c>
    </row>
    <row r="85" spans="1:19" x14ac:dyDescent="0.25">
      <c r="A85" s="12">
        <v>84</v>
      </c>
      <c r="B85" s="17" t="s">
        <v>668</v>
      </c>
      <c r="C85" s="4" t="s">
        <v>669</v>
      </c>
      <c r="D85" s="4" t="s">
        <v>1146</v>
      </c>
      <c r="E85" s="5" t="s">
        <v>450</v>
      </c>
      <c r="F85" s="18" t="s">
        <v>579</v>
      </c>
      <c r="G85" s="18" t="s">
        <v>694</v>
      </c>
      <c r="H85" s="4" t="s">
        <v>603</v>
      </c>
      <c r="I85" s="4" t="s">
        <v>686</v>
      </c>
      <c r="J85" s="4" t="s">
        <v>1000</v>
      </c>
      <c r="K85" s="2" t="s">
        <v>279</v>
      </c>
      <c r="L85" s="14" t="str">
        <f t="shared" si="10"/>
        <v>Qui Nuper (18 giugno 1859) | Pio IX</v>
      </c>
      <c r="M85" s="14" t="str">
        <f t="shared" si="11"/>
        <v>Enciclica Qui Nuper</v>
      </c>
      <c r="N85" s="14" t="str">
        <f t="shared" si="12"/>
        <v>Enciclica Qui Nuper</v>
      </c>
      <c r="O85" s="14" t="str">
        <f t="shared" si="13"/>
        <v>1859/06/18</v>
      </c>
      <c r="P85" s="14" t="str">
        <f t="shared" si="14"/>
        <v>Pio IX, Lettera Enciclica Qui Nuper, 18 giugno 1859</v>
      </c>
      <c r="Q85" s="14" t="str">
        <f t="shared" si="15"/>
        <v>1859-06-18T08:00:00.000+02:00</v>
      </c>
      <c r="R85" s="14" t="str">
        <f t="shared" si="16"/>
        <v>piix-enc-qun</v>
      </c>
      <c r="S85" s="14" t="str">
        <f t="shared" si="17"/>
        <v>Pius IX - Litterae Encyclicae - Qui Nuper</v>
      </c>
    </row>
    <row r="86" spans="1:19" x14ac:dyDescent="0.25">
      <c r="A86" s="12">
        <v>85</v>
      </c>
      <c r="B86" s="17" t="s">
        <v>668</v>
      </c>
      <c r="C86" s="4" t="s">
        <v>669</v>
      </c>
      <c r="D86" s="4" t="s">
        <v>1146</v>
      </c>
      <c r="E86" s="5" t="s">
        <v>451</v>
      </c>
      <c r="F86" s="18" t="s">
        <v>579</v>
      </c>
      <c r="G86" s="18" t="s">
        <v>694</v>
      </c>
      <c r="H86" s="4" t="s">
        <v>603</v>
      </c>
      <c r="I86" s="4" t="s">
        <v>686</v>
      </c>
      <c r="J86" s="4" t="s">
        <v>1001</v>
      </c>
      <c r="K86" s="2" t="s">
        <v>280</v>
      </c>
      <c r="L86" s="14" t="str">
        <f t="shared" si="10"/>
        <v>Nullis Certe Verbis (19 gennaio 1860) | Pio IX</v>
      </c>
      <c r="M86" s="14" t="str">
        <f t="shared" si="11"/>
        <v>Enciclica Nullis Certe Verbis</v>
      </c>
      <c r="N86" s="14" t="str">
        <f t="shared" si="12"/>
        <v>Enciclica Nullis Certe Verbis</v>
      </c>
      <c r="O86" s="14" t="str">
        <f t="shared" si="13"/>
        <v>1860/01/19</v>
      </c>
      <c r="P86" s="14" t="str">
        <f t="shared" si="14"/>
        <v>Pio IX, Lettera Enciclica Nullis Certe Verbis, 19 gennaio 1860</v>
      </c>
      <c r="Q86" s="14" t="str">
        <f t="shared" si="15"/>
        <v>1860-01-19T08:00:00.000+02:00</v>
      </c>
      <c r="R86" s="14" t="str">
        <f t="shared" si="16"/>
        <v>piix-enc-ncv</v>
      </c>
      <c r="S86" s="14" t="str">
        <f t="shared" si="17"/>
        <v>Pius IX - Litterae Encyclicae - Nullis Certe Verbis</v>
      </c>
    </row>
    <row r="87" spans="1:19" x14ac:dyDescent="0.25">
      <c r="A87" s="12">
        <v>86</v>
      </c>
      <c r="B87" s="17" t="s">
        <v>668</v>
      </c>
      <c r="C87" s="4" t="s">
        <v>669</v>
      </c>
      <c r="D87" s="4" t="s">
        <v>1146</v>
      </c>
      <c r="E87" s="5" t="s">
        <v>452</v>
      </c>
      <c r="F87" s="18" t="s">
        <v>579</v>
      </c>
      <c r="G87" s="18" t="s">
        <v>694</v>
      </c>
      <c r="H87" s="4" t="s">
        <v>603</v>
      </c>
      <c r="I87" s="4" t="s">
        <v>686</v>
      </c>
      <c r="J87" s="4" t="s">
        <v>1002</v>
      </c>
      <c r="K87" s="2" t="s">
        <v>281</v>
      </c>
      <c r="L87" s="14" t="str">
        <f t="shared" si="10"/>
        <v>Amantissimus humani generis (08 aprile 1862) | Pio IX</v>
      </c>
      <c r="M87" s="14" t="str">
        <f t="shared" si="11"/>
        <v>Enciclica Amantissimus humani generis</v>
      </c>
      <c r="N87" s="14" t="str">
        <f t="shared" si="12"/>
        <v>Enciclica Amantissimus humani generis</v>
      </c>
      <c r="O87" s="14" t="str">
        <f t="shared" si="13"/>
        <v>1862/04/08</v>
      </c>
      <c r="P87" s="14" t="str">
        <f t="shared" si="14"/>
        <v>Pio IX, Lettera Enciclica Amantissimus humani generis, 08 aprile 1862</v>
      </c>
      <c r="Q87" s="14" t="str">
        <f t="shared" si="15"/>
        <v>1862-04-08T08:00:00.000+02:00</v>
      </c>
      <c r="R87" s="14" t="str">
        <f t="shared" si="16"/>
        <v>piix-enc-ahg</v>
      </c>
      <c r="S87" s="14" t="str">
        <f t="shared" si="17"/>
        <v>Pius IX - Litterae Encyclicae - Amantissimus humani generis</v>
      </c>
    </row>
    <row r="88" spans="1:19" x14ac:dyDescent="0.25">
      <c r="A88" s="12">
        <v>87</v>
      </c>
      <c r="B88" s="17" t="s">
        <v>668</v>
      </c>
      <c r="C88" s="4" t="s">
        <v>669</v>
      </c>
      <c r="D88" s="4" t="s">
        <v>1146</v>
      </c>
      <c r="E88" s="5" t="s">
        <v>453</v>
      </c>
      <c r="F88" s="18" t="s">
        <v>579</v>
      </c>
      <c r="G88" s="18" t="s">
        <v>694</v>
      </c>
      <c r="H88" s="4" t="s">
        <v>603</v>
      </c>
      <c r="I88" s="4" t="s">
        <v>686</v>
      </c>
      <c r="J88" s="4" t="s">
        <v>1003</v>
      </c>
      <c r="K88" s="2" t="s">
        <v>282</v>
      </c>
      <c r="L88" s="14" t="str">
        <f t="shared" si="10"/>
        <v>Quanto conficiamur (10 agosto 1863) | Pio IX</v>
      </c>
      <c r="M88" s="14" t="str">
        <f t="shared" si="11"/>
        <v>Enciclica Quanto conficiamur</v>
      </c>
      <c r="N88" s="14" t="str">
        <f t="shared" si="12"/>
        <v>Enciclica Quanto conficiamur</v>
      </c>
      <c r="O88" s="14" t="str">
        <f t="shared" si="13"/>
        <v>1863/08/10</v>
      </c>
      <c r="P88" s="14" t="str">
        <f t="shared" si="14"/>
        <v>Pio IX, Lettera Enciclica Quanto conficiamur, 10 agosto 1863</v>
      </c>
      <c r="Q88" s="14" t="str">
        <f t="shared" si="15"/>
        <v>1863-08-10T08:00:00.000+02:00</v>
      </c>
      <c r="R88" s="14" t="str">
        <f t="shared" si="16"/>
        <v>piix-enc-quc</v>
      </c>
      <c r="S88" s="14" t="str">
        <f t="shared" si="17"/>
        <v>Pius IX - Litterae Encyclicae - Quanto conficiamur</v>
      </c>
    </row>
    <row r="89" spans="1:19" x14ac:dyDescent="0.25">
      <c r="A89" s="12">
        <v>88</v>
      </c>
      <c r="B89" s="17" t="s">
        <v>668</v>
      </c>
      <c r="C89" s="4" t="s">
        <v>669</v>
      </c>
      <c r="D89" s="4" t="s">
        <v>1146</v>
      </c>
      <c r="E89" s="5" t="s">
        <v>454</v>
      </c>
      <c r="F89" s="18" t="s">
        <v>579</v>
      </c>
      <c r="G89" s="18" t="s">
        <v>694</v>
      </c>
      <c r="H89" s="4" t="s">
        <v>603</v>
      </c>
      <c r="I89" s="4" t="s">
        <v>686</v>
      </c>
      <c r="J89" s="4" t="s">
        <v>1004</v>
      </c>
      <c r="K89" s="2" t="s">
        <v>283</v>
      </c>
      <c r="L89" s="14" t="str">
        <f t="shared" si="10"/>
        <v>Incredibili afflictamur (17 settembre 1863) | Pio IX</v>
      </c>
      <c r="M89" s="14" t="str">
        <f t="shared" si="11"/>
        <v>Enciclica Incredibili afflictamur</v>
      </c>
      <c r="N89" s="14" t="str">
        <f t="shared" si="12"/>
        <v>Enciclica Incredibili afflictamur</v>
      </c>
      <c r="O89" s="14" t="str">
        <f t="shared" si="13"/>
        <v>1863/09/17</v>
      </c>
      <c r="P89" s="14" t="str">
        <f t="shared" si="14"/>
        <v>Pio IX, Lettera Enciclica Incredibili afflictamur, 17 settembre 1863</v>
      </c>
      <c r="Q89" s="14" t="str">
        <f t="shared" si="15"/>
        <v>1863-09-17T08:00:00.000+02:00</v>
      </c>
      <c r="R89" s="14" t="str">
        <f t="shared" si="16"/>
        <v>piix-enc-ina</v>
      </c>
      <c r="S89" s="14" t="str">
        <f t="shared" si="17"/>
        <v>Pius IX - Litterae Encyclicae - Incredibili afflictamur</v>
      </c>
    </row>
    <row r="90" spans="1:19" x14ac:dyDescent="0.25">
      <c r="A90" s="12">
        <v>89</v>
      </c>
      <c r="B90" s="17" t="s">
        <v>668</v>
      </c>
      <c r="C90" s="4" t="s">
        <v>669</v>
      </c>
      <c r="D90" s="4" t="s">
        <v>1146</v>
      </c>
      <c r="E90" s="5" t="s">
        <v>455</v>
      </c>
      <c r="F90" s="18" t="s">
        <v>579</v>
      </c>
      <c r="G90" s="18" t="s">
        <v>694</v>
      </c>
      <c r="H90" s="4" t="s">
        <v>603</v>
      </c>
      <c r="I90" s="4" t="s">
        <v>686</v>
      </c>
      <c r="J90" s="4" t="s">
        <v>1005</v>
      </c>
      <c r="K90" s="2" t="s">
        <v>284</v>
      </c>
      <c r="L90" s="14" t="str">
        <f t="shared" si="10"/>
        <v>Ubi urbaniano (30 luglio 1864) | Pio IX</v>
      </c>
      <c r="M90" s="14" t="str">
        <f t="shared" si="11"/>
        <v>Enciclica Ubi urbaniano</v>
      </c>
      <c r="N90" s="14" t="str">
        <f t="shared" si="12"/>
        <v>Enciclica Ubi urbaniano</v>
      </c>
      <c r="O90" s="14" t="str">
        <f t="shared" si="13"/>
        <v>1864/07/30</v>
      </c>
      <c r="P90" s="14" t="str">
        <f t="shared" si="14"/>
        <v>Pio IX, Lettera Enciclica Ubi urbaniano, 30 luglio 1864</v>
      </c>
      <c r="Q90" s="14" t="str">
        <f t="shared" si="15"/>
        <v>1864-07-30T08:00:00.000+02:00</v>
      </c>
      <c r="R90" s="14" t="str">
        <f t="shared" si="16"/>
        <v>piix-enc-ubu</v>
      </c>
      <c r="S90" s="14" t="str">
        <f t="shared" si="17"/>
        <v>Pius IX - Litterae Encyclicae - Ubi urbaniano</v>
      </c>
    </row>
    <row r="91" spans="1:19" x14ac:dyDescent="0.25">
      <c r="A91" s="12">
        <v>90</v>
      </c>
      <c r="B91" s="17" t="s">
        <v>668</v>
      </c>
      <c r="C91" s="4" t="s">
        <v>669</v>
      </c>
      <c r="D91" s="4" t="s">
        <v>1146</v>
      </c>
      <c r="E91" s="5" t="s">
        <v>456</v>
      </c>
      <c r="F91" s="18" t="s">
        <v>579</v>
      </c>
      <c r="G91" s="18" t="s">
        <v>694</v>
      </c>
      <c r="H91" s="4" t="s">
        <v>603</v>
      </c>
      <c r="I91" s="4" t="s">
        <v>686</v>
      </c>
      <c r="J91" s="4" t="s">
        <v>1006</v>
      </c>
      <c r="K91" s="2" t="s">
        <v>285</v>
      </c>
      <c r="L91" s="14" t="str">
        <f t="shared" si="10"/>
        <v>Maximae quidem (18 agosto 1864) | Pio IX</v>
      </c>
      <c r="M91" s="14" t="str">
        <f t="shared" si="11"/>
        <v>Enciclica Maximae quidem</v>
      </c>
      <c r="N91" s="14" t="str">
        <f t="shared" si="12"/>
        <v>Enciclica Maximae quidem</v>
      </c>
      <c r="O91" s="14" t="str">
        <f t="shared" si="13"/>
        <v>1864/08/18</v>
      </c>
      <c r="P91" s="14" t="str">
        <f t="shared" si="14"/>
        <v>Pio IX, Lettera Enciclica Maximae quidem, 18 agosto 1864</v>
      </c>
      <c r="Q91" s="14" t="str">
        <f t="shared" si="15"/>
        <v>1864-08-18T08:00:00.000+02:00</v>
      </c>
      <c r="R91" s="14" t="str">
        <f t="shared" si="16"/>
        <v>piix-enc-maq</v>
      </c>
      <c r="S91" s="14" t="str">
        <f t="shared" si="17"/>
        <v>Pius IX - Litterae Encyclicae - Maximae quidem</v>
      </c>
    </row>
    <row r="92" spans="1:19" x14ac:dyDescent="0.25">
      <c r="A92" s="12">
        <v>91</v>
      </c>
      <c r="B92" s="17" t="s">
        <v>668</v>
      </c>
      <c r="C92" s="4" t="s">
        <v>669</v>
      </c>
      <c r="D92" s="4" t="s">
        <v>1146</v>
      </c>
      <c r="E92" s="5" t="s">
        <v>457</v>
      </c>
      <c r="F92" s="18" t="s">
        <v>579</v>
      </c>
      <c r="G92" s="18" t="s">
        <v>694</v>
      </c>
      <c r="H92" s="4" t="s">
        <v>603</v>
      </c>
      <c r="I92" s="4" t="s">
        <v>686</v>
      </c>
      <c r="J92" s="4" t="s">
        <v>1003</v>
      </c>
      <c r="K92" s="2" t="s">
        <v>286</v>
      </c>
      <c r="L92" s="14" t="str">
        <f t="shared" si="10"/>
        <v>Quanta cura (08 dicembre 1864) | Pio IX</v>
      </c>
      <c r="M92" s="14" t="str">
        <f t="shared" si="11"/>
        <v>Enciclica Quanta cura</v>
      </c>
      <c r="N92" s="14" t="str">
        <f t="shared" si="12"/>
        <v>Enciclica Quanta cura</v>
      </c>
      <c r="O92" s="14" t="str">
        <f t="shared" si="13"/>
        <v>1864/12/08</v>
      </c>
      <c r="P92" s="14" t="str">
        <f t="shared" si="14"/>
        <v>Pio IX, Lettera Enciclica Quanta cura, 08 dicembre 1864</v>
      </c>
      <c r="Q92" s="14" t="str">
        <f t="shared" si="15"/>
        <v>1864-12-08T08:00:00.000+02:00</v>
      </c>
      <c r="R92" s="14" t="str">
        <f t="shared" si="16"/>
        <v>piix-enc-quc</v>
      </c>
      <c r="S92" s="14" t="str">
        <f t="shared" si="17"/>
        <v>Pius IX - Litterae Encyclicae - Quanta cura</v>
      </c>
    </row>
    <row r="93" spans="1:19" x14ac:dyDescent="0.25">
      <c r="A93" s="12">
        <v>92</v>
      </c>
      <c r="B93" s="17" t="s">
        <v>668</v>
      </c>
      <c r="C93" s="4" t="s">
        <v>669</v>
      </c>
      <c r="D93" s="4" t="s">
        <v>1146</v>
      </c>
      <c r="E93" s="5" t="s">
        <v>458</v>
      </c>
      <c r="F93" s="18" t="s">
        <v>579</v>
      </c>
      <c r="G93" s="18" t="s">
        <v>694</v>
      </c>
      <c r="H93" s="4" t="s">
        <v>603</v>
      </c>
      <c r="I93" s="4" t="s">
        <v>686</v>
      </c>
      <c r="J93" s="4" t="s">
        <v>1007</v>
      </c>
      <c r="K93" s="2" t="s">
        <v>287</v>
      </c>
      <c r="L93" s="14" t="str">
        <f t="shared" si="10"/>
        <v>Levate (27 ottobre 1867) | Pio IX</v>
      </c>
      <c r="M93" s="14" t="str">
        <f t="shared" si="11"/>
        <v>Enciclica Levate</v>
      </c>
      <c r="N93" s="14" t="str">
        <f t="shared" si="12"/>
        <v>Enciclica Levate</v>
      </c>
      <c r="O93" s="14" t="str">
        <f t="shared" si="13"/>
        <v>1867/10/27</v>
      </c>
      <c r="P93" s="14" t="str">
        <f t="shared" si="14"/>
        <v>Pio IX, Lettera Enciclica Levate, 27 ottobre 1867</v>
      </c>
      <c r="Q93" s="14" t="str">
        <f t="shared" si="15"/>
        <v>1867-10-27T08:00:00.000+02:00</v>
      </c>
      <c r="R93" s="14" t="str">
        <f t="shared" si="16"/>
        <v>piix-enc-lev</v>
      </c>
      <c r="S93" s="14" t="str">
        <f t="shared" si="17"/>
        <v>Pius IX - Litterae Encyclicae - Levate</v>
      </c>
    </row>
    <row r="94" spans="1:19" x14ac:dyDescent="0.25">
      <c r="A94" s="12">
        <v>93</v>
      </c>
      <c r="B94" s="17" t="s">
        <v>668</v>
      </c>
      <c r="C94" s="4" t="s">
        <v>669</v>
      </c>
      <c r="D94" s="4" t="s">
        <v>1146</v>
      </c>
      <c r="E94" s="5" t="s">
        <v>459</v>
      </c>
      <c r="F94" s="18" t="s">
        <v>579</v>
      </c>
      <c r="G94" s="18" t="s">
        <v>694</v>
      </c>
      <c r="H94" s="4" t="s">
        <v>603</v>
      </c>
      <c r="I94" s="4" t="s">
        <v>686</v>
      </c>
      <c r="J94" s="4" t="s">
        <v>1008</v>
      </c>
      <c r="K94" s="2" t="s">
        <v>288</v>
      </c>
      <c r="L94" s="14" t="str">
        <f t="shared" si="10"/>
        <v>Respicientes ea (01 novembre 1870) | Pio IX</v>
      </c>
      <c r="M94" s="14" t="str">
        <f t="shared" si="11"/>
        <v>Enciclica Respicientes ea</v>
      </c>
      <c r="N94" s="14" t="str">
        <f t="shared" si="12"/>
        <v>Enciclica Respicientes ea</v>
      </c>
      <c r="O94" s="14" t="str">
        <f t="shared" si="13"/>
        <v>1870/11/01</v>
      </c>
      <c r="P94" s="14" t="str">
        <f t="shared" si="14"/>
        <v>Pio IX, Lettera Enciclica Respicientes ea, 01 novembre 1870</v>
      </c>
      <c r="Q94" s="14" t="str">
        <f t="shared" si="15"/>
        <v>1870-11-01T08:00:00.000+02:00</v>
      </c>
      <c r="R94" s="14" t="str">
        <f t="shared" si="16"/>
        <v>piix-enc-ree</v>
      </c>
      <c r="S94" s="14" t="str">
        <f t="shared" si="17"/>
        <v>Pius IX - Litterae Encyclicae - Respicientes ea</v>
      </c>
    </row>
    <row r="95" spans="1:19" x14ac:dyDescent="0.25">
      <c r="A95" s="12">
        <v>94</v>
      </c>
      <c r="B95" s="17" t="s">
        <v>668</v>
      </c>
      <c r="C95" s="4" t="s">
        <v>669</v>
      </c>
      <c r="D95" s="4" t="s">
        <v>1146</v>
      </c>
      <c r="E95" s="5" t="s">
        <v>460</v>
      </c>
      <c r="F95" s="18" t="s">
        <v>579</v>
      </c>
      <c r="G95" s="18" t="s">
        <v>694</v>
      </c>
      <c r="H95" s="4" t="s">
        <v>603</v>
      </c>
      <c r="I95" s="4" t="s">
        <v>686</v>
      </c>
      <c r="J95" s="4" t="s">
        <v>1009</v>
      </c>
      <c r="K95" s="2" t="s">
        <v>289</v>
      </c>
      <c r="L95" s="14" t="str">
        <f t="shared" si="10"/>
        <v>Ubi nos (15 maggio 1871) | Pio IX</v>
      </c>
      <c r="M95" s="14" t="str">
        <f t="shared" si="11"/>
        <v>Enciclica Ubi nos</v>
      </c>
      <c r="N95" s="14" t="str">
        <f t="shared" si="12"/>
        <v>Enciclica Ubi nos</v>
      </c>
      <c r="O95" s="14" t="str">
        <f t="shared" si="13"/>
        <v>1871/05/15</v>
      </c>
      <c r="P95" s="14" t="str">
        <f t="shared" si="14"/>
        <v>Pio IX, Lettera Enciclica Ubi nos, 15 maggio 1871</v>
      </c>
      <c r="Q95" s="14" t="str">
        <f t="shared" si="15"/>
        <v>1871-05-15T08:00:00.000+02:00</v>
      </c>
      <c r="R95" s="14" t="str">
        <f t="shared" si="16"/>
        <v>piix-enc-ubn</v>
      </c>
      <c r="S95" s="14" t="str">
        <f t="shared" si="17"/>
        <v>Pius IX - Litterae Encyclicae - Ubi nos</v>
      </c>
    </row>
    <row r="96" spans="1:19" x14ac:dyDescent="0.25">
      <c r="A96" s="12">
        <v>95</v>
      </c>
      <c r="B96" s="17" t="s">
        <v>668</v>
      </c>
      <c r="C96" s="4" t="s">
        <v>669</v>
      </c>
      <c r="D96" s="4" t="s">
        <v>1146</v>
      </c>
      <c r="E96" s="5" t="s">
        <v>461</v>
      </c>
      <c r="F96" s="18" t="s">
        <v>579</v>
      </c>
      <c r="G96" s="18" t="s">
        <v>694</v>
      </c>
      <c r="H96" s="4" t="s">
        <v>603</v>
      </c>
      <c r="I96" s="4" t="s">
        <v>686</v>
      </c>
      <c r="J96" s="4" t="s">
        <v>1010</v>
      </c>
      <c r="K96" s="2" t="s">
        <v>290</v>
      </c>
      <c r="L96" s="14" t="str">
        <f t="shared" si="10"/>
        <v>Beneficia Dei (04 giugno 1871) | Pio IX</v>
      </c>
      <c r="M96" s="14" t="str">
        <f t="shared" si="11"/>
        <v>Enciclica Beneficia Dei</v>
      </c>
      <c r="N96" s="14" t="str">
        <f t="shared" si="12"/>
        <v>Enciclica Beneficia Dei</v>
      </c>
      <c r="O96" s="14" t="str">
        <f t="shared" si="13"/>
        <v>1871/06/04</v>
      </c>
      <c r="P96" s="14" t="str">
        <f t="shared" si="14"/>
        <v>Pio IX, Lettera Enciclica Beneficia Dei, 04 giugno 1871</v>
      </c>
      <c r="Q96" s="14" t="str">
        <f t="shared" si="15"/>
        <v>1871-06-04T08:00:00.000+02:00</v>
      </c>
      <c r="R96" s="14" t="str">
        <f t="shared" si="16"/>
        <v>piix-enc-bed</v>
      </c>
      <c r="S96" s="14" t="str">
        <f t="shared" si="17"/>
        <v>Pius IX - Litterae Encyclicae - Beneficia Dei</v>
      </c>
    </row>
    <row r="97" spans="1:19" x14ac:dyDescent="0.25">
      <c r="A97" s="12">
        <v>96</v>
      </c>
      <c r="B97" s="17" t="s">
        <v>668</v>
      </c>
      <c r="C97" s="4" t="s">
        <v>669</v>
      </c>
      <c r="D97" s="4" t="s">
        <v>1146</v>
      </c>
      <c r="E97" s="5" t="s">
        <v>462</v>
      </c>
      <c r="F97" s="18" t="s">
        <v>579</v>
      </c>
      <c r="G97" s="18" t="s">
        <v>694</v>
      </c>
      <c r="H97" s="4" t="s">
        <v>603</v>
      </c>
      <c r="I97" s="4" t="s">
        <v>686</v>
      </c>
      <c r="J97" s="4" t="s">
        <v>1011</v>
      </c>
      <c r="K97" s="2" t="s">
        <v>291</v>
      </c>
      <c r="L97" s="14" t="str">
        <f t="shared" si="10"/>
        <v>Saepe Venerabiles (05 agosto 1871) | Pio IX</v>
      </c>
      <c r="M97" s="14" t="str">
        <f t="shared" si="11"/>
        <v>Enciclica Saepe Venerabiles</v>
      </c>
      <c r="N97" s="14" t="str">
        <f t="shared" si="12"/>
        <v>Enciclica Saepe Venerabiles</v>
      </c>
      <c r="O97" s="14" t="str">
        <f t="shared" si="13"/>
        <v>1871/08/05</v>
      </c>
      <c r="P97" s="14" t="str">
        <f t="shared" si="14"/>
        <v>Pio IX, Lettera Enciclica Saepe Venerabiles, 05 agosto 1871</v>
      </c>
      <c r="Q97" s="14" t="str">
        <f t="shared" si="15"/>
        <v>1871-08-05T08:00:00.000+02:00</v>
      </c>
      <c r="R97" s="14" t="str">
        <f t="shared" si="16"/>
        <v>piix-enc-sav</v>
      </c>
      <c r="S97" s="14" t="str">
        <f t="shared" si="17"/>
        <v>Pius IX - Litterae Encyclicae - Saepe Venerabiles</v>
      </c>
    </row>
    <row r="98" spans="1:19" x14ac:dyDescent="0.25">
      <c r="A98" s="12">
        <v>97</v>
      </c>
      <c r="B98" s="17" t="s">
        <v>668</v>
      </c>
      <c r="C98" s="4" t="s">
        <v>669</v>
      </c>
      <c r="D98" s="4" t="s">
        <v>1146</v>
      </c>
      <c r="E98" s="5" t="s">
        <v>463</v>
      </c>
      <c r="F98" s="18" t="s">
        <v>579</v>
      </c>
      <c r="G98" s="18" t="s">
        <v>694</v>
      </c>
      <c r="H98" s="4" t="s">
        <v>603</v>
      </c>
      <c r="I98" s="4" t="s">
        <v>686</v>
      </c>
      <c r="J98" s="4" t="s">
        <v>1012</v>
      </c>
      <c r="K98" s="2" t="s">
        <v>292</v>
      </c>
      <c r="L98" s="14" t="str">
        <f t="shared" si="10"/>
        <v>Quartus supra vigesimum (06 gennaio 1873) | Pio IX</v>
      </c>
      <c r="M98" s="14" t="str">
        <f t="shared" si="11"/>
        <v>Enciclica Quartus supra vigesimum</v>
      </c>
      <c r="N98" s="14" t="str">
        <f t="shared" si="12"/>
        <v>Enciclica Quartus supra vigesimum</v>
      </c>
      <c r="O98" s="14" t="str">
        <f t="shared" ref="O98:O129" si="18">_xlfn.CONCAT(RIGHT(E98,4) &amp; "/" &amp; MID(E98,4,2) &amp; "/" &amp; LEFT(E98,2))</f>
        <v>1873/01/06</v>
      </c>
      <c r="P98" s="14" t="str">
        <f t="shared" si="14"/>
        <v>Pio IX, Lettera Enciclica Quartus supra vigesimum, 06 gennaio 1873</v>
      </c>
      <c r="Q98" s="14" t="str">
        <f t="shared" ref="Q98:Q129" si="19">_xlfn.CONCAT(RIGHT(E98,4) &amp; "-" &amp; MID(E98,4,2) &amp; "-" &amp; LEFT(E98,2) &amp; "T08:00:00.000+02:00")</f>
        <v>1873-01-06T08:00:00.000+02:00</v>
      </c>
      <c r="R98" s="14" t="str">
        <f t="shared" si="16"/>
        <v>piix-enc-qsv</v>
      </c>
      <c r="S98" s="14" t="str">
        <f t="shared" si="17"/>
        <v>Pius IX - Litterae Encyclicae - Quartus supra vigesimum</v>
      </c>
    </row>
    <row r="99" spans="1:19" x14ac:dyDescent="0.25">
      <c r="A99" s="12">
        <v>98</v>
      </c>
      <c r="B99" s="17" t="s">
        <v>668</v>
      </c>
      <c r="C99" s="4" t="s">
        <v>669</v>
      </c>
      <c r="D99" s="4" t="s">
        <v>1146</v>
      </c>
      <c r="E99" s="5" t="s">
        <v>464</v>
      </c>
      <c r="F99" s="18" t="s">
        <v>579</v>
      </c>
      <c r="G99" s="18" t="s">
        <v>694</v>
      </c>
      <c r="H99" s="4" t="s">
        <v>603</v>
      </c>
      <c r="I99" s="4" t="s">
        <v>686</v>
      </c>
      <c r="J99" s="4" t="s">
        <v>1013</v>
      </c>
      <c r="K99" s="2" t="s">
        <v>293</v>
      </c>
      <c r="L99" s="14" t="str">
        <f t="shared" si="10"/>
        <v>Etsi multa luctuosa (21 novembre 1873) | Pio IX</v>
      </c>
      <c r="M99" s="14" t="str">
        <f t="shared" si="11"/>
        <v>Enciclica Etsi multa luctuosa</v>
      </c>
      <c r="N99" s="14" t="str">
        <f t="shared" si="12"/>
        <v>Enciclica Etsi multa luctuosa</v>
      </c>
      <c r="O99" s="14" t="str">
        <f t="shared" si="18"/>
        <v>1873/11/21</v>
      </c>
      <c r="P99" s="14" t="str">
        <f t="shared" si="14"/>
        <v>Pio IX, Lettera Enciclica Etsi multa luctuosa, 21 novembre 1873</v>
      </c>
      <c r="Q99" s="14" t="str">
        <f t="shared" si="19"/>
        <v>1873-11-21T08:00:00.000+02:00</v>
      </c>
      <c r="R99" s="14" t="str">
        <f t="shared" si="16"/>
        <v>piix-enc-eml</v>
      </c>
      <c r="S99" s="14" t="str">
        <f t="shared" si="17"/>
        <v>Pius IX - Litterae Encyclicae - Etsi multa luctuosa</v>
      </c>
    </row>
    <row r="100" spans="1:19" x14ac:dyDescent="0.25">
      <c r="A100" s="12">
        <v>99</v>
      </c>
      <c r="B100" s="17" t="s">
        <v>668</v>
      </c>
      <c r="C100" s="4" t="s">
        <v>669</v>
      </c>
      <c r="D100" s="4" t="s">
        <v>1146</v>
      </c>
      <c r="E100" s="5" t="s">
        <v>465</v>
      </c>
      <c r="F100" s="18" t="s">
        <v>579</v>
      </c>
      <c r="G100" s="18" t="s">
        <v>694</v>
      </c>
      <c r="H100" s="4" t="s">
        <v>603</v>
      </c>
      <c r="I100" s="4" t="s">
        <v>686</v>
      </c>
      <c r="J100" s="4" t="s">
        <v>1014</v>
      </c>
      <c r="K100" s="2" t="s">
        <v>294</v>
      </c>
      <c r="L100" s="14" t="str">
        <f t="shared" si="10"/>
        <v>Vix dum a nobis (07 marzo 1874) | Pio IX</v>
      </c>
      <c r="M100" s="14" t="str">
        <f t="shared" si="11"/>
        <v>Enciclica Vix dum a nobis</v>
      </c>
      <c r="N100" s="14" t="str">
        <f t="shared" si="12"/>
        <v>Enciclica Vix dum a nobis</v>
      </c>
      <c r="O100" s="14" t="str">
        <f t="shared" si="18"/>
        <v>1874/03/07</v>
      </c>
      <c r="P100" s="14" t="str">
        <f t="shared" si="14"/>
        <v>Pio IX, Lettera Enciclica Vix dum a nobis, 07 marzo 1874</v>
      </c>
      <c r="Q100" s="14" t="str">
        <f t="shared" si="19"/>
        <v>1874-03-07T08:00:00.000+02:00</v>
      </c>
      <c r="R100" s="14" t="str">
        <f t="shared" si="16"/>
        <v>piix-enc-vdn</v>
      </c>
      <c r="S100" s="14" t="str">
        <f t="shared" si="17"/>
        <v>Pius IX - Litterae Encyclicae - Vix dum a nobis</v>
      </c>
    </row>
    <row r="101" spans="1:19" x14ac:dyDescent="0.25">
      <c r="A101" s="12">
        <v>100</v>
      </c>
      <c r="B101" s="17" t="s">
        <v>668</v>
      </c>
      <c r="C101" s="4" t="s">
        <v>669</v>
      </c>
      <c r="D101" s="4" t="s">
        <v>1146</v>
      </c>
      <c r="E101" s="5" t="s">
        <v>466</v>
      </c>
      <c r="F101" s="18" t="s">
        <v>579</v>
      </c>
      <c r="G101" s="18" t="s">
        <v>694</v>
      </c>
      <c r="H101" s="4" t="s">
        <v>603</v>
      </c>
      <c r="I101" s="4" t="s">
        <v>686</v>
      </c>
      <c r="J101" s="4" t="s">
        <v>1015</v>
      </c>
      <c r="K101" s="2" t="s">
        <v>295</v>
      </c>
      <c r="L101" s="14" t="str">
        <f t="shared" si="10"/>
        <v>Omnem sollicitudinem (13 maggio 1874) | Pio IX</v>
      </c>
      <c r="M101" s="14" t="str">
        <f t="shared" si="11"/>
        <v>Enciclica Omnem sollicitudinem</v>
      </c>
      <c r="N101" s="14" t="str">
        <f t="shared" si="12"/>
        <v>Enciclica Omnem sollicitudinem</v>
      </c>
      <c r="O101" s="14" t="str">
        <f t="shared" si="18"/>
        <v>1874/05/13</v>
      </c>
      <c r="P101" s="14" t="str">
        <f t="shared" si="14"/>
        <v>Pio IX, Lettera Enciclica Omnem sollicitudinem, 13 maggio 1874</v>
      </c>
      <c r="Q101" s="14" t="str">
        <f t="shared" si="19"/>
        <v>1874-05-13T08:00:00.000+02:00</v>
      </c>
      <c r="R101" s="14" t="str">
        <f t="shared" si="16"/>
        <v>piix-enc-oms</v>
      </c>
      <c r="S101" s="14" t="str">
        <f t="shared" si="17"/>
        <v>Pius IX - Litterae Encyclicae - Omnem sollicitudinem</v>
      </c>
    </row>
    <row r="102" spans="1:19" x14ac:dyDescent="0.25">
      <c r="A102" s="12">
        <v>101</v>
      </c>
      <c r="B102" s="17" t="s">
        <v>668</v>
      </c>
      <c r="C102" s="4" t="s">
        <v>669</v>
      </c>
      <c r="D102" s="4" t="s">
        <v>1146</v>
      </c>
      <c r="E102" s="5" t="s">
        <v>467</v>
      </c>
      <c r="F102" s="18" t="s">
        <v>579</v>
      </c>
      <c r="G102" s="18" t="s">
        <v>694</v>
      </c>
      <c r="H102" s="4" t="s">
        <v>603</v>
      </c>
      <c r="I102" s="4" t="s">
        <v>686</v>
      </c>
      <c r="J102" s="4" t="s">
        <v>1016</v>
      </c>
      <c r="K102" s="2" t="s">
        <v>296</v>
      </c>
      <c r="L102" s="14" t="str">
        <f t="shared" si="10"/>
        <v>Gravibus ecclesiae (24 dicembre 1874) | Pio IX</v>
      </c>
      <c r="M102" s="14" t="str">
        <f t="shared" si="11"/>
        <v>Enciclica Gravibus ecclesiae</v>
      </c>
      <c r="N102" s="14" t="str">
        <f t="shared" si="12"/>
        <v>Enciclica Gravibus ecclesiae</v>
      </c>
      <c r="O102" s="14" t="str">
        <f t="shared" si="18"/>
        <v>1874/12/24</v>
      </c>
      <c r="P102" s="14" t="str">
        <f t="shared" si="14"/>
        <v>Pio IX, Lettera Enciclica Gravibus ecclesiae, 24 dicembre 1874</v>
      </c>
      <c r="Q102" s="14" t="str">
        <f t="shared" si="19"/>
        <v>1874-12-24T08:00:00.000+02:00</v>
      </c>
      <c r="R102" s="14" t="str">
        <f t="shared" si="16"/>
        <v>piix-enc-gre</v>
      </c>
      <c r="S102" s="14" t="str">
        <f t="shared" si="17"/>
        <v>Pius IX - Litterae Encyclicae - Gravibus ecclesiae</v>
      </c>
    </row>
    <row r="103" spans="1:19" x14ac:dyDescent="0.25">
      <c r="A103" s="12">
        <v>102</v>
      </c>
      <c r="B103" s="17" t="s">
        <v>668</v>
      </c>
      <c r="C103" s="4" t="s">
        <v>669</v>
      </c>
      <c r="D103" s="4" t="s">
        <v>1146</v>
      </c>
      <c r="E103" s="5" t="s">
        <v>468</v>
      </c>
      <c r="F103" s="18" t="s">
        <v>579</v>
      </c>
      <c r="G103" s="18" t="s">
        <v>694</v>
      </c>
      <c r="H103" s="4" t="s">
        <v>603</v>
      </c>
      <c r="I103" s="4" t="s">
        <v>686</v>
      </c>
      <c r="J103" s="4" t="s">
        <v>1000</v>
      </c>
      <c r="K103" s="2" t="s">
        <v>297</v>
      </c>
      <c r="L103" s="14" t="str">
        <f t="shared" si="10"/>
        <v>Quod nunquam (05 febbraio 1875) | Pio IX</v>
      </c>
      <c r="M103" s="14" t="str">
        <f t="shared" si="11"/>
        <v>Enciclica Quod nunquam</v>
      </c>
      <c r="N103" s="14" t="str">
        <f t="shared" si="12"/>
        <v>Enciclica Quod nunquam</v>
      </c>
      <c r="O103" s="14" t="str">
        <f t="shared" si="18"/>
        <v>1875/02/05</v>
      </c>
      <c r="P103" s="14" t="str">
        <f t="shared" si="14"/>
        <v>Pio IX, Lettera Enciclica Quod nunquam, 05 febbraio 1875</v>
      </c>
      <c r="Q103" s="14" t="str">
        <f t="shared" si="19"/>
        <v>1875-02-05T08:00:00.000+02:00</v>
      </c>
      <c r="R103" s="14" t="str">
        <f t="shared" si="16"/>
        <v>piix-enc-qun</v>
      </c>
      <c r="S103" s="14" t="str">
        <f t="shared" si="17"/>
        <v>Pius IX - Litterae Encyclicae - Quod nunquam</v>
      </c>
    </row>
    <row r="104" spans="1:19" x14ac:dyDescent="0.25">
      <c r="A104" s="12">
        <v>103</v>
      </c>
      <c r="B104" s="17" t="s">
        <v>668</v>
      </c>
      <c r="C104" s="4" t="s">
        <v>669</v>
      </c>
      <c r="D104" s="4" t="s">
        <v>1146</v>
      </c>
      <c r="E104" s="5" t="s">
        <v>469</v>
      </c>
      <c r="F104" s="18" t="s">
        <v>579</v>
      </c>
      <c r="G104" s="18" t="s">
        <v>694</v>
      </c>
      <c r="H104" s="4" t="s">
        <v>603</v>
      </c>
      <c r="I104" s="4" t="s">
        <v>686</v>
      </c>
      <c r="J104" s="4" t="s">
        <v>1017</v>
      </c>
      <c r="K104" s="2" t="s">
        <v>298</v>
      </c>
      <c r="L104" s="14" t="str">
        <f t="shared" si="10"/>
        <v>Graves ac diuturnae (23 marzo 1875) | Pio IX</v>
      </c>
      <c r="M104" s="14" t="str">
        <f t="shared" si="11"/>
        <v>Enciclica Graves ac diuturnae</v>
      </c>
      <c r="N104" s="14" t="str">
        <f t="shared" si="12"/>
        <v>Enciclica Graves ac diuturnae</v>
      </c>
      <c r="O104" s="14" t="str">
        <f t="shared" si="18"/>
        <v>1875/03/23</v>
      </c>
      <c r="P104" s="14" t="str">
        <f t="shared" si="14"/>
        <v>Pio IX, Lettera Enciclica Graves ac diuturnae, 23 marzo 1875</v>
      </c>
      <c r="Q104" s="14" t="str">
        <f t="shared" si="19"/>
        <v>1875-03-23T08:00:00.000+02:00</v>
      </c>
      <c r="R104" s="14" t="str">
        <f t="shared" si="16"/>
        <v>piix-enc-gad</v>
      </c>
      <c r="S104" s="14" t="str">
        <f t="shared" si="17"/>
        <v>Pius IX - Litterae Encyclicae - Graves ac diuturnae</v>
      </c>
    </row>
    <row r="105" spans="1:19" x14ac:dyDescent="0.25">
      <c r="A105" s="12">
        <v>104</v>
      </c>
      <c r="B105" s="17" t="s">
        <v>668</v>
      </c>
      <c r="C105" s="4" t="s">
        <v>669</v>
      </c>
      <c r="D105" s="4" t="s">
        <v>1146</v>
      </c>
      <c r="E105" s="5" t="s">
        <v>470</v>
      </c>
      <c r="F105" s="18" t="s">
        <v>579</v>
      </c>
      <c r="G105" s="18" t="s">
        <v>694</v>
      </c>
      <c r="H105" s="4" t="s">
        <v>603</v>
      </c>
      <c r="I105" s="4" t="s">
        <v>686</v>
      </c>
      <c r="J105" s="4" t="s">
        <v>1018</v>
      </c>
      <c r="K105" s="2" t="s">
        <v>299</v>
      </c>
      <c r="L105" s="14" t="str">
        <f t="shared" si="10"/>
        <v>Exortae in ista (20 aprile 1876) | Pio IX</v>
      </c>
      <c r="M105" s="14" t="str">
        <f t="shared" si="11"/>
        <v>Enciclica Exortae in ista</v>
      </c>
      <c r="N105" s="14" t="str">
        <f t="shared" si="12"/>
        <v>Enciclica Exortae in ista</v>
      </c>
      <c r="O105" s="14" t="str">
        <f t="shared" si="18"/>
        <v>1876/04/20</v>
      </c>
      <c r="P105" s="14" t="str">
        <f t="shared" si="14"/>
        <v>Pio IX, Lettera Enciclica Exortae in ista, 20 aprile 1876</v>
      </c>
      <c r="Q105" s="14" t="str">
        <f t="shared" si="19"/>
        <v>1876-04-20T08:00:00.000+02:00</v>
      </c>
      <c r="R105" s="14" t="str">
        <f t="shared" si="16"/>
        <v>piix-enc-eii</v>
      </c>
      <c r="S105" s="14" t="str">
        <f t="shared" si="17"/>
        <v>Pius IX - Litterae Encyclicae - Exortae in ista</v>
      </c>
    </row>
    <row r="106" spans="1:19" x14ac:dyDescent="0.25">
      <c r="A106" s="12">
        <v>105</v>
      </c>
      <c r="B106" s="17" t="s">
        <v>668</v>
      </c>
      <c r="C106" s="4" t="s">
        <v>669</v>
      </c>
      <c r="D106" s="4" t="s">
        <v>1146</v>
      </c>
      <c r="E106" s="5" t="s">
        <v>471</v>
      </c>
      <c r="F106" s="18" t="s">
        <v>579</v>
      </c>
      <c r="G106" s="18" t="s">
        <v>694</v>
      </c>
      <c r="H106" s="4" t="s">
        <v>603</v>
      </c>
      <c r="I106" s="4" t="s">
        <v>686</v>
      </c>
      <c r="J106" s="4" t="s">
        <v>1019</v>
      </c>
      <c r="K106" s="2" t="s">
        <v>300</v>
      </c>
      <c r="L106" s="14" t="str">
        <f t="shared" si="10"/>
        <v>Quae in patriarchatu (01 settembre 1876) | Pio IX</v>
      </c>
      <c r="M106" s="14" t="str">
        <f t="shared" si="11"/>
        <v>Enciclica Quae in patriarchatu</v>
      </c>
      <c r="N106" s="14" t="str">
        <f t="shared" si="12"/>
        <v>Enciclica Quae in patriarchatu</v>
      </c>
      <c r="O106" s="14" t="str">
        <f t="shared" si="18"/>
        <v>1876/09/01</v>
      </c>
      <c r="P106" s="14" t="str">
        <f t="shared" si="14"/>
        <v>Pio IX, Lettera Enciclica Quae in patriarchatu, 01 settembre 1876</v>
      </c>
      <c r="Q106" s="14" t="str">
        <f t="shared" si="19"/>
        <v>1876-09-01T08:00:00.000+02:00</v>
      </c>
      <c r="R106" s="14" t="str">
        <f t="shared" si="16"/>
        <v>piix-enc-qip</v>
      </c>
      <c r="S106" s="14" t="str">
        <f t="shared" si="17"/>
        <v>Pius IX - Litterae Encyclicae - Quae in patriarchatu</v>
      </c>
    </row>
    <row r="107" spans="1:19" x14ac:dyDescent="0.25">
      <c r="A107" s="12">
        <v>106</v>
      </c>
      <c r="B107" s="17" t="s">
        <v>667</v>
      </c>
      <c r="C107" s="4" t="s">
        <v>666</v>
      </c>
      <c r="D107" s="4" t="s">
        <v>1147</v>
      </c>
      <c r="E107" s="5" t="s">
        <v>472</v>
      </c>
      <c r="F107" s="18" t="s">
        <v>579</v>
      </c>
      <c r="G107" s="18" t="s">
        <v>694</v>
      </c>
      <c r="H107" s="4" t="s">
        <v>603</v>
      </c>
      <c r="I107" s="4" t="s">
        <v>686</v>
      </c>
      <c r="J107" s="4" t="s">
        <v>1020</v>
      </c>
      <c r="K107" s="2" t="s">
        <v>173</v>
      </c>
      <c r="L107" s="14" t="str">
        <f t="shared" si="10"/>
        <v>Inscrutabili Dei Consilio (21 aprile 1878) | Leone XIII</v>
      </c>
      <c r="M107" s="14" t="str">
        <f t="shared" si="11"/>
        <v>Enciclica Inscrutabili Dei Consilio</v>
      </c>
      <c r="N107" s="14" t="str">
        <f t="shared" si="12"/>
        <v>Enciclica Inscrutabili Dei Consilio</v>
      </c>
      <c r="O107" s="14" t="str">
        <f t="shared" si="18"/>
        <v>1878/04/21</v>
      </c>
      <c r="P107" s="14" t="str">
        <f t="shared" si="14"/>
        <v>Leone XIII, Lettera Enciclica Inscrutabili Dei Consilio, 21 aprile 1878</v>
      </c>
      <c r="Q107" s="14" t="str">
        <f t="shared" si="19"/>
        <v>1878-04-21T08:00:00.000+02:00</v>
      </c>
      <c r="R107" s="14" t="str">
        <f t="shared" si="16"/>
        <v>lxiii-enc-idc</v>
      </c>
      <c r="S107" s="14" t="str">
        <f t="shared" si="17"/>
        <v>Leo XIII - Litterae Encyclicae - Inscrutabili Dei Consilio</v>
      </c>
    </row>
    <row r="108" spans="1:19" x14ac:dyDescent="0.25">
      <c r="A108" s="12">
        <v>107</v>
      </c>
      <c r="B108" s="17" t="s">
        <v>667</v>
      </c>
      <c r="C108" s="4" t="s">
        <v>666</v>
      </c>
      <c r="D108" s="4" t="s">
        <v>1147</v>
      </c>
      <c r="E108" s="5" t="s">
        <v>473</v>
      </c>
      <c r="F108" s="18" t="s">
        <v>579</v>
      </c>
      <c r="G108" s="18" t="s">
        <v>694</v>
      </c>
      <c r="H108" s="4" t="s">
        <v>603</v>
      </c>
      <c r="I108" s="4" t="s">
        <v>686</v>
      </c>
      <c r="J108" s="4" t="s">
        <v>1021</v>
      </c>
      <c r="K108" s="2" t="s">
        <v>174</v>
      </c>
      <c r="L108" s="14" t="str">
        <f t="shared" si="10"/>
        <v>Quod Apostolici Muneris (28 dicembre 1878) | Leone XIII</v>
      </c>
      <c r="M108" s="14" t="str">
        <f t="shared" si="11"/>
        <v>Enciclica Quod Apostolici Muneris</v>
      </c>
      <c r="N108" s="14" t="str">
        <f t="shared" si="12"/>
        <v>Enciclica Quod Apostolici Muneris</v>
      </c>
      <c r="O108" s="14" t="str">
        <f t="shared" si="18"/>
        <v>1878/12/28</v>
      </c>
      <c r="P108" s="14" t="str">
        <f t="shared" si="14"/>
        <v>Leone XIII, Lettera Enciclica Quod Apostolici Muneris, 28 dicembre 1878</v>
      </c>
      <c r="Q108" s="14" t="str">
        <f t="shared" si="19"/>
        <v>1878-12-28T08:00:00.000+02:00</v>
      </c>
      <c r="R108" s="14" t="str">
        <f t="shared" si="16"/>
        <v>lxiii-enc-qam</v>
      </c>
      <c r="S108" s="14" t="str">
        <f t="shared" si="17"/>
        <v>Leo XIII - Litterae Encyclicae - Quod Apostolici Muneris</v>
      </c>
    </row>
    <row r="109" spans="1:19" x14ac:dyDescent="0.25">
      <c r="A109" s="12">
        <v>108</v>
      </c>
      <c r="B109" s="17" t="s">
        <v>667</v>
      </c>
      <c r="C109" s="4" t="s">
        <v>666</v>
      </c>
      <c r="D109" s="4" t="s">
        <v>1147</v>
      </c>
      <c r="E109" s="5" t="s">
        <v>474</v>
      </c>
      <c r="F109" s="18" t="s">
        <v>579</v>
      </c>
      <c r="G109" s="18" t="s">
        <v>694</v>
      </c>
      <c r="H109" s="4" t="s">
        <v>603</v>
      </c>
      <c r="I109" s="4" t="s">
        <v>686</v>
      </c>
      <c r="J109" s="4" t="s">
        <v>1022</v>
      </c>
      <c r="K109" s="2" t="s">
        <v>175</v>
      </c>
      <c r="L109" s="14" t="str">
        <f t="shared" si="10"/>
        <v>Aeterni Patris (04 agosto 1879) | Leone XIII</v>
      </c>
      <c r="M109" s="14" t="str">
        <f t="shared" si="11"/>
        <v>Enciclica Aeterni Patris</v>
      </c>
      <c r="N109" s="14" t="str">
        <f t="shared" si="12"/>
        <v>Enciclica Aeterni Patris</v>
      </c>
      <c r="O109" s="14" t="str">
        <f t="shared" si="18"/>
        <v>1879/08/04</v>
      </c>
      <c r="P109" s="14" t="str">
        <f t="shared" si="14"/>
        <v>Leone XIII, Lettera Enciclica Aeterni Patris, 04 agosto 1879</v>
      </c>
      <c r="Q109" s="14" t="str">
        <f t="shared" si="19"/>
        <v>1879-08-04T08:00:00.000+02:00</v>
      </c>
      <c r="R109" s="14" t="str">
        <f t="shared" si="16"/>
        <v>lxiii-enc-aep</v>
      </c>
      <c r="S109" s="14" t="str">
        <f t="shared" si="17"/>
        <v>Leo XIII - Litterae Encyclicae - Aeterni Patris</v>
      </c>
    </row>
    <row r="110" spans="1:19" x14ac:dyDescent="0.25">
      <c r="A110" s="12">
        <v>109</v>
      </c>
      <c r="B110" s="17" t="s">
        <v>667</v>
      </c>
      <c r="C110" s="4" t="s">
        <v>666</v>
      </c>
      <c r="D110" s="4" t="s">
        <v>1147</v>
      </c>
      <c r="E110" s="5" t="s">
        <v>475</v>
      </c>
      <c r="F110" s="18" t="s">
        <v>579</v>
      </c>
      <c r="G110" s="18" t="s">
        <v>694</v>
      </c>
      <c r="H110" s="4" t="s">
        <v>603</v>
      </c>
      <c r="I110" s="4" t="s">
        <v>686</v>
      </c>
      <c r="J110" s="4" t="s">
        <v>1023</v>
      </c>
      <c r="K110" s="2" t="s">
        <v>176</v>
      </c>
      <c r="L110" s="14" t="str">
        <f t="shared" si="10"/>
        <v>Arcanum Divinae (10 febbraio 1880) | Leone XIII</v>
      </c>
      <c r="M110" s="14" t="str">
        <f t="shared" si="11"/>
        <v>Enciclica Arcanum Divinae</v>
      </c>
      <c r="N110" s="14" t="str">
        <f t="shared" si="12"/>
        <v>Enciclica Arcanum Divinae</v>
      </c>
      <c r="O110" s="14" t="str">
        <f t="shared" si="18"/>
        <v>1880/02/10</v>
      </c>
      <c r="P110" s="14" t="str">
        <f t="shared" si="14"/>
        <v>Leone XIII, Lettera Enciclica Arcanum Divinae, 10 febbraio 1880</v>
      </c>
      <c r="Q110" s="14" t="str">
        <f t="shared" si="19"/>
        <v>1880-02-10T08:00:00.000+02:00</v>
      </c>
      <c r="R110" s="14" t="str">
        <f t="shared" si="16"/>
        <v>lxiii-enc-ard</v>
      </c>
      <c r="S110" s="14" t="str">
        <f t="shared" si="17"/>
        <v>Leo XIII - Litterae Encyclicae - Arcanum Divinae</v>
      </c>
    </row>
    <row r="111" spans="1:19" x14ac:dyDescent="0.25">
      <c r="A111" s="12">
        <v>110</v>
      </c>
      <c r="B111" s="17" t="s">
        <v>667</v>
      </c>
      <c r="C111" s="4" t="s">
        <v>666</v>
      </c>
      <c r="D111" s="4" t="s">
        <v>1147</v>
      </c>
      <c r="E111" s="5" t="s">
        <v>476</v>
      </c>
      <c r="F111" s="18" t="s">
        <v>579</v>
      </c>
      <c r="G111" s="18" t="s">
        <v>694</v>
      </c>
      <c r="H111" s="4" t="s">
        <v>603</v>
      </c>
      <c r="I111" s="4" t="s">
        <v>686</v>
      </c>
      <c r="J111" s="4" t="s">
        <v>1024</v>
      </c>
      <c r="K111" s="2" t="s">
        <v>177</v>
      </c>
      <c r="L111" s="14" t="str">
        <f t="shared" si="10"/>
        <v>Grande Munus (30 settembre 1880) | Leone XIII</v>
      </c>
      <c r="M111" s="14" t="str">
        <f t="shared" si="11"/>
        <v>Enciclica Grande Munus</v>
      </c>
      <c r="N111" s="14" t="str">
        <f t="shared" si="12"/>
        <v>Enciclica Grande Munus</v>
      </c>
      <c r="O111" s="14" t="str">
        <f t="shared" si="18"/>
        <v>1880/09/30</v>
      </c>
      <c r="P111" s="14" t="str">
        <f t="shared" si="14"/>
        <v>Leone XIII, Lettera Enciclica Grande Munus, 30 settembre 1880</v>
      </c>
      <c r="Q111" s="14" t="str">
        <f t="shared" si="19"/>
        <v>1880-09-30T08:00:00.000+02:00</v>
      </c>
      <c r="R111" s="14" t="str">
        <f t="shared" si="16"/>
        <v>lxiii-enc-grm</v>
      </c>
      <c r="S111" s="14" t="str">
        <f t="shared" si="17"/>
        <v>Leo XIII - Litterae Encyclicae - Grande Munus</v>
      </c>
    </row>
    <row r="112" spans="1:19" x14ac:dyDescent="0.25">
      <c r="A112" s="12">
        <v>111</v>
      </c>
      <c r="B112" s="17" t="s">
        <v>667</v>
      </c>
      <c r="C112" s="4" t="s">
        <v>666</v>
      </c>
      <c r="D112" s="4" t="s">
        <v>1147</v>
      </c>
      <c r="E112" s="5" t="s">
        <v>477</v>
      </c>
      <c r="F112" s="18" t="s">
        <v>579</v>
      </c>
      <c r="G112" s="18" t="s">
        <v>694</v>
      </c>
      <c r="H112" s="4" t="s">
        <v>603</v>
      </c>
      <c r="I112" s="4" t="s">
        <v>686</v>
      </c>
      <c r="J112" s="4" t="s">
        <v>1025</v>
      </c>
      <c r="K112" s="2" t="s">
        <v>178</v>
      </c>
      <c r="L112" s="14" t="str">
        <f t="shared" si="10"/>
        <v>Sancta Dei Civitas (03 dicembre 1880) | Leone XIII</v>
      </c>
      <c r="M112" s="14" t="str">
        <f t="shared" si="11"/>
        <v>Enciclica Sancta Dei Civitas</v>
      </c>
      <c r="N112" s="14" t="str">
        <f t="shared" si="12"/>
        <v>Enciclica Sancta Dei Civitas</v>
      </c>
      <c r="O112" s="14" t="str">
        <f t="shared" si="18"/>
        <v>1880/12/03</v>
      </c>
      <c r="P112" s="14" t="str">
        <f t="shared" si="14"/>
        <v>Leone XIII, Lettera Enciclica Sancta Dei Civitas, 03 dicembre 1880</v>
      </c>
      <c r="Q112" s="14" t="str">
        <f t="shared" si="19"/>
        <v>1880-12-03T08:00:00.000+02:00</v>
      </c>
      <c r="R112" s="14" t="str">
        <f t="shared" si="16"/>
        <v>lxiii-enc-sdc</v>
      </c>
      <c r="S112" s="14" t="str">
        <f t="shared" si="17"/>
        <v>Leo XIII - Litterae Encyclicae - Sancta Dei Civitas</v>
      </c>
    </row>
    <row r="113" spans="1:19" x14ac:dyDescent="0.25">
      <c r="A113" s="12">
        <v>112</v>
      </c>
      <c r="B113" s="17" t="s">
        <v>667</v>
      </c>
      <c r="C113" s="4" t="s">
        <v>666</v>
      </c>
      <c r="D113" s="4" t="s">
        <v>1147</v>
      </c>
      <c r="E113" s="5" t="s">
        <v>478</v>
      </c>
      <c r="F113" s="18" t="s">
        <v>579</v>
      </c>
      <c r="G113" s="18" t="s">
        <v>694</v>
      </c>
      <c r="H113" s="4" t="s">
        <v>603</v>
      </c>
      <c r="I113" s="4" t="s">
        <v>686</v>
      </c>
      <c r="J113" s="4" t="s">
        <v>1026</v>
      </c>
      <c r="K113" s="2" t="s">
        <v>179</v>
      </c>
      <c r="L113" s="14" t="str">
        <f t="shared" si="10"/>
        <v>Diuturnum Illud (29 giugno 1881) | Leone XIII</v>
      </c>
      <c r="M113" s="14" t="str">
        <f t="shared" si="11"/>
        <v>Enciclica Diuturnum Illud</v>
      </c>
      <c r="N113" s="14" t="str">
        <f t="shared" si="12"/>
        <v>Enciclica Diuturnum Illud</v>
      </c>
      <c r="O113" s="14" t="str">
        <f t="shared" si="18"/>
        <v>1881/06/29</v>
      </c>
      <c r="P113" s="14" t="str">
        <f t="shared" si="14"/>
        <v>Leone XIII, Lettera Enciclica Diuturnum Illud, 29 giugno 1881</v>
      </c>
      <c r="Q113" s="14" t="str">
        <f t="shared" si="19"/>
        <v>1881-06-29T08:00:00.000+02:00</v>
      </c>
      <c r="R113" s="14" t="str">
        <f t="shared" si="16"/>
        <v>lxiii-enc-dii</v>
      </c>
      <c r="S113" s="14" t="str">
        <f t="shared" si="17"/>
        <v>Leo XIII - Litterae Encyclicae - Diuturnum Illud</v>
      </c>
    </row>
    <row r="114" spans="1:19" x14ac:dyDescent="0.25">
      <c r="A114" s="12">
        <v>113</v>
      </c>
      <c r="B114" s="17" t="s">
        <v>667</v>
      </c>
      <c r="C114" s="4" t="s">
        <v>666</v>
      </c>
      <c r="D114" s="4" t="s">
        <v>1147</v>
      </c>
      <c r="E114" s="5" t="s">
        <v>479</v>
      </c>
      <c r="F114" s="18" t="s">
        <v>579</v>
      </c>
      <c r="G114" s="18" t="s">
        <v>694</v>
      </c>
      <c r="H114" s="4" t="s">
        <v>603</v>
      </c>
      <c r="I114" s="4" t="s">
        <v>686</v>
      </c>
      <c r="J114" s="4" t="s">
        <v>1027</v>
      </c>
      <c r="K114" s="2" t="s">
        <v>180</v>
      </c>
      <c r="L114" s="14" t="str">
        <f t="shared" si="10"/>
        <v>Licet Multa (03 agosto 1881) | Leone XIII</v>
      </c>
      <c r="M114" s="14" t="str">
        <f t="shared" si="11"/>
        <v>Enciclica Licet Multa</v>
      </c>
      <c r="N114" s="14" t="str">
        <f t="shared" si="12"/>
        <v>Enciclica Licet Multa</v>
      </c>
      <c r="O114" s="14" t="str">
        <f t="shared" si="18"/>
        <v>1881/08/03</v>
      </c>
      <c r="P114" s="14" t="str">
        <f t="shared" si="14"/>
        <v>Leone XIII, Lettera Enciclica Licet Multa, 03 agosto 1881</v>
      </c>
      <c r="Q114" s="14" t="str">
        <f t="shared" si="19"/>
        <v>1881-08-03T08:00:00.000+02:00</v>
      </c>
      <c r="R114" s="14" t="str">
        <f t="shared" si="16"/>
        <v>lxiii-enc-lim</v>
      </c>
      <c r="S114" s="14" t="str">
        <f t="shared" si="17"/>
        <v>Leo XIII - Litterae Encyclicae - Licet Multa</v>
      </c>
    </row>
    <row r="115" spans="1:19" x14ac:dyDescent="0.25">
      <c r="A115" s="12">
        <v>114</v>
      </c>
      <c r="B115" s="17" t="s">
        <v>667</v>
      </c>
      <c r="C115" s="4" t="s">
        <v>666</v>
      </c>
      <c r="D115" s="4" t="s">
        <v>1147</v>
      </c>
      <c r="E115" s="5" t="s">
        <v>480</v>
      </c>
      <c r="F115" s="18" t="s">
        <v>579</v>
      </c>
      <c r="G115" s="18" t="s">
        <v>694</v>
      </c>
      <c r="H115" s="4" t="s">
        <v>603</v>
      </c>
      <c r="I115" s="4" t="s">
        <v>686</v>
      </c>
      <c r="J115" s="4" t="s">
        <v>1028</v>
      </c>
      <c r="K115" s="2" t="s">
        <v>181</v>
      </c>
      <c r="L115" s="14" t="str">
        <f t="shared" si="10"/>
        <v>Etsi Nos (15 febbraio 1882) | Leone XIII</v>
      </c>
      <c r="M115" s="14" t="str">
        <f t="shared" si="11"/>
        <v>Enciclica Etsi Nos</v>
      </c>
      <c r="N115" s="14" t="str">
        <f t="shared" si="12"/>
        <v>Enciclica Etsi Nos</v>
      </c>
      <c r="O115" s="14" t="str">
        <f t="shared" si="18"/>
        <v>1882/02/15</v>
      </c>
      <c r="P115" s="14" t="str">
        <f t="shared" si="14"/>
        <v>Leone XIII, Lettera Enciclica Etsi Nos, 15 febbraio 1882</v>
      </c>
      <c r="Q115" s="14" t="str">
        <f t="shared" si="19"/>
        <v>1882-02-15T08:00:00.000+02:00</v>
      </c>
      <c r="R115" s="14" t="str">
        <f t="shared" si="16"/>
        <v>lxiii-enc-etn</v>
      </c>
      <c r="S115" s="14" t="str">
        <f t="shared" si="17"/>
        <v>Leo XIII - Litterae Encyclicae - Etsi Nos</v>
      </c>
    </row>
    <row r="116" spans="1:19" x14ac:dyDescent="0.25">
      <c r="A116" s="12">
        <v>115</v>
      </c>
      <c r="B116" s="17" t="s">
        <v>667</v>
      </c>
      <c r="C116" s="4" t="s">
        <v>666</v>
      </c>
      <c r="D116" s="4" t="s">
        <v>1147</v>
      </c>
      <c r="E116" s="5" t="s">
        <v>481</v>
      </c>
      <c r="F116" s="18" t="s">
        <v>579</v>
      </c>
      <c r="G116" s="18" t="s">
        <v>694</v>
      </c>
      <c r="H116" s="4" t="s">
        <v>603</v>
      </c>
      <c r="I116" s="4" t="s">
        <v>686</v>
      </c>
      <c r="J116" s="4" t="s">
        <v>1029</v>
      </c>
      <c r="K116" s="2" t="s">
        <v>182</v>
      </c>
      <c r="L116" s="14" t="str">
        <f t="shared" si="10"/>
        <v>Auspicato Concessum (17 settembre 1882) | Leone XIII</v>
      </c>
      <c r="M116" s="14" t="str">
        <f t="shared" si="11"/>
        <v>Enciclica Auspicato Concessum</v>
      </c>
      <c r="N116" s="14" t="str">
        <f t="shared" si="12"/>
        <v>Enciclica Auspicato Concessum</v>
      </c>
      <c r="O116" s="14" t="str">
        <f t="shared" si="18"/>
        <v>1882/09/17</v>
      </c>
      <c r="P116" s="14" t="str">
        <f t="shared" si="14"/>
        <v>Leone XIII, Lettera Enciclica Auspicato Concessum, 17 settembre 1882</v>
      </c>
      <c r="Q116" s="14" t="str">
        <f t="shared" si="19"/>
        <v>1882-09-17T08:00:00.000+02:00</v>
      </c>
      <c r="R116" s="14" t="str">
        <f t="shared" si="16"/>
        <v>lxiii-enc-auc</v>
      </c>
      <c r="S116" s="14" t="str">
        <f t="shared" si="17"/>
        <v>Leo XIII - Litterae Encyclicae - Auspicato Concessum</v>
      </c>
    </row>
    <row r="117" spans="1:19" x14ac:dyDescent="0.25">
      <c r="A117" s="12">
        <v>116</v>
      </c>
      <c r="B117" s="17" t="s">
        <v>667</v>
      </c>
      <c r="C117" s="4" t="s">
        <v>666</v>
      </c>
      <c r="D117" s="4" t="s">
        <v>1147</v>
      </c>
      <c r="E117" s="5" t="s">
        <v>482</v>
      </c>
      <c r="F117" s="18" t="s">
        <v>579</v>
      </c>
      <c r="G117" s="18" t="s">
        <v>694</v>
      </c>
      <c r="H117" s="4" t="s">
        <v>603</v>
      </c>
      <c r="I117" s="4" t="s">
        <v>686</v>
      </c>
      <c r="J117" s="4" t="s">
        <v>1030</v>
      </c>
      <c r="K117" s="2" t="s">
        <v>183</v>
      </c>
      <c r="L117" s="14" t="str">
        <f t="shared" si="10"/>
        <v>Cum Multa Sint (08 dicembre 1882) | Leone XIII</v>
      </c>
      <c r="M117" s="14" t="str">
        <f t="shared" si="11"/>
        <v>Enciclica Cum Multa Sint</v>
      </c>
      <c r="N117" s="14" t="str">
        <f t="shared" si="12"/>
        <v>Enciclica Cum Multa Sint</v>
      </c>
      <c r="O117" s="14" t="str">
        <f t="shared" si="18"/>
        <v>1882/12/08</v>
      </c>
      <c r="P117" s="14" t="str">
        <f t="shared" si="14"/>
        <v>Leone XIII, Lettera Enciclica Cum Multa Sint, 08 dicembre 1882</v>
      </c>
      <c r="Q117" s="14" t="str">
        <f t="shared" si="19"/>
        <v>1882-12-08T08:00:00.000+02:00</v>
      </c>
      <c r="R117" s="14" t="str">
        <f t="shared" si="16"/>
        <v>lxiii-enc-cms</v>
      </c>
      <c r="S117" s="14" t="str">
        <f t="shared" si="17"/>
        <v>Leo XIII - Litterae Encyclicae - Cum Multa Sint</v>
      </c>
    </row>
    <row r="118" spans="1:19" x14ac:dyDescent="0.25">
      <c r="A118" s="12">
        <v>117</v>
      </c>
      <c r="B118" s="17" t="s">
        <v>667</v>
      </c>
      <c r="C118" s="4" t="s">
        <v>666</v>
      </c>
      <c r="D118" s="4" t="s">
        <v>1147</v>
      </c>
      <c r="E118" s="5" t="s">
        <v>483</v>
      </c>
      <c r="F118" s="18" t="s">
        <v>579</v>
      </c>
      <c r="G118" s="18" t="s">
        <v>694</v>
      </c>
      <c r="H118" s="4" t="s">
        <v>603</v>
      </c>
      <c r="I118" s="4" t="s">
        <v>686</v>
      </c>
      <c r="J118" s="4" t="s">
        <v>1031</v>
      </c>
      <c r="K118" s="2" t="s">
        <v>184</v>
      </c>
      <c r="L118" s="14" t="str">
        <f t="shared" si="10"/>
        <v>Supremi Apostolatus Officio (01 settembre 1883) | Leone XIII</v>
      </c>
      <c r="M118" s="14" t="str">
        <f t="shared" si="11"/>
        <v>Enciclica Supremi Apostolatus Officio</v>
      </c>
      <c r="N118" s="14" t="str">
        <f t="shared" si="12"/>
        <v>Enciclica Supremi Apostolatus Officio</v>
      </c>
      <c r="O118" s="14" t="str">
        <f t="shared" si="18"/>
        <v>1883/09/01</v>
      </c>
      <c r="P118" s="14" t="str">
        <f t="shared" si="14"/>
        <v>Leone XIII, Lettera Enciclica Supremi Apostolatus Officio, 01 settembre 1883</v>
      </c>
      <c r="Q118" s="14" t="str">
        <f t="shared" si="19"/>
        <v>1883-09-01T08:00:00.000+02:00</v>
      </c>
      <c r="R118" s="14" t="str">
        <f t="shared" si="16"/>
        <v>lxiii-enc-sao</v>
      </c>
      <c r="S118" s="14" t="str">
        <f t="shared" si="17"/>
        <v>Leo XIII - Litterae Encyclicae - Supremi Apostolatus Officio</v>
      </c>
    </row>
    <row r="119" spans="1:19" x14ac:dyDescent="0.25">
      <c r="A119" s="12">
        <v>118</v>
      </c>
      <c r="B119" s="17" t="s">
        <v>667</v>
      </c>
      <c r="C119" s="4" t="s">
        <v>666</v>
      </c>
      <c r="D119" s="4" t="s">
        <v>1147</v>
      </c>
      <c r="E119" s="5" t="s">
        <v>484</v>
      </c>
      <c r="F119" s="18" t="s">
        <v>579</v>
      </c>
      <c r="G119" s="18" t="s">
        <v>694</v>
      </c>
      <c r="H119" s="4" t="s">
        <v>603</v>
      </c>
      <c r="I119" s="4" t="s">
        <v>686</v>
      </c>
      <c r="J119" s="4" t="s">
        <v>1032</v>
      </c>
      <c r="K119" s="2" t="s">
        <v>185</v>
      </c>
      <c r="L119" s="14" t="str">
        <f t="shared" si="10"/>
        <v>Nobilissima Gallorum Gens (08 febbraio 1884) | Leone XIII</v>
      </c>
      <c r="M119" s="14" t="str">
        <f t="shared" si="11"/>
        <v>Enciclica Nobilissima Gallorum Gens</v>
      </c>
      <c r="N119" s="14" t="str">
        <f t="shared" si="12"/>
        <v>Enciclica Nobilissima Gallorum Gens</v>
      </c>
      <c r="O119" s="14" t="str">
        <f t="shared" si="18"/>
        <v>1884/02/08</v>
      </c>
      <c r="P119" s="14" t="str">
        <f t="shared" si="14"/>
        <v>Leone XIII, Lettera Enciclica Nobilissima Gallorum Gens, 08 febbraio 1884</v>
      </c>
      <c r="Q119" s="14" t="str">
        <f t="shared" si="19"/>
        <v>1884-02-08T08:00:00.000+02:00</v>
      </c>
      <c r="R119" s="14" t="str">
        <f t="shared" si="16"/>
        <v>lxiii-enc-ngg</v>
      </c>
      <c r="S119" s="14" t="str">
        <f t="shared" si="17"/>
        <v>Leo XIII - Litterae Encyclicae - Nobilissima Gallorum Gens</v>
      </c>
    </row>
    <row r="120" spans="1:19" x14ac:dyDescent="0.25">
      <c r="A120" s="12">
        <v>119</v>
      </c>
      <c r="B120" s="17" t="s">
        <v>667</v>
      </c>
      <c r="C120" s="4" t="s">
        <v>666</v>
      </c>
      <c r="D120" s="4" t="s">
        <v>1147</v>
      </c>
      <c r="E120" s="5" t="s">
        <v>485</v>
      </c>
      <c r="F120" s="18" t="s">
        <v>579</v>
      </c>
      <c r="G120" s="18" t="s">
        <v>694</v>
      </c>
      <c r="H120" s="4" t="s">
        <v>603</v>
      </c>
      <c r="I120" s="4" t="s">
        <v>686</v>
      </c>
      <c r="J120" s="4" t="s">
        <v>1033</v>
      </c>
      <c r="K120" s="2" t="s">
        <v>186</v>
      </c>
      <c r="L120" s="14" t="str">
        <f t="shared" si="10"/>
        <v>Humanum Genus (20 aprile 1884) | Leone XIII</v>
      </c>
      <c r="M120" s="14" t="str">
        <f t="shared" si="11"/>
        <v>Enciclica Humanum Genus</v>
      </c>
      <c r="N120" s="14" t="str">
        <f t="shared" si="12"/>
        <v>Enciclica Humanum Genus</v>
      </c>
      <c r="O120" s="14" t="str">
        <f t="shared" si="18"/>
        <v>1884/04/20</v>
      </c>
      <c r="P120" s="14" t="str">
        <f t="shared" si="14"/>
        <v>Leone XIII, Lettera Enciclica Humanum Genus, 20 aprile 1884</v>
      </c>
      <c r="Q120" s="14" t="str">
        <f t="shared" si="19"/>
        <v>1884-04-20T08:00:00.000+02:00</v>
      </c>
      <c r="R120" s="14" t="str">
        <f t="shared" si="16"/>
        <v>lxiii-enc-hug</v>
      </c>
      <c r="S120" s="14" t="str">
        <f t="shared" si="17"/>
        <v>Leo XIII - Litterae Encyclicae - Humanum Genus</v>
      </c>
    </row>
    <row r="121" spans="1:19" x14ac:dyDescent="0.25">
      <c r="A121" s="12">
        <v>120</v>
      </c>
      <c r="B121" s="17" t="s">
        <v>667</v>
      </c>
      <c r="C121" s="4" t="s">
        <v>666</v>
      </c>
      <c r="D121" s="4" t="s">
        <v>1147</v>
      </c>
      <c r="E121" s="5" t="s">
        <v>486</v>
      </c>
      <c r="F121" s="18" t="s">
        <v>579</v>
      </c>
      <c r="G121" s="18" t="s">
        <v>694</v>
      </c>
      <c r="H121" s="4" t="s">
        <v>603</v>
      </c>
      <c r="I121" s="4" t="s">
        <v>686</v>
      </c>
      <c r="J121" s="4" t="s">
        <v>1034</v>
      </c>
      <c r="K121" s="2" t="s">
        <v>187</v>
      </c>
      <c r="L121" s="14" t="str">
        <f t="shared" si="10"/>
        <v>Superiore Anno (30 agosto 1884) | Leone XIII</v>
      </c>
      <c r="M121" s="14" t="str">
        <f t="shared" si="11"/>
        <v>Enciclica Superiore Anno</v>
      </c>
      <c r="N121" s="14" t="str">
        <f t="shared" si="12"/>
        <v>Enciclica Superiore Anno</v>
      </c>
      <c r="O121" s="14" t="str">
        <f t="shared" si="18"/>
        <v>1884/08/30</v>
      </c>
      <c r="P121" s="14" t="str">
        <f t="shared" si="14"/>
        <v>Leone XIII, Lettera Enciclica Superiore Anno, 30 agosto 1884</v>
      </c>
      <c r="Q121" s="14" t="str">
        <f t="shared" si="19"/>
        <v>1884-08-30T08:00:00.000+02:00</v>
      </c>
      <c r="R121" s="14" t="str">
        <f t="shared" si="16"/>
        <v>lxiii-enc-sua</v>
      </c>
      <c r="S121" s="14" t="str">
        <f t="shared" si="17"/>
        <v>Leo XIII - Litterae Encyclicae - Superiore Anno</v>
      </c>
    </row>
    <row r="122" spans="1:19" x14ac:dyDescent="0.25">
      <c r="A122" s="12">
        <v>121</v>
      </c>
      <c r="B122" s="17" t="s">
        <v>667</v>
      </c>
      <c r="C122" s="4" t="s">
        <v>666</v>
      </c>
      <c r="D122" s="4" t="s">
        <v>1147</v>
      </c>
      <c r="E122" s="5" t="s">
        <v>487</v>
      </c>
      <c r="F122" s="18" t="s">
        <v>579</v>
      </c>
      <c r="G122" s="18" t="s">
        <v>694</v>
      </c>
      <c r="H122" s="4" t="s">
        <v>603</v>
      </c>
      <c r="I122" s="4" t="s">
        <v>686</v>
      </c>
      <c r="J122" s="4" t="s">
        <v>1035</v>
      </c>
      <c r="K122" s="2" t="s">
        <v>188</v>
      </c>
      <c r="L122" s="14" t="str">
        <f t="shared" si="10"/>
        <v>Immortale Dei (01 novembre 1885) | Leone XIII</v>
      </c>
      <c r="M122" s="14" t="str">
        <f t="shared" si="11"/>
        <v>Enciclica Immortale Dei</v>
      </c>
      <c r="N122" s="14" t="str">
        <f t="shared" si="12"/>
        <v>Enciclica Immortale Dei</v>
      </c>
      <c r="O122" s="14" t="str">
        <f t="shared" si="18"/>
        <v>1885/11/01</v>
      </c>
      <c r="P122" s="14" t="str">
        <f t="shared" si="14"/>
        <v>Leone XIII, Lettera Enciclica Immortale Dei, 01 novembre 1885</v>
      </c>
      <c r="Q122" s="14" t="str">
        <f t="shared" si="19"/>
        <v>1885-11-01T08:00:00.000+02:00</v>
      </c>
      <c r="R122" s="14" t="str">
        <f t="shared" si="16"/>
        <v>lxiii-enc-imd</v>
      </c>
      <c r="S122" s="14" t="str">
        <f t="shared" si="17"/>
        <v>Leo XIII - Litterae Encyclicae - Immortale Dei</v>
      </c>
    </row>
    <row r="123" spans="1:19" x14ac:dyDescent="0.25">
      <c r="A123" s="12">
        <v>122</v>
      </c>
      <c r="B123" s="17" t="s">
        <v>667</v>
      </c>
      <c r="C123" s="4" t="s">
        <v>666</v>
      </c>
      <c r="D123" s="4" t="s">
        <v>1147</v>
      </c>
      <c r="E123" s="5" t="s">
        <v>488</v>
      </c>
      <c r="F123" s="18" t="s">
        <v>579</v>
      </c>
      <c r="G123" s="18" t="s">
        <v>694</v>
      </c>
      <c r="H123" s="4" t="s">
        <v>603</v>
      </c>
      <c r="I123" s="4" t="s">
        <v>686</v>
      </c>
      <c r="J123" s="4" t="s">
        <v>1036</v>
      </c>
      <c r="K123" s="2" t="s">
        <v>189</v>
      </c>
      <c r="L123" s="14" t="str">
        <f t="shared" si="10"/>
        <v>Spectata Fides (27 novembre 1885) | Leone XIII</v>
      </c>
      <c r="M123" s="14" t="str">
        <f t="shared" si="11"/>
        <v>Enciclica Spectata Fides</v>
      </c>
      <c r="N123" s="14" t="str">
        <f t="shared" si="12"/>
        <v>Enciclica Spectata Fides</v>
      </c>
      <c r="O123" s="14" t="str">
        <f t="shared" si="18"/>
        <v>1885/11/27</v>
      </c>
      <c r="P123" s="14" t="str">
        <f t="shared" si="14"/>
        <v>Leone XIII, Lettera Enciclica Spectata Fides, 27 novembre 1885</v>
      </c>
      <c r="Q123" s="14" t="str">
        <f t="shared" si="19"/>
        <v>1885-11-27T08:00:00.000+02:00</v>
      </c>
      <c r="R123" s="14" t="str">
        <f t="shared" si="16"/>
        <v>lxiii-enc-spf</v>
      </c>
      <c r="S123" s="14" t="str">
        <f t="shared" si="17"/>
        <v>Leo XIII - Litterae Encyclicae - Spectata Fides</v>
      </c>
    </row>
    <row r="124" spans="1:19" x14ac:dyDescent="0.25">
      <c r="A124" s="12">
        <v>123</v>
      </c>
      <c r="B124" s="17" t="s">
        <v>667</v>
      </c>
      <c r="C124" s="4" t="s">
        <v>666</v>
      </c>
      <c r="D124" s="4" t="s">
        <v>1147</v>
      </c>
      <c r="E124" s="5" t="s">
        <v>489</v>
      </c>
      <c r="F124" s="18" t="s">
        <v>579</v>
      </c>
      <c r="G124" s="18" t="s">
        <v>694</v>
      </c>
      <c r="H124" s="4" t="s">
        <v>603</v>
      </c>
      <c r="I124" s="4" t="s">
        <v>686</v>
      </c>
      <c r="J124" s="4" t="s">
        <v>1037</v>
      </c>
      <c r="K124" s="2" t="s">
        <v>190</v>
      </c>
      <c r="L124" s="14" t="str">
        <f t="shared" si="10"/>
        <v>Quod Auctoritate (22 dicembre 1885) | Leone XIII</v>
      </c>
      <c r="M124" s="14" t="str">
        <f t="shared" si="11"/>
        <v>Enciclica Quod Auctoritate</v>
      </c>
      <c r="N124" s="14" t="str">
        <f t="shared" si="12"/>
        <v>Enciclica Quod Auctoritate</v>
      </c>
      <c r="O124" s="14" t="str">
        <f t="shared" si="18"/>
        <v>1885/12/22</v>
      </c>
      <c r="P124" s="14" t="str">
        <f t="shared" si="14"/>
        <v>Leone XIII, Lettera Enciclica Quod Auctoritate, 22 dicembre 1885</v>
      </c>
      <c r="Q124" s="14" t="str">
        <f t="shared" si="19"/>
        <v>1885-12-22T08:00:00.000+02:00</v>
      </c>
      <c r="R124" s="14" t="str">
        <f t="shared" si="16"/>
        <v>lxiii-enc-qua</v>
      </c>
      <c r="S124" s="14" t="str">
        <f t="shared" si="17"/>
        <v>Leo XIII - Litterae Encyclicae - Quod Auctoritate</v>
      </c>
    </row>
    <row r="125" spans="1:19" x14ac:dyDescent="0.25">
      <c r="A125" s="12">
        <v>124</v>
      </c>
      <c r="B125" s="17" t="s">
        <v>667</v>
      </c>
      <c r="C125" s="4" t="s">
        <v>666</v>
      </c>
      <c r="D125" s="4" t="s">
        <v>1147</v>
      </c>
      <c r="E125" s="5" t="s">
        <v>490</v>
      </c>
      <c r="F125" s="18" t="s">
        <v>579</v>
      </c>
      <c r="G125" s="18" t="s">
        <v>694</v>
      </c>
      <c r="H125" s="4" t="s">
        <v>603</v>
      </c>
      <c r="I125" s="4" t="s">
        <v>686</v>
      </c>
      <c r="J125" s="4" t="s">
        <v>1038</v>
      </c>
      <c r="K125" s="2" t="s">
        <v>191</v>
      </c>
      <c r="L125" s="14" t="str">
        <f t="shared" si="10"/>
        <v>Iampridem (06 gennaio 1886) | Leone XIII</v>
      </c>
      <c r="M125" s="14" t="str">
        <f t="shared" si="11"/>
        <v>Enciclica Iampridem</v>
      </c>
      <c r="N125" s="14" t="str">
        <f t="shared" si="12"/>
        <v>Enciclica Iampridem</v>
      </c>
      <c r="O125" s="14" t="str">
        <f t="shared" si="18"/>
        <v>1886/01/06</v>
      </c>
      <c r="P125" s="14" t="str">
        <f t="shared" si="14"/>
        <v>Leone XIII, Lettera Enciclica Iampridem, 06 gennaio 1886</v>
      </c>
      <c r="Q125" s="14" t="str">
        <f t="shared" si="19"/>
        <v>1886-01-06T08:00:00.000+02:00</v>
      </c>
      <c r="R125" s="14" t="str">
        <f t="shared" si="16"/>
        <v>lxiii-enc-iam</v>
      </c>
      <c r="S125" s="14" t="str">
        <f t="shared" si="17"/>
        <v>Leo XIII - Litterae Encyclicae - Iampridem</v>
      </c>
    </row>
    <row r="126" spans="1:19" x14ac:dyDescent="0.25">
      <c r="A126" s="12">
        <v>125</v>
      </c>
      <c r="B126" s="17" t="s">
        <v>667</v>
      </c>
      <c r="C126" s="4" t="s">
        <v>666</v>
      </c>
      <c r="D126" s="4" t="s">
        <v>1147</v>
      </c>
      <c r="E126" s="5" t="s">
        <v>491</v>
      </c>
      <c r="F126" s="18" t="s">
        <v>579</v>
      </c>
      <c r="G126" s="18" t="s">
        <v>694</v>
      </c>
      <c r="H126" s="4" t="s">
        <v>603</v>
      </c>
      <c r="I126" s="4" t="s">
        <v>686</v>
      </c>
      <c r="J126" s="4" t="s">
        <v>1039</v>
      </c>
      <c r="K126" s="2" t="s">
        <v>192</v>
      </c>
      <c r="L126" s="14" t="str">
        <f t="shared" si="10"/>
        <v>Quod Multum (22 agosto 1886) | Leone XIII</v>
      </c>
      <c r="M126" s="14" t="str">
        <f t="shared" si="11"/>
        <v>Enciclica Quod Multum</v>
      </c>
      <c r="N126" s="14" t="str">
        <f t="shared" si="12"/>
        <v>Enciclica Quod Multum</v>
      </c>
      <c r="O126" s="14" t="str">
        <f t="shared" si="18"/>
        <v>1886/08/22</v>
      </c>
      <c r="P126" s="14" t="str">
        <f t="shared" si="14"/>
        <v>Leone XIII, Lettera Enciclica Quod Multum, 22 agosto 1886</v>
      </c>
      <c r="Q126" s="14" t="str">
        <f t="shared" si="19"/>
        <v>1886-08-22T08:00:00.000+02:00</v>
      </c>
      <c r="R126" s="14" t="str">
        <f t="shared" si="16"/>
        <v>lxiii-enc-qum</v>
      </c>
      <c r="S126" s="14" t="str">
        <f t="shared" si="17"/>
        <v>Leo XIII - Litterae Encyclicae - Quod Multum</v>
      </c>
    </row>
    <row r="127" spans="1:19" x14ac:dyDescent="0.25">
      <c r="A127" s="12">
        <v>126</v>
      </c>
      <c r="B127" s="17" t="s">
        <v>667</v>
      </c>
      <c r="C127" s="4" t="s">
        <v>666</v>
      </c>
      <c r="D127" s="4" t="s">
        <v>1147</v>
      </c>
      <c r="E127" s="5" t="s">
        <v>492</v>
      </c>
      <c r="F127" s="18" t="s">
        <v>579</v>
      </c>
      <c r="G127" s="18" t="s">
        <v>694</v>
      </c>
      <c r="H127" s="4" t="s">
        <v>603</v>
      </c>
      <c r="I127" s="4" t="s">
        <v>686</v>
      </c>
      <c r="J127" s="4" t="s">
        <v>1040</v>
      </c>
      <c r="K127" s="2" t="s">
        <v>193</v>
      </c>
      <c r="L127" s="14" t="str">
        <f t="shared" si="10"/>
        <v>Pergrata Nobis (14 settembre 1886) | Leone XIII</v>
      </c>
      <c r="M127" s="14" t="str">
        <f t="shared" si="11"/>
        <v>Enciclica Pergrata Nobis</v>
      </c>
      <c r="N127" s="14" t="str">
        <f t="shared" si="12"/>
        <v>Enciclica Pergrata Nobis</v>
      </c>
      <c r="O127" s="14" t="str">
        <f t="shared" si="18"/>
        <v>1886/09/14</v>
      </c>
      <c r="P127" s="14" t="str">
        <f t="shared" si="14"/>
        <v>Leone XIII, Lettera Enciclica Pergrata Nobis, 14 settembre 1886</v>
      </c>
      <c r="Q127" s="14" t="str">
        <f t="shared" si="19"/>
        <v>1886-09-14T08:00:00.000+02:00</v>
      </c>
      <c r="R127" s="14" t="str">
        <f t="shared" si="16"/>
        <v>lxiii-enc-pen</v>
      </c>
      <c r="S127" s="14" t="str">
        <f t="shared" si="17"/>
        <v>Leo XIII - Litterae Encyclicae - Pergrata Nobis</v>
      </c>
    </row>
    <row r="128" spans="1:19" x14ac:dyDescent="0.25">
      <c r="A128" s="12">
        <v>127</v>
      </c>
      <c r="B128" s="17" t="s">
        <v>667</v>
      </c>
      <c r="C128" s="4" t="s">
        <v>666</v>
      </c>
      <c r="D128" s="4" t="s">
        <v>1147</v>
      </c>
      <c r="E128" s="5" t="s">
        <v>493</v>
      </c>
      <c r="F128" s="18" t="s">
        <v>579</v>
      </c>
      <c r="G128" s="18" t="s">
        <v>694</v>
      </c>
      <c r="H128" s="4" t="s">
        <v>603</v>
      </c>
      <c r="I128" s="4" t="s">
        <v>686</v>
      </c>
      <c r="J128" s="4" t="s">
        <v>1041</v>
      </c>
      <c r="K128" s="2" t="s">
        <v>194</v>
      </c>
      <c r="L128" s="14" t="str">
        <f t="shared" si="10"/>
        <v>Vi è Ben Noto (20 settembre 1887) | Leone XIII</v>
      </c>
      <c r="M128" s="14" t="str">
        <f t="shared" si="11"/>
        <v>Enciclica Vi è Ben Noto</v>
      </c>
      <c r="N128" s="14" t="str">
        <f t="shared" si="12"/>
        <v>Enciclica Vi è Ben Noto</v>
      </c>
      <c r="O128" s="14" t="str">
        <f t="shared" si="18"/>
        <v>1887/09/20</v>
      </c>
      <c r="P128" s="14" t="str">
        <f t="shared" si="14"/>
        <v>Leone XIII, Lettera Enciclica Vi è Ben Noto, 20 settembre 1887</v>
      </c>
      <c r="Q128" s="14" t="str">
        <f t="shared" si="19"/>
        <v>1887-09-20T08:00:00.000+02:00</v>
      </c>
      <c r="R128" s="14" t="str">
        <f t="shared" si="16"/>
        <v>lxiii-enc-vbn</v>
      </c>
      <c r="S128" s="14" t="str">
        <f t="shared" si="17"/>
        <v>Leo XIII - Litterae Encyclicae - Vi è Ben Noto</v>
      </c>
    </row>
    <row r="129" spans="1:19" x14ac:dyDescent="0.25">
      <c r="A129" s="12">
        <v>128</v>
      </c>
      <c r="B129" s="17" t="s">
        <v>667</v>
      </c>
      <c r="C129" s="4" t="s">
        <v>666</v>
      </c>
      <c r="D129" s="4" t="s">
        <v>1147</v>
      </c>
      <c r="E129" s="5" t="s">
        <v>494</v>
      </c>
      <c r="F129" s="18" t="s">
        <v>579</v>
      </c>
      <c r="G129" s="18" t="s">
        <v>694</v>
      </c>
      <c r="H129" s="4" t="s">
        <v>603</v>
      </c>
      <c r="I129" s="4" t="s">
        <v>686</v>
      </c>
      <c r="J129" s="4" t="s">
        <v>1042</v>
      </c>
      <c r="K129" s="2" t="s">
        <v>195</v>
      </c>
      <c r="L129" s="14" t="str">
        <f t="shared" si="10"/>
        <v>Officio Sanctissimo (22 dicembre 1887) | Leone XIII</v>
      </c>
      <c r="M129" s="14" t="str">
        <f t="shared" si="11"/>
        <v>Enciclica Officio Sanctissimo</v>
      </c>
      <c r="N129" s="14" t="str">
        <f t="shared" si="12"/>
        <v>Enciclica Officio Sanctissimo</v>
      </c>
      <c r="O129" s="14" t="str">
        <f t="shared" si="18"/>
        <v>1887/12/22</v>
      </c>
      <c r="P129" s="14" t="str">
        <f t="shared" si="14"/>
        <v>Leone XIII, Lettera Enciclica Officio Sanctissimo, 22 dicembre 1887</v>
      </c>
      <c r="Q129" s="14" t="str">
        <f t="shared" si="19"/>
        <v>1887-12-22T08:00:00.000+02:00</v>
      </c>
      <c r="R129" s="14" t="str">
        <f t="shared" si="16"/>
        <v>lxiii-enc-ofs</v>
      </c>
      <c r="S129" s="14" t="str">
        <f t="shared" si="17"/>
        <v>Leo XIII - Litterae Encyclicae - Officio Sanctissimo</v>
      </c>
    </row>
    <row r="130" spans="1:19" x14ac:dyDescent="0.25">
      <c r="A130" s="12">
        <v>129</v>
      </c>
      <c r="B130" s="17" t="s">
        <v>667</v>
      </c>
      <c r="C130" s="4" t="s">
        <v>666</v>
      </c>
      <c r="D130" s="4" t="s">
        <v>1147</v>
      </c>
      <c r="E130" s="5" t="s">
        <v>495</v>
      </c>
      <c r="F130" s="18" t="s">
        <v>579</v>
      </c>
      <c r="G130" s="18" t="s">
        <v>694</v>
      </c>
      <c r="H130" s="4" t="s">
        <v>603</v>
      </c>
      <c r="I130" s="4" t="s">
        <v>686</v>
      </c>
      <c r="J130" s="4" t="s">
        <v>1037</v>
      </c>
      <c r="K130" s="2" t="s">
        <v>196</v>
      </c>
      <c r="L130" s="14" t="str">
        <f t="shared" ref="L130:L193" si="20">_xlfn.CONCAT(K130 &amp; " (" &amp; LEFT(E130,2) &amp; " " &amp; TEXT(VALUE(MID(E130,4,2))*29,"mmmm") &amp; " " &amp; RIGHT(E130,4) &amp; ") | " &amp; D130)</f>
        <v>Quod Anniversarius (01 aprile 1888) | Leone XIII</v>
      </c>
      <c r="M130" s="14" t="str">
        <f t="shared" ref="M130:M193" si="21">_xlfn.CONCAT(G130 &amp; " " &amp; K130)</f>
        <v>Enciclica Quod Anniversarius</v>
      </c>
      <c r="N130" s="14" t="str">
        <f t="shared" ref="N130:N193" si="22">_xlfn.CONCAT(G130 &amp; " " &amp; K130)</f>
        <v>Enciclica Quod Anniversarius</v>
      </c>
      <c r="O130" s="14" t="str">
        <f t="shared" ref="O130:O161" si="23">_xlfn.CONCAT(RIGHT(E130,4) &amp; "/" &amp; MID(E130,4,2) &amp; "/" &amp; LEFT(E130,2))</f>
        <v>1888/04/01</v>
      </c>
      <c r="P130" s="14" t="str">
        <f t="shared" ref="P130:P193" si="24">_xlfn.CONCAT(D130 &amp; ", " &amp; I130 &amp; " " &amp; K130 &amp; ", " &amp; LEFT(E130,2) &amp; " " &amp; TEXT(VALUE(MID(E130,4,2))*29,"mmmm") &amp; " " &amp; RIGHT(E130,4))</f>
        <v>Leone XIII, Lettera Enciclica Quod Anniversarius, 01 aprile 1888</v>
      </c>
      <c r="Q130" s="14" t="str">
        <f t="shared" ref="Q130:Q161" si="25">_xlfn.CONCAT(RIGHT(E130,4) &amp; "-" &amp; MID(E130,4,2) &amp; "-" &amp; LEFT(E130,2) &amp; "T08:00:00.000+02:00")</f>
        <v>1888-04-01T08:00:00.000+02:00</v>
      </c>
      <c r="R130" s="14" t="str">
        <f t="shared" ref="R130:R193" si="26">_xlfn.CONCAT(B130 &amp; "-" &amp; F130 &amp; "-" &amp; J130)</f>
        <v>lxiii-enc-qua</v>
      </c>
      <c r="S130" s="14" t="str">
        <f t="shared" ref="S130:S193" si="27">_xlfn.CONCAT(C130 &amp; " - " &amp; H130 &amp; " - " &amp; K130)</f>
        <v>Leo XIII - Litterae Encyclicae - Quod Anniversarius</v>
      </c>
    </row>
    <row r="131" spans="1:19" x14ac:dyDescent="0.25">
      <c r="A131" s="12">
        <v>130</v>
      </c>
      <c r="B131" s="17" t="s">
        <v>667</v>
      </c>
      <c r="C131" s="4" t="s">
        <v>666</v>
      </c>
      <c r="D131" s="4" t="s">
        <v>1147</v>
      </c>
      <c r="E131" s="5" t="s">
        <v>496</v>
      </c>
      <c r="F131" s="18" t="s">
        <v>579</v>
      </c>
      <c r="G131" s="18" t="s">
        <v>694</v>
      </c>
      <c r="H131" s="4" t="s">
        <v>603</v>
      </c>
      <c r="I131" s="4" t="s">
        <v>686</v>
      </c>
      <c r="J131" s="4" t="s">
        <v>629</v>
      </c>
      <c r="K131" s="2" t="s">
        <v>197</v>
      </c>
      <c r="L131" s="14" t="str">
        <f t="shared" si="20"/>
        <v>In Plurimis (05 maggio 1888) | Leone XIII</v>
      </c>
      <c r="M131" s="14" t="str">
        <f t="shared" si="21"/>
        <v>Enciclica In Plurimis</v>
      </c>
      <c r="N131" s="14" t="str">
        <f t="shared" si="22"/>
        <v>Enciclica In Plurimis</v>
      </c>
      <c r="O131" s="14" t="str">
        <f t="shared" si="23"/>
        <v>1888/05/05</v>
      </c>
      <c r="P131" s="14" t="str">
        <f t="shared" si="24"/>
        <v>Leone XIII, Lettera Enciclica In Plurimis, 05 maggio 1888</v>
      </c>
      <c r="Q131" s="14" t="str">
        <f t="shared" si="25"/>
        <v>1888-05-05T08:00:00.000+02:00</v>
      </c>
      <c r="R131" s="14" t="str">
        <f t="shared" si="26"/>
        <v>lxiii-enc-inp</v>
      </c>
      <c r="S131" s="14" t="str">
        <f t="shared" si="27"/>
        <v>Leo XIII - Litterae Encyclicae - In Plurimis</v>
      </c>
    </row>
    <row r="132" spans="1:19" x14ac:dyDescent="0.25">
      <c r="A132" s="12">
        <v>131</v>
      </c>
      <c r="B132" s="17" t="s">
        <v>667</v>
      </c>
      <c r="C132" s="4" t="s">
        <v>666</v>
      </c>
      <c r="D132" s="4" t="s">
        <v>1147</v>
      </c>
      <c r="E132" s="5" t="s">
        <v>497</v>
      </c>
      <c r="F132" s="18" t="s">
        <v>579</v>
      </c>
      <c r="G132" s="18" t="s">
        <v>694</v>
      </c>
      <c r="H132" s="4" t="s">
        <v>603</v>
      </c>
      <c r="I132" s="4" t="s">
        <v>686</v>
      </c>
      <c r="J132" s="4" t="s">
        <v>1043</v>
      </c>
      <c r="K132" s="2" t="s">
        <v>198</v>
      </c>
      <c r="L132" s="14" t="str">
        <f t="shared" si="20"/>
        <v>Libertas (20 giugno 1888) | Leone XIII</v>
      </c>
      <c r="M132" s="14" t="str">
        <f t="shared" si="21"/>
        <v>Enciclica Libertas</v>
      </c>
      <c r="N132" s="14" t="str">
        <f t="shared" si="22"/>
        <v>Enciclica Libertas</v>
      </c>
      <c r="O132" s="14" t="str">
        <f t="shared" si="23"/>
        <v>1888/06/20</v>
      </c>
      <c r="P132" s="14" t="str">
        <f t="shared" si="24"/>
        <v>Leone XIII, Lettera Enciclica Libertas, 20 giugno 1888</v>
      </c>
      <c r="Q132" s="14" t="str">
        <f t="shared" si="25"/>
        <v>1888-06-20T08:00:00.000+02:00</v>
      </c>
      <c r="R132" s="14" t="str">
        <f t="shared" si="26"/>
        <v>lxiii-enc-lib</v>
      </c>
      <c r="S132" s="14" t="str">
        <f t="shared" si="27"/>
        <v>Leo XIII - Litterae Encyclicae - Libertas</v>
      </c>
    </row>
    <row r="133" spans="1:19" x14ac:dyDescent="0.25">
      <c r="A133" s="12">
        <v>132</v>
      </c>
      <c r="B133" s="17" t="s">
        <v>667</v>
      </c>
      <c r="C133" s="4" t="s">
        <v>666</v>
      </c>
      <c r="D133" s="4" t="s">
        <v>1147</v>
      </c>
      <c r="E133" s="5" t="s">
        <v>498</v>
      </c>
      <c r="F133" s="18" t="s">
        <v>579</v>
      </c>
      <c r="G133" s="18" t="s">
        <v>694</v>
      </c>
      <c r="H133" s="4" t="s">
        <v>603</v>
      </c>
      <c r="I133" s="4" t="s">
        <v>686</v>
      </c>
      <c r="J133" s="4" t="s">
        <v>1044</v>
      </c>
      <c r="K133" s="2" t="s">
        <v>199</v>
      </c>
      <c r="L133" s="14" t="str">
        <f t="shared" si="20"/>
        <v>Saepe Nos (24 giugno 1888) | Leone XIII</v>
      </c>
      <c r="M133" s="14" t="str">
        <f t="shared" si="21"/>
        <v>Enciclica Saepe Nos</v>
      </c>
      <c r="N133" s="14" t="str">
        <f t="shared" si="22"/>
        <v>Enciclica Saepe Nos</v>
      </c>
      <c r="O133" s="14" t="str">
        <f t="shared" si="23"/>
        <v>1888/06/24</v>
      </c>
      <c r="P133" s="14" t="str">
        <f t="shared" si="24"/>
        <v>Leone XIII, Lettera Enciclica Saepe Nos, 24 giugno 1888</v>
      </c>
      <c r="Q133" s="14" t="str">
        <f t="shared" si="25"/>
        <v>1888-06-24T08:00:00.000+02:00</v>
      </c>
      <c r="R133" s="14" t="str">
        <f t="shared" si="26"/>
        <v>lxiii-enc-san</v>
      </c>
      <c r="S133" s="14" t="str">
        <f t="shared" si="27"/>
        <v>Leo XIII - Litterae Encyclicae - Saepe Nos</v>
      </c>
    </row>
    <row r="134" spans="1:19" x14ac:dyDescent="0.25">
      <c r="A134" s="12">
        <v>133</v>
      </c>
      <c r="B134" s="17" t="s">
        <v>667</v>
      </c>
      <c r="C134" s="4" t="s">
        <v>666</v>
      </c>
      <c r="D134" s="4" t="s">
        <v>1147</v>
      </c>
      <c r="E134" s="5" t="s">
        <v>499</v>
      </c>
      <c r="F134" s="18" t="s">
        <v>579</v>
      </c>
      <c r="G134" s="18" t="s">
        <v>694</v>
      </c>
      <c r="H134" s="4" t="s">
        <v>603</v>
      </c>
      <c r="I134" s="4" t="s">
        <v>686</v>
      </c>
      <c r="J134" s="4" t="s">
        <v>1045</v>
      </c>
      <c r="K134" s="2" t="s">
        <v>200</v>
      </c>
      <c r="L134" s="14" t="str">
        <f t="shared" si="20"/>
        <v>Paterna Caritas (25 luglio 1888) | Leone XIII</v>
      </c>
      <c r="M134" s="14" t="str">
        <f t="shared" si="21"/>
        <v>Enciclica Paterna Caritas</v>
      </c>
      <c r="N134" s="14" t="str">
        <f t="shared" si="22"/>
        <v>Enciclica Paterna Caritas</v>
      </c>
      <c r="O134" s="14" t="str">
        <f t="shared" si="23"/>
        <v>1888/07/25</v>
      </c>
      <c r="P134" s="14" t="str">
        <f t="shared" si="24"/>
        <v>Leone XIII, Lettera Enciclica Paterna Caritas, 25 luglio 1888</v>
      </c>
      <c r="Q134" s="14" t="str">
        <f t="shared" si="25"/>
        <v>1888-07-25T08:00:00.000+02:00</v>
      </c>
      <c r="R134" s="14" t="str">
        <f t="shared" si="26"/>
        <v>lxiii-enc-pac</v>
      </c>
      <c r="S134" s="14" t="str">
        <f t="shared" si="27"/>
        <v>Leo XIII - Litterae Encyclicae - Paterna Caritas</v>
      </c>
    </row>
    <row r="135" spans="1:19" x14ac:dyDescent="0.25">
      <c r="A135" s="12">
        <v>134</v>
      </c>
      <c r="B135" s="17" t="s">
        <v>667</v>
      </c>
      <c r="C135" s="4" t="s">
        <v>666</v>
      </c>
      <c r="D135" s="4" t="s">
        <v>1147</v>
      </c>
      <c r="E135" s="5" t="s">
        <v>500</v>
      </c>
      <c r="F135" s="18" t="s">
        <v>579</v>
      </c>
      <c r="G135" s="18" t="s">
        <v>694</v>
      </c>
      <c r="H135" s="4" t="s">
        <v>603</v>
      </c>
      <c r="I135" s="4" t="s">
        <v>686</v>
      </c>
      <c r="J135" s="4" t="s">
        <v>1037</v>
      </c>
      <c r="K135" s="2" t="s">
        <v>201</v>
      </c>
      <c r="L135" s="14" t="str">
        <f t="shared" si="20"/>
        <v>Quam Aerumnosa (10 dicembre 1888) | Leone XIII</v>
      </c>
      <c r="M135" s="14" t="str">
        <f t="shared" si="21"/>
        <v>Enciclica Quam Aerumnosa</v>
      </c>
      <c r="N135" s="14" t="str">
        <f t="shared" si="22"/>
        <v>Enciclica Quam Aerumnosa</v>
      </c>
      <c r="O135" s="14" t="str">
        <f t="shared" si="23"/>
        <v>1888/12/10</v>
      </c>
      <c r="P135" s="14" t="str">
        <f t="shared" si="24"/>
        <v>Leone XIII, Lettera Enciclica Quam Aerumnosa, 10 dicembre 1888</v>
      </c>
      <c r="Q135" s="14" t="str">
        <f t="shared" si="25"/>
        <v>1888-12-10T08:00:00.000+02:00</v>
      </c>
      <c r="R135" s="14" t="str">
        <f t="shared" si="26"/>
        <v>lxiii-enc-qua</v>
      </c>
      <c r="S135" s="14" t="str">
        <f t="shared" si="27"/>
        <v>Leo XIII - Litterae Encyclicae - Quam Aerumnosa</v>
      </c>
    </row>
    <row r="136" spans="1:19" x14ac:dyDescent="0.25">
      <c r="A136" s="12">
        <v>135</v>
      </c>
      <c r="B136" s="17" t="s">
        <v>667</v>
      </c>
      <c r="C136" s="4" t="s">
        <v>666</v>
      </c>
      <c r="D136" s="4" t="s">
        <v>1147</v>
      </c>
      <c r="E136" s="5" t="s">
        <v>501</v>
      </c>
      <c r="F136" s="18" t="s">
        <v>579</v>
      </c>
      <c r="G136" s="18" t="s">
        <v>694</v>
      </c>
      <c r="H136" s="4" t="s">
        <v>603</v>
      </c>
      <c r="I136" s="4" t="s">
        <v>686</v>
      </c>
      <c r="J136" s="4" t="s">
        <v>1046</v>
      </c>
      <c r="K136" s="2" t="s">
        <v>202</v>
      </c>
      <c r="L136" s="14" t="str">
        <f t="shared" si="20"/>
        <v>Etsi Cunctas (21 dicembre 1888) | Leone XIII</v>
      </c>
      <c r="M136" s="14" t="str">
        <f t="shared" si="21"/>
        <v>Enciclica Etsi Cunctas</v>
      </c>
      <c r="N136" s="14" t="str">
        <f t="shared" si="22"/>
        <v>Enciclica Etsi Cunctas</v>
      </c>
      <c r="O136" s="14" t="str">
        <f t="shared" si="23"/>
        <v>1888/12/21</v>
      </c>
      <c r="P136" s="14" t="str">
        <f t="shared" si="24"/>
        <v>Leone XIII, Lettera Enciclica Etsi Cunctas, 21 dicembre 1888</v>
      </c>
      <c r="Q136" s="14" t="str">
        <f t="shared" si="25"/>
        <v>1888-12-21T08:00:00.000+02:00</v>
      </c>
      <c r="R136" s="14" t="str">
        <f t="shared" si="26"/>
        <v>lxiii-enc-etc</v>
      </c>
      <c r="S136" s="14" t="str">
        <f t="shared" si="27"/>
        <v>Leo XIII - Litterae Encyclicae - Etsi Cunctas</v>
      </c>
    </row>
    <row r="137" spans="1:19" x14ac:dyDescent="0.25">
      <c r="A137" s="12">
        <v>136</v>
      </c>
      <c r="B137" s="17" t="s">
        <v>667</v>
      </c>
      <c r="C137" s="4" t="s">
        <v>666</v>
      </c>
      <c r="D137" s="4" t="s">
        <v>1147</v>
      </c>
      <c r="E137" s="5" t="s">
        <v>502</v>
      </c>
      <c r="F137" s="18" t="s">
        <v>579</v>
      </c>
      <c r="G137" s="18" t="s">
        <v>694</v>
      </c>
      <c r="H137" s="4" t="s">
        <v>603</v>
      </c>
      <c r="I137" s="4" t="s">
        <v>686</v>
      </c>
      <c r="J137" s="4" t="s">
        <v>1047</v>
      </c>
      <c r="K137" s="2" t="s">
        <v>203</v>
      </c>
      <c r="L137" s="14" t="str">
        <f t="shared" si="20"/>
        <v>Exeunte Iam Anno (25 dicembre 1888) | Leone XIII</v>
      </c>
      <c r="M137" s="14" t="str">
        <f t="shared" si="21"/>
        <v>Enciclica Exeunte Iam Anno</v>
      </c>
      <c r="N137" s="14" t="str">
        <f t="shared" si="22"/>
        <v>Enciclica Exeunte Iam Anno</v>
      </c>
      <c r="O137" s="14" t="str">
        <f t="shared" si="23"/>
        <v>1888/12/25</v>
      </c>
      <c r="P137" s="14" t="str">
        <f t="shared" si="24"/>
        <v>Leone XIII, Lettera Enciclica Exeunte Iam Anno, 25 dicembre 1888</v>
      </c>
      <c r="Q137" s="14" t="str">
        <f t="shared" si="25"/>
        <v>1888-12-25T08:00:00.000+02:00</v>
      </c>
      <c r="R137" s="14" t="str">
        <f t="shared" si="26"/>
        <v>lxiii-enc-eia</v>
      </c>
      <c r="S137" s="14" t="str">
        <f t="shared" si="27"/>
        <v>Leo XIII - Litterae Encyclicae - Exeunte Iam Anno</v>
      </c>
    </row>
    <row r="138" spans="1:19" x14ac:dyDescent="0.25">
      <c r="A138" s="12">
        <v>137</v>
      </c>
      <c r="B138" s="17" t="s">
        <v>667</v>
      </c>
      <c r="C138" s="4" t="s">
        <v>666</v>
      </c>
      <c r="D138" s="4" t="s">
        <v>1147</v>
      </c>
      <c r="E138" s="5" t="s">
        <v>503</v>
      </c>
      <c r="F138" s="18" t="s">
        <v>579</v>
      </c>
      <c r="G138" s="18" t="s">
        <v>694</v>
      </c>
      <c r="H138" s="4" t="s">
        <v>603</v>
      </c>
      <c r="I138" s="4" t="s">
        <v>686</v>
      </c>
      <c r="J138" s="4" t="s">
        <v>625</v>
      </c>
      <c r="K138" s="2" t="s">
        <v>204</v>
      </c>
      <c r="L138" s="14" t="str">
        <f t="shared" si="20"/>
        <v>Magni Nobis (07 marzo 1889) | Leone XIII</v>
      </c>
      <c r="M138" s="14" t="str">
        <f t="shared" si="21"/>
        <v>Enciclica Magni Nobis</v>
      </c>
      <c r="N138" s="14" t="str">
        <f t="shared" si="22"/>
        <v>Enciclica Magni Nobis</v>
      </c>
      <c r="O138" s="14" t="str">
        <f t="shared" si="23"/>
        <v>1889/03/07</v>
      </c>
      <c r="P138" s="14" t="str">
        <f t="shared" si="24"/>
        <v>Leone XIII, Lettera Enciclica Magni Nobis, 07 marzo 1889</v>
      </c>
      <c r="Q138" s="14" t="str">
        <f t="shared" si="25"/>
        <v>1889-03-07T08:00:00.000+02:00</v>
      </c>
      <c r="R138" s="14" t="str">
        <f t="shared" si="26"/>
        <v>lxiii-enc-man</v>
      </c>
      <c r="S138" s="14" t="str">
        <f t="shared" si="27"/>
        <v>Leo XIII - Litterae Encyclicae - Magni Nobis</v>
      </c>
    </row>
    <row r="139" spans="1:19" x14ac:dyDescent="0.25">
      <c r="A139" s="12">
        <v>138</v>
      </c>
      <c r="B139" s="17" t="s">
        <v>667</v>
      </c>
      <c r="C139" s="4" t="s">
        <v>666</v>
      </c>
      <c r="D139" s="4" t="s">
        <v>1147</v>
      </c>
      <c r="E139" s="5" t="s">
        <v>504</v>
      </c>
      <c r="F139" s="18" t="s">
        <v>579</v>
      </c>
      <c r="G139" s="18" t="s">
        <v>694</v>
      </c>
      <c r="H139" s="4" t="s">
        <v>603</v>
      </c>
      <c r="I139" s="4" t="s">
        <v>686</v>
      </c>
      <c r="J139" s="4" t="s">
        <v>612</v>
      </c>
      <c r="K139" s="2" t="s">
        <v>205</v>
      </c>
      <c r="L139" s="14" t="str">
        <f t="shared" si="20"/>
        <v>Quamquam Pluries (15 agosto 1889) | Leone XIII</v>
      </c>
      <c r="M139" s="14" t="str">
        <f t="shared" si="21"/>
        <v>Enciclica Quamquam Pluries</v>
      </c>
      <c r="N139" s="14" t="str">
        <f t="shared" si="22"/>
        <v>Enciclica Quamquam Pluries</v>
      </c>
      <c r="O139" s="14" t="str">
        <f t="shared" si="23"/>
        <v>1889/08/15</v>
      </c>
      <c r="P139" s="14" t="str">
        <f t="shared" si="24"/>
        <v>Leone XIII, Lettera Enciclica Quamquam Pluries, 15 agosto 1889</v>
      </c>
      <c r="Q139" s="14" t="str">
        <f t="shared" si="25"/>
        <v>1889-08-15T08:00:00.000+02:00</v>
      </c>
      <c r="R139" s="14" t="str">
        <f t="shared" si="26"/>
        <v>lxiii-enc-qup</v>
      </c>
      <c r="S139" s="14" t="str">
        <f t="shared" si="27"/>
        <v>Leo XIII - Litterae Encyclicae - Quamquam Pluries</v>
      </c>
    </row>
    <row r="140" spans="1:19" x14ac:dyDescent="0.25">
      <c r="A140" s="12">
        <v>139</v>
      </c>
      <c r="B140" s="17" t="s">
        <v>667</v>
      </c>
      <c r="C140" s="4" t="s">
        <v>666</v>
      </c>
      <c r="D140" s="4" t="s">
        <v>1147</v>
      </c>
      <c r="E140" s="5" t="s">
        <v>505</v>
      </c>
      <c r="F140" s="18" t="s">
        <v>579</v>
      </c>
      <c r="G140" s="18" t="s">
        <v>694</v>
      </c>
      <c r="H140" s="4" t="s">
        <v>603</v>
      </c>
      <c r="I140" s="4" t="s">
        <v>686</v>
      </c>
      <c r="J140" s="4" t="s">
        <v>1048</v>
      </c>
      <c r="K140" s="2" t="s">
        <v>206</v>
      </c>
      <c r="L140" s="14" t="str">
        <f t="shared" si="20"/>
        <v>Sapientiae Christianae (10 gennaio 1890) | Leone XIII</v>
      </c>
      <c r="M140" s="14" t="str">
        <f t="shared" si="21"/>
        <v>Enciclica Sapientiae Christianae</v>
      </c>
      <c r="N140" s="14" t="str">
        <f t="shared" si="22"/>
        <v>Enciclica Sapientiae Christianae</v>
      </c>
      <c r="O140" s="14" t="str">
        <f t="shared" si="23"/>
        <v>1890/01/10</v>
      </c>
      <c r="P140" s="14" t="str">
        <f t="shared" si="24"/>
        <v>Leone XIII, Lettera Enciclica Sapientiae Christianae, 10 gennaio 1890</v>
      </c>
      <c r="Q140" s="14" t="str">
        <f t="shared" si="25"/>
        <v>1890-01-10T08:00:00.000+02:00</v>
      </c>
      <c r="R140" s="14" t="str">
        <f t="shared" si="26"/>
        <v>lxiii-enc-sac</v>
      </c>
      <c r="S140" s="14" t="str">
        <f t="shared" si="27"/>
        <v>Leo XIII - Litterae Encyclicae - Sapientiae Christianae</v>
      </c>
    </row>
    <row r="141" spans="1:19" x14ac:dyDescent="0.25">
      <c r="A141" s="12">
        <v>140</v>
      </c>
      <c r="B141" s="17" t="s">
        <v>667</v>
      </c>
      <c r="C141" s="4" t="s">
        <v>666</v>
      </c>
      <c r="D141" s="4" t="s">
        <v>1147</v>
      </c>
      <c r="E141" s="5" t="s">
        <v>506</v>
      </c>
      <c r="F141" s="18" t="s">
        <v>579</v>
      </c>
      <c r="G141" s="18" t="s">
        <v>694</v>
      </c>
      <c r="H141" s="4" t="s">
        <v>603</v>
      </c>
      <c r="I141" s="4" t="s">
        <v>686</v>
      </c>
      <c r="J141" s="4" t="s">
        <v>1049</v>
      </c>
      <c r="K141" s="2" t="s">
        <v>207</v>
      </c>
      <c r="L141" s="14" t="str">
        <f t="shared" si="20"/>
        <v>Dall'alto dell'Apostolico Seggio (15 ottobre 1890) | Leone XIII</v>
      </c>
      <c r="M141" s="14" t="str">
        <f t="shared" si="21"/>
        <v>Enciclica Dall'alto dell'Apostolico Seggio</v>
      </c>
      <c r="N141" s="14" t="str">
        <f t="shared" si="22"/>
        <v>Enciclica Dall'alto dell'Apostolico Seggio</v>
      </c>
      <c r="O141" s="14" t="str">
        <f t="shared" si="23"/>
        <v>1890/10/15</v>
      </c>
      <c r="P141" s="14" t="str">
        <f t="shared" si="24"/>
        <v>Leone XIII, Lettera Enciclica Dall'alto dell'Apostolico Seggio, 15 ottobre 1890</v>
      </c>
      <c r="Q141" s="14" t="str">
        <f t="shared" si="25"/>
        <v>1890-10-15T08:00:00.000+02:00</v>
      </c>
      <c r="R141" s="14" t="str">
        <f t="shared" si="26"/>
        <v>lxiii-enc-dad</v>
      </c>
      <c r="S141" s="14" t="str">
        <f t="shared" si="27"/>
        <v>Leo XIII - Litterae Encyclicae - Dall'alto dell'Apostolico Seggio</v>
      </c>
    </row>
    <row r="142" spans="1:19" x14ac:dyDescent="0.25">
      <c r="A142" s="12">
        <v>141</v>
      </c>
      <c r="B142" s="17" t="s">
        <v>667</v>
      </c>
      <c r="C142" s="4" t="s">
        <v>666</v>
      </c>
      <c r="D142" s="4" t="s">
        <v>1147</v>
      </c>
      <c r="E142" s="5" t="s">
        <v>507</v>
      </c>
      <c r="F142" s="18" t="s">
        <v>579</v>
      </c>
      <c r="G142" s="18" t="s">
        <v>694</v>
      </c>
      <c r="H142" s="4" t="s">
        <v>603</v>
      </c>
      <c r="I142" s="4" t="s">
        <v>686</v>
      </c>
      <c r="J142" s="4" t="s">
        <v>1050</v>
      </c>
      <c r="K142" s="2" t="s">
        <v>208</v>
      </c>
      <c r="L142" s="14" t="str">
        <f t="shared" si="20"/>
        <v>Catholicae Ecclesiae (20 novembre 1890) | Leone XIII</v>
      </c>
      <c r="M142" s="14" t="str">
        <f t="shared" si="21"/>
        <v>Enciclica Catholicae Ecclesiae</v>
      </c>
      <c r="N142" s="14" t="str">
        <f t="shared" si="22"/>
        <v>Enciclica Catholicae Ecclesiae</v>
      </c>
      <c r="O142" s="14" t="str">
        <f t="shared" si="23"/>
        <v>1890/11/20</v>
      </c>
      <c r="P142" s="14" t="str">
        <f t="shared" si="24"/>
        <v>Leone XIII, Lettera Enciclica Catholicae Ecclesiae, 20 novembre 1890</v>
      </c>
      <c r="Q142" s="14" t="str">
        <f t="shared" si="25"/>
        <v>1890-11-20T08:00:00.000+02:00</v>
      </c>
      <c r="R142" s="14" t="str">
        <f t="shared" si="26"/>
        <v>lxiii-enc-cae</v>
      </c>
      <c r="S142" s="14" t="str">
        <f t="shared" si="27"/>
        <v>Leo XIII - Litterae Encyclicae - Catholicae Ecclesiae</v>
      </c>
    </row>
    <row r="143" spans="1:19" x14ac:dyDescent="0.25">
      <c r="A143" s="12">
        <v>142</v>
      </c>
      <c r="B143" s="17" t="s">
        <v>667</v>
      </c>
      <c r="C143" s="4" t="s">
        <v>666</v>
      </c>
      <c r="D143" s="4" t="s">
        <v>1147</v>
      </c>
      <c r="E143" s="5" t="s">
        <v>508</v>
      </c>
      <c r="F143" s="18" t="s">
        <v>579</v>
      </c>
      <c r="G143" s="18" t="s">
        <v>694</v>
      </c>
      <c r="H143" s="4" t="s">
        <v>603</v>
      </c>
      <c r="I143" s="4" t="s">
        <v>686</v>
      </c>
      <c r="J143" s="4" t="s">
        <v>1051</v>
      </c>
      <c r="K143" s="2" t="s">
        <v>209</v>
      </c>
      <c r="L143" s="14" t="str">
        <f t="shared" si="20"/>
        <v>In Ipso (03 marzo 1891) | Leone XIII</v>
      </c>
      <c r="M143" s="14" t="str">
        <f t="shared" si="21"/>
        <v>Enciclica In Ipso</v>
      </c>
      <c r="N143" s="14" t="str">
        <f t="shared" si="22"/>
        <v>Enciclica In Ipso</v>
      </c>
      <c r="O143" s="14" t="str">
        <f t="shared" si="23"/>
        <v>1891/03/03</v>
      </c>
      <c r="P143" s="14" t="str">
        <f t="shared" si="24"/>
        <v>Leone XIII, Lettera Enciclica In Ipso, 03 marzo 1891</v>
      </c>
      <c r="Q143" s="14" t="str">
        <f t="shared" si="25"/>
        <v>1891-03-03T08:00:00.000+02:00</v>
      </c>
      <c r="R143" s="14" t="str">
        <f t="shared" si="26"/>
        <v>lxiii-enc-ini</v>
      </c>
      <c r="S143" s="14" t="str">
        <f t="shared" si="27"/>
        <v>Leo XIII - Litterae Encyclicae - In Ipso</v>
      </c>
    </row>
    <row r="144" spans="1:19" x14ac:dyDescent="0.25">
      <c r="A144" s="12">
        <v>143</v>
      </c>
      <c r="B144" s="17" t="s">
        <v>667</v>
      </c>
      <c r="C144" s="4" t="s">
        <v>666</v>
      </c>
      <c r="D144" s="4" t="s">
        <v>1147</v>
      </c>
      <c r="E144" s="5" t="s">
        <v>509</v>
      </c>
      <c r="F144" s="18" t="s">
        <v>579</v>
      </c>
      <c r="G144" s="18" t="s">
        <v>694</v>
      </c>
      <c r="H144" s="4" t="s">
        <v>603</v>
      </c>
      <c r="I144" s="4" t="s">
        <v>686</v>
      </c>
      <c r="J144" s="4" t="s">
        <v>1052</v>
      </c>
      <c r="K144" s="2" t="s">
        <v>210</v>
      </c>
      <c r="L144" s="14" t="str">
        <f t="shared" si="20"/>
        <v>Rerum Novarum (15 maggio 1891) | Leone XIII</v>
      </c>
      <c r="M144" s="14" t="str">
        <f t="shared" si="21"/>
        <v>Enciclica Rerum Novarum</v>
      </c>
      <c r="N144" s="14" t="str">
        <f t="shared" si="22"/>
        <v>Enciclica Rerum Novarum</v>
      </c>
      <c r="O144" s="14" t="str">
        <f t="shared" si="23"/>
        <v>1891/05/15</v>
      </c>
      <c r="P144" s="14" t="str">
        <f t="shared" si="24"/>
        <v>Leone XIII, Lettera Enciclica Rerum Novarum, 15 maggio 1891</v>
      </c>
      <c r="Q144" s="14" t="str">
        <f t="shared" si="25"/>
        <v>1891-05-15T08:00:00.000+02:00</v>
      </c>
      <c r="R144" s="14" t="str">
        <f t="shared" si="26"/>
        <v>lxiii-enc-ren</v>
      </c>
      <c r="S144" s="14" t="str">
        <f t="shared" si="27"/>
        <v>Leo XIII - Litterae Encyclicae - Rerum Novarum</v>
      </c>
    </row>
    <row r="145" spans="1:19" x14ac:dyDescent="0.25">
      <c r="A145" s="12">
        <v>144</v>
      </c>
      <c r="B145" s="17" t="s">
        <v>667</v>
      </c>
      <c r="C145" s="4" t="s">
        <v>666</v>
      </c>
      <c r="D145" s="4" t="s">
        <v>1147</v>
      </c>
      <c r="E145" s="5" t="s">
        <v>510</v>
      </c>
      <c r="F145" s="18" t="s">
        <v>579</v>
      </c>
      <c r="G145" s="18" t="s">
        <v>694</v>
      </c>
      <c r="H145" s="4" t="s">
        <v>603</v>
      </c>
      <c r="I145" s="4" t="s">
        <v>686</v>
      </c>
      <c r="J145" s="4" t="s">
        <v>1053</v>
      </c>
      <c r="K145" s="2" t="s">
        <v>211</v>
      </c>
      <c r="L145" s="14" t="str">
        <f t="shared" si="20"/>
        <v>Pastoralis Vigilantiae (25 giugno 1891) | Leone XIII</v>
      </c>
      <c r="M145" s="14" t="str">
        <f t="shared" si="21"/>
        <v>Enciclica Pastoralis Vigilantiae</v>
      </c>
      <c r="N145" s="14" t="str">
        <f t="shared" si="22"/>
        <v>Enciclica Pastoralis Vigilantiae</v>
      </c>
      <c r="O145" s="14" t="str">
        <f t="shared" si="23"/>
        <v>1891/06/25</v>
      </c>
      <c r="P145" s="14" t="str">
        <f t="shared" si="24"/>
        <v>Leone XIII, Lettera Enciclica Pastoralis Vigilantiae, 25 giugno 1891</v>
      </c>
      <c r="Q145" s="14" t="str">
        <f t="shared" si="25"/>
        <v>1891-06-25T08:00:00.000+02:00</v>
      </c>
      <c r="R145" s="14" t="str">
        <f t="shared" si="26"/>
        <v>lxiii-enc-pav</v>
      </c>
      <c r="S145" s="14" t="str">
        <f t="shared" si="27"/>
        <v>Leo XIII - Litterae Encyclicae - Pastoralis Vigilantiae</v>
      </c>
    </row>
    <row r="146" spans="1:19" x14ac:dyDescent="0.25">
      <c r="A146" s="12">
        <v>145</v>
      </c>
      <c r="B146" s="17" t="s">
        <v>667</v>
      </c>
      <c r="C146" s="4" t="s">
        <v>666</v>
      </c>
      <c r="D146" s="4" t="s">
        <v>1147</v>
      </c>
      <c r="E146" s="5" t="s">
        <v>511</v>
      </c>
      <c r="F146" s="18" t="s">
        <v>579</v>
      </c>
      <c r="G146" s="18" t="s">
        <v>694</v>
      </c>
      <c r="H146" s="4" t="s">
        <v>603</v>
      </c>
      <c r="I146" s="4" t="s">
        <v>686</v>
      </c>
      <c r="J146" s="4" t="s">
        <v>1054</v>
      </c>
      <c r="K146" s="2" t="s">
        <v>212</v>
      </c>
      <c r="L146" s="14" t="str">
        <f t="shared" si="20"/>
        <v>Pastoralis Officii (12 settembre 1891) | Leone XIII</v>
      </c>
      <c r="M146" s="14" t="str">
        <f t="shared" si="21"/>
        <v>Enciclica Pastoralis Officii</v>
      </c>
      <c r="N146" s="14" t="str">
        <f t="shared" si="22"/>
        <v>Enciclica Pastoralis Officii</v>
      </c>
      <c r="O146" s="14" t="str">
        <f t="shared" si="23"/>
        <v>1891/09/12</v>
      </c>
      <c r="P146" s="14" t="str">
        <f t="shared" si="24"/>
        <v>Leone XIII, Lettera Enciclica Pastoralis Officii, 12 settembre 1891</v>
      </c>
      <c r="Q146" s="14" t="str">
        <f t="shared" si="25"/>
        <v>1891-09-12T08:00:00.000+02:00</v>
      </c>
      <c r="R146" s="14" t="str">
        <f t="shared" si="26"/>
        <v>lxiii-enc-pao</v>
      </c>
      <c r="S146" s="14" t="str">
        <f t="shared" si="27"/>
        <v>Leo XIII - Litterae Encyclicae - Pastoralis Officii</v>
      </c>
    </row>
    <row r="147" spans="1:19" x14ac:dyDescent="0.25">
      <c r="A147" s="12">
        <v>146</v>
      </c>
      <c r="B147" s="17" t="s">
        <v>667</v>
      </c>
      <c r="C147" s="4" t="s">
        <v>666</v>
      </c>
      <c r="D147" s="4" t="s">
        <v>1147</v>
      </c>
      <c r="E147" s="5" t="s">
        <v>512</v>
      </c>
      <c r="F147" s="18" t="s">
        <v>579</v>
      </c>
      <c r="G147" s="18" t="s">
        <v>694</v>
      </c>
      <c r="H147" s="4" t="s">
        <v>603</v>
      </c>
      <c r="I147" s="4" t="s">
        <v>686</v>
      </c>
      <c r="J147" s="4" t="s">
        <v>1055</v>
      </c>
      <c r="K147" s="2" t="s">
        <v>213</v>
      </c>
      <c r="L147" s="14" t="str">
        <f t="shared" si="20"/>
        <v>Octobri Mense (22 settembre 1891) | Leone XIII</v>
      </c>
      <c r="M147" s="14" t="str">
        <f t="shared" si="21"/>
        <v>Enciclica Octobri Mense</v>
      </c>
      <c r="N147" s="14" t="str">
        <f t="shared" si="22"/>
        <v>Enciclica Octobri Mense</v>
      </c>
      <c r="O147" s="14" t="str">
        <f t="shared" si="23"/>
        <v>1891/09/22</v>
      </c>
      <c r="P147" s="14" t="str">
        <f t="shared" si="24"/>
        <v>Leone XIII, Lettera Enciclica Octobri Mense, 22 settembre 1891</v>
      </c>
      <c r="Q147" s="14" t="str">
        <f t="shared" si="25"/>
        <v>1891-09-22T08:00:00.000+02:00</v>
      </c>
      <c r="R147" s="14" t="str">
        <f t="shared" si="26"/>
        <v>lxiii-enc-ocm</v>
      </c>
      <c r="S147" s="14" t="str">
        <f t="shared" si="27"/>
        <v>Leo XIII - Litterae Encyclicae - Octobri Mense</v>
      </c>
    </row>
    <row r="148" spans="1:19" x14ac:dyDescent="0.25">
      <c r="A148" s="12">
        <v>147</v>
      </c>
      <c r="B148" s="17" t="s">
        <v>667</v>
      </c>
      <c r="C148" s="4" t="s">
        <v>666</v>
      </c>
      <c r="D148" s="4" t="s">
        <v>1147</v>
      </c>
      <c r="E148" s="5" t="s">
        <v>513</v>
      </c>
      <c r="F148" s="18" t="s">
        <v>579</v>
      </c>
      <c r="G148" s="18" t="s">
        <v>694</v>
      </c>
      <c r="H148" s="4" t="s">
        <v>603</v>
      </c>
      <c r="I148" s="4" t="s">
        <v>686</v>
      </c>
      <c r="J148" s="4" t="s">
        <v>1056</v>
      </c>
      <c r="K148" s="2" t="s">
        <v>214</v>
      </c>
      <c r="L148" s="14" t="str">
        <f t="shared" si="20"/>
        <v>Au Milieu Des Sollicitudes (16 febbraio 1892) | Leone XIII</v>
      </c>
      <c r="M148" s="14" t="str">
        <f t="shared" si="21"/>
        <v>Enciclica Au Milieu Des Sollicitudes</v>
      </c>
      <c r="N148" s="14" t="str">
        <f t="shared" si="22"/>
        <v>Enciclica Au Milieu Des Sollicitudes</v>
      </c>
      <c r="O148" s="14" t="str">
        <f t="shared" si="23"/>
        <v>1892/02/16</v>
      </c>
      <c r="P148" s="14" t="str">
        <f t="shared" si="24"/>
        <v>Leone XIII, Lettera Enciclica Au Milieu Des Sollicitudes, 16 febbraio 1892</v>
      </c>
      <c r="Q148" s="14" t="str">
        <f t="shared" si="25"/>
        <v>1892-02-16T08:00:00.000+02:00</v>
      </c>
      <c r="R148" s="14" t="str">
        <f t="shared" si="26"/>
        <v>lxiii-enc-amd</v>
      </c>
      <c r="S148" s="14" t="str">
        <f t="shared" si="27"/>
        <v>Leo XIII - Litterae Encyclicae - Au Milieu Des Sollicitudes</v>
      </c>
    </row>
    <row r="149" spans="1:19" x14ac:dyDescent="0.25">
      <c r="A149" s="12">
        <v>148</v>
      </c>
      <c r="B149" s="17" t="s">
        <v>667</v>
      </c>
      <c r="C149" s="4" t="s">
        <v>666</v>
      </c>
      <c r="D149" s="4" t="s">
        <v>1147</v>
      </c>
      <c r="E149" s="5" t="s">
        <v>514</v>
      </c>
      <c r="F149" s="18" t="s">
        <v>579</v>
      </c>
      <c r="G149" s="18" t="s">
        <v>694</v>
      </c>
      <c r="H149" s="4" t="s">
        <v>603</v>
      </c>
      <c r="I149" s="4" t="s">
        <v>686</v>
      </c>
      <c r="J149" s="4" t="s">
        <v>1057</v>
      </c>
      <c r="K149" s="2" t="s">
        <v>215</v>
      </c>
      <c r="L149" s="14" t="str">
        <f t="shared" si="20"/>
        <v>Quarto Abeunte Saeculo (16 luglio 1892) | Leone XIII</v>
      </c>
      <c r="M149" s="14" t="str">
        <f t="shared" si="21"/>
        <v>Enciclica Quarto Abeunte Saeculo</v>
      </c>
      <c r="N149" s="14" t="str">
        <f t="shared" si="22"/>
        <v>Enciclica Quarto Abeunte Saeculo</v>
      </c>
      <c r="O149" s="14" t="str">
        <f t="shared" si="23"/>
        <v>1892/07/16</v>
      </c>
      <c r="P149" s="14" t="str">
        <f t="shared" si="24"/>
        <v>Leone XIII, Lettera Enciclica Quarto Abeunte Saeculo, 16 luglio 1892</v>
      </c>
      <c r="Q149" s="14" t="str">
        <f t="shared" si="25"/>
        <v>1892-07-16T08:00:00.000+02:00</v>
      </c>
      <c r="R149" s="14" t="str">
        <f t="shared" si="26"/>
        <v>lxiii-enc-qas</v>
      </c>
      <c r="S149" s="14" t="str">
        <f t="shared" si="27"/>
        <v>Leo XIII - Litterae Encyclicae - Quarto Abeunte Saeculo</v>
      </c>
    </row>
    <row r="150" spans="1:19" x14ac:dyDescent="0.25">
      <c r="A150" s="12">
        <v>149</v>
      </c>
      <c r="B150" s="17" t="s">
        <v>667</v>
      </c>
      <c r="C150" s="4" t="s">
        <v>666</v>
      </c>
      <c r="D150" s="4" t="s">
        <v>1147</v>
      </c>
      <c r="E150" s="5" t="s">
        <v>515</v>
      </c>
      <c r="F150" s="18" t="s">
        <v>579</v>
      </c>
      <c r="G150" s="18" t="s">
        <v>694</v>
      </c>
      <c r="H150" s="4" t="s">
        <v>603</v>
      </c>
      <c r="I150" s="4" t="s">
        <v>686</v>
      </c>
      <c r="J150" s="4" t="s">
        <v>1058</v>
      </c>
      <c r="K150" s="2" t="s">
        <v>216</v>
      </c>
      <c r="L150" s="14" t="str">
        <f t="shared" si="20"/>
        <v>Magnae Dei Matris (08 settembre 1892) | Leone XIII</v>
      </c>
      <c r="M150" s="14" t="str">
        <f t="shared" si="21"/>
        <v>Enciclica Magnae Dei Matris</v>
      </c>
      <c r="N150" s="14" t="str">
        <f t="shared" si="22"/>
        <v>Enciclica Magnae Dei Matris</v>
      </c>
      <c r="O150" s="14" t="str">
        <f t="shared" si="23"/>
        <v>1892/09/08</v>
      </c>
      <c r="P150" s="14" t="str">
        <f t="shared" si="24"/>
        <v>Leone XIII, Lettera Enciclica Magnae Dei Matris, 08 settembre 1892</v>
      </c>
      <c r="Q150" s="14" t="str">
        <f t="shared" si="25"/>
        <v>1892-09-08T08:00:00.000+02:00</v>
      </c>
      <c r="R150" s="14" t="str">
        <f t="shared" si="26"/>
        <v>lxiii-enc-mdm</v>
      </c>
      <c r="S150" s="14" t="str">
        <f t="shared" si="27"/>
        <v>Leo XIII - Litterae Encyclicae - Magnae Dei Matris</v>
      </c>
    </row>
    <row r="151" spans="1:19" x14ac:dyDescent="0.25">
      <c r="A151" s="12">
        <v>150</v>
      </c>
      <c r="B151" s="17" t="s">
        <v>667</v>
      </c>
      <c r="C151" s="4" t="s">
        <v>666</v>
      </c>
      <c r="D151" s="4" t="s">
        <v>1147</v>
      </c>
      <c r="E151" s="5" t="s">
        <v>516</v>
      </c>
      <c r="F151" s="18" t="s">
        <v>579</v>
      </c>
      <c r="G151" s="18" t="s">
        <v>694</v>
      </c>
      <c r="H151" s="4" t="s">
        <v>603</v>
      </c>
      <c r="I151" s="4" t="s">
        <v>686</v>
      </c>
      <c r="J151" s="4" t="s">
        <v>1059</v>
      </c>
      <c r="K151" s="2" t="s">
        <v>217</v>
      </c>
      <c r="L151" s="14" t="str">
        <f t="shared" si="20"/>
        <v>Custodi di quella Fede (08 dicembre 1892) | Leone XIII</v>
      </c>
      <c r="M151" s="14" t="str">
        <f t="shared" si="21"/>
        <v>Enciclica Custodi di quella Fede</v>
      </c>
      <c r="N151" s="14" t="str">
        <f t="shared" si="22"/>
        <v>Enciclica Custodi di quella Fede</v>
      </c>
      <c r="O151" s="14" t="str">
        <f t="shared" si="23"/>
        <v>1892/12/08</v>
      </c>
      <c r="P151" s="14" t="str">
        <f t="shared" si="24"/>
        <v>Leone XIII, Lettera Enciclica Custodi di quella Fede, 08 dicembre 1892</v>
      </c>
      <c r="Q151" s="14" t="str">
        <f t="shared" si="25"/>
        <v>1892-12-08T08:00:00.000+02:00</v>
      </c>
      <c r="R151" s="14" t="str">
        <f t="shared" si="26"/>
        <v>lxiii-enc-cdq</v>
      </c>
      <c r="S151" s="14" t="str">
        <f t="shared" si="27"/>
        <v>Leo XIII - Litterae Encyclicae - Custodi di quella Fede</v>
      </c>
    </row>
    <row r="152" spans="1:19" x14ac:dyDescent="0.25">
      <c r="A152" s="12">
        <v>151</v>
      </c>
      <c r="B152" s="17" t="s">
        <v>667</v>
      </c>
      <c r="C152" s="4" t="s">
        <v>666</v>
      </c>
      <c r="D152" s="4" t="s">
        <v>1147</v>
      </c>
      <c r="E152" s="5" t="s">
        <v>516</v>
      </c>
      <c r="F152" s="18" t="s">
        <v>579</v>
      </c>
      <c r="G152" s="18" t="s">
        <v>694</v>
      </c>
      <c r="H152" s="4" t="s">
        <v>603</v>
      </c>
      <c r="I152" s="4" t="s">
        <v>686</v>
      </c>
      <c r="J152" s="4" t="s">
        <v>1060</v>
      </c>
      <c r="K152" s="2" t="s">
        <v>218</v>
      </c>
      <c r="L152" s="14" t="str">
        <f t="shared" si="20"/>
        <v>Inimica Vis (08 dicembre 1892) | Leone XIII</v>
      </c>
      <c r="M152" s="14" t="str">
        <f t="shared" si="21"/>
        <v>Enciclica Inimica Vis</v>
      </c>
      <c r="N152" s="14" t="str">
        <f t="shared" si="22"/>
        <v>Enciclica Inimica Vis</v>
      </c>
      <c r="O152" s="14" t="str">
        <f t="shared" si="23"/>
        <v>1892/12/08</v>
      </c>
      <c r="P152" s="14" t="str">
        <f t="shared" si="24"/>
        <v>Leone XIII, Lettera Enciclica Inimica Vis, 08 dicembre 1892</v>
      </c>
      <c r="Q152" s="14" t="str">
        <f t="shared" si="25"/>
        <v>1892-12-08T08:00:00.000+02:00</v>
      </c>
      <c r="R152" s="14" t="str">
        <f t="shared" si="26"/>
        <v>lxiii-enc-inv</v>
      </c>
      <c r="S152" s="14" t="str">
        <f t="shared" si="27"/>
        <v>Leo XIII - Litterae Encyclicae - Inimica Vis</v>
      </c>
    </row>
    <row r="153" spans="1:19" x14ac:dyDescent="0.25">
      <c r="A153" s="12">
        <v>152</v>
      </c>
      <c r="B153" s="17" t="s">
        <v>667</v>
      </c>
      <c r="C153" s="4" t="s">
        <v>666</v>
      </c>
      <c r="D153" s="4" t="s">
        <v>1147</v>
      </c>
      <c r="E153" s="5" t="s">
        <v>517</v>
      </c>
      <c r="F153" s="18" t="s">
        <v>579</v>
      </c>
      <c r="G153" s="18" t="s">
        <v>694</v>
      </c>
      <c r="H153" s="4" t="s">
        <v>603</v>
      </c>
      <c r="I153" s="4" t="s">
        <v>686</v>
      </c>
      <c r="J153" s="4" t="s">
        <v>1061</v>
      </c>
      <c r="K153" s="2" t="s">
        <v>219</v>
      </c>
      <c r="L153" s="14" t="str">
        <f t="shared" si="20"/>
        <v>Ad Extremas (24 giugno 1893) | Leone XIII</v>
      </c>
      <c r="M153" s="14" t="str">
        <f t="shared" si="21"/>
        <v>Enciclica Ad Extremas</v>
      </c>
      <c r="N153" s="14" t="str">
        <f t="shared" si="22"/>
        <v>Enciclica Ad Extremas</v>
      </c>
      <c r="O153" s="14" t="str">
        <f t="shared" si="23"/>
        <v>1893/06/24</v>
      </c>
      <c r="P153" s="14" t="str">
        <f t="shared" si="24"/>
        <v>Leone XIII, Lettera Enciclica Ad Extremas, 24 giugno 1893</v>
      </c>
      <c r="Q153" s="14" t="str">
        <f t="shared" si="25"/>
        <v>1893-06-24T08:00:00.000+02:00</v>
      </c>
      <c r="R153" s="14" t="str">
        <f t="shared" si="26"/>
        <v>lxiii-enc-ade</v>
      </c>
      <c r="S153" s="14" t="str">
        <f t="shared" si="27"/>
        <v>Leo XIII - Litterae Encyclicae - Ad Extremas</v>
      </c>
    </row>
    <row r="154" spans="1:19" x14ac:dyDescent="0.25">
      <c r="A154" s="12">
        <v>153</v>
      </c>
      <c r="B154" s="17" t="s">
        <v>667</v>
      </c>
      <c r="C154" s="4" t="s">
        <v>666</v>
      </c>
      <c r="D154" s="4" t="s">
        <v>1147</v>
      </c>
      <c r="E154" s="5" t="s">
        <v>518</v>
      </c>
      <c r="F154" s="18" t="s">
        <v>579</v>
      </c>
      <c r="G154" s="18" t="s">
        <v>694</v>
      </c>
      <c r="H154" s="4" t="s">
        <v>603</v>
      </c>
      <c r="I154" s="4" t="s">
        <v>686</v>
      </c>
      <c r="J154" s="4" t="s">
        <v>1062</v>
      </c>
      <c r="K154" s="2" t="s">
        <v>220</v>
      </c>
      <c r="L154" s="14" t="str">
        <f t="shared" si="20"/>
        <v>Constanti Hungarorum (02 settembre 1893) | Leone XIII</v>
      </c>
      <c r="M154" s="14" t="str">
        <f t="shared" si="21"/>
        <v>Enciclica Constanti Hungarorum</v>
      </c>
      <c r="N154" s="14" t="str">
        <f t="shared" si="22"/>
        <v>Enciclica Constanti Hungarorum</v>
      </c>
      <c r="O154" s="14" t="str">
        <f t="shared" si="23"/>
        <v>1893/09/02</v>
      </c>
      <c r="P154" s="14" t="str">
        <f t="shared" si="24"/>
        <v>Leone XIII, Lettera Enciclica Constanti Hungarorum, 02 settembre 1893</v>
      </c>
      <c r="Q154" s="14" t="str">
        <f t="shared" si="25"/>
        <v>1893-09-02T08:00:00.000+02:00</v>
      </c>
      <c r="R154" s="14" t="str">
        <f t="shared" si="26"/>
        <v>lxiii-enc-coh</v>
      </c>
      <c r="S154" s="14" t="str">
        <f t="shared" si="27"/>
        <v>Leo XIII - Litterae Encyclicae - Constanti Hungarorum</v>
      </c>
    </row>
    <row r="155" spans="1:19" x14ac:dyDescent="0.25">
      <c r="A155" s="12">
        <v>154</v>
      </c>
      <c r="B155" s="17" t="s">
        <v>667</v>
      </c>
      <c r="C155" s="4" t="s">
        <v>666</v>
      </c>
      <c r="D155" s="4" t="s">
        <v>1147</v>
      </c>
      <c r="E155" s="5" t="s">
        <v>519</v>
      </c>
      <c r="F155" s="18" t="s">
        <v>579</v>
      </c>
      <c r="G155" s="18" t="s">
        <v>694</v>
      </c>
      <c r="H155" s="4" t="s">
        <v>603</v>
      </c>
      <c r="I155" s="4" t="s">
        <v>686</v>
      </c>
      <c r="J155" s="4" t="s">
        <v>587</v>
      </c>
      <c r="K155" s="2" t="s">
        <v>221</v>
      </c>
      <c r="L155" s="14" t="str">
        <f t="shared" si="20"/>
        <v>Laetitiae Sanctae (08 settembre 1893) | Leone XIII</v>
      </c>
      <c r="M155" s="14" t="str">
        <f t="shared" si="21"/>
        <v>Enciclica Laetitiae Sanctae</v>
      </c>
      <c r="N155" s="14" t="str">
        <f t="shared" si="22"/>
        <v>Enciclica Laetitiae Sanctae</v>
      </c>
      <c r="O155" s="14" t="str">
        <f t="shared" si="23"/>
        <v>1893/09/08</v>
      </c>
      <c r="P155" s="14" t="str">
        <f t="shared" si="24"/>
        <v>Leone XIII, Lettera Enciclica Laetitiae Sanctae, 08 settembre 1893</v>
      </c>
      <c r="Q155" s="14" t="str">
        <f t="shared" si="25"/>
        <v>1893-09-08T08:00:00.000+02:00</v>
      </c>
      <c r="R155" s="14" t="str">
        <f t="shared" si="26"/>
        <v>lxiii-enc-las</v>
      </c>
      <c r="S155" s="14" t="str">
        <f t="shared" si="27"/>
        <v>Leo XIII - Litterae Encyclicae - Laetitiae Sanctae</v>
      </c>
    </row>
    <row r="156" spans="1:19" x14ac:dyDescent="0.25">
      <c r="A156" s="12">
        <v>155</v>
      </c>
      <c r="B156" s="17" t="s">
        <v>667</v>
      </c>
      <c r="C156" s="4" t="s">
        <v>666</v>
      </c>
      <c r="D156" s="4" t="s">
        <v>1147</v>
      </c>
      <c r="E156" s="5" t="s">
        <v>520</v>
      </c>
      <c r="F156" s="18" t="s">
        <v>579</v>
      </c>
      <c r="G156" s="18" t="s">
        <v>694</v>
      </c>
      <c r="H156" s="4" t="s">
        <v>603</v>
      </c>
      <c r="I156" s="4" t="s">
        <v>686</v>
      </c>
      <c r="J156" s="4" t="s">
        <v>1063</v>
      </c>
      <c r="K156" s="2" t="s">
        <v>222</v>
      </c>
      <c r="L156" s="14" t="str">
        <f t="shared" si="20"/>
        <v>Non Mediocri (25 ottobre 1893) | Leone XIII</v>
      </c>
      <c r="M156" s="14" t="str">
        <f t="shared" si="21"/>
        <v>Enciclica Non Mediocri</v>
      </c>
      <c r="N156" s="14" t="str">
        <f t="shared" si="22"/>
        <v>Enciclica Non Mediocri</v>
      </c>
      <c r="O156" s="14" t="str">
        <f t="shared" si="23"/>
        <v>1893/10/25</v>
      </c>
      <c r="P156" s="14" t="str">
        <f t="shared" si="24"/>
        <v>Leone XIII, Lettera Enciclica Non Mediocri, 25 ottobre 1893</v>
      </c>
      <c r="Q156" s="14" t="str">
        <f t="shared" si="25"/>
        <v>1893-10-25T08:00:00.000+02:00</v>
      </c>
      <c r="R156" s="14" t="str">
        <f t="shared" si="26"/>
        <v>lxiii-enc-nom</v>
      </c>
      <c r="S156" s="14" t="str">
        <f t="shared" si="27"/>
        <v>Leo XIII - Litterae Encyclicae - Non Mediocri</v>
      </c>
    </row>
    <row r="157" spans="1:19" x14ac:dyDescent="0.25">
      <c r="A157" s="12">
        <v>156</v>
      </c>
      <c r="B157" s="17" t="s">
        <v>667</v>
      </c>
      <c r="C157" s="4" t="s">
        <v>666</v>
      </c>
      <c r="D157" s="4" t="s">
        <v>1147</v>
      </c>
      <c r="E157" s="5" t="s">
        <v>521</v>
      </c>
      <c r="F157" s="18" t="s">
        <v>579</v>
      </c>
      <c r="G157" s="18" t="s">
        <v>694</v>
      </c>
      <c r="H157" s="4" t="s">
        <v>603</v>
      </c>
      <c r="I157" s="4" t="s">
        <v>686</v>
      </c>
      <c r="J157" s="4" t="s">
        <v>1064</v>
      </c>
      <c r="K157" s="2" t="s">
        <v>223</v>
      </c>
      <c r="L157" s="14" t="str">
        <f t="shared" si="20"/>
        <v>Providentissimus Deus (18 novembre 1893) | Leone XIII</v>
      </c>
      <c r="M157" s="14" t="str">
        <f t="shared" si="21"/>
        <v>Enciclica Providentissimus Deus</v>
      </c>
      <c r="N157" s="14" t="str">
        <f t="shared" si="22"/>
        <v>Enciclica Providentissimus Deus</v>
      </c>
      <c r="O157" s="14" t="str">
        <f t="shared" si="23"/>
        <v>1893/11/18</v>
      </c>
      <c r="P157" s="14" t="str">
        <f t="shared" si="24"/>
        <v>Leone XIII, Lettera Enciclica Providentissimus Deus, 18 novembre 1893</v>
      </c>
      <c r="Q157" s="14" t="str">
        <f t="shared" si="25"/>
        <v>1893-11-18T08:00:00.000+02:00</v>
      </c>
      <c r="R157" s="14" t="str">
        <f t="shared" si="26"/>
        <v>lxiii-enc-prd</v>
      </c>
      <c r="S157" s="14" t="str">
        <f t="shared" si="27"/>
        <v>Leo XIII - Litterae Encyclicae - Providentissimus Deus</v>
      </c>
    </row>
    <row r="158" spans="1:19" x14ac:dyDescent="0.25">
      <c r="A158" s="12">
        <v>157</v>
      </c>
      <c r="B158" s="17" t="s">
        <v>667</v>
      </c>
      <c r="C158" s="4" t="s">
        <v>666</v>
      </c>
      <c r="D158" s="4" t="s">
        <v>1147</v>
      </c>
      <c r="E158" s="5" t="s">
        <v>522</v>
      </c>
      <c r="F158" s="18" t="s">
        <v>579</v>
      </c>
      <c r="G158" s="18" t="s">
        <v>694</v>
      </c>
      <c r="H158" s="4" t="s">
        <v>603</v>
      </c>
      <c r="I158" s="4" t="s">
        <v>686</v>
      </c>
      <c r="J158" s="4" t="s">
        <v>1065</v>
      </c>
      <c r="K158" s="2" t="s">
        <v>224</v>
      </c>
      <c r="L158" s="14" t="str">
        <f t="shared" si="20"/>
        <v>Caritatis (19 marzo 1894) | Leone XIII</v>
      </c>
      <c r="M158" s="14" t="str">
        <f t="shared" si="21"/>
        <v>Enciclica Caritatis</v>
      </c>
      <c r="N158" s="14" t="str">
        <f t="shared" si="22"/>
        <v>Enciclica Caritatis</v>
      </c>
      <c r="O158" s="14" t="str">
        <f t="shared" si="23"/>
        <v>1894/03/19</v>
      </c>
      <c r="P158" s="14" t="str">
        <f t="shared" si="24"/>
        <v>Leone XIII, Lettera Enciclica Caritatis, 19 marzo 1894</v>
      </c>
      <c r="Q158" s="14" t="str">
        <f t="shared" si="25"/>
        <v>1894-03-19T08:00:00.000+02:00</v>
      </c>
      <c r="R158" s="14" t="str">
        <f t="shared" si="26"/>
        <v>lxiii-enc-car</v>
      </c>
      <c r="S158" s="14" t="str">
        <f t="shared" si="27"/>
        <v>Leo XIII - Litterae Encyclicae - Caritatis</v>
      </c>
    </row>
    <row r="159" spans="1:19" x14ac:dyDescent="0.25">
      <c r="A159" s="12">
        <v>158</v>
      </c>
      <c r="B159" s="17" t="s">
        <v>667</v>
      </c>
      <c r="C159" s="4" t="s">
        <v>666</v>
      </c>
      <c r="D159" s="4" t="s">
        <v>1147</v>
      </c>
      <c r="E159" s="5" t="s">
        <v>523</v>
      </c>
      <c r="F159" s="18" t="s">
        <v>579</v>
      </c>
      <c r="G159" s="18" t="s">
        <v>694</v>
      </c>
      <c r="H159" s="4" t="s">
        <v>603</v>
      </c>
      <c r="I159" s="4" t="s">
        <v>686</v>
      </c>
      <c r="J159" s="4" t="s">
        <v>963</v>
      </c>
      <c r="K159" s="2" t="s">
        <v>225</v>
      </c>
      <c r="L159" s="14" t="str">
        <f t="shared" si="20"/>
        <v>Inter Graves (01 maggio 1894) | Leone XIII</v>
      </c>
      <c r="M159" s="14" t="str">
        <f t="shared" si="21"/>
        <v>Enciclica Inter Graves</v>
      </c>
      <c r="N159" s="14" t="str">
        <f t="shared" si="22"/>
        <v>Enciclica Inter Graves</v>
      </c>
      <c r="O159" s="14" t="str">
        <f t="shared" si="23"/>
        <v>1894/05/01</v>
      </c>
      <c r="P159" s="14" t="str">
        <f t="shared" si="24"/>
        <v>Leone XIII, Lettera Enciclica Inter Graves, 01 maggio 1894</v>
      </c>
      <c r="Q159" s="14" t="str">
        <f t="shared" si="25"/>
        <v>1894-05-01T08:00:00.000+02:00</v>
      </c>
      <c r="R159" s="14" t="str">
        <f t="shared" si="26"/>
        <v>lxiii-enc-ing</v>
      </c>
      <c r="S159" s="14" t="str">
        <f t="shared" si="27"/>
        <v>Leo XIII - Litterae Encyclicae - Inter Graves</v>
      </c>
    </row>
    <row r="160" spans="1:19" x14ac:dyDescent="0.25">
      <c r="A160" s="12">
        <v>159</v>
      </c>
      <c r="B160" s="17" t="s">
        <v>667</v>
      </c>
      <c r="C160" s="4" t="s">
        <v>666</v>
      </c>
      <c r="D160" s="4" t="s">
        <v>1147</v>
      </c>
      <c r="E160" s="5" t="s">
        <v>524</v>
      </c>
      <c r="F160" s="18" t="s">
        <v>579</v>
      </c>
      <c r="G160" s="18" t="s">
        <v>694</v>
      </c>
      <c r="H160" s="4" t="s">
        <v>603</v>
      </c>
      <c r="I160" s="4" t="s">
        <v>686</v>
      </c>
      <c r="J160" s="4" t="s">
        <v>975</v>
      </c>
      <c r="K160" s="2" t="s">
        <v>226</v>
      </c>
      <c r="L160" s="14" t="str">
        <f t="shared" si="20"/>
        <v>Litteras a Vobis (02 luglio 1894) | Leone XIII</v>
      </c>
      <c r="M160" s="14" t="str">
        <f t="shared" si="21"/>
        <v>Enciclica Litteras a Vobis</v>
      </c>
      <c r="N160" s="14" t="str">
        <f t="shared" si="22"/>
        <v>Enciclica Litteras a Vobis</v>
      </c>
      <c r="O160" s="14" t="str">
        <f t="shared" si="23"/>
        <v>1894/07/02</v>
      </c>
      <c r="P160" s="14" t="str">
        <f t="shared" si="24"/>
        <v>Leone XIII, Lettera Enciclica Litteras a Vobis, 02 luglio 1894</v>
      </c>
      <c r="Q160" s="14" t="str">
        <f t="shared" si="25"/>
        <v>1894-07-02T08:00:00.000+02:00</v>
      </c>
      <c r="R160" s="14" t="str">
        <f t="shared" si="26"/>
        <v>lxiii-enc-lav</v>
      </c>
      <c r="S160" s="14" t="str">
        <f t="shared" si="27"/>
        <v>Leo XIII - Litterae Encyclicae - Litteras a Vobis</v>
      </c>
    </row>
    <row r="161" spans="1:19" x14ac:dyDescent="0.25">
      <c r="A161" s="12">
        <v>160</v>
      </c>
      <c r="B161" s="17" t="s">
        <v>667</v>
      </c>
      <c r="C161" s="4" t="s">
        <v>666</v>
      </c>
      <c r="D161" s="4" t="s">
        <v>1147</v>
      </c>
      <c r="E161" s="5" t="s">
        <v>525</v>
      </c>
      <c r="F161" s="18" t="s">
        <v>579</v>
      </c>
      <c r="G161" s="18" t="s">
        <v>694</v>
      </c>
      <c r="H161" s="4" t="s">
        <v>603</v>
      </c>
      <c r="I161" s="4" t="s">
        <v>686</v>
      </c>
      <c r="J161" s="4" t="s">
        <v>1066</v>
      </c>
      <c r="K161" s="2" t="s">
        <v>227</v>
      </c>
      <c r="L161" s="14" t="str">
        <f t="shared" si="20"/>
        <v>Iucunda Semper Expectatione (08 settembre 1894) | Leone XIII</v>
      </c>
      <c r="M161" s="14" t="str">
        <f t="shared" si="21"/>
        <v>Enciclica Iucunda Semper Expectatione</v>
      </c>
      <c r="N161" s="14" t="str">
        <f t="shared" si="22"/>
        <v>Enciclica Iucunda Semper Expectatione</v>
      </c>
      <c r="O161" s="14" t="str">
        <f t="shared" si="23"/>
        <v>1894/09/08</v>
      </c>
      <c r="P161" s="14" t="str">
        <f t="shared" si="24"/>
        <v>Leone XIII, Lettera Enciclica Iucunda Semper Expectatione, 08 settembre 1894</v>
      </c>
      <c r="Q161" s="14" t="str">
        <f t="shared" si="25"/>
        <v>1894-09-08T08:00:00.000+02:00</v>
      </c>
      <c r="R161" s="14" t="str">
        <f t="shared" si="26"/>
        <v>lxiii-enc-ise</v>
      </c>
      <c r="S161" s="14" t="str">
        <f t="shared" si="27"/>
        <v>Leo XIII - Litterae Encyclicae - Iucunda Semper Expectatione</v>
      </c>
    </row>
    <row r="162" spans="1:19" x14ac:dyDescent="0.25">
      <c r="A162" s="12">
        <v>161</v>
      </c>
      <c r="B162" s="17" t="s">
        <v>667</v>
      </c>
      <c r="C162" s="4" t="s">
        <v>666</v>
      </c>
      <c r="D162" s="4" t="s">
        <v>1147</v>
      </c>
      <c r="E162" s="5" t="s">
        <v>526</v>
      </c>
      <c r="F162" s="18" t="s">
        <v>579</v>
      </c>
      <c r="G162" s="18" t="s">
        <v>694</v>
      </c>
      <c r="H162" s="4" t="s">
        <v>603</v>
      </c>
      <c r="I162" s="4" t="s">
        <v>686</v>
      </c>
      <c r="J162" s="4" t="s">
        <v>1067</v>
      </c>
      <c r="K162" s="2" t="s">
        <v>228</v>
      </c>
      <c r="L162" s="14" t="str">
        <f t="shared" si="20"/>
        <v>Christi Nomen (24 dicembre 1894) | Leone XIII</v>
      </c>
      <c r="M162" s="14" t="str">
        <f t="shared" si="21"/>
        <v>Enciclica Christi Nomen</v>
      </c>
      <c r="N162" s="14" t="str">
        <f t="shared" si="22"/>
        <v>Enciclica Christi Nomen</v>
      </c>
      <c r="O162" s="14" t="str">
        <f t="shared" ref="O162:O180" si="28">_xlfn.CONCAT(RIGHT(E162,4) &amp; "/" &amp; MID(E162,4,2) &amp; "/" &amp; LEFT(E162,2))</f>
        <v>1894/12/24</v>
      </c>
      <c r="P162" s="14" t="str">
        <f t="shared" si="24"/>
        <v>Leone XIII, Lettera Enciclica Christi Nomen, 24 dicembre 1894</v>
      </c>
      <c r="Q162" s="14" t="str">
        <f t="shared" ref="Q162:Q180" si="29">_xlfn.CONCAT(RIGHT(E162,4) &amp; "-" &amp; MID(E162,4,2) &amp; "-" &amp; LEFT(E162,2) &amp; "T08:00:00.000+02:00")</f>
        <v>1894-12-24T08:00:00.000+02:00</v>
      </c>
      <c r="R162" s="14" t="str">
        <f t="shared" si="26"/>
        <v>lxiii-enc-chn</v>
      </c>
      <c r="S162" s="14" t="str">
        <f t="shared" si="27"/>
        <v>Leo XIII - Litterae Encyclicae - Christi Nomen</v>
      </c>
    </row>
    <row r="163" spans="1:19" x14ac:dyDescent="0.25">
      <c r="A163" s="12">
        <v>162</v>
      </c>
      <c r="B163" s="17" t="s">
        <v>667</v>
      </c>
      <c r="C163" s="4" t="s">
        <v>666</v>
      </c>
      <c r="D163" s="4" t="s">
        <v>1147</v>
      </c>
      <c r="E163" s="5" t="s">
        <v>527</v>
      </c>
      <c r="F163" s="18" t="s">
        <v>579</v>
      </c>
      <c r="G163" s="18" t="s">
        <v>694</v>
      </c>
      <c r="H163" s="4" t="s">
        <v>603</v>
      </c>
      <c r="I163" s="4" t="s">
        <v>686</v>
      </c>
      <c r="J163" s="4" t="s">
        <v>1068</v>
      </c>
      <c r="K163" s="2" t="s">
        <v>229</v>
      </c>
      <c r="L163" s="14" t="str">
        <f t="shared" si="20"/>
        <v>Longinqua (06 gennaio 1895) | Leone XIII</v>
      </c>
      <c r="M163" s="14" t="str">
        <f t="shared" si="21"/>
        <v>Enciclica Longinqua</v>
      </c>
      <c r="N163" s="14" t="str">
        <f t="shared" si="22"/>
        <v>Enciclica Longinqua</v>
      </c>
      <c r="O163" s="14" t="str">
        <f t="shared" si="28"/>
        <v>1895/01/06</v>
      </c>
      <c r="P163" s="14" t="str">
        <f t="shared" si="24"/>
        <v>Leone XIII, Lettera Enciclica Longinqua, 06 gennaio 1895</v>
      </c>
      <c r="Q163" s="14" t="str">
        <f t="shared" si="29"/>
        <v>1895-01-06T08:00:00.000+02:00</v>
      </c>
      <c r="R163" s="14" t="str">
        <f t="shared" si="26"/>
        <v>lxiii-enc-lon</v>
      </c>
      <c r="S163" s="14" t="str">
        <f t="shared" si="27"/>
        <v>Leo XIII - Litterae Encyclicae - Longinqua</v>
      </c>
    </row>
    <row r="164" spans="1:19" x14ac:dyDescent="0.25">
      <c r="A164" s="12">
        <v>163</v>
      </c>
      <c r="B164" s="17" t="s">
        <v>667</v>
      </c>
      <c r="C164" s="4" t="s">
        <v>666</v>
      </c>
      <c r="D164" s="4" t="s">
        <v>1147</v>
      </c>
      <c r="E164" s="5" t="s">
        <v>528</v>
      </c>
      <c r="F164" s="18" t="s">
        <v>579</v>
      </c>
      <c r="G164" s="18" t="s">
        <v>694</v>
      </c>
      <c r="H164" s="4" t="s">
        <v>603</v>
      </c>
      <c r="I164" s="4" t="s">
        <v>686</v>
      </c>
      <c r="J164" s="4" t="s">
        <v>1040</v>
      </c>
      <c r="K164" s="2" t="s">
        <v>230</v>
      </c>
      <c r="L164" s="14" t="str">
        <f t="shared" si="20"/>
        <v>Permoti Nos (10 luglio 1895) | Leone XIII</v>
      </c>
      <c r="M164" s="14" t="str">
        <f t="shared" si="21"/>
        <v>Enciclica Permoti Nos</v>
      </c>
      <c r="N164" s="14" t="str">
        <f t="shared" si="22"/>
        <v>Enciclica Permoti Nos</v>
      </c>
      <c r="O164" s="14" t="str">
        <f t="shared" si="28"/>
        <v>1895/07/10</v>
      </c>
      <c r="P164" s="14" t="str">
        <f t="shared" si="24"/>
        <v>Leone XIII, Lettera Enciclica Permoti Nos, 10 luglio 1895</v>
      </c>
      <c r="Q164" s="14" t="str">
        <f t="shared" si="29"/>
        <v>1895-07-10T08:00:00.000+02:00</v>
      </c>
      <c r="R164" s="14" t="str">
        <f t="shared" si="26"/>
        <v>lxiii-enc-pen</v>
      </c>
      <c r="S164" s="14" t="str">
        <f t="shared" si="27"/>
        <v>Leo XIII - Litterae Encyclicae - Permoti Nos</v>
      </c>
    </row>
    <row r="165" spans="1:19" x14ac:dyDescent="0.25">
      <c r="A165" s="12">
        <v>164</v>
      </c>
      <c r="B165" s="17" t="s">
        <v>667</v>
      </c>
      <c r="C165" s="4" t="s">
        <v>666</v>
      </c>
      <c r="D165" s="4" t="s">
        <v>1147</v>
      </c>
      <c r="E165" s="5" t="s">
        <v>529</v>
      </c>
      <c r="F165" s="18" t="s">
        <v>579</v>
      </c>
      <c r="G165" s="18" t="s">
        <v>694</v>
      </c>
      <c r="H165" s="4" t="s">
        <v>603</v>
      </c>
      <c r="I165" s="4" t="s">
        <v>686</v>
      </c>
      <c r="J165" s="4" t="s">
        <v>1069</v>
      </c>
      <c r="K165" s="2" t="s">
        <v>231</v>
      </c>
      <c r="L165" s="14" t="str">
        <f t="shared" si="20"/>
        <v>Adiutricem (05 settembre 1895) | Leone XIII</v>
      </c>
      <c r="M165" s="14" t="str">
        <f t="shared" si="21"/>
        <v>Enciclica Adiutricem</v>
      </c>
      <c r="N165" s="14" t="str">
        <f t="shared" si="22"/>
        <v>Enciclica Adiutricem</v>
      </c>
      <c r="O165" s="14" t="str">
        <f t="shared" si="28"/>
        <v>1895/09/05</v>
      </c>
      <c r="P165" s="14" t="str">
        <f t="shared" si="24"/>
        <v>Leone XIII, Lettera Enciclica Adiutricem, 05 settembre 1895</v>
      </c>
      <c r="Q165" s="14" t="str">
        <f t="shared" si="29"/>
        <v>1895-09-05T08:00:00.000+02:00</v>
      </c>
      <c r="R165" s="14" t="str">
        <f t="shared" si="26"/>
        <v>lxiii-enc-adi</v>
      </c>
      <c r="S165" s="14" t="str">
        <f t="shared" si="27"/>
        <v>Leo XIII - Litterae Encyclicae - Adiutricem</v>
      </c>
    </row>
    <row r="166" spans="1:19" x14ac:dyDescent="0.25">
      <c r="A166" s="12">
        <v>165</v>
      </c>
      <c r="B166" s="17" t="s">
        <v>667</v>
      </c>
      <c r="C166" s="4" t="s">
        <v>666</v>
      </c>
      <c r="D166" s="4" t="s">
        <v>1147</v>
      </c>
      <c r="E166" s="5" t="s">
        <v>530</v>
      </c>
      <c r="F166" s="18" t="s">
        <v>579</v>
      </c>
      <c r="G166" s="18" t="s">
        <v>694</v>
      </c>
      <c r="H166" s="4" t="s">
        <v>603</v>
      </c>
      <c r="I166" s="4" t="s">
        <v>686</v>
      </c>
      <c r="J166" s="4" t="s">
        <v>1070</v>
      </c>
      <c r="K166" s="2" t="s">
        <v>232</v>
      </c>
      <c r="L166" s="14" t="str">
        <f t="shared" si="20"/>
        <v>Insignes (01 maggio 1896) | Leone XIII</v>
      </c>
      <c r="M166" s="14" t="str">
        <f t="shared" si="21"/>
        <v>Enciclica Insignes</v>
      </c>
      <c r="N166" s="14" t="str">
        <f t="shared" si="22"/>
        <v>Enciclica Insignes</v>
      </c>
      <c r="O166" s="14" t="str">
        <f t="shared" si="28"/>
        <v>1896/05/01</v>
      </c>
      <c r="P166" s="14" t="str">
        <f t="shared" si="24"/>
        <v>Leone XIII, Lettera Enciclica Insignes, 01 maggio 1896</v>
      </c>
      <c r="Q166" s="14" t="str">
        <f t="shared" si="29"/>
        <v>1896-05-01T08:00:00.000+02:00</v>
      </c>
      <c r="R166" s="14" t="str">
        <f t="shared" si="26"/>
        <v>lxiii-enc-ins</v>
      </c>
      <c r="S166" s="14" t="str">
        <f t="shared" si="27"/>
        <v>Leo XIII - Litterae Encyclicae - Insignes</v>
      </c>
    </row>
    <row r="167" spans="1:19" x14ac:dyDescent="0.25">
      <c r="A167" s="12">
        <v>166</v>
      </c>
      <c r="B167" s="17" t="s">
        <v>667</v>
      </c>
      <c r="C167" s="4" t="s">
        <v>666</v>
      </c>
      <c r="D167" s="4" t="s">
        <v>1147</v>
      </c>
      <c r="E167" s="5" t="s">
        <v>531</v>
      </c>
      <c r="F167" s="18" t="s">
        <v>579</v>
      </c>
      <c r="G167" s="18" t="s">
        <v>694</v>
      </c>
      <c r="H167" s="4" t="s">
        <v>603</v>
      </c>
      <c r="I167" s="4" t="s">
        <v>686</v>
      </c>
      <c r="J167" s="4" t="s">
        <v>1048</v>
      </c>
      <c r="K167" s="2" t="s">
        <v>233</v>
      </c>
      <c r="L167" s="14" t="str">
        <f t="shared" si="20"/>
        <v>Satis Cognitum (29 giugno 1896) | Leone XIII</v>
      </c>
      <c r="M167" s="14" t="str">
        <f t="shared" si="21"/>
        <v>Enciclica Satis Cognitum</v>
      </c>
      <c r="N167" s="14" t="str">
        <f t="shared" si="22"/>
        <v>Enciclica Satis Cognitum</v>
      </c>
      <c r="O167" s="14" t="str">
        <f t="shared" si="28"/>
        <v>1896/06/29</v>
      </c>
      <c r="P167" s="14" t="str">
        <f t="shared" si="24"/>
        <v>Leone XIII, Lettera Enciclica Satis Cognitum, 29 giugno 1896</v>
      </c>
      <c r="Q167" s="14" t="str">
        <f t="shared" si="29"/>
        <v>1896-06-29T08:00:00.000+02:00</v>
      </c>
      <c r="R167" s="14" t="str">
        <f t="shared" si="26"/>
        <v>lxiii-enc-sac</v>
      </c>
      <c r="S167" s="14" t="str">
        <f t="shared" si="27"/>
        <v>Leo XIII - Litterae Encyclicae - Satis Cognitum</v>
      </c>
    </row>
    <row r="168" spans="1:19" x14ac:dyDescent="0.25">
      <c r="A168" s="12">
        <v>167</v>
      </c>
      <c r="B168" s="17" t="s">
        <v>667</v>
      </c>
      <c r="C168" s="4" t="s">
        <v>666</v>
      </c>
      <c r="D168" s="4" t="s">
        <v>1147</v>
      </c>
      <c r="E168" s="5" t="s">
        <v>532</v>
      </c>
      <c r="F168" s="18" t="s">
        <v>579</v>
      </c>
      <c r="G168" s="18" t="s">
        <v>694</v>
      </c>
      <c r="H168" s="4" t="s">
        <v>603</v>
      </c>
      <c r="I168" s="4" t="s">
        <v>686</v>
      </c>
      <c r="J168" s="4" t="s">
        <v>1071</v>
      </c>
      <c r="K168" s="2" t="s">
        <v>234</v>
      </c>
      <c r="L168" s="14" t="str">
        <f t="shared" si="20"/>
        <v>Fidentem Piumque Animum (20 settembre 1896) | Leone XIII</v>
      </c>
      <c r="M168" s="14" t="str">
        <f t="shared" si="21"/>
        <v>Enciclica Fidentem Piumque Animum</v>
      </c>
      <c r="N168" s="14" t="str">
        <f t="shared" si="22"/>
        <v>Enciclica Fidentem Piumque Animum</v>
      </c>
      <c r="O168" s="14" t="str">
        <f t="shared" si="28"/>
        <v>1896/09/20</v>
      </c>
      <c r="P168" s="14" t="str">
        <f t="shared" si="24"/>
        <v>Leone XIII, Lettera Enciclica Fidentem Piumque Animum, 20 settembre 1896</v>
      </c>
      <c r="Q168" s="14" t="str">
        <f t="shared" si="29"/>
        <v>1896-09-20T08:00:00.000+02:00</v>
      </c>
      <c r="R168" s="14" t="str">
        <f t="shared" si="26"/>
        <v>lxiii-enc-fpa</v>
      </c>
      <c r="S168" s="14" t="str">
        <f t="shared" si="27"/>
        <v>Leo XIII - Litterae Encyclicae - Fidentem Piumque Animum</v>
      </c>
    </row>
    <row r="169" spans="1:19" x14ac:dyDescent="0.25">
      <c r="A169" s="12">
        <v>168</v>
      </c>
      <c r="B169" s="17" t="s">
        <v>667</v>
      </c>
      <c r="C169" s="4" t="s">
        <v>666</v>
      </c>
      <c r="D169" s="4" t="s">
        <v>1147</v>
      </c>
      <c r="E169" s="5" t="s">
        <v>533</v>
      </c>
      <c r="F169" s="18" t="s">
        <v>579</v>
      </c>
      <c r="G169" s="18" t="s">
        <v>694</v>
      </c>
      <c r="H169" s="4" t="s">
        <v>603</v>
      </c>
      <c r="I169" s="4" t="s">
        <v>686</v>
      </c>
      <c r="J169" s="4" t="s">
        <v>601</v>
      </c>
      <c r="K169" s="2" t="s">
        <v>235</v>
      </c>
      <c r="L169" s="14" t="str">
        <f t="shared" si="20"/>
        <v>Divinum illud munus (09 maggio 1897) | Leone XIII</v>
      </c>
      <c r="M169" s="14" t="str">
        <f t="shared" si="21"/>
        <v>Enciclica Divinum illud munus</v>
      </c>
      <c r="N169" s="14" t="str">
        <f t="shared" si="22"/>
        <v>Enciclica Divinum illud munus</v>
      </c>
      <c r="O169" s="14" t="str">
        <f t="shared" si="28"/>
        <v>1897/05/09</v>
      </c>
      <c r="P169" s="14" t="str">
        <f t="shared" si="24"/>
        <v>Leone XIII, Lettera Enciclica Divinum illud munus, 09 maggio 1897</v>
      </c>
      <c r="Q169" s="14" t="str">
        <f t="shared" si="29"/>
        <v>1897-05-09T08:00:00.000+02:00</v>
      </c>
      <c r="R169" s="14" t="str">
        <f t="shared" si="26"/>
        <v>lxiii-enc-dim</v>
      </c>
      <c r="S169" s="14" t="str">
        <f t="shared" si="27"/>
        <v>Leo XIII - Litterae Encyclicae - Divinum illud munus</v>
      </c>
    </row>
    <row r="170" spans="1:19" x14ac:dyDescent="0.25">
      <c r="A170" s="12">
        <v>169</v>
      </c>
      <c r="B170" s="17" t="s">
        <v>667</v>
      </c>
      <c r="C170" s="4" t="s">
        <v>666</v>
      </c>
      <c r="D170" s="4" t="s">
        <v>1147</v>
      </c>
      <c r="E170" s="5" t="s">
        <v>534</v>
      </c>
      <c r="F170" s="18" t="s">
        <v>579</v>
      </c>
      <c r="G170" s="18" t="s">
        <v>694</v>
      </c>
      <c r="H170" s="4" t="s">
        <v>603</v>
      </c>
      <c r="I170" s="4" t="s">
        <v>686</v>
      </c>
      <c r="J170" s="4" t="s">
        <v>1072</v>
      </c>
      <c r="K170" s="2" t="s">
        <v>236</v>
      </c>
      <c r="L170" s="14" t="str">
        <f t="shared" si="20"/>
        <v>Militantis Ecclesiae (01 agosto 1897) | Leone XIII</v>
      </c>
      <c r="M170" s="14" t="str">
        <f t="shared" si="21"/>
        <v>Enciclica Militantis Ecclesiae</v>
      </c>
      <c r="N170" s="14" t="str">
        <f t="shared" si="22"/>
        <v>Enciclica Militantis Ecclesiae</v>
      </c>
      <c r="O170" s="14" t="str">
        <f t="shared" si="28"/>
        <v>1897/08/01</v>
      </c>
      <c r="P170" s="14" t="str">
        <f t="shared" si="24"/>
        <v>Leone XIII, Lettera Enciclica Militantis Ecclesiae, 01 agosto 1897</v>
      </c>
      <c r="Q170" s="14" t="str">
        <f t="shared" si="29"/>
        <v>1897-08-01T08:00:00.000+02:00</v>
      </c>
      <c r="R170" s="14" t="str">
        <f t="shared" si="26"/>
        <v>lxiii-enc-mie</v>
      </c>
      <c r="S170" s="14" t="str">
        <f t="shared" si="27"/>
        <v>Leo XIII - Litterae Encyclicae - Militantis Ecclesiae</v>
      </c>
    </row>
    <row r="171" spans="1:19" x14ac:dyDescent="0.25">
      <c r="A171" s="12">
        <v>170</v>
      </c>
      <c r="B171" s="17" t="s">
        <v>667</v>
      </c>
      <c r="C171" s="4" t="s">
        <v>666</v>
      </c>
      <c r="D171" s="4" t="s">
        <v>1147</v>
      </c>
      <c r="E171" s="5" t="s">
        <v>535</v>
      </c>
      <c r="F171" s="18" t="s">
        <v>579</v>
      </c>
      <c r="G171" s="18" t="s">
        <v>694</v>
      </c>
      <c r="H171" s="4" t="s">
        <v>603</v>
      </c>
      <c r="I171" s="4" t="s">
        <v>686</v>
      </c>
      <c r="J171" s="4" t="s">
        <v>1073</v>
      </c>
      <c r="K171" s="2" t="s">
        <v>237</v>
      </c>
      <c r="L171" s="14" t="str">
        <f t="shared" si="20"/>
        <v>Augustissimae Virginis Mariae (12 settembre 1897) | Leone XIII</v>
      </c>
      <c r="M171" s="14" t="str">
        <f t="shared" si="21"/>
        <v>Enciclica Augustissimae Virginis Mariae</v>
      </c>
      <c r="N171" s="14" t="str">
        <f t="shared" si="22"/>
        <v>Enciclica Augustissimae Virginis Mariae</v>
      </c>
      <c r="O171" s="14" t="str">
        <f t="shared" si="28"/>
        <v>1897/09/12</v>
      </c>
      <c r="P171" s="14" t="str">
        <f t="shared" si="24"/>
        <v>Leone XIII, Lettera Enciclica Augustissimae Virginis Mariae, 12 settembre 1897</v>
      </c>
      <c r="Q171" s="14" t="str">
        <f t="shared" si="29"/>
        <v>1897-09-12T08:00:00.000+02:00</v>
      </c>
      <c r="R171" s="14" t="str">
        <f t="shared" si="26"/>
        <v>lxiii-enc-avm</v>
      </c>
      <c r="S171" s="14" t="str">
        <f t="shared" si="27"/>
        <v>Leo XIII - Litterae Encyclicae - Augustissimae Virginis Mariae</v>
      </c>
    </row>
    <row r="172" spans="1:19" x14ac:dyDescent="0.25">
      <c r="A172" s="12">
        <v>171</v>
      </c>
      <c r="B172" s="17" t="s">
        <v>667</v>
      </c>
      <c r="C172" s="4" t="s">
        <v>666</v>
      </c>
      <c r="D172" s="4" t="s">
        <v>1147</v>
      </c>
      <c r="E172" s="5" t="s">
        <v>536</v>
      </c>
      <c r="F172" s="18" t="s">
        <v>579</v>
      </c>
      <c r="G172" s="18" t="s">
        <v>694</v>
      </c>
      <c r="H172" s="4" t="s">
        <v>603</v>
      </c>
      <c r="I172" s="4" t="s">
        <v>686</v>
      </c>
      <c r="J172" s="4" t="s">
        <v>1074</v>
      </c>
      <c r="K172" s="2" t="s">
        <v>238</v>
      </c>
      <c r="L172" s="14" t="str">
        <f t="shared" si="20"/>
        <v>Affari Vos (08 dicembre 1897) | Leone XIII</v>
      </c>
      <c r="M172" s="14" t="str">
        <f t="shared" si="21"/>
        <v>Enciclica Affari Vos</v>
      </c>
      <c r="N172" s="14" t="str">
        <f t="shared" si="22"/>
        <v>Enciclica Affari Vos</v>
      </c>
      <c r="O172" s="14" t="str">
        <f t="shared" si="28"/>
        <v>1897/12/08</v>
      </c>
      <c r="P172" s="14" t="str">
        <f t="shared" si="24"/>
        <v>Leone XIII, Lettera Enciclica Affari Vos, 08 dicembre 1897</v>
      </c>
      <c r="Q172" s="14" t="str">
        <f t="shared" si="29"/>
        <v>1897-12-08T08:00:00.000+02:00</v>
      </c>
      <c r="R172" s="14" t="str">
        <f t="shared" si="26"/>
        <v>lxiii-enc-afv</v>
      </c>
      <c r="S172" s="14" t="str">
        <f t="shared" si="27"/>
        <v>Leo XIII - Litterae Encyclicae - Affari Vos</v>
      </c>
    </row>
    <row r="173" spans="1:19" x14ac:dyDescent="0.25">
      <c r="A173" s="12">
        <v>172</v>
      </c>
      <c r="B173" s="17" t="s">
        <v>667</v>
      </c>
      <c r="C173" s="4" t="s">
        <v>666</v>
      </c>
      <c r="D173" s="4" t="s">
        <v>1147</v>
      </c>
      <c r="E173" s="5" t="s">
        <v>537</v>
      </c>
      <c r="F173" s="18" t="s">
        <v>579</v>
      </c>
      <c r="G173" s="18" t="s">
        <v>694</v>
      </c>
      <c r="H173" s="4" t="s">
        <v>603</v>
      </c>
      <c r="I173" s="4" t="s">
        <v>686</v>
      </c>
      <c r="J173" s="4" t="s">
        <v>1075</v>
      </c>
      <c r="K173" s="2" t="s">
        <v>239</v>
      </c>
      <c r="L173" s="14" t="str">
        <f t="shared" si="20"/>
        <v>Caritatis Studium (25 luglio 1898) | Leone XIII</v>
      </c>
      <c r="M173" s="14" t="str">
        <f t="shared" si="21"/>
        <v>Enciclica Caritatis Studium</v>
      </c>
      <c r="N173" s="14" t="str">
        <f t="shared" si="22"/>
        <v>Enciclica Caritatis Studium</v>
      </c>
      <c r="O173" s="14" t="str">
        <f t="shared" si="28"/>
        <v>1898/07/25</v>
      </c>
      <c r="P173" s="14" t="str">
        <f t="shared" si="24"/>
        <v>Leone XIII, Lettera Enciclica Caritatis Studium, 25 luglio 1898</v>
      </c>
      <c r="Q173" s="14" t="str">
        <f t="shared" si="29"/>
        <v>1898-07-25T08:00:00.000+02:00</v>
      </c>
      <c r="R173" s="14" t="str">
        <f t="shared" si="26"/>
        <v>lxiii-enc-cas</v>
      </c>
      <c r="S173" s="14" t="str">
        <f t="shared" si="27"/>
        <v>Leo XIII - Litterae Encyclicae - Caritatis Studium</v>
      </c>
    </row>
    <row r="174" spans="1:19" x14ac:dyDescent="0.25">
      <c r="A174" s="12">
        <v>173</v>
      </c>
      <c r="B174" s="17" t="s">
        <v>667</v>
      </c>
      <c r="C174" s="4" t="s">
        <v>666</v>
      </c>
      <c r="D174" s="4" t="s">
        <v>1147</v>
      </c>
      <c r="E174" s="5" t="s">
        <v>538</v>
      </c>
      <c r="F174" s="18" t="s">
        <v>579</v>
      </c>
      <c r="G174" s="18" t="s">
        <v>694</v>
      </c>
      <c r="H174" s="4" t="s">
        <v>603</v>
      </c>
      <c r="I174" s="4" t="s">
        <v>686</v>
      </c>
      <c r="J174" s="4" t="s">
        <v>1076</v>
      </c>
      <c r="K174" s="2" t="s">
        <v>240</v>
      </c>
      <c r="L174" s="14" t="str">
        <f t="shared" si="20"/>
        <v>Spesse Volte (05 agosto 1898) | Leone XIII</v>
      </c>
      <c r="M174" s="14" t="str">
        <f t="shared" si="21"/>
        <v>Enciclica Spesse Volte</v>
      </c>
      <c r="N174" s="14" t="str">
        <f t="shared" si="22"/>
        <v>Enciclica Spesse Volte</v>
      </c>
      <c r="O174" s="14" t="str">
        <f t="shared" si="28"/>
        <v>1898/08/05</v>
      </c>
      <c r="P174" s="14" t="str">
        <f t="shared" si="24"/>
        <v>Leone XIII, Lettera Enciclica Spesse Volte, 05 agosto 1898</v>
      </c>
      <c r="Q174" s="14" t="str">
        <f t="shared" si="29"/>
        <v>1898-08-05T08:00:00.000+02:00</v>
      </c>
      <c r="R174" s="14" t="str">
        <f t="shared" si="26"/>
        <v>lxiii-enc-spv</v>
      </c>
      <c r="S174" s="14" t="str">
        <f t="shared" si="27"/>
        <v>Leo XIII - Litterae Encyclicae - Spesse Volte</v>
      </c>
    </row>
    <row r="175" spans="1:19" x14ac:dyDescent="0.25">
      <c r="A175" s="12">
        <v>174</v>
      </c>
      <c r="B175" s="17" t="s">
        <v>667</v>
      </c>
      <c r="C175" s="4" t="s">
        <v>666</v>
      </c>
      <c r="D175" s="4" t="s">
        <v>1147</v>
      </c>
      <c r="E175" s="5" t="s">
        <v>539</v>
      </c>
      <c r="F175" s="18" t="s">
        <v>579</v>
      </c>
      <c r="G175" s="18" t="s">
        <v>694</v>
      </c>
      <c r="H175" s="4" t="s">
        <v>603</v>
      </c>
      <c r="I175" s="4" t="s">
        <v>686</v>
      </c>
      <c r="J175" s="4" t="s">
        <v>1077</v>
      </c>
      <c r="K175" s="2" t="s">
        <v>241</v>
      </c>
      <c r="L175" s="14" t="str">
        <f t="shared" si="20"/>
        <v>Quam Religiosa (16 agosto 1898) | Leone XIII</v>
      </c>
      <c r="M175" s="14" t="str">
        <f t="shared" si="21"/>
        <v>Enciclica Quam Religiosa</v>
      </c>
      <c r="N175" s="14" t="str">
        <f t="shared" si="22"/>
        <v>Enciclica Quam Religiosa</v>
      </c>
      <c r="O175" s="14" t="str">
        <f t="shared" si="28"/>
        <v>1898/08/16</v>
      </c>
      <c r="P175" s="14" t="str">
        <f t="shared" si="24"/>
        <v>Leone XIII, Lettera Enciclica Quam Religiosa, 16 agosto 1898</v>
      </c>
      <c r="Q175" s="14" t="str">
        <f t="shared" si="29"/>
        <v>1898-08-16T08:00:00.000+02:00</v>
      </c>
      <c r="R175" s="14" t="str">
        <f t="shared" si="26"/>
        <v>lxiii-enc-qur</v>
      </c>
      <c r="S175" s="14" t="str">
        <f t="shared" si="27"/>
        <v>Leo XIII - Litterae Encyclicae - Quam Religiosa</v>
      </c>
    </row>
    <row r="176" spans="1:19" x14ac:dyDescent="0.25">
      <c r="A176" s="12">
        <v>175</v>
      </c>
      <c r="B176" s="17" t="s">
        <v>667</v>
      </c>
      <c r="C176" s="4" t="s">
        <v>666</v>
      </c>
      <c r="D176" s="4" t="s">
        <v>1147</v>
      </c>
      <c r="E176" s="5" t="s">
        <v>540</v>
      </c>
      <c r="F176" s="18" t="s">
        <v>579</v>
      </c>
      <c r="G176" s="18" t="s">
        <v>694</v>
      </c>
      <c r="H176" s="4" t="s">
        <v>603</v>
      </c>
      <c r="I176" s="4" t="s">
        <v>686</v>
      </c>
      <c r="J176" s="4" t="s">
        <v>1078</v>
      </c>
      <c r="K176" s="2" t="s">
        <v>242</v>
      </c>
      <c r="L176" s="14" t="str">
        <f t="shared" si="20"/>
        <v>Diuturni Temporis (05 settembre 1898) | Leone XIII</v>
      </c>
      <c r="M176" s="14" t="str">
        <f t="shared" si="21"/>
        <v>Enciclica Diuturni Temporis</v>
      </c>
      <c r="N176" s="14" t="str">
        <f t="shared" si="22"/>
        <v>Enciclica Diuturni Temporis</v>
      </c>
      <c r="O176" s="14" t="str">
        <f t="shared" si="28"/>
        <v>1898/09/05</v>
      </c>
      <c r="P176" s="14" t="str">
        <f t="shared" si="24"/>
        <v>Leone XIII, Lettera Enciclica Diuturni Temporis, 05 settembre 1898</v>
      </c>
      <c r="Q176" s="14" t="str">
        <f t="shared" si="29"/>
        <v>1898-09-05T08:00:00.000+02:00</v>
      </c>
      <c r="R176" s="14" t="str">
        <f t="shared" si="26"/>
        <v>lxiii-enc-dit</v>
      </c>
      <c r="S176" s="14" t="str">
        <f t="shared" si="27"/>
        <v>Leo XIII - Litterae Encyclicae - Diuturni Temporis</v>
      </c>
    </row>
    <row r="177" spans="1:19" x14ac:dyDescent="0.25">
      <c r="A177" s="12">
        <v>176</v>
      </c>
      <c r="B177" s="17" t="s">
        <v>667</v>
      </c>
      <c r="C177" s="4" t="s">
        <v>666</v>
      </c>
      <c r="D177" s="4" t="s">
        <v>1147</v>
      </c>
      <c r="E177" s="5" t="s">
        <v>541</v>
      </c>
      <c r="F177" s="18" t="s">
        <v>579</v>
      </c>
      <c r="G177" s="18" t="s">
        <v>694</v>
      </c>
      <c r="H177" s="4" t="s">
        <v>603</v>
      </c>
      <c r="I177" s="4" t="s">
        <v>686</v>
      </c>
      <c r="J177" s="4" t="s">
        <v>974</v>
      </c>
      <c r="K177" s="2" t="s">
        <v>243</v>
      </c>
      <c r="L177" s="14" t="str">
        <f t="shared" si="20"/>
        <v>Quum Diuturnum (25 dicembre 1898) | Leone XIII</v>
      </c>
      <c r="M177" s="14" t="str">
        <f t="shared" si="21"/>
        <v>Enciclica Quum Diuturnum</v>
      </c>
      <c r="N177" s="14" t="str">
        <f t="shared" si="22"/>
        <v>Enciclica Quum Diuturnum</v>
      </c>
      <c r="O177" s="14" t="str">
        <f t="shared" si="28"/>
        <v>1898/12/25</v>
      </c>
      <c r="P177" s="14" t="str">
        <f t="shared" si="24"/>
        <v>Leone XIII, Lettera Enciclica Quum Diuturnum, 25 dicembre 1898</v>
      </c>
      <c r="Q177" s="14" t="str">
        <f t="shared" si="29"/>
        <v>1898-12-25T08:00:00.000+02:00</v>
      </c>
      <c r="R177" s="14" t="str">
        <f t="shared" si="26"/>
        <v>lxiii-enc-qud</v>
      </c>
      <c r="S177" s="14" t="str">
        <f t="shared" si="27"/>
        <v>Leo XIII - Litterae Encyclicae - Quum Diuturnum</v>
      </c>
    </row>
    <row r="178" spans="1:19" x14ac:dyDescent="0.25">
      <c r="A178" s="12">
        <v>177</v>
      </c>
      <c r="B178" s="17" t="s">
        <v>667</v>
      </c>
      <c r="C178" s="4" t="s">
        <v>666</v>
      </c>
      <c r="D178" s="4" t="s">
        <v>1147</v>
      </c>
      <c r="E178" s="5" t="s">
        <v>542</v>
      </c>
      <c r="F178" s="18" t="s">
        <v>579</v>
      </c>
      <c r="G178" s="18" t="s">
        <v>694</v>
      </c>
      <c r="H178" s="4" t="s">
        <v>603</v>
      </c>
      <c r="I178" s="4" t="s">
        <v>686</v>
      </c>
      <c r="J178" s="4" t="s">
        <v>1079</v>
      </c>
      <c r="K178" s="2" t="s">
        <v>244</v>
      </c>
      <c r="L178" s="14" t="str">
        <f t="shared" si="20"/>
        <v>Annum Sacrum (25 maggio 1899) | Leone XIII</v>
      </c>
      <c r="M178" s="14" t="str">
        <f t="shared" si="21"/>
        <v>Enciclica Annum Sacrum</v>
      </c>
      <c r="N178" s="14" t="str">
        <f t="shared" si="22"/>
        <v>Enciclica Annum Sacrum</v>
      </c>
      <c r="O178" s="14" t="str">
        <f t="shared" si="28"/>
        <v>1899/05/25</v>
      </c>
      <c r="P178" s="14" t="str">
        <f t="shared" si="24"/>
        <v>Leone XIII, Lettera Enciclica Annum Sacrum, 25 maggio 1899</v>
      </c>
      <c r="Q178" s="14" t="str">
        <f t="shared" si="29"/>
        <v>1899-05-25T08:00:00.000+02:00</v>
      </c>
      <c r="R178" s="14" t="str">
        <f t="shared" si="26"/>
        <v>lxiii-enc-ans</v>
      </c>
      <c r="S178" s="14" t="str">
        <f t="shared" si="27"/>
        <v>Leo XIII - Litterae Encyclicae - Annum Sacrum</v>
      </c>
    </row>
    <row r="179" spans="1:19" x14ac:dyDescent="0.25">
      <c r="A179" s="12">
        <v>178</v>
      </c>
      <c r="B179" s="17" t="s">
        <v>667</v>
      </c>
      <c r="C179" s="4" t="s">
        <v>666</v>
      </c>
      <c r="D179" s="4" t="s">
        <v>1147</v>
      </c>
      <c r="E179" s="5" t="s">
        <v>260</v>
      </c>
      <c r="F179" s="18" t="s">
        <v>579</v>
      </c>
      <c r="G179" s="18" t="s">
        <v>694</v>
      </c>
      <c r="H179" s="4" t="s">
        <v>603</v>
      </c>
      <c r="I179" s="4" t="s">
        <v>686</v>
      </c>
      <c r="J179" s="4" t="s">
        <v>1080</v>
      </c>
      <c r="K179" s="2" t="s">
        <v>245</v>
      </c>
      <c r="L179" s="14" t="str">
        <f t="shared" si="20"/>
        <v>Depuis le jour (08 agosto 1899) | Leone XIII</v>
      </c>
      <c r="M179" s="14" t="str">
        <f t="shared" si="21"/>
        <v>Enciclica Depuis le jour</v>
      </c>
      <c r="N179" s="14" t="str">
        <f t="shared" si="22"/>
        <v>Enciclica Depuis le jour</v>
      </c>
      <c r="O179" s="14" t="str">
        <f t="shared" si="28"/>
        <v>1899/08/08</v>
      </c>
      <c r="P179" s="14" t="str">
        <f t="shared" si="24"/>
        <v>Leone XIII, Lettera Enciclica Depuis le jour, 08 agosto 1899</v>
      </c>
      <c r="Q179" s="14" t="str">
        <f t="shared" si="29"/>
        <v>1899-08-08T08:00:00.000+02:00</v>
      </c>
      <c r="R179" s="14" t="str">
        <f t="shared" si="26"/>
        <v>lxiii-enc-dlj</v>
      </c>
      <c r="S179" s="14" t="str">
        <f t="shared" si="27"/>
        <v>Leo XIII - Litterae Encyclicae - Depuis le jour</v>
      </c>
    </row>
    <row r="180" spans="1:19" x14ac:dyDescent="0.25">
      <c r="A180" s="12">
        <v>179</v>
      </c>
      <c r="B180" s="17" t="s">
        <v>667</v>
      </c>
      <c r="C180" s="4" t="s">
        <v>666</v>
      </c>
      <c r="D180" s="4" t="s">
        <v>1147</v>
      </c>
      <c r="E180" s="5" t="s">
        <v>259</v>
      </c>
      <c r="F180" s="18" t="s">
        <v>579</v>
      </c>
      <c r="G180" s="18" t="s">
        <v>694</v>
      </c>
      <c r="H180" s="4" t="s">
        <v>603</v>
      </c>
      <c r="I180" s="4" t="s">
        <v>686</v>
      </c>
      <c r="J180" s="4" t="s">
        <v>1081</v>
      </c>
      <c r="K180" s="2" t="s">
        <v>246</v>
      </c>
      <c r="L180" s="14" t="str">
        <f t="shared" si="20"/>
        <v>Paternae (18 settembre 1899) | Leone XIII</v>
      </c>
      <c r="M180" s="14" t="str">
        <f t="shared" si="21"/>
        <v>Enciclica Paternae</v>
      </c>
      <c r="N180" s="14" t="str">
        <f t="shared" si="22"/>
        <v>Enciclica Paternae</v>
      </c>
      <c r="O180" s="14" t="str">
        <f t="shared" si="28"/>
        <v>1899/09/18</v>
      </c>
      <c r="P180" s="14" t="str">
        <f t="shared" si="24"/>
        <v>Leone XIII, Lettera Enciclica Paternae, 18 settembre 1899</v>
      </c>
      <c r="Q180" s="14" t="str">
        <f t="shared" si="29"/>
        <v>1899-09-18T08:00:00.000+02:00</v>
      </c>
      <c r="R180" s="14" t="str">
        <f t="shared" si="26"/>
        <v>lxiii-enc-pat</v>
      </c>
      <c r="S180" s="14" t="str">
        <f t="shared" si="27"/>
        <v>Leo XIII - Litterae Encyclicae - Paternae</v>
      </c>
    </row>
    <row r="181" spans="1:19" x14ac:dyDescent="0.25">
      <c r="A181" s="12">
        <v>180</v>
      </c>
      <c r="B181" s="17" t="s">
        <v>667</v>
      </c>
      <c r="C181" s="4" t="s">
        <v>666</v>
      </c>
      <c r="D181" s="4" t="s">
        <v>1147</v>
      </c>
      <c r="E181" s="5">
        <v>203</v>
      </c>
      <c r="F181" s="18" t="s">
        <v>579</v>
      </c>
      <c r="G181" s="18" t="s">
        <v>694</v>
      </c>
      <c r="H181" s="4" t="s">
        <v>603</v>
      </c>
      <c r="I181" s="4" t="s">
        <v>686</v>
      </c>
      <c r="K181" s="2" t="s">
        <v>247</v>
      </c>
      <c r="L181" s="14" t="e">
        <f t="shared" si="20"/>
        <v>#VALUE!</v>
      </c>
      <c r="M181" s="14" t="str">
        <f t="shared" si="21"/>
        <v>Enciclica Omnibus Compertum</v>
      </c>
      <c r="N181" s="14" t="str">
        <f t="shared" si="22"/>
        <v>Enciclica Omnibus Compertum</v>
      </c>
      <c r="O181" s="14" t="str">
        <f t="shared" ref="O181:O212" si="30">_xlfn.CONCAT(YEAR(E181) &amp; "/" &amp; TEXT(E181,"mm") &amp; "/" &amp; TEXT(E181,"gg"))</f>
        <v>1900/07/21</v>
      </c>
      <c r="P181" s="14" t="e">
        <f t="shared" si="24"/>
        <v>#VALUE!</v>
      </c>
      <c r="Q181" s="14" t="str">
        <f t="shared" ref="Q181:Q212" si="31">CONCATENATE(YEAR(E181) &amp; "-" &amp; TEXT(MONTH(E181),"00") &amp; "-" &amp; DAY(E181) &amp; "T08:00:00.000+02:00")</f>
        <v>1900-07-21T08:00:00.000+02:00</v>
      </c>
      <c r="R181" s="14" t="str">
        <f t="shared" si="26"/>
        <v>lxiii-enc-</v>
      </c>
      <c r="S181" s="14" t="str">
        <f t="shared" si="27"/>
        <v>Leo XIII - Litterae Encyclicae - Omnibus Compertum</v>
      </c>
    </row>
    <row r="182" spans="1:19" x14ac:dyDescent="0.25">
      <c r="A182" s="12">
        <v>181</v>
      </c>
      <c r="B182" s="17" t="s">
        <v>667</v>
      </c>
      <c r="C182" s="4" t="s">
        <v>666</v>
      </c>
      <c r="D182" s="4" t="s">
        <v>1147</v>
      </c>
      <c r="E182" s="5">
        <v>306</v>
      </c>
      <c r="F182" s="18" t="s">
        <v>579</v>
      </c>
      <c r="G182" s="18" t="s">
        <v>694</v>
      </c>
      <c r="H182" s="4" t="s">
        <v>603</v>
      </c>
      <c r="I182" s="4" t="s">
        <v>686</v>
      </c>
      <c r="K182" s="2" t="s">
        <v>248</v>
      </c>
      <c r="L182" s="14" t="e">
        <f t="shared" si="20"/>
        <v>#VALUE!</v>
      </c>
      <c r="M182" s="14" t="str">
        <f t="shared" si="21"/>
        <v>Enciclica Tametsi Futura Prospicientibus</v>
      </c>
      <c r="N182" s="14" t="str">
        <f t="shared" si="22"/>
        <v>Enciclica Tametsi Futura Prospicientibus</v>
      </c>
      <c r="O182" s="14" t="str">
        <f t="shared" si="30"/>
        <v>1900/11/01</v>
      </c>
      <c r="P182" s="14" t="e">
        <f t="shared" si="24"/>
        <v>#VALUE!</v>
      </c>
      <c r="Q182" s="14" t="str">
        <f t="shared" si="31"/>
        <v>1900-11-1T08:00:00.000+02:00</v>
      </c>
      <c r="R182" s="14" t="str">
        <f t="shared" si="26"/>
        <v>lxiii-enc-</v>
      </c>
      <c r="S182" s="14" t="str">
        <f t="shared" si="27"/>
        <v>Leo XIII - Litterae Encyclicae - Tametsi Futura Prospicientibus</v>
      </c>
    </row>
    <row r="183" spans="1:19" x14ac:dyDescent="0.25">
      <c r="A183" s="12">
        <v>182</v>
      </c>
      <c r="B183" s="17" t="s">
        <v>667</v>
      </c>
      <c r="C183" s="4" t="s">
        <v>666</v>
      </c>
      <c r="D183" s="4" t="s">
        <v>1147</v>
      </c>
      <c r="E183" s="5">
        <v>384</v>
      </c>
      <c r="F183" s="18" t="s">
        <v>579</v>
      </c>
      <c r="G183" s="18" t="s">
        <v>694</v>
      </c>
      <c r="H183" s="4" t="s">
        <v>603</v>
      </c>
      <c r="I183" s="4" t="s">
        <v>686</v>
      </c>
      <c r="K183" s="2" t="s">
        <v>249</v>
      </c>
      <c r="L183" s="14" t="e">
        <f t="shared" si="20"/>
        <v>#VALUE!</v>
      </c>
      <c r="M183" s="14" t="str">
        <f t="shared" si="21"/>
        <v>Enciclica Graves de Communi Re</v>
      </c>
      <c r="N183" s="14" t="str">
        <f t="shared" si="22"/>
        <v>Enciclica Graves de Communi Re</v>
      </c>
      <c r="O183" s="14" t="str">
        <f t="shared" si="30"/>
        <v>1901/01/18</v>
      </c>
      <c r="P183" s="14" t="e">
        <f t="shared" si="24"/>
        <v>#VALUE!</v>
      </c>
      <c r="Q183" s="14" t="str">
        <f t="shared" si="31"/>
        <v>1901-01-18T08:00:00.000+02:00</v>
      </c>
      <c r="R183" s="14" t="str">
        <f t="shared" si="26"/>
        <v>lxiii-enc-</v>
      </c>
      <c r="S183" s="14" t="str">
        <f t="shared" si="27"/>
        <v>Leo XIII - Litterae Encyclicae - Graves de Communi Re</v>
      </c>
    </row>
    <row r="184" spans="1:19" x14ac:dyDescent="0.25">
      <c r="A184" s="12">
        <v>183</v>
      </c>
      <c r="B184" s="17" t="s">
        <v>667</v>
      </c>
      <c r="C184" s="4" t="s">
        <v>666</v>
      </c>
      <c r="D184" s="4" t="s">
        <v>1147</v>
      </c>
      <c r="E184" s="5">
        <v>502</v>
      </c>
      <c r="F184" s="18" t="s">
        <v>579</v>
      </c>
      <c r="G184" s="18" t="s">
        <v>694</v>
      </c>
      <c r="H184" s="4" t="s">
        <v>603</v>
      </c>
      <c r="I184" s="4" t="s">
        <v>686</v>
      </c>
      <c r="K184" s="2" t="s">
        <v>250</v>
      </c>
      <c r="L184" s="14" t="e">
        <f t="shared" si="20"/>
        <v>#VALUE!</v>
      </c>
      <c r="M184" s="14" t="str">
        <f t="shared" si="21"/>
        <v>Enciclica Gravissimas</v>
      </c>
      <c r="N184" s="14" t="str">
        <f t="shared" si="22"/>
        <v>Enciclica Gravissimas</v>
      </c>
      <c r="O184" s="14" t="str">
        <f t="shared" si="30"/>
        <v>1901/05/16</v>
      </c>
      <c r="P184" s="14" t="e">
        <f t="shared" si="24"/>
        <v>#VALUE!</v>
      </c>
      <c r="Q184" s="14" t="str">
        <f t="shared" si="31"/>
        <v>1901-05-16T08:00:00.000+02:00</v>
      </c>
      <c r="R184" s="14" t="str">
        <f t="shared" si="26"/>
        <v>lxiii-enc-</v>
      </c>
      <c r="S184" s="14" t="str">
        <f t="shared" si="27"/>
        <v>Leo XIII - Litterae Encyclicae - Gravissimas</v>
      </c>
    </row>
    <row r="185" spans="1:19" x14ac:dyDescent="0.25">
      <c r="A185" s="12">
        <v>184</v>
      </c>
      <c r="B185" s="17" t="s">
        <v>667</v>
      </c>
      <c r="C185" s="4" t="s">
        <v>666</v>
      </c>
      <c r="D185" s="4" t="s">
        <v>1147</v>
      </c>
      <c r="E185" s="5">
        <v>598</v>
      </c>
      <c r="F185" s="18" t="s">
        <v>579</v>
      </c>
      <c r="G185" s="18" t="s">
        <v>694</v>
      </c>
      <c r="H185" s="4" t="s">
        <v>603</v>
      </c>
      <c r="I185" s="4" t="s">
        <v>686</v>
      </c>
      <c r="K185" s="2" t="s">
        <v>251</v>
      </c>
      <c r="L185" s="14" t="e">
        <f t="shared" si="20"/>
        <v>#VALUE!</v>
      </c>
      <c r="M185" s="14" t="str">
        <f t="shared" si="21"/>
        <v>Enciclica Reputantibus</v>
      </c>
      <c r="N185" s="14" t="str">
        <f t="shared" si="22"/>
        <v>Enciclica Reputantibus</v>
      </c>
      <c r="O185" s="14" t="str">
        <f t="shared" si="30"/>
        <v>1901/08/20</v>
      </c>
      <c r="P185" s="14" t="e">
        <f t="shared" si="24"/>
        <v>#VALUE!</v>
      </c>
      <c r="Q185" s="14" t="str">
        <f t="shared" si="31"/>
        <v>1901-08-20T08:00:00.000+02:00</v>
      </c>
      <c r="R185" s="14" t="str">
        <f t="shared" si="26"/>
        <v>lxiii-enc-</v>
      </c>
      <c r="S185" s="14" t="str">
        <f t="shared" si="27"/>
        <v>Leo XIII - Litterae Encyclicae - Reputantibus</v>
      </c>
    </row>
    <row r="186" spans="1:19" x14ac:dyDescent="0.25">
      <c r="A186" s="12">
        <v>185</v>
      </c>
      <c r="B186" s="17" t="s">
        <v>667</v>
      </c>
      <c r="C186" s="4" t="s">
        <v>666</v>
      </c>
      <c r="D186" s="4" t="s">
        <v>1147</v>
      </c>
      <c r="E186" s="5">
        <v>690</v>
      </c>
      <c r="F186" s="18" t="s">
        <v>579</v>
      </c>
      <c r="G186" s="18" t="s">
        <v>694</v>
      </c>
      <c r="H186" s="4" t="s">
        <v>603</v>
      </c>
      <c r="I186" s="4" t="s">
        <v>686</v>
      </c>
      <c r="K186" s="2" t="s">
        <v>252</v>
      </c>
      <c r="L186" s="14" t="e">
        <f t="shared" si="20"/>
        <v>#VALUE!</v>
      </c>
      <c r="M186" s="14" t="str">
        <f t="shared" si="21"/>
        <v>Enciclica Urbanitatis Veteris</v>
      </c>
      <c r="N186" s="14" t="str">
        <f t="shared" si="22"/>
        <v>Enciclica Urbanitatis Veteris</v>
      </c>
      <c r="O186" s="14" t="str">
        <f t="shared" si="30"/>
        <v>1901/11/20</v>
      </c>
      <c r="P186" s="14" t="e">
        <f t="shared" si="24"/>
        <v>#VALUE!</v>
      </c>
      <c r="Q186" s="14" t="str">
        <f t="shared" si="31"/>
        <v>1901-11-20T08:00:00.000+02:00</v>
      </c>
      <c r="R186" s="14" t="str">
        <f t="shared" si="26"/>
        <v>lxiii-enc-</v>
      </c>
      <c r="S186" s="14" t="str">
        <f t="shared" si="27"/>
        <v>Leo XIII - Litterae Encyclicae - Urbanitatis Veteris</v>
      </c>
    </row>
    <row r="187" spans="1:19" x14ac:dyDescent="0.25">
      <c r="A187" s="12">
        <v>186</v>
      </c>
      <c r="B187" s="17" t="s">
        <v>667</v>
      </c>
      <c r="C187" s="4" t="s">
        <v>666</v>
      </c>
      <c r="D187" s="4" t="s">
        <v>1147</v>
      </c>
      <c r="E187" s="5">
        <v>836</v>
      </c>
      <c r="F187" s="18" t="s">
        <v>579</v>
      </c>
      <c r="G187" s="18" t="s">
        <v>694</v>
      </c>
      <c r="H187" s="4" t="s">
        <v>603</v>
      </c>
      <c r="I187" s="4" t="s">
        <v>686</v>
      </c>
      <c r="K187" s="2" t="s">
        <v>253</v>
      </c>
      <c r="L187" s="14" t="e">
        <f t="shared" si="20"/>
        <v>#VALUE!</v>
      </c>
      <c r="M187" s="14" t="str">
        <f t="shared" si="21"/>
        <v>Enciclica In Amplissimo</v>
      </c>
      <c r="N187" s="14" t="str">
        <f t="shared" si="22"/>
        <v>Enciclica In Amplissimo</v>
      </c>
      <c r="O187" s="14" t="str">
        <f t="shared" si="30"/>
        <v>1902/04/15</v>
      </c>
      <c r="P187" s="14" t="e">
        <f t="shared" si="24"/>
        <v>#VALUE!</v>
      </c>
      <c r="Q187" s="14" t="str">
        <f t="shared" si="31"/>
        <v>1902-04-15T08:00:00.000+02:00</v>
      </c>
      <c r="R187" s="14" t="str">
        <f t="shared" si="26"/>
        <v>lxiii-enc-</v>
      </c>
      <c r="S187" s="14" t="str">
        <f t="shared" si="27"/>
        <v>Leo XIII - Litterae Encyclicae - In Amplissimo</v>
      </c>
    </row>
    <row r="188" spans="1:19" x14ac:dyDescent="0.25">
      <c r="A188" s="12">
        <v>187</v>
      </c>
      <c r="B188" s="17" t="s">
        <v>667</v>
      </c>
      <c r="C188" s="4" t="s">
        <v>666</v>
      </c>
      <c r="D188" s="4" t="s">
        <v>1147</v>
      </c>
      <c r="E188" s="5">
        <v>851</v>
      </c>
      <c r="F188" s="18" t="s">
        <v>579</v>
      </c>
      <c r="G188" s="18" t="s">
        <v>694</v>
      </c>
      <c r="H188" s="4" t="s">
        <v>603</v>
      </c>
      <c r="I188" s="4" t="s">
        <v>686</v>
      </c>
      <c r="K188" s="2" t="s">
        <v>254</v>
      </c>
      <c r="L188" s="14" t="e">
        <f t="shared" si="20"/>
        <v>#VALUE!</v>
      </c>
      <c r="M188" s="14" t="str">
        <f t="shared" si="21"/>
        <v>Enciclica Quod Votis</v>
      </c>
      <c r="N188" s="14" t="str">
        <f t="shared" si="22"/>
        <v>Enciclica Quod Votis</v>
      </c>
      <c r="O188" s="14" t="str">
        <f t="shared" si="30"/>
        <v>1902/04/30</v>
      </c>
      <c r="P188" s="14" t="e">
        <f t="shared" si="24"/>
        <v>#VALUE!</v>
      </c>
      <c r="Q188" s="14" t="str">
        <f t="shared" si="31"/>
        <v>1902-04-30T08:00:00.000+02:00</v>
      </c>
      <c r="R188" s="14" t="str">
        <f t="shared" si="26"/>
        <v>lxiii-enc-</v>
      </c>
      <c r="S188" s="14" t="str">
        <f t="shared" si="27"/>
        <v>Leo XIII - Litterae Encyclicae - Quod Votis</v>
      </c>
    </row>
    <row r="189" spans="1:19" x14ac:dyDescent="0.25">
      <c r="A189" s="12">
        <v>188</v>
      </c>
      <c r="B189" s="17" t="s">
        <v>667</v>
      </c>
      <c r="C189" s="4" t="s">
        <v>666</v>
      </c>
      <c r="D189" s="4" t="s">
        <v>1147</v>
      </c>
      <c r="E189" s="5">
        <v>879</v>
      </c>
      <c r="F189" s="18" t="s">
        <v>579</v>
      </c>
      <c r="G189" s="18" t="s">
        <v>694</v>
      </c>
      <c r="H189" s="4" t="s">
        <v>603</v>
      </c>
      <c r="I189" s="4" t="s">
        <v>686</v>
      </c>
      <c r="K189" s="2" t="s">
        <v>255</v>
      </c>
      <c r="L189" s="14" t="e">
        <f t="shared" si="20"/>
        <v>#VALUE!</v>
      </c>
      <c r="M189" s="14" t="str">
        <f t="shared" si="21"/>
        <v>Enciclica Mirae Caritatis</v>
      </c>
      <c r="N189" s="14" t="str">
        <f t="shared" si="22"/>
        <v>Enciclica Mirae Caritatis</v>
      </c>
      <c r="O189" s="14" t="str">
        <f t="shared" si="30"/>
        <v>1902/05/28</v>
      </c>
      <c r="P189" s="14" t="e">
        <f t="shared" si="24"/>
        <v>#VALUE!</v>
      </c>
      <c r="Q189" s="14" t="str">
        <f t="shared" si="31"/>
        <v>1902-05-28T08:00:00.000+02:00</v>
      </c>
      <c r="R189" s="14" t="str">
        <f t="shared" si="26"/>
        <v>lxiii-enc-</v>
      </c>
      <c r="S189" s="14" t="str">
        <f t="shared" si="27"/>
        <v>Leo XIII - Litterae Encyclicae - Mirae Caritatis</v>
      </c>
    </row>
    <row r="190" spans="1:19" x14ac:dyDescent="0.25">
      <c r="A190" s="12">
        <v>189</v>
      </c>
      <c r="B190" s="17" t="s">
        <v>667</v>
      </c>
      <c r="C190" s="4" t="s">
        <v>666</v>
      </c>
      <c r="D190" s="4" t="s">
        <v>1147</v>
      </c>
      <c r="E190" s="5">
        <v>1057</v>
      </c>
      <c r="F190" s="18" t="s">
        <v>579</v>
      </c>
      <c r="G190" s="18" t="s">
        <v>694</v>
      </c>
      <c r="H190" s="4" t="s">
        <v>603</v>
      </c>
      <c r="I190" s="4" t="s">
        <v>686</v>
      </c>
      <c r="K190" s="2" t="s">
        <v>256</v>
      </c>
      <c r="L190" s="14" t="str">
        <f t="shared" si="20"/>
        <v>Quae Ad Nos (10 luglio 1057) | Leone XIII</v>
      </c>
      <c r="M190" s="14" t="str">
        <f t="shared" si="21"/>
        <v>Enciclica Quae Ad Nos</v>
      </c>
      <c r="N190" s="14" t="str">
        <f t="shared" si="22"/>
        <v>Enciclica Quae Ad Nos</v>
      </c>
      <c r="O190" s="14" t="str">
        <f t="shared" si="30"/>
        <v>1902/11/22</v>
      </c>
      <c r="P190" s="14" t="str">
        <f t="shared" si="24"/>
        <v>Leone XIII, Lettera Enciclica Quae Ad Nos, 10 luglio 1057</v>
      </c>
      <c r="Q190" s="14" t="str">
        <f t="shared" si="31"/>
        <v>1902-11-22T08:00:00.000+02:00</v>
      </c>
      <c r="R190" s="14" t="str">
        <f t="shared" si="26"/>
        <v>lxiii-enc-</v>
      </c>
      <c r="S190" s="14" t="str">
        <f t="shared" si="27"/>
        <v>Leo XIII - Litterae Encyclicae - Quae Ad Nos</v>
      </c>
    </row>
    <row r="191" spans="1:19" x14ac:dyDescent="0.25">
      <c r="A191" s="12">
        <v>190</v>
      </c>
      <c r="B191" s="17" t="s">
        <v>667</v>
      </c>
      <c r="C191" s="4" t="s">
        <v>666</v>
      </c>
      <c r="D191" s="4" t="s">
        <v>1147</v>
      </c>
      <c r="E191" s="5">
        <v>1073</v>
      </c>
      <c r="F191" s="18" t="s">
        <v>579</v>
      </c>
      <c r="G191" s="18" t="s">
        <v>694</v>
      </c>
      <c r="H191" s="4" t="s">
        <v>603</v>
      </c>
      <c r="I191" s="4" t="s">
        <v>686</v>
      </c>
      <c r="K191" s="2" t="s">
        <v>257</v>
      </c>
      <c r="L191" s="14" t="str">
        <f t="shared" si="20"/>
        <v>Fin dal Principio (10 marzo 1073) | Leone XIII</v>
      </c>
      <c r="M191" s="14" t="str">
        <f t="shared" si="21"/>
        <v>Enciclica Fin dal Principio</v>
      </c>
      <c r="N191" s="14" t="str">
        <f t="shared" si="22"/>
        <v>Enciclica Fin dal Principio</v>
      </c>
      <c r="O191" s="14" t="str">
        <f t="shared" si="30"/>
        <v>1902/12/08</v>
      </c>
      <c r="P191" s="14" t="str">
        <f t="shared" si="24"/>
        <v>Leone XIII, Lettera Enciclica Fin dal Principio, 10 marzo 1073</v>
      </c>
      <c r="Q191" s="14" t="str">
        <f t="shared" si="31"/>
        <v>1902-12-8T08:00:00.000+02:00</v>
      </c>
      <c r="R191" s="14" t="str">
        <f t="shared" si="26"/>
        <v>lxiii-enc-</v>
      </c>
      <c r="S191" s="14" t="str">
        <f t="shared" si="27"/>
        <v>Leo XIII - Litterae Encyclicae - Fin dal Principio</v>
      </c>
    </row>
    <row r="192" spans="1:19" x14ac:dyDescent="0.25">
      <c r="A192" s="12">
        <v>191</v>
      </c>
      <c r="B192" s="17" t="s">
        <v>667</v>
      </c>
      <c r="C192" s="4" t="s">
        <v>666</v>
      </c>
      <c r="D192" s="4" t="s">
        <v>1147</v>
      </c>
      <c r="E192" s="5">
        <v>1089</v>
      </c>
      <c r="F192" s="18" t="s">
        <v>579</v>
      </c>
      <c r="G192" s="18" t="s">
        <v>694</v>
      </c>
      <c r="H192" s="4" t="s">
        <v>603</v>
      </c>
      <c r="I192" s="4" t="s">
        <v>686</v>
      </c>
      <c r="K192" s="2" t="s">
        <v>258</v>
      </c>
      <c r="L192" s="14" t="str">
        <f t="shared" si="20"/>
        <v>Dum Multa (10 settembre 1089) | Leone XIII</v>
      </c>
      <c r="M192" s="14" t="str">
        <f t="shared" si="21"/>
        <v>Enciclica Dum Multa</v>
      </c>
      <c r="N192" s="14" t="str">
        <f t="shared" si="22"/>
        <v>Enciclica Dum Multa</v>
      </c>
      <c r="O192" s="14" t="str">
        <f t="shared" si="30"/>
        <v>1902/12/24</v>
      </c>
      <c r="P192" s="14" t="str">
        <f t="shared" si="24"/>
        <v>Leone XIII, Lettera Enciclica Dum Multa, 10 settembre 1089</v>
      </c>
      <c r="Q192" s="14" t="str">
        <f t="shared" si="31"/>
        <v>1902-12-24T08:00:00.000+02:00</v>
      </c>
      <c r="R192" s="14" t="str">
        <f t="shared" si="26"/>
        <v>lxiii-enc-</v>
      </c>
      <c r="S192" s="14" t="str">
        <f t="shared" si="27"/>
        <v>Leo XIII - Litterae Encyclicae - Dum Multa</v>
      </c>
    </row>
    <row r="193" spans="1:19" x14ac:dyDescent="0.25">
      <c r="A193" s="12">
        <v>192</v>
      </c>
      <c r="B193" s="17" t="s">
        <v>664</v>
      </c>
      <c r="C193" s="4" t="s">
        <v>665</v>
      </c>
      <c r="D193" s="4" t="s">
        <v>1148</v>
      </c>
      <c r="E193" s="5">
        <v>1373</v>
      </c>
      <c r="F193" s="18" t="s">
        <v>579</v>
      </c>
      <c r="G193" s="18" t="s">
        <v>694</v>
      </c>
      <c r="H193" s="4" t="s">
        <v>603</v>
      </c>
      <c r="I193" s="4" t="s">
        <v>686</v>
      </c>
      <c r="K193" s="2" t="s">
        <v>156</v>
      </c>
      <c r="L193" s="14" t="str">
        <f t="shared" si="20"/>
        <v>E Supremi (13 marzo 1373) | Pio X</v>
      </c>
      <c r="M193" s="14" t="str">
        <f t="shared" si="21"/>
        <v>Enciclica E Supremi</v>
      </c>
      <c r="N193" s="14" t="str">
        <f t="shared" si="22"/>
        <v>Enciclica E Supremi</v>
      </c>
      <c r="O193" s="14" t="str">
        <f t="shared" si="30"/>
        <v>1903/10/04</v>
      </c>
      <c r="P193" s="14" t="str">
        <f t="shared" si="24"/>
        <v>Pio X, Lettera Enciclica E Supremi, 13 marzo 1373</v>
      </c>
      <c r="Q193" s="14" t="str">
        <f t="shared" si="31"/>
        <v>1903-10-4T08:00:00.000+02:00</v>
      </c>
      <c r="R193" s="14" t="str">
        <f t="shared" si="26"/>
        <v>pix-enc-</v>
      </c>
      <c r="S193" s="14" t="str">
        <f t="shared" si="27"/>
        <v>Pius X - Litterae Encyclicae - E Supremi</v>
      </c>
    </row>
    <row r="194" spans="1:19" x14ac:dyDescent="0.25">
      <c r="A194" s="12">
        <v>193</v>
      </c>
      <c r="B194" s="17" t="s">
        <v>664</v>
      </c>
      <c r="C194" s="4" t="s">
        <v>665</v>
      </c>
      <c r="D194" s="4" t="s">
        <v>1148</v>
      </c>
      <c r="E194" s="5">
        <v>1494</v>
      </c>
      <c r="F194" s="18" t="s">
        <v>579</v>
      </c>
      <c r="G194" s="18" t="s">
        <v>694</v>
      </c>
      <c r="H194" s="4" t="s">
        <v>603</v>
      </c>
      <c r="I194" s="4" t="s">
        <v>686</v>
      </c>
      <c r="K194" s="2" t="s">
        <v>157</v>
      </c>
      <c r="L194" s="14" t="str">
        <f t="shared" ref="L194:L257" si="32">_xlfn.CONCAT(K194 &amp; " (" &amp; LEFT(E194,2) &amp; " " &amp; TEXT(VALUE(MID(E194,4,2))*29,"mmmm") &amp; " " &amp; RIGHT(E194,4) &amp; ") | " &amp; D194)</f>
        <v>Ad Diem Illum Laetissimum (14 aprile 1494) | Pio X</v>
      </c>
      <c r="M194" s="14" t="str">
        <f t="shared" ref="M194:M257" si="33">_xlfn.CONCAT(G194 &amp; " " &amp; K194)</f>
        <v>Enciclica Ad Diem Illum Laetissimum</v>
      </c>
      <c r="N194" s="14" t="str">
        <f t="shared" ref="N194:N257" si="34">_xlfn.CONCAT(G194 &amp; " " &amp; K194)</f>
        <v>Enciclica Ad Diem Illum Laetissimum</v>
      </c>
      <c r="O194" s="14" t="str">
        <f t="shared" si="30"/>
        <v>1904/02/02</v>
      </c>
      <c r="P194" s="14" t="str">
        <f t="shared" ref="P194:P257" si="35">_xlfn.CONCAT(D194 &amp; ", " &amp; I194 &amp; " " &amp; K194 &amp; ", " &amp; LEFT(E194,2) &amp; " " &amp; TEXT(VALUE(MID(E194,4,2))*29,"mmmm") &amp; " " &amp; RIGHT(E194,4))</f>
        <v>Pio X, Lettera Enciclica Ad Diem Illum Laetissimum, 14 aprile 1494</v>
      </c>
      <c r="Q194" s="14" t="str">
        <f t="shared" si="31"/>
        <v>1904-02-2T08:00:00.000+02:00</v>
      </c>
      <c r="R194" s="14" t="str">
        <f t="shared" ref="R194:R257" si="36">_xlfn.CONCAT(B194 &amp; "-" &amp; F194 &amp; "-" &amp; J194)</f>
        <v>pix-enc-</v>
      </c>
      <c r="S194" s="14" t="str">
        <f t="shared" ref="S194:S257" si="37">_xlfn.CONCAT(C194 &amp; " - " &amp; H194 &amp; " - " &amp; K194)</f>
        <v>Pius X - Litterae Encyclicae - Ad Diem Illum Laetissimum</v>
      </c>
    </row>
    <row r="195" spans="1:19" x14ac:dyDescent="0.25">
      <c r="A195" s="12">
        <v>194</v>
      </c>
      <c r="B195" s="17" t="s">
        <v>664</v>
      </c>
      <c r="C195" s="4" t="s">
        <v>665</v>
      </c>
      <c r="D195" s="4" t="s">
        <v>1148</v>
      </c>
      <c r="E195" s="5">
        <v>1533</v>
      </c>
      <c r="F195" s="18" t="s">
        <v>579</v>
      </c>
      <c r="G195" s="18" t="s">
        <v>694</v>
      </c>
      <c r="H195" s="4" t="s">
        <v>603</v>
      </c>
      <c r="I195" s="4" t="s">
        <v>686</v>
      </c>
      <c r="K195" s="2" t="s">
        <v>158</v>
      </c>
      <c r="L195" s="14" t="str">
        <f t="shared" si="32"/>
        <v>Iucunda Sane (15 marzo 1533) | Pio X</v>
      </c>
      <c r="M195" s="14" t="str">
        <f t="shared" si="33"/>
        <v>Enciclica Iucunda Sane</v>
      </c>
      <c r="N195" s="14" t="str">
        <f t="shared" si="34"/>
        <v>Enciclica Iucunda Sane</v>
      </c>
      <c r="O195" s="14" t="str">
        <f t="shared" si="30"/>
        <v>1904/03/12</v>
      </c>
      <c r="P195" s="14" t="str">
        <f t="shared" si="35"/>
        <v>Pio X, Lettera Enciclica Iucunda Sane, 15 marzo 1533</v>
      </c>
      <c r="Q195" s="14" t="str">
        <f t="shared" si="31"/>
        <v>1904-03-12T08:00:00.000+02:00</v>
      </c>
      <c r="R195" s="14" t="str">
        <f t="shared" si="36"/>
        <v>pix-enc-</v>
      </c>
      <c r="S195" s="14" t="str">
        <f t="shared" si="37"/>
        <v>Pius X - Litterae Encyclicae - Iucunda Sane</v>
      </c>
    </row>
    <row r="196" spans="1:19" x14ac:dyDescent="0.25">
      <c r="A196" s="12">
        <v>195</v>
      </c>
      <c r="B196" s="17" t="s">
        <v>664</v>
      </c>
      <c r="C196" s="4" t="s">
        <v>665</v>
      </c>
      <c r="D196" s="4" t="s">
        <v>1148</v>
      </c>
      <c r="E196" s="5">
        <v>1932</v>
      </c>
      <c r="F196" s="18" t="s">
        <v>579</v>
      </c>
      <c r="G196" s="18" t="s">
        <v>694</v>
      </c>
      <c r="H196" s="4" t="s">
        <v>603</v>
      </c>
      <c r="I196" s="4" t="s">
        <v>686</v>
      </c>
      <c r="K196" s="2" t="s">
        <v>159</v>
      </c>
      <c r="L196" s="14" t="str">
        <f t="shared" si="32"/>
        <v>Acerbo Nimis (19 febbraio 1932) | Pio X</v>
      </c>
      <c r="M196" s="14" t="str">
        <f t="shared" si="33"/>
        <v>Enciclica Acerbo Nimis</v>
      </c>
      <c r="N196" s="14" t="str">
        <f t="shared" si="34"/>
        <v>Enciclica Acerbo Nimis</v>
      </c>
      <c r="O196" s="14" t="str">
        <f t="shared" si="30"/>
        <v>1905/04/15</v>
      </c>
      <c r="P196" s="14" t="str">
        <f t="shared" si="35"/>
        <v>Pio X, Lettera Enciclica Acerbo Nimis, 19 febbraio 1932</v>
      </c>
      <c r="Q196" s="14" t="str">
        <f t="shared" si="31"/>
        <v>1905-04-15T08:00:00.000+02:00</v>
      </c>
      <c r="R196" s="14" t="str">
        <f t="shared" si="36"/>
        <v>pix-enc-</v>
      </c>
      <c r="S196" s="14" t="str">
        <f t="shared" si="37"/>
        <v>Pius X - Litterae Encyclicae - Acerbo Nimis</v>
      </c>
    </row>
    <row r="197" spans="1:19" x14ac:dyDescent="0.25">
      <c r="A197" s="12">
        <v>196</v>
      </c>
      <c r="B197" s="17" t="s">
        <v>664</v>
      </c>
      <c r="C197" s="4" t="s">
        <v>665</v>
      </c>
      <c r="D197" s="4" t="s">
        <v>1148</v>
      </c>
      <c r="E197" s="5">
        <v>1989</v>
      </c>
      <c r="F197" s="18" t="s">
        <v>579</v>
      </c>
      <c r="G197" s="18" t="s">
        <v>694</v>
      </c>
      <c r="H197" s="4" t="s">
        <v>603</v>
      </c>
      <c r="I197" s="4" t="s">
        <v>686</v>
      </c>
      <c r="K197" s="2" t="s">
        <v>160</v>
      </c>
      <c r="L197" s="14" t="str">
        <f t="shared" si="32"/>
        <v>Il Fermo Proposito (19 settembre 1989) | Pio X</v>
      </c>
      <c r="M197" s="14" t="str">
        <f t="shared" si="33"/>
        <v>Enciclica Il Fermo Proposito</v>
      </c>
      <c r="N197" s="14" t="str">
        <f t="shared" si="34"/>
        <v>Enciclica Il Fermo Proposito</v>
      </c>
      <c r="O197" s="14" t="str">
        <f t="shared" si="30"/>
        <v>1905/06/11</v>
      </c>
      <c r="P197" s="14" t="str">
        <f t="shared" si="35"/>
        <v>Pio X, Lettera Enciclica Il Fermo Proposito, 19 settembre 1989</v>
      </c>
      <c r="Q197" s="14" t="str">
        <f t="shared" si="31"/>
        <v>1905-06-11T08:00:00.000+02:00</v>
      </c>
      <c r="R197" s="14" t="str">
        <f t="shared" si="36"/>
        <v>pix-enc-</v>
      </c>
      <c r="S197" s="14" t="str">
        <f t="shared" si="37"/>
        <v>Pius X - Litterae Encyclicae - Il Fermo Proposito</v>
      </c>
    </row>
    <row r="198" spans="1:19" x14ac:dyDescent="0.25">
      <c r="A198" s="12">
        <v>197</v>
      </c>
      <c r="B198" s="17" t="s">
        <v>664</v>
      </c>
      <c r="C198" s="4" t="s">
        <v>665</v>
      </c>
      <c r="D198" s="4" t="s">
        <v>1148</v>
      </c>
      <c r="E198" s="5">
        <v>2234</v>
      </c>
      <c r="F198" s="18" t="s">
        <v>579</v>
      </c>
      <c r="G198" s="18" t="s">
        <v>694</v>
      </c>
      <c r="H198" s="4" t="s">
        <v>603</v>
      </c>
      <c r="I198" s="4" t="s">
        <v>686</v>
      </c>
      <c r="K198" s="2" t="s">
        <v>161</v>
      </c>
      <c r="L198" s="14" t="str">
        <f t="shared" si="32"/>
        <v>Vehementer Nos (22 aprile 2234) | Pio X</v>
      </c>
      <c r="M198" s="14" t="str">
        <f t="shared" si="33"/>
        <v>Enciclica Vehementer Nos</v>
      </c>
      <c r="N198" s="14" t="str">
        <f t="shared" si="34"/>
        <v>Enciclica Vehementer Nos</v>
      </c>
      <c r="O198" s="14" t="str">
        <f t="shared" si="30"/>
        <v>1906/02/11</v>
      </c>
      <c r="P198" s="14" t="str">
        <f t="shared" si="35"/>
        <v>Pio X, Lettera Enciclica Vehementer Nos, 22 aprile 2234</v>
      </c>
      <c r="Q198" s="14" t="str">
        <f t="shared" si="31"/>
        <v>1906-02-11T08:00:00.000+02:00</v>
      </c>
      <c r="R198" s="14" t="str">
        <f t="shared" si="36"/>
        <v>pix-enc-</v>
      </c>
      <c r="S198" s="14" t="str">
        <f t="shared" si="37"/>
        <v>Pius X - Litterae Encyclicae - Vehementer Nos</v>
      </c>
    </row>
    <row r="199" spans="1:19" x14ac:dyDescent="0.25">
      <c r="A199" s="12">
        <v>198</v>
      </c>
      <c r="B199" s="17" t="s">
        <v>664</v>
      </c>
      <c r="C199" s="4" t="s">
        <v>665</v>
      </c>
      <c r="D199" s="4" t="s">
        <v>1148</v>
      </c>
      <c r="E199" s="5">
        <v>2287</v>
      </c>
      <c r="F199" s="18" t="s">
        <v>579</v>
      </c>
      <c r="G199" s="18" t="s">
        <v>694</v>
      </c>
      <c r="H199" s="4" t="s">
        <v>603</v>
      </c>
      <c r="I199" s="4" t="s">
        <v>686</v>
      </c>
      <c r="K199" s="2" t="s">
        <v>162</v>
      </c>
      <c r="L199" s="14" t="str">
        <f t="shared" si="32"/>
        <v>Tribus Circiter (22 luglio 2287) | Pio X</v>
      </c>
      <c r="M199" s="14" t="str">
        <f t="shared" si="33"/>
        <v>Enciclica Tribus Circiter</v>
      </c>
      <c r="N199" s="14" t="str">
        <f t="shared" si="34"/>
        <v>Enciclica Tribus Circiter</v>
      </c>
      <c r="O199" s="14" t="str">
        <f t="shared" si="30"/>
        <v>1906/04/05</v>
      </c>
      <c r="P199" s="14" t="str">
        <f t="shared" si="35"/>
        <v>Pio X, Lettera Enciclica Tribus Circiter, 22 luglio 2287</v>
      </c>
      <c r="Q199" s="14" t="str">
        <f t="shared" si="31"/>
        <v>1906-04-5T08:00:00.000+02:00</v>
      </c>
      <c r="R199" s="14" t="str">
        <f t="shared" si="36"/>
        <v>pix-enc-</v>
      </c>
      <c r="S199" s="14" t="str">
        <f t="shared" si="37"/>
        <v>Pius X - Litterae Encyclicae - Tribus Circiter</v>
      </c>
    </row>
    <row r="200" spans="1:19" x14ac:dyDescent="0.25">
      <c r="A200" s="12">
        <v>199</v>
      </c>
      <c r="B200" s="17" t="s">
        <v>664</v>
      </c>
      <c r="C200" s="4" t="s">
        <v>665</v>
      </c>
      <c r="D200" s="4" t="s">
        <v>1148</v>
      </c>
      <c r="E200" s="5">
        <v>2401</v>
      </c>
      <c r="F200" s="18" t="s">
        <v>579</v>
      </c>
      <c r="G200" s="18" t="s">
        <v>694</v>
      </c>
      <c r="H200" s="4" t="s">
        <v>603</v>
      </c>
      <c r="I200" s="4" t="s">
        <v>686</v>
      </c>
      <c r="K200" s="2" t="s">
        <v>163</v>
      </c>
      <c r="L200" s="14" t="str">
        <f t="shared" si="32"/>
        <v>Pieni l'Animo (24 gennaio 2401) | Pio X</v>
      </c>
      <c r="M200" s="14" t="str">
        <f t="shared" si="33"/>
        <v>Enciclica Pieni l'Animo</v>
      </c>
      <c r="N200" s="14" t="str">
        <f t="shared" si="34"/>
        <v>Enciclica Pieni l'Animo</v>
      </c>
      <c r="O200" s="14" t="str">
        <f t="shared" si="30"/>
        <v>1906/07/28</v>
      </c>
      <c r="P200" s="14" t="str">
        <f t="shared" si="35"/>
        <v>Pio X, Lettera Enciclica Pieni l'Animo, 24 gennaio 2401</v>
      </c>
      <c r="Q200" s="14" t="str">
        <f t="shared" si="31"/>
        <v>1906-07-28T08:00:00.000+02:00</v>
      </c>
      <c r="R200" s="14" t="str">
        <f t="shared" si="36"/>
        <v>pix-enc-</v>
      </c>
      <c r="S200" s="14" t="str">
        <f t="shared" si="37"/>
        <v>Pius X - Litterae Encyclicae - Pieni l'Animo</v>
      </c>
    </row>
    <row r="201" spans="1:19" x14ac:dyDescent="0.25">
      <c r="A201" s="12">
        <v>200</v>
      </c>
      <c r="B201" s="17" t="s">
        <v>664</v>
      </c>
      <c r="C201" s="4" t="s">
        <v>665</v>
      </c>
      <c r="D201" s="4" t="s">
        <v>1148</v>
      </c>
      <c r="E201" s="5">
        <v>2414</v>
      </c>
      <c r="F201" s="18" t="s">
        <v>579</v>
      </c>
      <c r="G201" s="18" t="s">
        <v>694</v>
      </c>
      <c r="H201" s="4" t="s">
        <v>603</v>
      </c>
      <c r="I201" s="4" t="s">
        <v>686</v>
      </c>
      <c r="K201" s="2" t="s">
        <v>164</v>
      </c>
      <c r="L201" s="14" t="str">
        <f t="shared" si="32"/>
        <v>Gravissimo Officii Munere (24 aprile 2414) | Pio X</v>
      </c>
      <c r="M201" s="14" t="str">
        <f t="shared" si="33"/>
        <v>Enciclica Gravissimo Officii Munere</v>
      </c>
      <c r="N201" s="14" t="str">
        <f t="shared" si="34"/>
        <v>Enciclica Gravissimo Officii Munere</v>
      </c>
      <c r="O201" s="14" t="str">
        <f t="shared" si="30"/>
        <v>1906/08/10</v>
      </c>
      <c r="P201" s="14" t="str">
        <f t="shared" si="35"/>
        <v>Pio X, Lettera Enciclica Gravissimo Officii Munere, 24 aprile 2414</v>
      </c>
      <c r="Q201" s="14" t="str">
        <f t="shared" si="31"/>
        <v>1906-08-10T08:00:00.000+02:00</v>
      </c>
      <c r="R201" s="14" t="str">
        <f t="shared" si="36"/>
        <v>pix-enc-</v>
      </c>
      <c r="S201" s="14" t="str">
        <f t="shared" si="37"/>
        <v>Pius X - Litterae Encyclicae - Gravissimo Officii Munere</v>
      </c>
    </row>
    <row r="202" spans="1:19" x14ac:dyDescent="0.25">
      <c r="A202" s="12">
        <v>201</v>
      </c>
      <c r="B202" s="17" t="s">
        <v>664</v>
      </c>
      <c r="C202" s="4" t="s">
        <v>665</v>
      </c>
      <c r="D202" s="4" t="s">
        <v>1148</v>
      </c>
      <c r="E202" s="5">
        <v>2563</v>
      </c>
      <c r="F202" s="18" t="s">
        <v>579</v>
      </c>
      <c r="G202" s="18" t="s">
        <v>694</v>
      </c>
      <c r="H202" s="4" t="s">
        <v>603</v>
      </c>
      <c r="I202" s="4" t="s">
        <v>686</v>
      </c>
      <c r="K202" s="2" t="s">
        <v>165</v>
      </c>
      <c r="L202" s="14" t="str">
        <f t="shared" si="32"/>
        <v>Une Fois Encore (25 marzo 2563) | Pio X</v>
      </c>
      <c r="M202" s="14" t="str">
        <f t="shared" si="33"/>
        <v>Enciclica Une Fois Encore</v>
      </c>
      <c r="N202" s="14" t="str">
        <f t="shared" si="34"/>
        <v>Enciclica Une Fois Encore</v>
      </c>
      <c r="O202" s="14" t="str">
        <f t="shared" si="30"/>
        <v>1907/01/06</v>
      </c>
      <c r="P202" s="14" t="str">
        <f t="shared" si="35"/>
        <v>Pio X, Lettera Enciclica Une Fois Encore, 25 marzo 2563</v>
      </c>
      <c r="Q202" s="14" t="str">
        <f t="shared" si="31"/>
        <v>1907-01-6T08:00:00.000+02:00</v>
      </c>
      <c r="R202" s="14" t="str">
        <f t="shared" si="36"/>
        <v>pix-enc-</v>
      </c>
      <c r="S202" s="14" t="str">
        <f t="shared" si="37"/>
        <v>Pius X - Litterae Encyclicae - Une Fois Encore</v>
      </c>
    </row>
    <row r="203" spans="1:19" x14ac:dyDescent="0.25">
      <c r="A203" s="12">
        <v>202</v>
      </c>
      <c r="B203" s="17" t="s">
        <v>664</v>
      </c>
      <c r="C203" s="4" t="s">
        <v>665</v>
      </c>
      <c r="D203" s="4" t="s">
        <v>1148</v>
      </c>
      <c r="E203" s="5">
        <v>2808</v>
      </c>
      <c r="F203" s="18" t="s">
        <v>579</v>
      </c>
      <c r="G203" s="18" t="s">
        <v>694</v>
      </c>
      <c r="H203" s="4" t="s">
        <v>603</v>
      </c>
      <c r="I203" s="4" t="s">
        <v>686</v>
      </c>
      <c r="K203" s="2" t="s">
        <v>166</v>
      </c>
      <c r="L203" s="14" t="str">
        <f t="shared" si="32"/>
        <v>Pascendi Dominici Gregis (28 agosto 2808) | Pio X</v>
      </c>
      <c r="M203" s="14" t="str">
        <f t="shared" si="33"/>
        <v>Enciclica Pascendi Dominici Gregis</v>
      </c>
      <c r="N203" s="14" t="str">
        <f t="shared" si="34"/>
        <v>Enciclica Pascendi Dominici Gregis</v>
      </c>
      <c r="O203" s="14" t="str">
        <f t="shared" si="30"/>
        <v>1907/09/08</v>
      </c>
      <c r="P203" s="14" t="str">
        <f t="shared" si="35"/>
        <v>Pio X, Lettera Enciclica Pascendi Dominici Gregis, 28 agosto 2808</v>
      </c>
      <c r="Q203" s="14" t="str">
        <f t="shared" si="31"/>
        <v>1907-09-8T08:00:00.000+02:00</v>
      </c>
      <c r="R203" s="14" t="str">
        <f t="shared" si="36"/>
        <v>pix-enc-</v>
      </c>
      <c r="S203" s="14" t="str">
        <f t="shared" si="37"/>
        <v>Pius X - Litterae Encyclicae - Pascendi Dominici Gregis</v>
      </c>
    </row>
    <row r="204" spans="1:19" x14ac:dyDescent="0.25">
      <c r="A204" s="12">
        <v>203</v>
      </c>
      <c r="B204" s="17" t="s">
        <v>664</v>
      </c>
      <c r="C204" s="4" t="s">
        <v>665</v>
      </c>
      <c r="D204" s="4" t="s">
        <v>1148</v>
      </c>
      <c r="E204" s="5">
        <v>3399</v>
      </c>
      <c r="F204" s="18" t="s">
        <v>579</v>
      </c>
      <c r="G204" s="18" t="s">
        <v>694</v>
      </c>
      <c r="H204" s="4" t="s">
        <v>603</v>
      </c>
      <c r="I204" s="4" t="s">
        <v>686</v>
      </c>
      <c r="K204" s="2" t="s">
        <v>167</v>
      </c>
      <c r="L204" s="14" t="str">
        <f t="shared" si="32"/>
        <v>Communium Rerum (33 settembre 3399) | Pio X</v>
      </c>
      <c r="M204" s="14" t="str">
        <f t="shared" si="33"/>
        <v>Enciclica Communium Rerum</v>
      </c>
      <c r="N204" s="14" t="str">
        <f t="shared" si="34"/>
        <v>Enciclica Communium Rerum</v>
      </c>
      <c r="O204" s="14" t="str">
        <f t="shared" si="30"/>
        <v>1909/04/21</v>
      </c>
      <c r="P204" s="14" t="str">
        <f t="shared" si="35"/>
        <v>Pio X, Lettera Enciclica Communium Rerum, 33 settembre 3399</v>
      </c>
      <c r="Q204" s="14" t="str">
        <f t="shared" si="31"/>
        <v>1909-04-21T08:00:00.000+02:00</v>
      </c>
      <c r="R204" s="14" t="str">
        <f t="shared" si="36"/>
        <v>pix-enc-</v>
      </c>
      <c r="S204" s="14" t="str">
        <f t="shared" si="37"/>
        <v>Pius X - Litterae Encyclicae - Communium Rerum</v>
      </c>
    </row>
    <row r="205" spans="1:19" x14ac:dyDescent="0.25">
      <c r="A205" s="12">
        <v>204</v>
      </c>
      <c r="B205" s="17" t="s">
        <v>664</v>
      </c>
      <c r="C205" s="4" t="s">
        <v>665</v>
      </c>
      <c r="D205" s="4" t="s">
        <v>1148</v>
      </c>
      <c r="E205" s="5">
        <v>3799</v>
      </c>
      <c r="F205" s="18" t="s">
        <v>579</v>
      </c>
      <c r="G205" s="18" t="s">
        <v>694</v>
      </c>
      <c r="H205" s="4" t="s">
        <v>603</v>
      </c>
      <c r="I205" s="4" t="s">
        <v>686</v>
      </c>
      <c r="K205" s="2" t="s">
        <v>168</v>
      </c>
      <c r="L205" s="14" t="str">
        <f t="shared" si="32"/>
        <v>Editae Saepe (37 settembre 3799) | Pio X</v>
      </c>
      <c r="M205" s="14" t="str">
        <f t="shared" si="33"/>
        <v>Enciclica Editae Saepe</v>
      </c>
      <c r="N205" s="14" t="str">
        <f t="shared" si="34"/>
        <v>Enciclica Editae Saepe</v>
      </c>
      <c r="O205" s="14" t="str">
        <f t="shared" si="30"/>
        <v>1910/05/26</v>
      </c>
      <c r="P205" s="14" t="str">
        <f t="shared" si="35"/>
        <v>Pio X, Lettera Enciclica Editae Saepe, 37 settembre 3799</v>
      </c>
      <c r="Q205" s="14" t="str">
        <f t="shared" si="31"/>
        <v>1910-05-26T08:00:00.000+02:00</v>
      </c>
      <c r="R205" s="14" t="str">
        <f t="shared" si="36"/>
        <v>pix-enc-</v>
      </c>
      <c r="S205" s="14" t="str">
        <f t="shared" si="37"/>
        <v>Pius X - Litterae Encyclicae - Editae Saepe</v>
      </c>
    </row>
    <row r="206" spans="1:19" x14ac:dyDescent="0.25">
      <c r="A206" s="12">
        <v>205</v>
      </c>
      <c r="B206" s="17" t="s">
        <v>664</v>
      </c>
      <c r="C206" s="4" t="s">
        <v>665</v>
      </c>
      <c r="D206" s="4" t="s">
        <v>1148</v>
      </c>
      <c r="E206" s="5">
        <v>4162</v>
      </c>
      <c r="F206" s="18" t="s">
        <v>579</v>
      </c>
      <c r="G206" s="18" t="s">
        <v>694</v>
      </c>
      <c r="H206" s="4" t="s">
        <v>603</v>
      </c>
      <c r="I206" s="4" t="s">
        <v>686</v>
      </c>
      <c r="K206" s="2" t="s">
        <v>169</v>
      </c>
      <c r="L206" s="14" t="str">
        <f t="shared" si="32"/>
        <v>Iamdudum (41 febbraio 4162) | Pio X</v>
      </c>
      <c r="M206" s="14" t="str">
        <f t="shared" si="33"/>
        <v>Enciclica Iamdudum</v>
      </c>
      <c r="N206" s="14" t="str">
        <f t="shared" si="34"/>
        <v>Enciclica Iamdudum</v>
      </c>
      <c r="O206" s="14" t="str">
        <f t="shared" si="30"/>
        <v>1911/05/24</v>
      </c>
      <c r="P206" s="14" t="str">
        <f t="shared" si="35"/>
        <v>Pio X, Lettera Enciclica Iamdudum, 41 febbraio 4162</v>
      </c>
      <c r="Q206" s="14" t="str">
        <f t="shared" si="31"/>
        <v>1911-05-24T08:00:00.000+02:00</v>
      </c>
      <c r="R206" s="14" t="str">
        <f t="shared" si="36"/>
        <v>pix-enc-</v>
      </c>
      <c r="S206" s="14" t="str">
        <f t="shared" si="37"/>
        <v>Pius X - Litterae Encyclicae - Iamdudum</v>
      </c>
    </row>
    <row r="207" spans="1:19" x14ac:dyDescent="0.25">
      <c r="A207" s="12">
        <v>206</v>
      </c>
      <c r="B207" s="17" t="s">
        <v>664</v>
      </c>
      <c r="C207" s="4" t="s">
        <v>665</v>
      </c>
      <c r="D207" s="4" t="s">
        <v>1148</v>
      </c>
      <c r="E207" s="5">
        <v>4542</v>
      </c>
      <c r="F207" s="18" t="s">
        <v>579</v>
      </c>
      <c r="G207" s="18" t="s">
        <v>694</v>
      </c>
      <c r="H207" s="4" t="s">
        <v>603</v>
      </c>
      <c r="I207" s="4" t="s">
        <v>686</v>
      </c>
      <c r="K207" s="2" t="s">
        <v>170</v>
      </c>
      <c r="L207" s="14" t="str">
        <f t="shared" si="32"/>
        <v>Lacrimabili Statu (45 febbraio 4542) | Pio X</v>
      </c>
      <c r="M207" s="14" t="str">
        <f t="shared" si="33"/>
        <v>Enciclica Lacrimabili Statu</v>
      </c>
      <c r="N207" s="14" t="str">
        <f t="shared" si="34"/>
        <v>Enciclica Lacrimabili Statu</v>
      </c>
      <c r="O207" s="14" t="str">
        <f t="shared" si="30"/>
        <v>1912/06/07</v>
      </c>
      <c r="P207" s="14" t="str">
        <f t="shared" si="35"/>
        <v>Pio X, Lettera Enciclica Lacrimabili Statu, 45 febbraio 4542</v>
      </c>
      <c r="Q207" s="14" t="str">
        <f t="shared" si="31"/>
        <v>1912-06-7T08:00:00.000+02:00</v>
      </c>
      <c r="R207" s="14" t="str">
        <f t="shared" si="36"/>
        <v>pix-enc-</v>
      </c>
      <c r="S207" s="14" t="str">
        <f t="shared" si="37"/>
        <v>Pius X - Litterae Encyclicae - Lacrimabili Statu</v>
      </c>
    </row>
    <row r="208" spans="1:19" x14ac:dyDescent="0.25">
      <c r="A208" s="12">
        <v>207</v>
      </c>
      <c r="B208" s="17" t="s">
        <v>664</v>
      </c>
      <c r="C208" s="4" t="s">
        <v>665</v>
      </c>
      <c r="D208" s="4" t="s">
        <v>1148</v>
      </c>
      <c r="E208" s="5">
        <v>4651</v>
      </c>
      <c r="F208" s="18" t="s">
        <v>579</v>
      </c>
      <c r="G208" s="18" t="s">
        <v>694</v>
      </c>
      <c r="H208" s="4" t="s">
        <v>603</v>
      </c>
      <c r="I208" s="4" t="s">
        <v>686</v>
      </c>
      <c r="K208" s="2" t="s">
        <v>171</v>
      </c>
      <c r="L208" s="14" t="str">
        <f t="shared" si="32"/>
        <v>Singulari Quadam (46 gennaio 4651) | Pio X</v>
      </c>
      <c r="M208" s="14" t="str">
        <f t="shared" si="33"/>
        <v>Enciclica Singulari Quadam</v>
      </c>
      <c r="N208" s="14" t="str">
        <f t="shared" si="34"/>
        <v>Enciclica Singulari Quadam</v>
      </c>
      <c r="O208" s="14" t="str">
        <f t="shared" si="30"/>
        <v>1912/09/24</v>
      </c>
      <c r="P208" s="14" t="str">
        <f t="shared" si="35"/>
        <v>Pio X, Lettera Enciclica Singulari Quadam, 46 gennaio 4651</v>
      </c>
      <c r="Q208" s="14" t="str">
        <f t="shared" si="31"/>
        <v>1912-09-24T08:00:00.000+02:00</v>
      </c>
      <c r="R208" s="14" t="str">
        <f t="shared" si="36"/>
        <v>pix-enc-</v>
      </c>
      <c r="S208" s="14" t="str">
        <f t="shared" si="37"/>
        <v>Pius X - Litterae Encyclicae - Singulari Quadam</v>
      </c>
    </row>
    <row r="209" spans="1:19" x14ac:dyDescent="0.25">
      <c r="A209" s="12">
        <v>208</v>
      </c>
      <c r="B209" s="17" t="s">
        <v>608</v>
      </c>
      <c r="C209" s="4" t="s">
        <v>609</v>
      </c>
      <c r="D209" s="4" t="s">
        <v>1149</v>
      </c>
      <c r="E209" s="5">
        <v>5419</v>
      </c>
      <c r="F209" s="18" t="s">
        <v>579</v>
      </c>
      <c r="G209" s="18" t="s">
        <v>694</v>
      </c>
      <c r="H209" s="4" t="s">
        <v>603</v>
      </c>
      <c r="I209" s="4" t="s">
        <v>686</v>
      </c>
      <c r="J209" s="4" t="s">
        <v>641</v>
      </c>
      <c r="K209" s="2" t="s">
        <v>143</v>
      </c>
      <c r="L209" s="14" t="str">
        <f t="shared" si="32"/>
        <v>Ad Beatissimi Apostolorum (54 settembre 5419) | Benedetto XV</v>
      </c>
      <c r="M209" s="14" t="str">
        <f t="shared" si="33"/>
        <v>Enciclica Ad Beatissimi Apostolorum</v>
      </c>
      <c r="N209" s="14" t="str">
        <f t="shared" si="34"/>
        <v>Enciclica Ad Beatissimi Apostolorum</v>
      </c>
      <c r="O209" s="14" t="str">
        <f t="shared" si="30"/>
        <v>1914/11/01</v>
      </c>
      <c r="P209" s="14" t="str">
        <f t="shared" si="35"/>
        <v>Benedetto XV, Lettera Enciclica Ad Beatissimi Apostolorum, 54 settembre 5419</v>
      </c>
      <c r="Q209" s="14" t="str">
        <f t="shared" si="31"/>
        <v>1914-11-1T08:00:00.000+02:00</v>
      </c>
      <c r="R209" s="14" t="str">
        <f t="shared" si="36"/>
        <v>bxv-enc-aba</v>
      </c>
      <c r="S209" s="14" t="str">
        <f t="shared" si="37"/>
        <v>Benedictus XV - Litterae Encyclicae - Ad Beatissimi Apostolorum</v>
      </c>
    </row>
    <row r="210" spans="1:19" x14ac:dyDescent="0.25">
      <c r="A210" s="12">
        <v>209</v>
      </c>
      <c r="B210" s="17" t="s">
        <v>608</v>
      </c>
      <c r="C210" s="4" t="s">
        <v>609</v>
      </c>
      <c r="D210" s="4" t="s">
        <v>1149</v>
      </c>
      <c r="E210" s="5">
        <v>6376</v>
      </c>
      <c r="F210" s="18" t="s">
        <v>579</v>
      </c>
      <c r="G210" s="18" t="s">
        <v>694</v>
      </c>
      <c r="H210" s="4" t="s">
        <v>603</v>
      </c>
      <c r="I210" s="4" t="s">
        <v>686</v>
      </c>
      <c r="J210" s="4" t="s">
        <v>642</v>
      </c>
      <c r="K210" s="2" t="s">
        <v>144</v>
      </c>
      <c r="L210" s="14" t="str">
        <f t="shared" si="32"/>
        <v>Humani Generis Redemptionem (63 giugno 6376) | Benedetto XV</v>
      </c>
      <c r="M210" s="14" t="str">
        <f t="shared" si="33"/>
        <v>Enciclica Humani Generis Redemptionem</v>
      </c>
      <c r="N210" s="14" t="str">
        <f t="shared" si="34"/>
        <v>Enciclica Humani Generis Redemptionem</v>
      </c>
      <c r="O210" s="14" t="str">
        <f t="shared" si="30"/>
        <v>1917/06/15</v>
      </c>
      <c r="P210" s="14" t="str">
        <f t="shared" si="35"/>
        <v>Benedetto XV, Lettera Enciclica Humani Generis Redemptionem, 63 giugno 6376</v>
      </c>
      <c r="Q210" s="14" t="str">
        <f t="shared" si="31"/>
        <v>1917-06-15T08:00:00.000+02:00</v>
      </c>
      <c r="R210" s="14" t="str">
        <f t="shared" si="36"/>
        <v>bxv-enc-hgr</v>
      </c>
      <c r="S210" s="14" t="str">
        <f t="shared" si="37"/>
        <v>Benedictus XV - Litterae Encyclicae - Humani Generis Redemptionem</v>
      </c>
    </row>
    <row r="211" spans="1:19" x14ac:dyDescent="0.25">
      <c r="A211" s="12">
        <v>210</v>
      </c>
      <c r="B211" s="17" t="s">
        <v>608</v>
      </c>
      <c r="C211" s="4" t="s">
        <v>609</v>
      </c>
      <c r="D211" s="4" t="s">
        <v>1149</v>
      </c>
      <c r="E211" s="5">
        <v>6910</v>
      </c>
      <c r="F211" s="18" t="s">
        <v>579</v>
      </c>
      <c r="G211" s="18" t="s">
        <v>694</v>
      </c>
      <c r="H211" s="4" t="s">
        <v>603</v>
      </c>
      <c r="I211" s="4" t="s">
        <v>686</v>
      </c>
      <c r="J211" s="4" t="s">
        <v>643</v>
      </c>
      <c r="K211" s="2" t="s">
        <v>145</v>
      </c>
      <c r="L211" s="14" t="str">
        <f t="shared" si="32"/>
        <v>Quod Iam Diu (69 gennaio 6910) | Benedetto XV</v>
      </c>
      <c r="M211" s="14" t="str">
        <f t="shared" si="33"/>
        <v>Enciclica Quod Iam Diu</v>
      </c>
      <c r="N211" s="14" t="str">
        <f t="shared" si="34"/>
        <v>Enciclica Quod Iam Diu</v>
      </c>
      <c r="O211" s="14" t="str">
        <f t="shared" si="30"/>
        <v>1918/12/01</v>
      </c>
      <c r="P211" s="14" t="str">
        <f t="shared" si="35"/>
        <v>Benedetto XV, Lettera Enciclica Quod Iam Diu, 69 gennaio 6910</v>
      </c>
      <c r="Q211" s="14" t="str">
        <f t="shared" si="31"/>
        <v>1918-12-1T08:00:00.000+02:00</v>
      </c>
      <c r="R211" s="14" t="str">
        <f t="shared" si="36"/>
        <v>bxv-enc-qid</v>
      </c>
      <c r="S211" s="14" t="str">
        <f t="shared" si="37"/>
        <v>Benedictus XV - Litterae Encyclicae - Quod Iam Diu</v>
      </c>
    </row>
    <row r="212" spans="1:19" x14ac:dyDescent="0.25">
      <c r="A212" s="12">
        <v>211</v>
      </c>
      <c r="B212" s="17" t="s">
        <v>608</v>
      </c>
      <c r="C212" s="4" t="s">
        <v>609</v>
      </c>
      <c r="D212" s="4" t="s">
        <v>1149</v>
      </c>
      <c r="E212" s="5">
        <v>7074</v>
      </c>
      <c r="F212" s="18" t="s">
        <v>579</v>
      </c>
      <c r="G212" s="18" t="s">
        <v>694</v>
      </c>
      <c r="H212" s="4" t="s">
        <v>603</v>
      </c>
      <c r="I212" s="4" t="s">
        <v>686</v>
      </c>
      <c r="J212" s="4" t="s">
        <v>644</v>
      </c>
      <c r="K212" s="2" t="s">
        <v>146</v>
      </c>
      <c r="L212" s="14" t="str">
        <f t="shared" si="32"/>
        <v>In Hac Tanta (70 aprile 7074) | Benedetto XV</v>
      </c>
      <c r="M212" s="14" t="str">
        <f t="shared" si="33"/>
        <v>Enciclica In Hac Tanta</v>
      </c>
      <c r="N212" s="14" t="str">
        <f t="shared" si="34"/>
        <v>Enciclica In Hac Tanta</v>
      </c>
      <c r="O212" s="14" t="str">
        <f t="shared" si="30"/>
        <v>1919/05/14</v>
      </c>
      <c r="P212" s="14" t="str">
        <f t="shared" si="35"/>
        <v>Benedetto XV, Lettera Enciclica In Hac Tanta, 70 aprile 7074</v>
      </c>
      <c r="Q212" s="14" t="str">
        <f t="shared" si="31"/>
        <v>1919-05-14T08:00:00.000+02:00</v>
      </c>
      <c r="R212" s="14" t="str">
        <f t="shared" si="36"/>
        <v>bxv-enc-iht</v>
      </c>
      <c r="S212" s="14" t="str">
        <f t="shared" si="37"/>
        <v>Benedictus XV - Litterae Encyclicae - In Hac Tanta</v>
      </c>
    </row>
    <row r="213" spans="1:19" x14ac:dyDescent="0.25">
      <c r="A213" s="12">
        <v>212</v>
      </c>
      <c r="B213" s="17" t="s">
        <v>608</v>
      </c>
      <c r="C213" s="4" t="s">
        <v>609</v>
      </c>
      <c r="D213" s="4" t="s">
        <v>1149</v>
      </c>
      <c r="E213" s="5">
        <v>7268</v>
      </c>
      <c r="F213" s="18" t="s">
        <v>579</v>
      </c>
      <c r="G213" s="18" t="s">
        <v>694</v>
      </c>
      <c r="H213" s="4" t="s">
        <v>603</v>
      </c>
      <c r="I213" s="4" t="s">
        <v>686</v>
      </c>
      <c r="J213" s="4" t="s">
        <v>645</v>
      </c>
      <c r="K213" s="2" t="s">
        <v>147</v>
      </c>
      <c r="L213" s="14" t="str">
        <f t="shared" si="32"/>
        <v>Paterno Iam Diu (72 agosto 7268) | Benedetto XV</v>
      </c>
      <c r="M213" s="14" t="str">
        <f t="shared" si="33"/>
        <v>Enciclica Paterno Iam Diu</v>
      </c>
      <c r="N213" s="14" t="str">
        <f t="shared" si="34"/>
        <v>Enciclica Paterno Iam Diu</v>
      </c>
      <c r="O213" s="14" t="str">
        <f t="shared" ref="O213:O244" si="38">_xlfn.CONCAT(YEAR(E213) &amp; "/" &amp; TEXT(E213,"mm") &amp; "/" &amp; TEXT(E213,"gg"))</f>
        <v>1919/11/24</v>
      </c>
      <c r="P213" s="14" t="str">
        <f t="shared" si="35"/>
        <v>Benedetto XV, Lettera Enciclica Paterno Iam Diu, 72 agosto 7268</v>
      </c>
      <c r="Q213" s="14" t="str">
        <f t="shared" ref="Q213:Q244" si="39">CONCATENATE(YEAR(E213) &amp; "-" &amp; TEXT(MONTH(E213),"00") &amp; "-" &amp; DAY(E213) &amp; "T08:00:00.000+02:00")</f>
        <v>1919-11-24T08:00:00.000+02:00</v>
      </c>
      <c r="R213" s="14" t="str">
        <f t="shared" si="36"/>
        <v>bxv-enc-pid</v>
      </c>
      <c r="S213" s="14" t="str">
        <f t="shared" si="37"/>
        <v>Benedictus XV - Litterae Encyclicae - Paterno Iam Diu</v>
      </c>
    </row>
    <row r="214" spans="1:19" x14ac:dyDescent="0.25">
      <c r="A214" s="12">
        <v>213</v>
      </c>
      <c r="B214" s="17" t="s">
        <v>608</v>
      </c>
      <c r="C214" s="4" t="s">
        <v>609</v>
      </c>
      <c r="D214" s="4" t="s">
        <v>1149</v>
      </c>
      <c r="E214" s="5">
        <v>7449</v>
      </c>
      <c r="F214" s="18" t="s">
        <v>579</v>
      </c>
      <c r="G214" s="18" t="s">
        <v>694</v>
      </c>
      <c r="H214" s="4" t="s">
        <v>603</v>
      </c>
      <c r="I214" s="4" t="s">
        <v>686</v>
      </c>
      <c r="J214" s="4" t="s">
        <v>650</v>
      </c>
      <c r="K214" s="2" t="s">
        <v>148</v>
      </c>
      <c r="L214" s="14" t="str">
        <f t="shared" si="32"/>
        <v>Pacem Dei Munus Pulcherrimum (74 settembre 7449) | Benedetto XV</v>
      </c>
      <c r="M214" s="14" t="str">
        <f t="shared" si="33"/>
        <v>Enciclica Pacem Dei Munus Pulcherrimum</v>
      </c>
      <c r="N214" s="14" t="str">
        <f t="shared" si="34"/>
        <v>Enciclica Pacem Dei Munus Pulcherrimum</v>
      </c>
      <c r="O214" s="14" t="str">
        <f t="shared" si="38"/>
        <v>1920/05/23</v>
      </c>
      <c r="P214" s="14" t="str">
        <f t="shared" si="35"/>
        <v>Benedetto XV, Lettera Enciclica Pacem Dei Munus Pulcherrimum, 74 settembre 7449</v>
      </c>
      <c r="Q214" s="14" t="str">
        <f t="shared" si="39"/>
        <v>1920-05-23T08:00:00.000+02:00</v>
      </c>
      <c r="R214" s="14" t="str">
        <f t="shared" si="36"/>
        <v>bxv-enc-pdp</v>
      </c>
      <c r="S214" s="14" t="str">
        <f t="shared" si="37"/>
        <v>Benedictus XV - Litterae Encyclicae - Pacem Dei Munus Pulcherrimum</v>
      </c>
    </row>
    <row r="215" spans="1:19" x14ac:dyDescent="0.25">
      <c r="A215" s="12">
        <v>214</v>
      </c>
      <c r="B215" s="17" t="s">
        <v>608</v>
      </c>
      <c r="C215" s="4" t="s">
        <v>609</v>
      </c>
      <c r="D215" s="4" t="s">
        <v>1149</v>
      </c>
      <c r="E215" s="5">
        <v>7564</v>
      </c>
      <c r="F215" s="18" t="s">
        <v>579</v>
      </c>
      <c r="G215" s="18" t="s">
        <v>694</v>
      </c>
      <c r="H215" s="4" t="s">
        <v>603</v>
      </c>
      <c r="I215" s="4" t="s">
        <v>686</v>
      </c>
      <c r="J215" s="4" t="s">
        <v>651</v>
      </c>
      <c r="K215" s="2" t="s">
        <v>149</v>
      </c>
      <c r="L215" s="14" t="str">
        <f t="shared" si="32"/>
        <v>Spiritus Paraclitus (75 aprile 7564) | Benedetto XV</v>
      </c>
      <c r="M215" s="14" t="str">
        <f t="shared" si="33"/>
        <v>Enciclica Spiritus Paraclitus</v>
      </c>
      <c r="N215" s="14" t="str">
        <f t="shared" si="34"/>
        <v>Enciclica Spiritus Paraclitus</v>
      </c>
      <c r="O215" s="14" t="str">
        <f t="shared" si="38"/>
        <v>1920/09/15</v>
      </c>
      <c r="P215" s="14" t="str">
        <f t="shared" si="35"/>
        <v>Benedetto XV, Lettera Enciclica Spiritus Paraclitus, 75 aprile 7564</v>
      </c>
      <c r="Q215" s="14" t="str">
        <f t="shared" si="39"/>
        <v>1920-09-15T08:00:00.000+02:00</v>
      </c>
      <c r="R215" s="14" t="str">
        <f t="shared" si="36"/>
        <v>bxv-enc-spp</v>
      </c>
      <c r="S215" s="14" t="str">
        <f t="shared" si="37"/>
        <v>Benedictus XV - Litterae Encyclicae - Spiritus Paraclitus</v>
      </c>
    </row>
    <row r="216" spans="1:19" x14ac:dyDescent="0.25">
      <c r="A216" s="12">
        <v>215</v>
      </c>
      <c r="B216" s="17" t="s">
        <v>608</v>
      </c>
      <c r="C216" s="4" t="s">
        <v>609</v>
      </c>
      <c r="D216" s="4" t="s">
        <v>1149</v>
      </c>
      <c r="E216" s="5">
        <v>7584</v>
      </c>
      <c r="F216" s="18" t="s">
        <v>579</v>
      </c>
      <c r="G216" s="18" t="s">
        <v>694</v>
      </c>
      <c r="H216" s="4" t="s">
        <v>603</v>
      </c>
      <c r="I216" s="4" t="s">
        <v>686</v>
      </c>
      <c r="J216" s="4" t="s">
        <v>646</v>
      </c>
      <c r="K216" s="2" t="s">
        <v>150</v>
      </c>
      <c r="L216" s="14" t="str">
        <f t="shared" si="32"/>
        <v>Principi Apostolorum Petro (75 aprile 7584) | Benedetto XV</v>
      </c>
      <c r="M216" s="14" t="str">
        <f t="shared" si="33"/>
        <v>Enciclica Principi Apostolorum Petro</v>
      </c>
      <c r="N216" s="14" t="str">
        <f t="shared" si="34"/>
        <v>Enciclica Principi Apostolorum Petro</v>
      </c>
      <c r="O216" s="14" t="str">
        <f t="shared" si="38"/>
        <v>1920/10/05</v>
      </c>
      <c r="P216" s="14" t="str">
        <f t="shared" si="35"/>
        <v>Benedetto XV, Lettera Enciclica Principi Apostolorum Petro, 75 aprile 7584</v>
      </c>
      <c r="Q216" s="14" t="str">
        <f t="shared" si="39"/>
        <v>1920-10-5T08:00:00.000+02:00</v>
      </c>
      <c r="R216" s="14" t="str">
        <f t="shared" si="36"/>
        <v>bxv-enc-pap</v>
      </c>
      <c r="S216" s="14" t="str">
        <f t="shared" si="37"/>
        <v>Benedictus XV - Litterae Encyclicae - Principi Apostolorum Petro</v>
      </c>
    </row>
    <row r="217" spans="1:19" x14ac:dyDescent="0.25">
      <c r="A217" s="12">
        <v>216</v>
      </c>
      <c r="B217" s="17" t="s">
        <v>608</v>
      </c>
      <c r="C217" s="4" t="s">
        <v>609</v>
      </c>
      <c r="D217" s="4" t="s">
        <v>1149</v>
      </c>
      <c r="E217" s="5">
        <v>7641</v>
      </c>
      <c r="F217" s="18" t="s">
        <v>579</v>
      </c>
      <c r="G217" s="18" t="s">
        <v>694</v>
      </c>
      <c r="H217" s="4" t="s">
        <v>603</v>
      </c>
      <c r="I217" s="4" t="s">
        <v>686</v>
      </c>
      <c r="J217" s="4" t="s">
        <v>647</v>
      </c>
      <c r="K217" s="2" t="s">
        <v>151</v>
      </c>
      <c r="L217" s="14" t="str">
        <f t="shared" si="32"/>
        <v>Annus Iam Plenus (76 gennaio 7641) | Benedetto XV</v>
      </c>
      <c r="M217" s="14" t="str">
        <f t="shared" si="33"/>
        <v>Enciclica Annus Iam Plenus</v>
      </c>
      <c r="N217" s="14" t="str">
        <f t="shared" si="34"/>
        <v>Enciclica Annus Iam Plenus</v>
      </c>
      <c r="O217" s="14" t="str">
        <f t="shared" si="38"/>
        <v>1920/12/01</v>
      </c>
      <c r="P217" s="14" t="str">
        <f t="shared" si="35"/>
        <v>Benedetto XV, Lettera Enciclica Annus Iam Plenus, 76 gennaio 7641</v>
      </c>
      <c r="Q217" s="14" t="str">
        <f t="shared" si="39"/>
        <v>1920-12-1T08:00:00.000+02:00</v>
      </c>
      <c r="R217" s="14" t="str">
        <f t="shared" si="36"/>
        <v>bxv-enc-aip</v>
      </c>
      <c r="S217" s="14" t="str">
        <f t="shared" si="37"/>
        <v>Benedictus XV - Litterae Encyclicae - Annus Iam Plenus</v>
      </c>
    </row>
    <row r="218" spans="1:19" x14ac:dyDescent="0.25">
      <c r="A218" s="12">
        <v>217</v>
      </c>
      <c r="B218" s="17" t="s">
        <v>608</v>
      </c>
      <c r="C218" s="4" t="s">
        <v>609</v>
      </c>
      <c r="D218" s="4" t="s">
        <v>1149</v>
      </c>
      <c r="E218" s="5">
        <v>7677</v>
      </c>
      <c r="F218" s="18" t="s">
        <v>579</v>
      </c>
      <c r="G218" s="18" t="s">
        <v>694</v>
      </c>
      <c r="H218" s="4" t="s">
        <v>603</v>
      </c>
      <c r="I218" s="4" t="s">
        <v>686</v>
      </c>
      <c r="J218" s="4" t="s">
        <v>652</v>
      </c>
      <c r="K218" s="2" t="s">
        <v>152</v>
      </c>
      <c r="L218" s="14" t="str">
        <f t="shared" si="32"/>
        <v>Sacra Propediem (76 luglio 7677) | Benedetto XV</v>
      </c>
      <c r="M218" s="14" t="str">
        <f t="shared" si="33"/>
        <v>Enciclica Sacra Propediem</v>
      </c>
      <c r="N218" s="14" t="str">
        <f t="shared" si="34"/>
        <v>Enciclica Sacra Propediem</v>
      </c>
      <c r="O218" s="14" t="str">
        <f t="shared" si="38"/>
        <v>1921/01/06</v>
      </c>
      <c r="P218" s="14" t="str">
        <f t="shared" si="35"/>
        <v>Benedetto XV, Lettera Enciclica Sacra Propediem, 76 luglio 7677</v>
      </c>
      <c r="Q218" s="14" t="str">
        <f t="shared" si="39"/>
        <v>1921-01-6T08:00:00.000+02:00</v>
      </c>
      <c r="R218" s="14" t="str">
        <f t="shared" si="36"/>
        <v>bxv-enc-sap</v>
      </c>
      <c r="S218" s="14" t="str">
        <f t="shared" si="37"/>
        <v>Benedictus XV - Litterae Encyclicae - Sacra Propediem</v>
      </c>
    </row>
    <row r="219" spans="1:19" x14ac:dyDescent="0.25">
      <c r="A219" s="12">
        <v>218</v>
      </c>
      <c r="B219" s="17" t="s">
        <v>608</v>
      </c>
      <c r="C219" s="4" t="s">
        <v>609</v>
      </c>
      <c r="D219" s="4" t="s">
        <v>1149</v>
      </c>
      <c r="E219" s="5">
        <v>7791</v>
      </c>
      <c r="F219" s="18" t="s">
        <v>579</v>
      </c>
      <c r="G219" s="18" t="s">
        <v>694</v>
      </c>
      <c r="H219" s="4" t="s">
        <v>603</v>
      </c>
      <c r="I219" s="4" t="s">
        <v>686</v>
      </c>
      <c r="J219" s="4" t="s">
        <v>648</v>
      </c>
      <c r="K219" s="2" t="s">
        <v>153</v>
      </c>
      <c r="L219" s="14" t="str">
        <f t="shared" si="32"/>
        <v>In Praeclara Summorum (77 gennaio 7791) | Benedetto XV</v>
      </c>
      <c r="M219" s="14" t="str">
        <f t="shared" si="33"/>
        <v>Enciclica In Praeclara Summorum</v>
      </c>
      <c r="N219" s="14" t="str">
        <f t="shared" si="34"/>
        <v>Enciclica In Praeclara Summorum</v>
      </c>
      <c r="O219" s="14" t="str">
        <f t="shared" si="38"/>
        <v>1921/04/30</v>
      </c>
      <c r="P219" s="14" t="str">
        <f t="shared" si="35"/>
        <v>Benedetto XV, Lettera Enciclica In Praeclara Summorum, 77 gennaio 7791</v>
      </c>
      <c r="Q219" s="14" t="str">
        <f t="shared" si="39"/>
        <v>1921-04-30T08:00:00.000+02:00</v>
      </c>
      <c r="R219" s="14" t="str">
        <f t="shared" si="36"/>
        <v>bxv-enc-ips</v>
      </c>
      <c r="S219" s="14" t="str">
        <f t="shared" si="37"/>
        <v>Benedictus XV - Litterae Encyclicae - In Praeclara Summorum</v>
      </c>
    </row>
    <row r="220" spans="1:19" x14ac:dyDescent="0.25">
      <c r="A220" s="12">
        <v>219</v>
      </c>
      <c r="B220" s="17" t="s">
        <v>608</v>
      </c>
      <c r="C220" s="4" t="s">
        <v>609</v>
      </c>
      <c r="D220" s="4" t="s">
        <v>1149</v>
      </c>
      <c r="E220" s="5">
        <v>7851</v>
      </c>
      <c r="F220" s="18" t="s">
        <v>579</v>
      </c>
      <c r="G220" s="18" t="s">
        <v>694</v>
      </c>
      <c r="H220" s="4" t="s">
        <v>603</v>
      </c>
      <c r="I220" s="4" t="s">
        <v>686</v>
      </c>
      <c r="J220" s="4" t="s">
        <v>649</v>
      </c>
      <c r="K220" s="2" t="s">
        <v>154</v>
      </c>
      <c r="L220" s="14" t="str">
        <f t="shared" si="32"/>
        <v>Fausto Appetente Die (78 gennaio 7851) | Benedetto XV</v>
      </c>
      <c r="M220" s="14" t="str">
        <f t="shared" si="33"/>
        <v>Enciclica Fausto Appetente Die</v>
      </c>
      <c r="N220" s="14" t="str">
        <f t="shared" si="34"/>
        <v>Enciclica Fausto Appetente Die</v>
      </c>
      <c r="O220" s="14" t="str">
        <f t="shared" si="38"/>
        <v>1921/06/29</v>
      </c>
      <c r="P220" s="14" t="str">
        <f t="shared" si="35"/>
        <v>Benedetto XV, Lettera Enciclica Fausto Appetente Die, 78 gennaio 7851</v>
      </c>
      <c r="Q220" s="14" t="str">
        <f t="shared" si="39"/>
        <v>1921-06-29T08:00:00.000+02:00</v>
      </c>
      <c r="R220" s="14" t="str">
        <f t="shared" si="36"/>
        <v>bxv-enc-fad</v>
      </c>
      <c r="S220" s="14" t="str">
        <f t="shared" si="37"/>
        <v>Benedictus XV - Litterae Encyclicae - Fausto Appetente Die</v>
      </c>
    </row>
    <row r="221" spans="1:19" x14ac:dyDescent="0.25">
      <c r="A221" s="12">
        <v>220</v>
      </c>
      <c r="B221" s="17" t="s">
        <v>661</v>
      </c>
      <c r="C221" s="4" t="s">
        <v>660</v>
      </c>
      <c r="D221" s="4" t="s">
        <v>1150</v>
      </c>
      <c r="E221" s="5">
        <v>8393</v>
      </c>
      <c r="F221" s="18" t="s">
        <v>579</v>
      </c>
      <c r="G221" s="18" t="s">
        <v>694</v>
      </c>
      <c r="H221" s="4" t="s">
        <v>603</v>
      </c>
      <c r="I221" s="4" t="s">
        <v>686</v>
      </c>
      <c r="K221" s="2" t="s">
        <v>112</v>
      </c>
      <c r="L221" s="14" t="str">
        <f t="shared" si="32"/>
        <v>Ubi Arcano Dei Consilio (83 marzo 8393) | Pio XI</v>
      </c>
      <c r="M221" s="14" t="str">
        <f t="shared" si="33"/>
        <v>Enciclica Ubi Arcano Dei Consilio</v>
      </c>
      <c r="N221" s="14" t="str">
        <f t="shared" si="34"/>
        <v>Enciclica Ubi Arcano Dei Consilio</v>
      </c>
      <c r="O221" s="14" t="str">
        <f t="shared" si="38"/>
        <v>1922/12/23</v>
      </c>
      <c r="P221" s="14" t="str">
        <f t="shared" si="35"/>
        <v>Pio XI, Lettera Enciclica Ubi Arcano Dei Consilio, 83 marzo 8393</v>
      </c>
      <c r="Q221" s="14" t="str">
        <f t="shared" si="39"/>
        <v>1922-12-23T08:00:00.000+02:00</v>
      </c>
      <c r="R221" s="14" t="str">
        <f t="shared" si="36"/>
        <v>pixi-enc-</v>
      </c>
      <c r="S221" s="14" t="str">
        <f t="shared" si="37"/>
        <v>Pius XI - Litterae Encyclicae - Ubi Arcano Dei Consilio</v>
      </c>
    </row>
    <row r="222" spans="1:19" x14ac:dyDescent="0.25">
      <c r="A222" s="12">
        <v>221</v>
      </c>
      <c r="B222" s="17" t="s">
        <v>661</v>
      </c>
      <c r="C222" s="4" t="s">
        <v>660</v>
      </c>
      <c r="D222" s="4" t="s">
        <v>1150</v>
      </c>
      <c r="E222" s="5">
        <v>8427</v>
      </c>
      <c r="F222" s="18" t="s">
        <v>579</v>
      </c>
      <c r="G222" s="18" t="s">
        <v>694</v>
      </c>
      <c r="H222" s="4" t="s">
        <v>603</v>
      </c>
      <c r="I222" s="4" t="s">
        <v>686</v>
      </c>
      <c r="K222" s="2" t="s">
        <v>113</v>
      </c>
      <c r="L222" s="14" t="str">
        <f t="shared" si="32"/>
        <v>Rerum Omnium Perturbationem (84 luglio 8427) | Pio XI</v>
      </c>
      <c r="M222" s="14" t="str">
        <f t="shared" si="33"/>
        <v>Enciclica Rerum Omnium Perturbationem</v>
      </c>
      <c r="N222" s="14" t="str">
        <f t="shared" si="34"/>
        <v>Enciclica Rerum Omnium Perturbationem</v>
      </c>
      <c r="O222" s="14" t="str">
        <f t="shared" si="38"/>
        <v>1923/01/26</v>
      </c>
      <c r="P222" s="14" t="str">
        <f t="shared" si="35"/>
        <v>Pio XI, Lettera Enciclica Rerum Omnium Perturbationem, 84 luglio 8427</v>
      </c>
      <c r="Q222" s="14" t="str">
        <f t="shared" si="39"/>
        <v>1923-01-26T08:00:00.000+02:00</v>
      </c>
      <c r="R222" s="14" t="str">
        <f t="shared" si="36"/>
        <v>pixi-enc-</v>
      </c>
      <c r="S222" s="14" t="str">
        <f t="shared" si="37"/>
        <v>Pius XI - Litterae Encyclicae - Rerum Omnium Perturbationem</v>
      </c>
    </row>
    <row r="223" spans="1:19" x14ac:dyDescent="0.25">
      <c r="A223" s="12">
        <v>222</v>
      </c>
      <c r="B223" s="17" t="s">
        <v>661</v>
      </c>
      <c r="C223" s="4" t="s">
        <v>660</v>
      </c>
      <c r="D223" s="4" t="s">
        <v>1150</v>
      </c>
      <c r="E223" s="5">
        <v>8581</v>
      </c>
      <c r="F223" s="18" t="s">
        <v>579</v>
      </c>
      <c r="G223" s="18" t="s">
        <v>694</v>
      </c>
      <c r="H223" s="4" t="s">
        <v>603</v>
      </c>
      <c r="I223" s="4" t="s">
        <v>686</v>
      </c>
      <c r="K223" s="2" t="s">
        <v>114</v>
      </c>
      <c r="L223" s="14" t="str">
        <f t="shared" si="32"/>
        <v>Studiorum Ducem (85 gennaio 8581) | Pio XI</v>
      </c>
      <c r="M223" s="14" t="str">
        <f t="shared" si="33"/>
        <v>Enciclica Studiorum Ducem</v>
      </c>
      <c r="N223" s="14" t="str">
        <f t="shared" si="34"/>
        <v>Enciclica Studiorum Ducem</v>
      </c>
      <c r="O223" s="14" t="str">
        <f t="shared" si="38"/>
        <v>1923/06/29</v>
      </c>
      <c r="P223" s="14" t="str">
        <f t="shared" si="35"/>
        <v>Pio XI, Lettera Enciclica Studiorum Ducem, 85 gennaio 8581</v>
      </c>
      <c r="Q223" s="14" t="str">
        <f t="shared" si="39"/>
        <v>1923-06-29T08:00:00.000+02:00</v>
      </c>
      <c r="R223" s="14" t="str">
        <f t="shared" si="36"/>
        <v>pixi-enc-</v>
      </c>
      <c r="S223" s="14" t="str">
        <f t="shared" si="37"/>
        <v>Pius XI - Litterae Encyclicae - Studiorum Ducem</v>
      </c>
    </row>
    <row r="224" spans="1:19" x14ac:dyDescent="0.25">
      <c r="A224" s="12">
        <v>223</v>
      </c>
      <c r="B224" s="17" t="s">
        <v>661</v>
      </c>
      <c r="C224" s="4" t="s">
        <v>660</v>
      </c>
      <c r="D224" s="4" t="s">
        <v>1150</v>
      </c>
      <c r="E224" s="5">
        <v>8717</v>
      </c>
      <c r="F224" s="18" t="s">
        <v>579</v>
      </c>
      <c r="G224" s="18" t="s">
        <v>694</v>
      </c>
      <c r="H224" s="4" t="s">
        <v>603</v>
      </c>
      <c r="I224" s="4" t="s">
        <v>686</v>
      </c>
      <c r="K224" s="2" t="s">
        <v>115</v>
      </c>
      <c r="L224" s="14" t="str">
        <f t="shared" si="32"/>
        <v>Ecclesiam Dei (87 luglio 8717) | Pio XI</v>
      </c>
      <c r="M224" s="14" t="str">
        <f t="shared" si="33"/>
        <v>Enciclica Ecclesiam Dei</v>
      </c>
      <c r="N224" s="14" t="str">
        <f t="shared" si="34"/>
        <v>Enciclica Ecclesiam Dei</v>
      </c>
      <c r="O224" s="14" t="str">
        <f t="shared" si="38"/>
        <v>1923/11/12</v>
      </c>
      <c r="P224" s="14" t="str">
        <f t="shared" si="35"/>
        <v>Pio XI, Lettera Enciclica Ecclesiam Dei, 87 luglio 8717</v>
      </c>
      <c r="Q224" s="14" t="str">
        <f t="shared" si="39"/>
        <v>1923-11-12T08:00:00.000+02:00</v>
      </c>
      <c r="R224" s="14" t="str">
        <f t="shared" si="36"/>
        <v>pixi-enc-</v>
      </c>
      <c r="S224" s="14" t="str">
        <f t="shared" si="37"/>
        <v>Pius XI - Litterae Encyclicae - Ecclesiam Dei</v>
      </c>
    </row>
    <row r="225" spans="1:19" x14ac:dyDescent="0.25">
      <c r="A225" s="12">
        <v>224</v>
      </c>
      <c r="B225" s="17" t="s">
        <v>661</v>
      </c>
      <c r="C225" s="4" t="s">
        <v>660</v>
      </c>
      <c r="D225" s="4" t="s">
        <v>1150</v>
      </c>
      <c r="E225" s="5">
        <v>8784</v>
      </c>
      <c r="F225" s="18" t="s">
        <v>579</v>
      </c>
      <c r="G225" s="18" t="s">
        <v>694</v>
      </c>
      <c r="H225" s="4" t="s">
        <v>603</v>
      </c>
      <c r="I225" s="4" t="s">
        <v>686</v>
      </c>
      <c r="K225" s="2" t="s">
        <v>116</v>
      </c>
      <c r="L225" s="14" t="str">
        <f t="shared" si="32"/>
        <v>Maximam Gravissimamque (87 aprile 8784) | Pio XI</v>
      </c>
      <c r="M225" s="14" t="str">
        <f t="shared" si="33"/>
        <v>Enciclica Maximam Gravissimamque</v>
      </c>
      <c r="N225" s="14" t="str">
        <f t="shared" si="34"/>
        <v>Enciclica Maximam Gravissimamque</v>
      </c>
      <c r="O225" s="14" t="str">
        <f t="shared" si="38"/>
        <v>1924/01/18</v>
      </c>
      <c r="P225" s="14" t="str">
        <f t="shared" si="35"/>
        <v>Pio XI, Lettera Enciclica Maximam Gravissimamque, 87 aprile 8784</v>
      </c>
      <c r="Q225" s="14" t="str">
        <f t="shared" si="39"/>
        <v>1924-01-18T08:00:00.000+02:00</v>
      </c>
      <c r="R225" s="14" t="str">
        <f t="shared" si="36"/>
        <v>pixi-enc-</v>
      </c>
      <c r="S225" s="14" t="str">
        <f t="shared" si="37"/>
        <v>Pius XI - Litterae Encyclicae - Maximam Gravissimamque</v>
      </c>
    </row>
    <row r="226" spans="1:19" x14ac:dyDescent="0.25">
      <c r="A226" s="12">
        <v>225</v>
      </c>
      <c r="B226" s="17" t="s">
        <v>661</v>
      </c>
      <c r="C226" s="4" t="s">
        <v>660</v>
      </c>
      <c r="D226" s="4" t="s">
        <v>1150</v>
      </c>
      <c r="E226" s="5">
        <v>9477</v>
      </c>
      <c r="F226" s="18" t="s">
        <v>579</v>
      </c>
      <c r="G226" s="18" t="s">
        <v>694</v>
      </c>
      <c r="H226" s="4" t="s">
        <v>603</v>
      </c>
      <c r="I226" s="4" t="s">
        <v>686</v>
      </c>
      <c r="K226" s="2" t="s">
        <v>117</v>
      </c>
      <c r="L226" s="14" t="str">
        <f t="shared" si="32"/>
        <v>Quas Primas (94 luglio 9477) | Pio XI</v>
      </c>
      <c r="M226" s="14" t="str">
        <f t="shared" si="33"/>
        <v>Enciclica Quas Primas</v>
      </c>
      <c r="N226" s="14" t="str">
        <f t="shared" si="34"/>
        <v>Enciclica Quas Primas</v>
      </c>
      <c r="O226" s="14" t="str">
        <f t="shared" si="38"/>
        <v>1925/12/11</v>
      </c>
      <c r="P226" s="14" t="str">
        <f t="shared" si="35"/>
        <v>Pio XI, Lettera Enciclica Quas Primas, 94 luglio 9477</v>
      </c>
      <c r="Q226" s="14" t="str">
        <f t="shared" si="39"/>
        <v>1925-12-11T08:00:00.000+02:00</v>
      </c>
      <c r="R226" s="14" t="str">
        <f t="shared" si="36"/>
        <v>pixi-enc-</v>
      </c>
      <c r="S226" s="14" t="str">
        <f t="shared" si="37"/>
        <v>Pius XI - Litterae Encyclicae - Quas Primas</v>
      </c>
    </row>
    <row r="227" spans="1:19" x14ac:dyDescent="0.25">
      <c r="A227" s="12">
        <v>226</v>
      </c>
      <c r="B227" s="17" t="s">
        <v>661</v>
      </c>
      <c r="C227" s="4" t="s">
        <v>660</v>
      </c>
      <c r="D227" s="4" t="s">
        <v>1150</v>
      </c>
      <c r="E227" s="5">
        <v>9556</v>
      </c>
      <c r="F227" s="18" t="s">
        <v>579</v>
      </c>
      <c r="G227" s="18" t="s">
        <v>694</v>
      </c>
      <c r="H227" s="4" t="s">
        <v>603</v>
      </c>
      <c r="I227" s="4" t="s">
        <v>686</v>
      </c>
      <c r="K227" s="2" t="s">
        <v>118</v>
      </c>
      <c r="L227" s="14" t="str">
        <f t="shared" si="32"/>
        <v>Rerum Ecclesiae (95 giugno 9556) | Pio XI</v>
      </c>
      <c r="M227" s="14" t="str">
        <f t="shared" si="33"/>
        <v>Enciclica Rerum Ecclesiae</v>
      </c>
      <c r="N227" s="14" t="str">
        <f t="shared" si="34"/>
        <v>Enciclica Rerum Ecclesiae</v>
      </c>
      <c r="O227" s="14" t="str">
        <f t="shared" si="38"/>
        <v>1926/02/28</v>
      </c>
      <c r="P227" s="14" t="str">
        <f t="shared" si="35"/>
        <v>Pio XI, Lettera Enciclica Rerum Ecclesiae, 95 giugno 9556</v>
      </c>
      <c r="Q227" s="14" t="str">
        <f t="shared" si="39"/>
        <v>1926-02-28T08:00:00.000+02:00</v>
      </c>
      <c r="R227" s="14" t="str">
        <f t="shared" si="36"/>
        <v>pixi-enc-</v>
      </c>
      <c r="S227" s="14" t="str">
        <f t="shared" si="37"/>
        <v>Pius XI - Litterae Encyclicae - Rerum Ecclesiae</v>
      </c>
    </row>
    <row r="228" spans="1:19" x14ac:dyDescent="0.25">
      <c r="A228" s="12">
        <v>227</v>
      </c>
      <c r="B228" s="17" t="s">
        <v>661</v>
      </c>
      <c r="C228" s="4" t="s">
        <v>660</v>
      </c>
      <c r="D228" s="4" t="s">
        <v>1150</v>
      </c>
      <c r="E228" s="5">
        <v>9617</v>
      </c>
      <c r="F228" s="18" t="s">
        <v>579</v>
      </c>
      <c r="G228" s="18" t="s">
        <v>694</v>
      </c>
      <c r="H228" s="4" t="s">
        <v>603</v>
      </c>
      <c r="I228" s="4" t="s">
        <v>686</v>
      </c>
      <c r="K228" s="2" t="s">
        <v>119</v>
      </c>
      <c r="L228" s="14" t="str">
        <f t="shared" si="32"/>
        <v>Rite Expiatis (96 luglio 9617) | Pio XI</v>
      </c>
      <c r="M228" s="14" t="str">
        <f t="shared" si="33"/>
        <v>Enciclica Rite Expiatis</v>
      </c>
      <c r="N228" s="14" t="str">
        <f t="shared" si="34"/>
        <v>Enciclica Rite Expiatis</v>
      </c>
      <c r="O228" s="14" t="str">
        <f t="shared" si="38"/>
        <v>1926/04/30</v>
      </c>
      <c r="P228" s="14" t="str">
        <f t="shared" si="35"/>
        <v>Pio XI, Lettera Enciclica Rite Expiatis, 96 luglio 9617</v>
      </c>
      <c r="Q228" s="14" t="str">
        <f t="shared" si="39"/>
        <v>1926-04-30T08:00:00.000+02:00</v>
      </c>
      <c r="R228" s="14" t="str">
        <f t="shared" si="36"/>
        <v>pixi-enc-</v>
      </c>
      <c r="S228" s="14" t="str">
        <f t="shared" si="37"/>
        <v>Pius XI - Litterae Encyclicae - Rite Expiatis</v>
      </c>
    </row>
    <row r="229" spans="1:19" x14ac:dyDescent="0.25">
      <c r="A229" s="12">
        <v>228</v>
      </c>
      <c r="B229" s="17" t="s">
        <v>661</v>
      </c>
      <c r="C229" s="4" t="s">
        <v>660</v>
      </c>
      <c r="D229" s="4" t="s">
        <v>1150</v>
      </c>
      <c r="E229" s="5">
        <v>9819</v>
      </c>
      <c r="F229" s="18" t="s">
        <v>579</v>
      </c>
      <c r="G229" s="18" t="s">
        <v>694</v>
      </c>
      <c r="H229" s="4" t="s">
        <v>603</v>
      </c>
      <c r="I229" s="4" t="s">
        <v>686</v>
      </c>
      <c r="K229" s="2" t="s">
        <v>120</v>
      </c>
      <c r="L229" s="14" t="str">
        <f t="shared" si="32"/>
        <v>Iniquis Afflictisque (98 settembre 9819) | Pio XI</v>
      </c>
      <c r="M229" s="14" t="str">
        <f t="shared" si="33"/>
        <v>Enciclica Iniquis Afflictisque</v>
      </c>
      <c r="N229" s="14" t="str">
        <f t="shared" si="34"/>
        <v>Enciclica Iniquis Afflictisque</v>
      </c>
      <c r="O229" s="14" t="str">
        <f t="shared" si="38"/>
        <v>1926/11/18</v>
      </c>
      <c r="P229" s="14" t="str">
        <f t="shared" si="35"/>
        <v>Pio XI, Lettera Enciclica Iniquis Afflictisque, 98 settembre 9819</v>
      </c>
      <c r="Q229" s="14" t="str">
        <f t="shared" si="39"/>
        <v>1926-11-18T08:00:00.000+02:00</v>
      </c>
      <c r="R229" s="14" t="str">
        <f t="shared" si="36"/>
        <v>pixi-enc-</v>
      </c>
      <c r="S229" s="14" t="str">
        <f t="shared" si="37"/>
        <v>Pius XI - Litterae Encyclicae - Iniquis Afflictisque</v>
      </c>
    </row>
    <row r="230" spans="1:19" x14ac:dyDescent="0.25">
      <c r="A230" s="12">
        <v>229</v>
      </c>
      <c r="B230" s="17" t="s">
        <v>661</v>
      </c>
      <c r="C230" s="4" t="s">
        <v>660</v>
      </c>
      <c r="D230" s="4" t="s">
        <v>1150</v>
      </c>
      <c r="E230" s="5">
        <v>10233</v>
      </c>
      <c r="F230" s="18" t="s">
        <v>579</v>
      </c>
      <c r="G230" s="18" t="s">
        <v>694</v>
      </c>
      <c r="H230" s="4" t="s">
        <v>603</v>
      </c>
      <c r="I230" s="4" t="s">
        <v>686</v>
      </c>
      <c r="K230" s="2" t="s">
        <v>121</v>
      </c>
      <c r="L230" s="14" t="str">
        <f t="shared" si="32"/>
        <v>Mortalium Animos (10 agosto 0233) | Pio XI</v>
      </c>
      <c r="M230" s="14" t="str">
        <f t="shared" si="33"/>
        <v>Enciclica Mortalium Animos</v>
      </c>
      <c r="N230" s="14" t="str">
        <f t="shared" si="34"/>
        <v>Enciclica Mortalium Animos</v>
      </c>
      <c r="O230" s="14" t="str">
        <f t="shared" si="38"/>
        <v>1928/01/06</v>
      </c>
      <c r="P230" s="14" t="str">
        <f t="shared" si="35"/>
        <v>Pio XI, Lettera Enciclica Mortalium Animos, 10 agosto 0233</v>
      </c>
      <c r="Q230" s="14" t="str">
        <f t="shared" si="39"/>
        <v>1928-01-6T08:00:00.000+02:00</v>
      </c>
      <c r="R230" s="14" t="str">
        <f t="shared" si="36"/>
        <v>pixi-enc-</v>
      </c>
      <c r="S230" s="14" t="str">
        <f t="shared" si="37"/>
        <v>Pius XI - Litterae Encyclicae - Mortalium Animos</v>
      </c>
    </row>
    <row r="231" spans="1:19" x14ac:dyDescent="0.25">
      <c r="A231" s="12">
        <v>230</v>
      </c>
      <c r="B231" s="17" t="s">
        <v>661</v>
      </c>
      <c r="C231" s="4" t="s">
        <v>660</v>
      </c>
      <c r="D231" s="4" t="s">
        <v>1150</v>
      </c>
      <c r="E231" s="5">
        <v>10356</v>
      </c>
      <c r="F231" s="18" t="s">
        <v>579</v>
      </c>
      <c r="G231" s="18" t="s">
        <v>694</v>
      </c>
      <c r="H231" s="4" t="s">
        <v>603</v>
      </c>
      <c r="I231" s="4" t="s">
        <v>686</v>
      </c>
      <c r="K231" s="2" t="s">
        <v>122</v>
      </c>
      <c r="L231" s="14" t="str">
        <f t="shared" si="32"/>
        <v>Miserentissimus Redemptor (10 giugno 0356) | Pio XI</v>
      </c>
      <c r="M231" s="14" t="str">
        <f t="shared" si="33"/>
        <v>Enciclica Miserentissimus Redemptor</v>
      </c>
      <c r="N231" s="14" t="str">
        <f t="shared" si="34"/>
        <v>Enciclica Miserentissimus Redemptor</v>
      </c>
      <c r="O231" s="14" t="str">
        <f t="shared" si="38"/>
        <v>1928/05/08</v>
      </c>
      <c r="P231" s="14" t="str">
        <f t="shared" si="35"/>
        <v>Pio XI, Lettera Enciclica Miserentissimus Redemptor, 10 giugno 0356</v>
      </c>
      <c r="Q231" s="14" t="str">
        <f t="shared" si="39"/>
        <v>1928-05-8T08:00:00.000+02:00</v>
      </c>
      <c r="R231" s="14" t="str">
        <f t="shared" si="36"/>
        <v>pixi-enc-</v>
      </c>
      <c r="S231" s="14" t="str">
        <f t="shared" si="37"/>
        <v>Pius XI - Litterae Encyclicae - Miserentissimus Redemptor</v>
      </c>
    </row>
    <row r="232" spans="1:19" x14ac:dyDescent="0.25">
      <c r="A232" s="12">
        <v>231</v>
      </c>
      <c r="B232" s="17" t="s">
        <v>661</v>
      </c>
      <c r="C232" s="4" t="s">
        <v>660</v>
      </c>
      <c r="D232" s="4" t="s">
        <v>1150</v>
      </c>
      <c r="E232" s="5">
        <v>10479</v>
      </c>
      <c r="F232" s="18" t="s">
        <v>579</v>
      </c>
      <c r="G232" s="18" t="s">
        <v>694</v>
      </c>
      <c r="H232" s="4" t="s">
        <v>603</v>
      </c>
      <c r="I232" s="4" t="s">
        <v>686</v>
      </c>
      <c r="K232" s="2" t="s">
        <v>123</v>
      </c>
      <c r="L232" s="14" t="str">
        <f t="shared" si="32"/>
        <v>Rerum Orientalium (10 aprile 0479) | Pio XI</v>
      </c>
      <c r="M232" s="14" t="str">
        <f t="shared" si="33"/>
        <v>Enciclica Rerum Orientalium</v>
      </c>
      <c r="N232" s="14" t="str">
        <f t="shared" si="34"/>
        <v>Enciclica Rerum Orientalium</v>
      </c>
      <c r="O232" s="14" t="str">
        <f t="shared" si="38"/>
        <v>1928/09/08</v>
      </c>
      <c r="P232" s="14" t="str">
        <f t="shared" si="35"/>
        <v>Pio XI, Lettera Enciclica Rerum Orientalium, 10 aprile 0479</v>
      </c>
      <c r="Q232" s="14" t="str">
        <f t="shared" si="39"/>
        <v>1928-09-8T08:00:00.000+02:00</v>
      </c>
      <c r="R232" s="14" t="str">
        <f t="shared" si="36"/>
        <v>pixi-enc-</v>
      </c>
      <c r="S232" s="14" t="str">
        <f t="shared" si="37"/>
        <v>Pius XI - Litterae Encyclicae - Rerum Orientalium</v>
      </c>
    </row>
    <row r="233" spans="1:19" x14ac:dyDescent="0.25">
      <c r="A233" s="12">
        <v>232</v>
      </c>
      <c r="B233" s="17" t="s">
        <v>661</v>
      </c>
      <c r="C233" s="4" t="s">
        <v>660</v>
      </c>
      <c r="D233" s="4" t="s">
        <v>1150</v>
      </c>
      <c r="E233" s="5">
        <v>10947</v>
      </c>
      <c r="F233" s="18" t="s">
        <v>579</v>
      </c>
      <c r="G233" s="18" t="s">
        <v>694</v>
      </c>
      <c r="H233" s="4" t="s">
        <v>603</v>
      </c>
      <c r="I233" s="4" t="s">
        <v>686</v>
      </c>
      <c r="K233" s="2" t="s">
        <v>124</v>
      </c>
      <c r="L233" s="14" t="str">
        <f t="shared" si="32"/>
        <v>Mens Nostra (10 settembre 0947) | Pio XI</v>
      </c>
      <c r="M233" s="14" t="str">
        <f t="shared" si="33"/>
        <v>Enciclica Mens Nostra</v>
      </c>
      <c r="N233" s="14" t="str">
        <f t="shared" si="34"/>
        <v>Enciclica Mens Nostra</v>
      </c>
      <c r="O233" s="14" t="str">
        <f t="shared" si="38"/>
        <v>1929/12/20</v>
      </c>
      <c r="P233" s="14" t="str">
        <f t="shared" si="35"/>
        <v>Pio XI, Lettera Enciclica Mens Nostra, 10 settembre 0947</v>
      </c>
      <c r="Q233" s="14" t="str">
        <f t="shared" si="39"/>
        <v>1929-12-20T08:00:00.000+02:00</v>
      </c>
      <c r="R233" s="14" t="str">
        <f t="shared" si="36"/>
        <v>pixi-enc-</v>
      </c>
      <c r="S233" s="14" t="str">
        <f t="shared" si="37"/>
        <v>Pius XI - Litterae Encyclicae - Mens Nostra</v>
      </c>
    </row>
    <row r="234" spans="1:19" x14ac:dyDescent="0.25">
      <c r="A234" s="12">
        <v>233</v>
      </c>
      <c r="B234" s="17" t="s">
        <v>661</v>
      </c>
      <c r="C234" s="4" t="s">
        <v>660</v>
      </c>
      <c r="D234" s="4" t="s">
        <v>1150</v>
      </c>
      <c r="E234" s="5">
        <v>10950</v>
      </c>
      <c r="F234" s="18" t="s">
        <v>579</v>
      </c>
      <c r="G234" s="18" t="s">
        <v>694</v>
      </c>
      <c r="H234" s="4" t="s">
        <v>603</v>
      </c>
      <c r="I234" s="4" t="s">
        <v>686</v>
      </c>
      <c r="K234" s="2" t="s">
        <v>125</v>
      </c>
      <c r="L234" s="14" t="str">
        <f t="shared" si="32"/>
        <v>Quinquagesimo Ante Anno (10 dicembre 0950) | Pio XI</v>
      </c>
      <c r="M234" s="14" t="str">
        <f t="shared" si="33"/>
        <v>Enciclica Quinquagesimo Ante Anno</v>
      </c>
      <c r="N234" s="14" t="str">
        <f t="shared" si="34"/>
        <v>Enciclica Quinquagesimo Ante Anno</v>
      </c>
      <c r="O234" s="14" t="str">
        <f t="shared" si="38"/>
        <v>1929/12/23</v>
      </c>
      <c r="P234" s="14" t="str">
        <f t="shared" si="35"/>
        <v>Pio XI, Lettera Enciclica Quinquagesimo Ante Anno, 10 dicembre 0950</v>
      </c>
      <c r="Q234" s="14" t="str">
        <f t="shared" si="39"/>
        <v>1929-12-23T08:00:00.000+02:00</v>
      </c>
      <c r="R234" s="14" t="str">
        <f t="shared" si="36"/>
        <v>pixi-enc-</v>
      </c>
      <c r="S234" s="14" t="str">
        <f t="shared" si="37"/>
        <v>Pius XI - Litterae Encyclicae - Quinquagesimo Ante Anno</v>
      </c>
    </row>
    <row r="235" spans="1:19" x14ac:dyDescent="0.25">
      <c r="A235" s="12">
        <v>234</v>
      </c>
      <c r="B235" s="17" t="s">
        <v>661</v>
      </c>
      <c r="C235" s="4" t="s">
        <v>660</v>
      </c>
      <c r="D235" s="4" t="s">
        <v>1150</v>
      </c>
      <c r="E235" s="5">
        <v>10958</v>
      </c>
      <c r="F235" s="18" t="s">
        <v>579</v>
      </c>
      <c r="G235" s="18" t="s">
        <v>694</v>
      </c>
      <c r="H235" s="4" t="s">
        <v>603</v>
      </c>
      <c r="I235" s="4" t="s">
        <v>686</v>
      </c>
      <c r="K235" s="2" t="s">
        <v>126</v>
      </c>
      <c r="L235" s="14" t="str">
        <f t="shared" si="32"/>
        <v>Divini Illius Magistri (10 agosto 0958) | Pio XI</v>
      </c>
      <c r="M235" s="14" t="str">
        <f t="shared" si="33"/>
        <v>Enciclica Divini Illius Magistri</v>
      </c>
      <c r="N235" s="14" t="str">
        <f t="shared" si="34"/>
        <v>Enciclica Divini Illius Magistri</v>
      </c>
      <c r="O235" s="14" t="str">
        <f t="shared" si="38"/>
        <v>1929/12/31</v>
      </c>
      <c r="P235" s="14" t="str">
        <f t="shared" si="35"/>
        <v>Pio XI, Lettera Enciclica Divini Illius Magistri, 10 agosto 0958</v>
      </c>
      <c r="Q235" s="14" t="str">
        <f t="shared" si="39"/>
        <v>1929-12-31T08:00:00.000+02:00</v>
      </c>
      <c r="R235" s="14" t="str">
        <f t="shared" si="36"/>
        <v>pixi-enc-</v>
      </c>
      <c r="S235" s="14" t="str">
        <f t="shared" si="37"/>
        <v>Pius XI - Litterae Encyclicae - Divini Illius Magistri</v>
      </c>
    </row>
    <row r="236" spans="1:19" x14ac:dyDescent="0.25">
      <c r="A236" s="12">
        <v>235</v>
      </c>
      <c r="B236" s="17" t="s">
        <v>661</v>
      </c>
      <c r="C236" s="4" t="s">
        <v>660</v>
      </c>
      <c r="D236" s="4" t="s">
        <v>1150</v>
      </c>
      <c r="E236" s="5">
        <v>11068</v>
      </c>
      <c r="F236" s="18" t="s">
        <v>579</v>
      </c>
      <c r="G236" s="18" t="s">
        <v>694</v>
      </c>
      <c r="H236" s="4" t="s">
        <v>603</v>
      </c>
      <c r="I236" s="4" t="s">
        <v>686</v>
      </c>
      <c r="K236" s="2" t="s">
        <v>127</v>
      </c>
      <c r="L236" s="14" t="str">
        <f t="shared" si="32"/>
        <v>Ad Salutem Humani (11 maggio 1068) | Pio XI</v>
      </c>
      <c r="M236" s="14" t="str">
        <f t="shared" si="33"/>
        <v>Enciclica Ad Salutem Humani</v>
      </c>
      <c r="N236" s="14" t="str">
        <f t="shared" si="34"/>
        <v>Enciclica Ad Salutem Humani</v>
      </c>
      <c r="O236" s="14" t="str">
        <f t="shared" si="38"/>
        <v>1930/04/20</v>
      </c>
      <c r="P236" s="14" t="str">
        <f t="shared" si="35"/>
        <v>Pio XI, Lettera Enciclica Ad Salutem Humani, 11 maggio 1068</v>
      </c>
      <c r="Q236" s="14" t="str">
        <f t="shared" si="39"/>
        <v>1930-04-20T08:00:00.000+02:00</v>
      </c>
      <c r="R236" s="14" t="str">
        <f t="shared" si="36"/>
        <v>pixi-enc-</v>
      </c>
      <c r="S236" s="14" t="str">
        <f t="shared" si="37"/>
        <v>Pius XI - Litterae Encyclicae - Ad Salutem Humani</v>
      </c>
    </row>
    <row r="237" spans="1:19" x14ac:dyDescent="0.25">
      <c r="A237" s="12">
        <v>236</v>
      </c>
      <c r="B237" s="17" t="s">
        <v>661</v>
      </c>
      <c r="C237" s="4" t="s">
        <v>660</v>
      </c>
      <c r="D237" s="4" t="s">
        <v>1150</v>
      </c>
      <c r="E237" s="5">
        <v>11323</v>
      </c>
      <c r="F237" s="18" t="s">
        <v>579</v>
      </c>
      <c r="G237" s="18" t="s">
        <v>694</v>
      </c>
      <c r="H237" s="4" t="s">
        <v>603</v>
      </c>
      <c r="I237" s="4" t="s">
        <v>686</v>
      </c>
      <c r="K237" s="2" t="s">
        <v>128</v>
      </c>
      <c r="L237" s="14" t="str">
        <f t="shared" si="32"/>
        <v>Casti Connubii (11 ottobre 1323) | Pio XI</v>
      </c>
      <c r="M237" s="14" t="str">
        <f t="shared" si="33"/>
        <v>Enciclica Casti Connubii</v>
      </c>
      <c r="N237" s="14" t="str">
        <f t="shared" si="34"/>
        <v>Enciclica Casti Connubii</v>
      </c>
      <c r="O237" s="14" t="str">
        <f t="shared" si="38"/>
        <v>1930/12/31</v>
      </c>
      <c r="P237" s="14" t="str">
        <f t="shared" si="35"/>
        <v>Pio XI, Lettera Enciclica Casti Connubii, 11 ottobre 1323</v>
      </c>
      <c r="Q237" s="14" t="str">
        <f t="shared" si="39"/>
        <v>1930-12-31T08:00:00.000+02:00</v>
      </c>
      <c r="R237" s="14" t="str">
        <f t="shared" si="36"/>
        <v>pixi-enc-</v>
      </c>
      <c r="S237" s="14" t="str">
        <f t="shared" si="37"/>
        <v>Pius XI - Litterae Encyclicae - Casti Connubii</v>
      </c>
    </row>
    <row r="238" spans="1:19" x14ac:dyDescent="0.25">
      <c r="A238" s="12">
        <v>237</v>
      </c>
      <c r="B238" s="17" t="s">
        <v>661</v>
      </c>
      <c r="C238" s="4" t="s">
        <v>660</v>
      </c>
      <c r="D238" s="4" t="s">
        <v>1150</v>
      </c>
      <c r="E238" s="5">
        <v>11458</v>
      </c>
      <c r="F238" s="18" t="s">
        <v>579</v>
      </c>
      <c r="G238" s="18" t="s">
        <v>694</v>
      </c>
      <c r="H238" s="4" t="s">
        <v>603</v>
      </c>
      <c r="I238" s="4" t="s">
        <v>686</v>
      </c>
      <c r="K238" s="2" t="s">
        <v>129</v>
      </c>
      <c r="L238" s="14" t="str">
        <f t="shared" si="32"/>
        <v>Quadragesimo anno (11 agosto 1458) | Pio XI</v>
      </c>
      <c r="M238" s="14" t="str">
        <f t="shared" si="33"/>
        <v>Enciclica Quadragesimo anno</v>
      </c>
      <c r="N238" s="14" t="str">
        <f t="shared" si="34"/>
        <v>Enciclica Quadragesimo anno</v>
      </c>
      <c r="O238" s="14" t="str">
        <f t="shared" si="38"/>
        <v>1931/05/15</v>
      </c>
      <c r="P238" s="14" t="str">
        <f t="shared" si="35"/>
        <v>Pio XI, Lettera Enciclica Quadragesimo anno, 11 agosto 1458</v>
      </c>
      <c r="Q238" s="14" t="str">
        <f t="shared" si="39"/>
        <v>1931-05-15T08:00:00.000+02:00</v>
      </c>
      <c r="R238" s="14" t="str">
        <f t="shared" si="36"/>
        <v>pixi-enc-</v>
      </c>
      <c r="S238" s="14" t="str">
        <f t="shared" si="37"/>
        <v>Pius XI - Litterae Encyclicae - Quadragesimo anno</v>
      </c>
    </row>
    <row r="239" spans="1:19" x14ac:dyDescent="0.25">
      <c r="A239" s="12">
        <v>238</v>
      </c>
      <c r="B239" s="17" t="s">
        <v>661</v>
      </c>
      <c r="C239" s="4" t="s">
        <v>660</v>
      </c>
      <c r="D239" s="4" t="s">
        <v>1150</v>
      </c>
      <c r="E239" s="5">
        <v>11503</v>
      </c>
      <c r="F239" s="18" t="s">
        <v>579</v>
      </c>
      <c r="G239" s="18" t="s">
        <v>694</v>
      </c>
      <c r="H239" s="4" t="s">
        <v>603</v>
      </c>
      <c r="I239" s="4" t="s">
        <v>686</v>
      </c>
      <c r="K239" s="2" t="s">
        <v>130</v>
      </c>
      <c r="L239" s="14" t="str">
        <f t="shared" si="32"/>
        <v>Non Abbiamo Bisogno (11 marzo 1503) | Pio XI</v>
      </c>
      <c r="M239" s="14" t="str">
        <f t="shared" si="33"/>
        <v>Enciclica Non Abbiamo Bisogno</v>
      </c>
      <c r="N239" s="14" t="str">
        <f t="shared" si="34"/>
        <v>Enciclica Non Abbiamo Bisogno</v>
      </c>
      <c r="O239" s="14" t="str">
        <f t="shared" si="38"/>
        <v>1931/06/29</v>
      </c>
      <c r="P239" s="14" t="str">
        <f t="shared" si="35"/>
        <v>Pio XI, Lettera Enciclica Non Abbiamo Bisogno, 11 marzo 1503</v>
      </c>
      <c r="Q239" s="14" t="str">
        <f t="shared" si="39"/>
        <v>1931-06-29T08:00:00.000+02:00</v>
      </c>
      <c r="R239" s="14" t="str">
        <f t="shared" si="36"/>
        <v>pixi-enc-</v>
      </c>
      <c r="S239" s="14" t="str">
        <f t="shared" si="37"/>
        <v>Pius XI - Litterae Encyclicae - Non Abbiamo Bisogno</v>
      </c>
    </row>
    <row r="240" spans="1:19" x14ac:dyDescent="0.25">
      <c r="A240" s="12">
        <v>239</v>
      </c>
      <c r="B240" s="17" t="s">
        <v>661</v>
      </c>
      <c r="C240" s="4" t="s">
        <v>660</v>
      </c>
      <c r="D240" s="4" t="s">
        <v>1150</v>
      </c>
      <c r="E240" s="5">
        <v>11598</v>
      </c>
      <c r="F240" s="18" t="s">
        <v>579</v>
      </c>
      <c r="G240" s="18" t="s">
        <v>694</v>
      </c>
      <c r="H240" s="4" t="s">
        <v>603</v>
      </c>
      <c r="I240" s="4" t="s">
        <v>686</v>
      </c>
      <c r="K240" s="2" t="s">
        <v>131</v>
      </c>
      <c r="L240" s="14" t="str">
        <f t="shared" si="32"/>
        <v>Nova Impendet (11 ottobre 1598) | Pio XI</v>
      </c>
      <c r="M240" s="14" t="str">
        <f t="shared" si="33"/>
        <v>Enciclica Nova Impendet</v>
      </c>
      <c r="N240" s="14" t="str">
        <f t="shared" si="34"/>
        <v>Enciclica Nova Impendet</v>
      </c>
      <c r="O240" s="14" t="str">
        <f t="shared" si="38"/>
        <v>1931/10/02</v>
      </c>
      <c r="P240" s="14" t="str">
        <f t="shared" si="35"/>
        <v>Pio XI, Lettera Enciclica Nova Impendet, 11 ottobre 1598</v>
      </c>
      <c r="Q240" s="14" t="str">
        <f t="shared" si="39"/>
        <v>1931-10-2T08:00:00.000+02:00</v>
      </c>
      <c r="R240" s="14" t="str">
        <f t="shared" si="36"/>
        <v>pixi-enc-</v>
      </c>
      <c r="S240" s="14" t="str">
        <f t="shared" si="37"/>
        <v>Pius XI - Litterae Encyclicae - Nova Impendet</v>
      </c>
    </row>
    <row r="241" spans="1:19" x14ac:dyDescent="0.25">
      <c r="A241" s="12">
        <v>240</v>
      </c>
      <c r="B241" s="17" t="s">
        <v>661</v>
      </c>
      <c r="C241" s="4" t="s">
        <v>660</v>
      </c>
      <c r="D241" s="4" t="s">
        <v>1150</v>
      </c>
      <c r="E241" s="5">
        <v>11682</v>
      </c>
      <c r="F241" s="18" t="s">
        <v>579</v>
      </c>
      <c r="G241" s="18" t="s">
        <v>694</v>
      </c>
      <c r="H241" s="4" t="s">
        <v>603</v>
      </c>
      <c r="I241" s="4" t="s">
        <v>686</v>
      </c>
      <c r="K241" s="2" t="s">
        <v>132</v>
      </c>
      <c r="L241" s="14" t="str">
        <f t="shared" si="32"/>
        <v>Lux Veritatis (11 luglio 1682) | Pio XI</v>
      </c>
      <c r="M241" s="14" t="str">
        <f t="shared" si="33"/>
        <v>Enciclica Lux Veritatis</v>
      </c>
      <c r="N241" s="14" t="str">
        <f t="shared" si="34"/>
        <v>Enciclica Lux Veritatis</v>
      </c>
      <c r="O241" s="14" t="str">
        <f t="shared" si="38"/>
        <v>1931/12/25</v>
      </c>
      <c r="P241" s="14" t="str">
        <f t="shared" si="35"/>
        <v>Pio XI, Lettera Enciclica Lux Veritatis, 11 luglio 1682</v>
      </c>
      <c r="Q241" s="14" t="str">
        <f t="shared" si="39"/>
        <v>1931-12-25T08:00:00.000+02:00</v>
      </c>
      <c r="R241" s="14" t="str">
        <f t="shared" si="36"/>
        <v>pixi-enc-</v>
      </c>
      <c r="S241" s="14" t="str">
        <f t="shared" si="37"/>
        <v>Pius XI - Litterae Encyclicae - Lux Veritatis</v>
      </c>
    </row>
    <row r="242" spans="1:19" x14ac:dyDescent="0.25">
      <c r="A242" s="12">
        <v>241</v>
      </c>
      <c r="B242" s="17" t="s">
        <v>661</v>
      </c>
      <c r="C242" s="4" t="s">
        <v>660</v>
      </c>
      <c r="D242" s="4" t="s">
        <v>1150</v>
      </c>
      <c r="E242" s="5">
        <v>11812</v>
      </c>
      <c r="F242" s="18" t="s">
        <v>579</v>
      </c>
      <c r="G242" s="18" t="s">
        <v>694</v>
      </c>
      <c r="H242" s="4" t="s">
        <v>603</v>
      </c>
      <c r="I242" s="4" t="s">
        <v>686</v>
      </c>
      <c r="K242" s="2" t="s">
        <v>133</v>
      </c>
      <c r="L242" s="14" t="str">
        <f t="shared" si="32"/>
        <v>Caritate Christi Compulsi (11 dicembre 1812) | Pio XI</v>
      </c>
      <c r="M242" s="14" t="str">
        <f t="shared" si="33"/>
        <v>Enciclica Caritate Christi Compulsi</v>
      </c>
      <c r="N242" s="14" t="str">
        <f t="shared" si="34"/>
        <v>Enciclica Caritate Christi Compulsi</v>
      </c>
      <c r="O242" s="14" t="str">
        <f t="shared" si="38"/>
        <v>1932/05/03</v>
      </c>
      <c r="P242" s="14" t="str">
        <f t="shared" si="35"/>
        <v>Pio XI, Lettera Enciclica Caritate Christi Compulsi, 11 dicembre 1812</v>
      </c>
      <c r="Q242" s="14" t="str">
        <f t="shared" si="39"/>
        <v>1932-05-3T08:00:00.000+02:00</v>
      </c>
      <c r="R242" s="14" t="str">
        <f t="shared" si="36"/>
        <v>pixi-enc-</v>
      </c>
      <c r="S242" s="14" t="str">
        <f t="shared" si="37"/>
        <v>Pius XI - Litterae Encyclicae - Caritate Christi Compulsi</v>
      </c>
    </row>
    <row r="243" spans="1:19" x14ac:dyDescent="0.25">
      <c r="A243" s="12">
        <v>242</v>
      </c>
      <c r="B243" s="17" t="s">
        <v>661</v>
      </c>
      <c r="C243" s="4" t="s">
        <v>660</v>
      </c>
      <c r="D243" s="4" t="s">
        <v>1150</v>
      </c>
      <c r="E243" s="5">
        <v>11961</v>
      </c>
      <c r="F243" s="18" t="s">
        <v>579</v>
      </c>
      <c r="G243" s="18" t="s">
        <v>694</v>
      </c>
      <c r="H243" s="4" t="s">
        <v>603</v>
      </c>
      <c r="I243" s="4" t="s">
        <v>686</v>
      </c>
      <c r="K243" s="2" t="s">
        <v>134</v>
      </c>
      <c r="L243" s="14" t="str">
        <f t="shared" si="32"/>
        <v>Acerba Animi (11 novembre 1961) | Pio XI</v>
      </c>
      <c r="M243" s="14" t="str">
        <f t="shared" si="33"/>
        <v>Enciclica Acerba Animi</v>
      </c>
      <c r="N243" s="14" t="str">
        <f t="shared" si="34"/>
        <v>Enciclica Acerba Animi</v>
      </c>
      <c r="O243" s="14" t="str">
        <f t="shared" si="38"/>
        <v>1932/09/29</v>
      </c>
      <c r="P243" s="14" t="str">
        <f t="shared" si="35"/>
        <v>Pio XI, Lettera Enciclica Acerba Animi, 11 novembre 1961</v>
      </c>
      <c r="Q243" s="14" t="str">
        <f t="shared" si="39"/>
        <v>1932-09-29T08:00:00.000+02:00</v>
      </c>
      <c r="R243" s="14" t="str">
        <f t="shared" si="36"/>
        <v>pixi-enc-</v>
      </c>
      <c r="S243" s="14" t="str">
        <f t="shared" si="37"/>
        <v>Pius XI - Litterae Encyclicae - Acerba Animi</v>
      </c>
    </row>
    <row r="244" spans="1:19" x14ac:dyDescent="0.25">
      <c r="A244" s="12">
        <v>243</v>
      </c>
      <c r="B244" s="17" t="s">
        <v>661</v>
      </c>
      <c r="C244" s="4" t="s">
        <v>660</v>
      </c>
      <c r="D244" s="4" t="s">
        <v>1150</v>
      </c>
      <c r="E244" s="5">
        <v>12208</v>
      </c>
      <c r="F244" s="18" t="s">
        <v>579</v>
      </c>
      <c r="G244" s="18" t="s">
        <v>694</v>
      </c>
      <c r="H244" s="4" t="s">
        <v>603</v>
      </c>
      <c r="I244" s="4" t="s">
        <v>686</v>
      </c>
      <c r="K244" s="2" t="s">
        <v>135</v>
      </c>
      <c r="L244" s="14" t="str">
        <f t="shared" si="32"/>
        <v>Dilectissima Nobis (12 agosto 2208) | Pio XI</v>
      </c>
      <c r="M244" s="14" t="str">
        <f t="shared" si="33"/>
        <v>Enciclica Dilectissima Nobis</v>
      </c>
      <c r="N244" s="14" t="str">
        <f t="shared" si="34"/>
        <v>Enciclica Dilectissima Nobis</v>
      </c>
      <c r="O244" s="14" t="str">
        <f t="shared" si="38"/>
        <v>1933/06/03</v>
      </c>
      <c r="P244" s="14" t="str">
        <f t="shared" si="35"/>
        <v>Pio XI, Lettera Enciclica Dilectissima Nobis, 12 agosto 2208</v>
      </c>
      <c r="Q244" s="14" t="str">
        <f t="shared" si="39"/>
        <v>1933-06-3T08:00:00.000+02:00</v>
      </c>
      <c r="R244" s="14" t="str">
        <f t="shared" si="36"/>
        <v>pixi-enc-</v>
      </c>
      <c r="S244" s="14" t="str">
        <f t="shared" si="37"/>
        <v>Pius XI - Litterae Encyclicae - Dilectissima Nobis</v>
      </c>
    </row>
    <row r="245" spans="1:19" x14ac:dyDescent="0.25">
      <c r="A245" s="12">
        <v>244</v>
      </c>
      <c r="B245" s="17" t="s">
        <v>661</v>
      </c>
      <c r="C245" s="4" t="s">
        <v>660</v>
      </c>
      <c r="D245" s="4" t="s">
        <v>1150</v>
      </c>
      <c r="E245" s="5">
        <v>13138</v>
      </c>
      <c r="F245" s="18" t="s">
        <v>579</v>
      </c>
      <c r="G245" s="18" t="s">
        <v>694</v>
      </c>
      <c r="H245" s="4" t="s">
        <v>603</v>
      </c>
      <c r="I245" s="4" t="s">
        <v>686</v>
      </c>
      <c r="K245" s="2" t="s">
        <v>136</v>
      </c>
      <c r="L245" s="14" t="str">
        <f t="shared" si="32"/>
        <v>Ad Catholici Sacerdotii (13 gennaio 3138) | Pio XI</v>
      </c>
      <c r="M245" s="14" t="str">
        <f t="shared" si="33"/>
        <v>Enciclica Ad Catholici Sacerdotii</v>
      </c>
      <c r="N245" s="14" t="str">
        <f t="shared" si="34"/>
        <v>Enciclica Ad Catholici Sacerdotii</v>
      </c>
      <c r="O245" s="14" t="str">
        <f t="shared" ref="O245:O276" si="40">_xlfn.CONCAT(YEAR(E245) &amp; "/" &amp; TEXT(E245,"mm") &amp; "/" &amp; TEXT(E245,"gg"))</f>
        <v>1935/12/20</v>
      </c>
      <c r="P245" s="14" t="str">
        <f t="shared" si="35"/>
        <v>Pio XI, Lettera Enciclica Ad Catholici Sacerdotii, 13 gennaio 3138</v>
      </c>
      <c r="Q245" s="14" t="str">
        <f t="shared" ref="Q245:Q276" si="41">CONCATENATE(YEAR(E245) &amp; "-" &amp; TEXT(MONTH(E245),"00") &amp; "-" &amp; DAY(E245) &amp; "T08:00:00.000+02:00")</f>
        <v>1935-12-20T08:00:00.000+02:00</v>
      </c>
      <c r="R245" s="14" t="str">
        <f t="shared" si="36"/>
        <v>pixi-enc-</v>
      </c>
      <c r="S245" s="14" t="str">
        <f t="shared" si="37"/>
        <v>Pius XI - Litterae Encyclicae - Ad Catholici Sacerdotii</v>
      </c>
    </row>
    <row r="246" spans="1:19" x14ac:dyDescent="0.25">
      <c r="A246" s="12">
        <v>245</v>
      </c>
      <c r="B246" s="17" t="s">
        <v>661</v>
      </c>
      <c r="C246" s="4" t="s">
        <v>660</v>
      </c>
      <c r="D246" s="4" t="s">
        <v>1150</v>
      </c>
      <c r="E246" s="5">
        <v>13330</v>
      </c>
      <c r="F246" s="18" t="s">
        <v>579</v>
      </c>
      <c r="G246" s="18" t="s">
        <v>694</v>
      </c>
      <c r="H246" s="4" t="s">
        <v>603</v>
      </c>
      <c r="I246" s="4" t="s">
        <v>686</v>
      </c>
      <c r="K246" s="2" t="s">
        <v>137</v>
      </c>
      <c r="L246" s="14" t="str">
        <f t="shared" si="32"/>
        <v>Vigilanti cura (13 maggio 3330) | Pio XI</v>
      </c>
      <c r="M246" s="14" t="str">
        <f t="shared" si="33"/>
        <v>Enciclica Vigilanti cura</v>
      </c>
      <c r="N246" s="14" t="str">
        <f t="shared" si="34"/>
        <v>Enciclica Vigilanti cura</v>
      </c>
      <c r="O246" s="14" t="str">
        <f t="shared" si="40"/>
        <v>1936/06/29</v>
      </c>
      <c r="P246" s="14" t="str">
        <f t="shared" si="35"/>
        <v>Pio XI, Lettera Enciclica Vigilanti cura, 13 maggio 3330</v>
      </c>
      <c r="Q246" s="14" t="str">
        <f t="shared" si="41"/>
        <v>1936-06-29T08:00:00.000+02:00</v>
      </c>
      <c r="R246" s="14" t="str">
        <f t="shared" si="36"/>
        <v>pixi-enc-</v>
      </c>
      <c r="S246" s="14" t="str">
        <f t="shared" si="37"/>
        <v>Pius XI - Litterae Encyclicae - Vigilanti cura</v>
      </c>
    </row>
    <row r="247" spans="1:19" x14ac:dyDescent="0.25">
      <c r="A247" s="12">
        <v>246</v>
      </c>
      <c r="B247" s="17" t="s">
        <v>661</v>
      </c>
      <c r="C247" s="4" t="s">
        <v>660</v>
      </c>
      <c r="D247" s="4" t="s">
        <v>1150</v>
      </c>
      <c r="E247" s="5">
        <v>13588</v>
      </c>
      <c r="F247" s="18" t="s">
        <v>579</v>
      </c>
      <c r="G247" s="18" t="s">
        <v>694</v>
      </c>
      <c r="H247" s="4" t="s">
        <v>603</v>
      </c>
      <c r="I247" s="4" t="s">
        <v>686</v>
      </c>
      <c r="K247" s="2" t="s">
        <v>138</v>
      </c>
      <c r="L247" s="14" t="str">
        <f t="shared" si="32"/>
        <v>Mit brennender Sorge (13 dicembre 3588) | Pio XI</v>
      </c>
      <c r="M247" s="14" t="str">
        <f t="shared" si="33"/>
        <v>Enciclica Mit brennender Sorge</v>
      </c>
      <c r="N247" s="14" t="str">
        <f t="shared" si="34"/>
        <v>Enciclica Mit brennender Sorge</v>
      </c>
      <c r="O247" s="14" t="str">
        <f t="shared" si="40"/>
        <v>1937/03/14</v>
      </c>
      <c r="P247" s="14" t="str">
        <f t="shared" si="35"/>
        <v>Pio XI, Lettera Enciclica Mit brennender Sorge, 13 dicembre 3588</v>
      </c>
      <c r="Q247" s="14" t="str">
        <f t="shared" si="41"/>
        <v>1937-03-14T08:00:00.000+02:00</v>
      </c>
      <c r="R247" s="14" t="str">
        <f t="shared" si="36"/>
        <v>pixi-enc-</v>
      </c>
      <c r="S247" s="14" t="str">
        <f t="shared" si="37"/>
        <v>Pius XI - Litterae Encyclicae - Mit brennender Sorge</v>
      </c>
    </row>
    <row r="248" spans="1:19" x14ac:dyDescent="0.25">
      <c r="A248" s="12">
        <v>247</v>
      </c>
      <c r="B248" s="17" t="s">
        <v>661</v>
      </c>
      <c r="C248" s="4" t="s">
        <v>660</v>
      </c>
      <c r="D248" s="4" t="s">
        <v>1150</v>
      </c>
      <c r="E248" s="5">
        <v>13593</v>
      </c>
      <c r="F248" s="18" t="s">
        <v>579</v>
      </c>
      <c r="G248" s="18" t="s">
        <v>694</v>
      </c>
      <c r="H248" s="4" t="s">
        <v>603</v>
      </c>
      <c r="I248" s="4" t="s">
        <v>686</v>
      </c>
      <c r="K248" s="2" t="s">
        <v>139</v>
      </c>
      <c r="L248" s="14" t="str">
        <f t="shared" si="32"/>
        <v>Divini Redemptoris (13 maggio 3593) | Pio XI</v>
      </c>
      <c r="M248" s="14" t="str">
        <f t="shared" si="33"/>
        <v>Enciclica Divini Redemptoris</v>
      </c>
      <c r="N248" s="14" t="str">
        <f t="shared" si="34"/>
        <v>Enciclica Divini Redemptoris</v>
      </c>
      <c r="O248" s="14" t="str">
        <f t="shared" si="40"/>
        <v>1937/03/19</v>
      </c>
      <c r="P248" s="14" t="str">
        <f t="shared" si="35"/>
        <v>Pio XI, Lettera Enciclica Divini Redemptoris, 13 maggio 3593</v>
      </c>
      <c r="Q248" s="14" t="str">
        <f t="shared" si="41"/>
        <v>1937-03-19T08:00:00.000+02:00</v>
      </c>
      <c r="R248" s="14" t="str">
        <f t="shared" si="36"/>
        <v>pixi-enc-</v>
      </c>
      <c r="S248" s="14" t="str">
        <f t="shared" si="37"/>
        <v>Pius XI - Litterae Encyclicae - Divini Redemptoris</v>
      </c>
    </row>
    <row r="249" spans="1:19" x14ac:dyDescent="0.25">
      <c r="A249" s="12">
        <v>248</v>
      </c>
      <c r="B249" s="17" t="s">
        <v>661</v>
      </c>
      <c r="C249" s="4" t="s">
        <v>660</v>
      </c>
      <c r="D249" s="4" t="s">
        <v>1150</v>
      </c>
      <c r="E249" s="5">
        <v>13602</v>
      </c>
      <c r="F249" s="18" t="s">
        <v>579</v>
      </c>
      <c r="G249" s="18" t="s">
        <v>694</v>
      </c>
      <c r="H249" s="4" t="s">
        <v>603</v>
      </c>
      <c r="I249" s="4" t="s">
        <v>686</v>
      </c>
      <c r="K249" s="2" t="s">
        <v>140</v>
      </c>
      <c r="L249" s="14" t="str">
        <f t="shared" si="32"/>
        <v>Nos Es Muy Conocida (13 febbraio 3602) | Pio XI</v>
      </c>
      <c r="M249" s="14" t="str">
        <f t="shared" si="33"/>
        <v>Enciclica Nos Es Muy Conocida</v>
      </c>
      <c r="N249" s="14" t="str">
        <f t="shared" si="34"/>
        <v>Enciclica Nos Es Muy Conocida</v>
      </c>
      <c r="O249" s="14" t="str">
        <f t="shared" si="40"/>
        <v>1937/03/28</v>
      </c>
      <c r="P249" s="14" t="str">
        <f t="shared" si="35"/>
        <v>Pio XI, Lettera Enciclica Nos Es Muy Conocida, 13 febbraio 3602</v>
      </c>
      <c r="Q249" s="14" t="str">
        <f t="shared" si="41"/>
        <v>1937-03-28T08:00:00.000+02:00</v>
      </c>
      <c r="R249" s="14" t="str">
        <f t="shared" si="36"/>
        <v>pixi-enc-</v>
      </c>
      <c r="S249" s="14" t="str">
        <f t="shared" si="37"/>
        <v>Pius XI - Litterae Encyclicae - Nos Es Muy Conocida</v>
      </c>
    </row>
    <row r="250" spans="1:19" x14ac:dyDescent="0.25">
      <c r="A250" s="12">
        <v>249</v>
      </c>
      <c r="B250" s="17" t="s">
        <v>661</v>
      </c>
      <c r="C250" s="4" t="s">
        <v>660</v>
      </c>
      <c r="D250" s="4" t="s">
        <v>1150</v>
      </c>
      <c r="E250" s="5">
        <v>13787</v>
      </c>
      <c r="F250" s="18" t="s">
        <v>579</v>
      </c>
      <c r="G250" s="18" t="s">
        <v>694</v>
      </c>
      <c r="H250" s="4" t="s">
        <v>603</v>
      </c>
      <c r="I250" s="4" t="s">
        <v>686</v>
      </c>
      <c r="K250" s="2" t="s">
        <v>141</v>
      </c>
      <c r="L250" s="14" t="str">
        <f t="shared" si="32"/>
        <v>Ingravescentibus Malis (13 novembre 3787) | Pio XI</v>
      </c>
      <c r="M250" s="14" t="str">
        <f t="shared" si="33"/>
        <v>Enciclica Ingravescentibus Malis</v>
      </c>
      <c r="N250" s="14" t="str">
        <f t="shared" si="34"/>
        <v>Enciclica Ingravescentibus Malis</v>
      </c>
      <c r="O250" s="14" t="str">
        <f t="shared" si="40"/>
        <v>1937/09/29</v>
      </c>
      <c r="P250" s="14" t="str">
        <f t="shared" si="35"/>
        <v>Pio XI, Lettera Enciclica Ingravescentibus Malis, 13 novembre 3787</v>
      </c>
      <c r="Q250" s="14" t="str">
        <f t="shared" si="41"/>
        <v>1937-09-29T08:00:00.000+02:00</v>
      </c>
      <c r="R250" s="14" t="str">
        <f t="shared" si="36"/>
        <v>pixi-enc-</v>
      </c>
      <c r="S250" s="14" t="str">
        <f t="shared" si="37"/>
        <v>Pius XI - Litterae Encyclicae - Ingravescentibus Malis</v>
      </c>
    </row>
    <row r="251" spans="1:19" x14ac:dyDescent="0.25">
      <c r="A251" s="12">
        <v>250</v>
      </c>
      <c r="B251" s="17" t="s">
        <v>663</v>
      </c>
      <c r="C251" s="4" t="s">
        <v>659</v>
      </c>
      <c r="D251" s="4" t="s">
        <v>1151</v>
      </c>
      <c r="E251" s="5">
        <v>14538</v>
      </c>
      <c r="F251" s="18" t="s">
        <v>579</v>
      </c>
      <c r="G251" s="18" t="s">
        <v>694</v>
      </c>
      <c r="H251" s="4" t="s">
        <v>603</v>
      </c>
      <c r="I251" s="4" t="s">
        <v>686</v>
      </c>
      <c r="K251" s="2" t="s">
        <v>70</v>
      </c>
      <c r="L251" s="14" t="str">
        <f t="shared" si="32"/>
        <v>Summi Pontificatus (14 gennaio 4538) | Pio XII</v>
      </c>
      <c r="M251" s="14" t="str">
        <f t="shared" si="33"/>
        <v>Enciclica Summi Pontificatus</v>
      </c>
      <c r="N251" s="14" t="str">
        <f t="shared" si="34"/>
        <v>Enciclica Summi Pontificatus</v>
      </c>
      <c r="O251" s="14" t="str">
        <f t="shared" si="40"/>
        <v>1939/10/20</v>
      </c>
      <c r="P251" s="14" t="str">
        <f t="shared" si="35"/>
        <v>Pio XII, Lettera Enciclica Summi Pontificatus, 14 gennaio 4538</v>
      </c>
      <c r="Q251" s="14" t="str">
        <f t="shared" si="41"/>
        <v>1939-10-20T08:00:00.000+02:00</v>
      </c>
      <c r="R251" s="14" t="str">
        <f t="shared" si="36"/>
        <v>pixii-enc-</v>
      </c>
      <c r="S251" s="14" t="str">
        <f t="shared" si="37"/>
        <v>Pius XII - Litterae Encyclicae - Summi Pontificatus</v>
      </c>
    </row>
    <row r="252" spans="1:19" x14ac:dyDescent="0.25">
      <c r="A252" s="12">
        <v>251</v>
      </c>
      <c r="B252" s="17" t="s">
        <v>663</v>
      </c>
      <c r="C252" s="4" t="s">
        <v>659</v>
      </c>
      <c r="D252" s="4" t="s">
        <v>1151</v>
      </c>
      <c r="E252" s="5">
        <v>14550</v>
      </c>
      <c r="F252" s="18" t="s">
        <v>579</v>
      </c>
      <c r="G252" s="18" t="s">
        <v>694</v>
      </c>
      <c r="H252" s="4" t="s">
        <v>603</v>
      </c>
      <c r="I252" s="4" t="s">
        <v>686</v>
      </c>
      <c r="K252" s="2" t="s">
        <v>71</v>
      </c>
      <c r="L252" s="14" t="str">
        <f t="shared" si="32"/>
        <v>Sertum laetitiae (14 dicembre 4550) | Pio XII</v>
      </c>
      <c r="M252" s="14" t="str">
        <f t="shared" si="33"/>
        <v>Enciclica Sertum laetitiae</v>
      </c>
      <c r="N252" s="14" t="str">
        <f t="shared" si="34"/>
        <v>Enciclica Sertum laetitiae</v>
      </c>
      <c r="O252" s="14" t="str">
        <f t="shared" si="40"/>
        <v>1939/11/01</v>
      </c>
      <c r="P252" s="14" t="str">
        <f t="shared" si="35"/>
        <v>Pio XII, Lettera Enciclica Sertum laetitiae, 14 dicembre 4550</v>
      </c>
      <c r="Q252" s="14" t="str">
        <f t="shared" si="41"/>
        <v>1939-11-1T08:00:00.000+02:00</v>
      </c>
      <c r="R252" s="14" t="str">
        <f t="shared" si="36"/>
        <v>pixii-enc-</v>
      </c>
      <c r="S252" s="14" t="str">
        <f t="shared" si="37"/>
        <v>Pius XII - Litterae Encyclicae - Sertum laetitiae</v>
      </c>
    </row>
    <row r="253" spans="1:19" x14ac:dyDescent="0.25">
      <c r="A253" s="12">
        <v>252</v>
      </c>
      <c r="B253" s="17" t="s">
        <v>663</v>
      </c>
      <c r="C253" s="4" t="s">
        <v>659</v>
      </c>
      <c r="D253" s="4" t="s">
        <v>1151</v>
      </c>
      <c r="E253" s="5">
        <v>14775</v>
      </c>
      <c r="F253" s="18" t="s">
        <v>579</v>
      </c>
      <c r="G253" s="18" t="s">
        <v>694</v>
      </c>
      <c r="H253" s="4" t="s">
        <v>603</v>
      </c>
      <c r="I253" s="4" t="s">
        <v>686</v>
      </c>
      <c r="K253" s="2" t="s">
        <v>72</v>
      </c>
      <c r="L253" s="14" t="str">
        <f t="shared" si="32"/>
        <v>Saeculo exeunte octavo (14 dicembre 4775) | Pio XII</v>
      </c>
      <c r="M253" s="14" t="str">
        <f t="shared" si="33"/>
        <v>Enciclica Saeculo exeunte octavo</v>
      </c>
      <c r="N253" s="14" t="str">
        <f t="shared" si="34"/>
        <v>Enciclica Saeculo exeunte octavo</v>
      </c>
      <c r="O253" s="14" t="str">
        <f t="shared" si="40"/>
        <v>1940/06/13</v>
      </c>
      <c r="P253" s="14" t="str">
        <f t="shared" si="35"/>
        <v>Pio XII, Lettera Enciclica Saeculo exeunte octavo, 14 dicembre 4775</v>
      </c>
      <c r="Q253" s="14" t="str">
        <f t="shared" si="41"/>
        <v>1940-06-13T08:00:00.000+02:00</v>
      </c>
      <c r="R253" s="14" t="str">
        <f t="shared" si="36"/>
        <v>pixii-enc-</v>
      </c>
      <c r="S253" s="14" t="str">
        <f t="shared" si="37"/>
        <v>Pius XII - Litterae Encyclicae - Saeculo exeunte octavo</v>
      </c>
    </row>
    <row r="254" spans="1:19" x14ac:dyDescent="0.25">
      <c r="A254" s="12">
        <v>253</v>
      </c>
      <c r="B254" s="17" t="s">
        <v>663</v>
      </c>
      <c r="C254" s="4" t="s">
        <v>659</v>
      </c>
      <c r="D254" s="4" t="s">
        <v>1151</v>
      </c>
      <c r="E254" s="5">
        <v>15886</v>
      </c>
      <c r="F254" s="18" t="s">
        <v>579</v>
      </c>
      <c r="G254" s="18" t="s">
        <v>694</v>
      </c>
      <c r="H254" s="4" t="s">
        <v>603</v>
      </c>
      <c r="I254" s="4" t="s">
        <v>686</v>
      </c>
      <c r="K254" s="2" t="s">
        <v>73</v>
      </c>
      <c r="L254" s="14" t="str">
        <f t="shared" si="32"/>
        <v>Mystici Corporis Christi (15 ottobre 5886) | Pio XII</v>
      </c>
      <c r="M254" s="14" t="str">
        <f t="shared" si="33"/>
        <v>Enciclica Mystici Corporis Christi</v>
      </c>
      <c r="N254" s="14" t="str">
        <f t="shared" si="34"/>
        <v>Enciclica Mystici Corporis Christi</v>
      </c>
      <c r="O254" s="14" t="str">
        <f t="shared" si="40"/>
        <v>1943/06/29</v>
      </c>
      <c r="P254" s="14" t="str">
        <f t="shared" si="35"/>
        <v>Pio XII, Lettera Enciclica Mystici Corporis Christi, 15 ottobre 5886</v>
      </c>
      <c r="Q254" s="14" t="str">
        <f t="shared" si="41"/>
        <v>1943-06-29T08:00:00.000+02:00</v>
      </c>
      <c r="R254" s="14" t="str">
        <f t="shared" si="36"/>
        <v>pixii-enc-</v>
      </c>
      <c r="S254" s="14" t="str">
        <f t="shared" si="37"/>
        <v>Pius XII - Litterae Encyclicae - Mystici Corporis Christi</v>
      </c>
    </row>
    <row r="255" spans="1:19" x14ac:dyDescent="0.25">
      <c r="A255" s="12">
        <v>254</v>
      </c>
      <c r="B255" s="17" t="s">
        <v>663</v>
      </c>
      <c r="C255" s="4" t="s">
        <v>659</v>
      </c>
      <c r="D255" s="4" t="s">
        <v>1151</v>
      </c>
      <c r="E255" s="5">
        <v>15979</v>
      </c>
      <c r="F255" s="18" t="s">
        <v>579</v>
      </c>
      <c r="G255" s="18" t="s">
        <v>694</v>
      </c>
      <c r="H255" s="4" t="s">
        <v>603</v>
      </c>
      <c r="I255" s="4" t="s">
        <v>686</v>
      </c>
      <c r="K255" s="2" t="s">
        <v>74</v>
      </c>
      <c r="L255" s="14" t="str">
        <f t="shared" si="32"/>
        <v>Divino afflante Spiritu (15 aprile 5979) | Pio XII</v>
      </c>
      <c r="M255" s="14" t="str">
        <f t="shared" si="33"/>
        <v>Enciclica Divino afflante Spiritu</v>
      </c>
      <c r="N255" s="14" t="str">
        <f t="shared" si="34"/>
        <v>Enciclica Divino afflante Spiritu</v>
      </c>
      <c r="O255" s="14" t="str">
        <f t="shared" si="40"/>
        <v>1943/09/30</v>
      </c>
      <c r="P255" s="14" t="str">
        <f t="shared" si="35"/>
        <v>Pio XII, Lettera Enciclica Divino afflante Spiritu, 15 aprile 5979</v>
      </c>
      <c r="Q255" s="14" t="str">
        <f t="shared" si="41"/>
        <v>1943-09-30T08:00:00.000+02:00</v>
      </c>
      <c r="R255" s="14" t="str">
        <f t="shared" si="36"/>
        <v>pixii-enc-</v>
      </c>
      <c r="S255" s="14" t="str">
        <f t="shared" si="37"/>
        <v>Pius XII - Litterae Encyclicae - Divino afflante Spiritu</v>
      </c>
    </row>
    <row r="256" spans="1:19" x14ac:dyDescent="0.25">
      <c r="A256" s="12">
        <v>255</v>
      </c>
      <c r="B256" s="17" t="s">
        <v>663</v>
      </c>
      <c r="C256" s="4" t="s">
        <v>659</v>
      </c>
      <c r="D256" s="4" t="s">
        <v>1151</v>
      </c>
      <c r="E256" s="5">
        <v>16171</v>
      </c>
      <c r="F256" s="18" t="s">
        <v>579</v>
      </c>
      <c r="G256" s="18" t="s">
        <v>694</v>
      </c>
      <c r="H256" s="4" t="s">
        <v>603</v>
      </c>
      <c r="I256" s="4" t="s">
        <v>686</v>
      </c>
      <c r="K256" s="2" t="s">
        <v>75</v>
      </c>
      <c r="L256" s="14" t="str">
        <f t="shared" si="32"/>
        <v>Orientalis Ecclesiae (16 agosto 6171) | Pio XII</v>
      </c>
      <c r="M256" s="14" t="str">
        <f t="shared" si="33"/>
        <v>Enciclica Orientalis Ecclesiae</v>
      </c>
      <c r="N256" s="14" t="str">
        <f t="shared" si="34"/>
        <v>Enciclica Orientalis Ecclesiae</v>
      </c>
      <c r="O256" s="14" t="str">
        <f t="shared" si="40"/>
        <v>1944/04/09</v>
      </c>
      <c r="P256" s="14" t="str">
        <f t="shared" si="35"/>
        <v>Pio XII, Lettera Enciclica Orientalis Ecclesiae, 16 agosto 6171</v>
      </c>
      <c r="Q256" s="14" t="str">
        <f t="shared" si="41"/>
        <v>1944-04-9T08:00:00.000+02:00</v>
      </c>
      <c r="R256" s="14" t="str">
        <f t="shared" si="36"/>
        <v>pixii-enc-</v>
      </c>
      <c r="S256" s="14" t="str">
        <f t="shared" si="37"/>
        <v>Pius XII - Litterae Encyclicae - Orientalis Ecclesiae</v>
      </c>
    </row>
    <row r="257" spans="1:19" x14ac:dyDescent="0.25">
      <c r="A257" s="12">
        <v>256</v>
      </c>
      <c r="B257" s="17" t="s">
        <v>663</v>
      </c>
      <c r="C257" s="4" t="s">
        <v>659</v>
      </c>
      <c r="D257" s="4" t="s">
        <v>1151</v>
      </c>
      <c r="E257" s="5">
        <v>16542</v>
      </c>
      <c r="F257" s="18" t="s">
        <v>579</v>
      </c>
      <c r="G257" s="18" t="s">
        <v>694</v>
      </c>
      <c r="H257" s="4" t="s">
        <v>603</v>
      </c>
      <c r="I257" s="4" t="s">
        <v>686</v>
      </c>
      <c r="K257" s="2" t="s">
        <v>76</v>
      </c>
      <c r="L257" s="14" t="str">
        <f t="shared" si="32"/>
        <v>Communium interpretes dolorum (16 maggio 6542) | Pio XII</v>
      </c>
      <c r="M257" s="14" t="str">
        <f t="shared" si="33"/>
        <v>Enciclica Communium interpretes dolorum</v>
      </c>
      <c r="N257" s="14" t="str">
        <f t="shared" si="34"/>
        <v>Enciclica Communium interpretes dolorum</v>
      </c>
      <c r="O257" s="14" t="str">
        <f t="shared" si="40"/>
        <v>1945/04/15</v>
      </c>
      <c r="P257" s="14" t="str">
        <f t="shared" si="35"/>
        <v>Pio XII, Lettera Enciclica Communium interpretes dolorum, 16 maggio 6542</v>
      </c>
      <c r="Q257" s="14" t="str">
        <f t="shared" si="41"/>
        <v>1945-04-15T08:00:00.000+02:00</v>
      </c>
      <c r="R257" s="14" t="str">
        <f t="shared" si="36"/>
        <v>pixii-enc-</v>
      </c>
      <c r="S257" s="14" t="str">
        <f t="shared" si="37"/>
        <v>Pius XII - Litterae Encyclicae - Communium interpretes dolorum</v>
      </c>
    </row>
    <row r="258" spans="1:19" x14ac:dyDescent="0.25">
      <c r="A258" s="12">
        <v>257</v>
      </c>
      <c r="B258" s="17" t="s">
        <v>663</v>
      </c>
      <c r="C258" s="4" t="s">
        <v>659</v>
      </c>
      <c r="D258" s="4" t="s">
        <v>1151</v>
      </c>
      <c r="E258" s="5">
        <v>16794</v>
      </c>
      <c r="F258" s="18" t="s">
        <v>579</v>
      </c>
      <c r="G258" s="18" t="s">
        <v>694</v>
      </c>
      <c r="H258" s="4" t="s">
        <v>603</v>
      </c>
      <c r="I258" s="4" t="s">
        <v>686</v>
      </c>
      <c r="K258" s="2" t="s">
        <v>77</v>
      </c>
      <c r="L258" s="14" t="str">
        <f t="shared" ref="L258:L321" si="42">_xlfn.CONCAT(K258 &amp; " (" &amp; LEFT(E258,2) &amp; " " &amp; TEXT(VALUE(MID(E258,4,2))*29,"mmmm") &amp; " " &amp; RIGHT(E258,4) &amp; ") | " &amp; D258)</f>
        <v>Orientales omnes Ecclesias (16 giugno 6794) | Pio XII</v>
      </c>
      <c r="M258" s="14" t="str">
        <f t="shared" ref="M258:M326" si="43">_xlfn.CONCAT(G258 &amp; " " &amp; K258)</f>
        <v>Enciclica Orientales omnes Ecclesias</v>
      </c>
      <c r="N258" s="14" t="str">
        <f t="shared" ref="N258:N326" si="44">_xlfn.CONCAT(G258 &amp; " " &amp; K258)</f>
        <v>Enciclica Orientales omnes Ecclesias</v>
      </c>
      <c r="O258" s="14" t="str">
        <f t="shared" si="40"/>
        <v>1945/12/23</v>
      </c>
      <c r="P258" s="14" t="str">
        <f t="shared" ref="P258:P327" si="45">_xlfn.CONCAT(D258 &amp; ", " &amp; I258 &amp; " " &amp; K258 &amp; ", " &amp; LEFT(E258,2) &amp; " " &amp; TEXT(VALUE(MID(E258,4,2))*29,"mmmm") &amp; " " &amp; RIGHT(E258,4))</f>
        <v>Pio XII, Lettera Enciclica Orientales omnes Ecclesias, 16 giugno 6794</v>
      </c>
      <c r="Q258" s="14" t="str">
        <f t="shared" si="41"/>
        <v>1945-12-23T08:00:00.000+02:00</v>
      </c>
      <c r="R258" s="14" t="str">
        <f t="shared" ref="R258:R327" si="46">_xlfn.CONCAT(B258 &amp; "-" &amp; F258 &amp; "-" &amp; J258)</f>
        <v>pixii-enc-</v>
      </c>
      <c r="S258" s="14" t="str">
        <f t="shared" ref="S258:S327" si="47">_xlfn.CONCAT(C258 &amp; " - " &amp; H258 &amp; " - " &amp; K258)</f>
        <v>Pius XII - Litterae Encyclicae - Orientales omnes Ecclesias</v>
      </c>
    </row>
    <row r="259" spans="1:19" x14ac:dyDescent="0.25">
      <c r="A259" s="12">
        <v>258</v>
      </c>
      <c r="B259" s="17" t="s">
        <v>663</v>
      </c>
      <c r="C259" s="4" t="s">
        <v>659</v>
      </c>
      <c r="D259" s="4" t="s">
        <v>1151</v>
      </c>
      <c r="E259" s="5">
        <v>16808</v>
      </c>
      <c r="F259" s="18" t="s">
        <v>579</v>
      </c>
      <c r="G259" s="18" t="s">
        <v>694</v>
      </c>
      <c r="H259" s="4" t="s">
        <v>603</v>
      </c>
      <c r="I259" s="4" t="s">
        <v>686</v>
      </c>
      <c r="K259" s="2" t="s">
        <v>78</v>
      </c>
      <c r="L259" s="14" t="str">
        <f t="shared" si="42"/>
        <v>Quemadmodum (16 agosto 6808) | Pio XII</v>
      </c>
      <c r="M259" s="14" t="str">
        <f t="shared" si="43"/>
        <v>Enciclica Quemadmodum</v>
      </c>
      <c r="N259" s="14" t="str">
        <f t="shared" si="44"/>
        <v>Enciclica Quemadmodum</v>
      </c>
      <c r="O259" s="14" t="str">
        <f t="shared" si="40"/>
        <v>1946/01/06</v>
      </c>
      <c r="P259" s="14" t="str">
        <f t="shared" si="45"/>
        <v>Pio XII, Lettera Enciclica Quemadmodum, 16 agosto 6808</v>
      </c>
      <c r="Q259" s="14" t="str">
        <f t="shared" si="41"/>
        <v>1946-01-6T08:00:00.000+02:00</v>
      </c>
      <c r="R259" s="14" t="str">
        <f t="shared" si="46"/>
        <v>pixii-enc-</v>
      </c>
      <c r="S259" s="14" t="str">
        <f t="shared" si="47"/>
        <v>Pius XII - Litterae Encyclicae - Quemadmodum</v>
      </c>
    </row>
    <row r="260" spans="1:19" x14ac:dyDescent="0.25">
      <c r="A260" s="12">
        <v>259</v>
      </c>
      <c r="B260" s="17" t="s">
        <v>663</v>
      </c>
      <c r="C260" s="4" t="s">
        <v>659</v>
      </c>
      <c r="D260" s="4" t="s">
        <v>1151</v>
      </c>
      <c r="E260" s="5">
        <v>16923</v>
      </c>
      <c r="F260" s="18" t="s">
        <v>579</v>
      </c>
      <c r="G260" s="18" t="s">
        <v>694</v>
      </c>
      <c r="H260" s="4" t="s">
        <v>603</v>
      </c>
      <c r="I260" s="4" t="s">
        <v>686</v>
      </c>
      <c r="K260" s="2" t="s">
        <v>79</v>
      </c>
      <c r="L260" s="14" t="str">
        <f t="shared" si="42"/>
        <v>Deiparae Virginis Mariae (16 ottobre 6923) | Pio XII</v>
      </c>
      <c r="M260" s="14" t="str">
        <f t="shared" si="43"/>
        <v>Enciclica Deiparae Virginis Mariae</v>
      </c>
      <c r="N260" s="14" t="str">
        <f t="shared" si="44"/>
        <v>Enciclica Deiparae Virginis Mariae</v>
      </c>
      <c r="O260" s="14" t="str">
        <f t="shared" si="40"/>
        <v>1946/05/01</v>
      </c>
      <c r="P260" s="14" t="str">
        <f t="shared" si="45"/>
        <v>Pio XII, Lettera Enciclica Deiparae Virginis Mariae, 16 ottobre 6923</v>
      </c>
      <c r="Q260" s="14" t="str">
        <f t="shared" si="41"/>
        <v>1946-05-1T08:00:00.000+02:00</v>
      </c>
      <c r="R260" s="14" t="str">
        <f t="shared" si="46"/>
        <v>pixii-enc-</v>
      </c>
      <c r="S260" s="14" t="str">
        <f t="shared" si="47"/>
        <v>Pius XII - Litterae Encyclicae - Deiparae Virginis Mariae</v>
      </c>
    </row>
    <row r="261" spans="1:19" x14ac:dyDescent="0.25">
      <c r="A261" s="12">
        <v>260</v>
      </c>
      <c r="B261" s="17" t="s">
        <v>663</v>
      </c>
      <c r="C261" s="4" t="s">
        <v>659</v>
      </c>
      <c r="D261" s="4" t="s">
        <v>1151</v>
      </c>
      <c r="E261" s="5">
        <v>17247</v>
      </c>
      <c r="F261" s="18" t="s">
        <v>579</v>
      </c>
      <c r="G261" s="18" t="s">
        <v>694</v>
      </c>
      <c r="H261" s="4" t="s">
        <v>603</v>
      </c>
      <c r="I261" s="4" t="s">
        <v>686</v>
      </c>
      <c r="K261" s="2" t="s">
        <v>80</v>
      </c>
      <c r="L261" s="14" t="str">
        <f t="shared" si="42"/>
        <v>Fulgens radiatur (17 settembre 7247) | Pio XII</v>
      </c>
      <c r="M261" s="14" t="str">
        <f t="shared" si="43"/>
        <v>Enciclica Fulgens radiatur</v>
      </c>
      <c r="N261" s="14" t="str">
        <f t="shared" si="44"/>
        <v>Enciclica Fulgens radiatur</v>
      </c>
      <c r="O261" s="14" t="str">
        <f t="shared" si="40"/>
        <v>1947/03/21</v>
      </c>
      <c r="P261" s="14" t="str">
        <f t="shared" si="45"/>
        <v>Pio XII, Lettera Enciclica Fulgens radiatur, 17 settembre 7247</v>
      </c>
      <c r="Q261" s="14" t="str">
        <f t="shared" si="41"/>
        <v>1947-03-21T08:00:00.000+02:00</v>
      </c>
      <c r="R261" s="14" t="str">
        <f t="shared" si="46"/>
        <v>pixii-enc-</v>
      </c>
      <c r="S261" s="14" t="str">
        <f t="shared" si="47"/>
        <v>Pius XII - Litterae Encyclicae - Fulgens radiatur</v>
      </c>
    </row>
    <row r="262" spans="1:19" x14ac:dyDescent="0.25">
      <c r="A262" s="12">
        <v>261</v>
      </c>
      <c r="B262" s="17" t="s">
        <v>663</v>
      </c>
      <c r="C262" s="4" t="s">
        <v>659</v>
      </c>
      <c r="D262" s="4" t="s">
        <v>1151</v>
      </c>
      <c r="E262" s="5">
        <v>17491</v>
      </c>
      <c r="F262" s="18" t="s">
        <v>579</v>
      </c>
      <c r="G262" s="18" t="s">
        <v>694</v>
      </c>
      <c r="H262" s="4" t="s">
        <v>603</v>
      </c>
      <c r="I262" s="4" t="s">
        <v>686</v>
      </c>
      <c r="K262" s="2" t="s">
        <v>81</v>
      </c>
      <c r="L262" s="14" t="str">
        <f t="shared" si="42"/>
        <v>Mediator Dei (17 marzo 7491) | Pio XII</v>
      </c>
      <c r="M262" s="14" t="str">
        <f t="shared" si="43"/>
        <v>Enciclica Mediator Dei</v>
      </c>
      <c r="N262" s="14" t="str">
        <f t="shared" si="44"/>
        <v>Enciclica Mediator Dei</v>
      </c>
      <c r="O262" s="14" t="str">
        <f t="shared" si="40"/>
        <v>1947/11/20</v>
      </c>
      <c r="P262" s="14" t="str">
        <f t="shared" si="45"/>
        <v>Pio XII, Lettera Enciclica Mediator Dei, 17 marzo 7491</v>
      </c>
      <c r="Q262" s="14" t="str">
        <f t="shared" si="41"/>
        <v>1947-11-20T08:00:00.000+02:00</v>
      </c>
      <c r="R262" s="14" t="str">
        <f t="shared" si="46"/>
        <v>pixii-enc-</v>
      </c>
      <c r="S262" s="14" t="str">
        <f t="shared" si="47"/>
        <v>Pius XII - Litterae Encyclicae - Mediator Dei</v>
      </c>
    </row>
    <row r="263" spans="1:19" x14ac:dyDescent="0.25">
      <c r="A263" s="12">
        <v>262</v>
      </c>
      <c r="B263" s="17" t="s">
        <v>663</v>
      </c>
      <c r="C263" s="4" t="s">
        <v>659</v>
      </c>
      <c r="D263" s="4" t="s">
        <v>1151</v>
      </c>
      <c r="E263" s="5">
        <v>17519</v>
      </c>
      <c r="F263" s="18" t="s">
        <v>579</v>
      </c>
      <c r="G263" s="18" t="s">
        <v>694</v>
      </c>
      <c r="H263" s="4" t="s">
        <v>603</v>
      </c>
      <c r="I263" s="4" t="s">
        <v>686</v>
      </c>
      <c r="K263" s="2" t="s">
        <v>82</v>
      </c>
      <c r="L263" s="14" t="str">
        <f t="shared" si="42"/>
        <v>Optatissima pax (17 luglio 7519) | Pio XII</v>
      </c>
      <c r="M263" s="14" t="str">
        <f t="shared" si="43"/>
        <v>Enciclica Optatissima pax</v>
      </c>
      <c r="N263" s="14" t="str">
        <f t="shared" si="44"/>
        <v>Enciclica Optatissima pax</v>
      </c>
      <c r="O263" s="14" t="str">
        <f t="shared" si="40"/>
        <v>1947/12/18</v>
      </c>
      <c r="P263" s="14" t="str">
        <f t="shared" si="45"/>
        <v>Pio XII, Lettera Enciclica Optatissima pax, 17 luglio 7519</v>
      </c>
      <c r="Q263" s="14" t="str">
        <f t="shared" si="41"/>
        <v>1947-12-18T08:00:00.000+02:00</v>
      </c>
      <c r="R263" s="14" t="str">
        <f t="shared" si="46"/>
        <v>pixii-enc-</v>
      </c>
      <c r="S263" s="14" t="str">
        <f t="shared" si="47"/>
        <v>Pius XII - Litterae Encyclicae - Optatissima pax</v>
      </c>
    </row>
    <row r="264" spans="1:19" x14ac:dyDescent="0.25">
      <c r="A264" s="12">
        <v>263</v>
      </c>
      <c r="B264" s="17" t="s">
        <v>663</v>
      </c>
      <c r="C264" s="4" t="s">
        <v>659</v>
      </c>
      <c r="D264" s="4" t="s">
        <v>1151</v>
      </c>
      <c r="E264" s="5">
        <v>17654</v>
      </c>
      <c r="F264" s="18" t="s">
        <v>579</v>
      </c>
      <c r="G264" s="18" t="s">
        <v>694</v>
      </c>
      <c r="H264" s="4" t="s">
        <v>603</v>
      </c>
      <c r="I264" s="4" t="s">
        <v>686</v>
      </c>
      <c r="K264" s="2" t="s">
        <v>83</v>
      </c>
      <c r="L264" s="14" t="str">
        <f t="shared" si="42"/>
        <v>Auspicia quaedam (17 aprile 7654) | Pio XII</v>
      </c>
      <c r="M264" s="14" t="str">
        <f t="shared" si="43"/>
        <v>Enciclica Auspicia quaedam</v>
      </c>
      <c r="N264" s="14" t="str">
        <f t="shared" si="44"/>
        <v>Enciclica Auspicia quaedam</v>
      </c>
      <c r="O264" s="14" t="str">
        <f t="shared" si="40"/>
        <v>1948/05/01</v>
      </c>
      <c r="P264" s="14" t="str">
        <f t="shared" si="45"/>
        <v>Pio XII, Lettera Enciclica Auspicia quaedam, 17 aprile 7654</v>
      </c>
      <c r="Q264" s="14" t="str">
        <f t="shared" si="41"/>
        <v>1948-05-1T08:00:00.000+02:00</v>
      </c>
      <c r="R264" s="14" t="str">
        <f t="shared" si="46"/>
        <v>pixii-enc-</v>
      </c>
      <c r="S264" s="14" t="str">
        <f t="shared" si="47"/>
        <v>Pius XII - Litterae Encyclicae - Auspicia quaedam</v>
      </c>
    </row>
    <row r="265" spans="1:19" x14ac:dyDescent="0.25">
      <c r="A265" s="12">
        <v>264</v>
      </c>
      <c r="B265" s="17" t="s">
        <v>663</v>
      </c>
      <c r="C265" s="4" t="s">
        <v>659</v>
      </c>
      <c r="D265" s="4" t="s">
        <v>1151</v>
      </c>
      <c r="E265" s="5">
        <v>17830</v>
      </c>
      <c r="F265" s="18" t="s">
        <v>579</v>
      </c>
      <c r="G265" s="18" t="s">
        <v>694</v>
      </c>
      <c r="H265" s="4" t="s">
        <v>603</v>
      </c>
      <c r="I265" s="4" t="s">
        <v>686</v>
      </c>
      <c r="K265" s="2" t="s">
        <v>84</v>
      </c>
      <c r="L265" s="14" t="str">
        <f t="shared" si="42"/>
        <v>In multiplicibus curis (17 maggio 7830) | Pio XII</v>
      </c>
      <c r="M265" s="14" t="str">
        <f t="shared" si="43"/>
        <v>Enciclica In multiplicibus curis</v>
      </c>
      <c r="N265" s="14" t="str">
        <f t="shared" si="44"/>
        <v>Enciclica In multiplicibus curis</v>
      </c>
      <c r="O265" s="14" t="str">
        <f t="shared" si="40"/>
        <v>1948/10/24</v>
      </c>
      <c r="P265" s="14" t="str">
        <f t="shared" si="45"/>
        <v>Pio XII, Lettera Enciclica In multiplicibus curis, 17 maggio 7830</v>
      </c>
      <c r="Q265" s="14" t="str">
        <f t="shared" si="41"/>
        <v>1948-10-24T08:00:00.000+02:00</v>
      </c>
      <c r="R265" s="14" t="str">
        <f t="shared" si="46"/>
        <v>pixii-enc-</v>
      </c>
      <c r="S265" s="14" t="str">
        <f t="shared" si="47"/>
        <v>Pius XII - Litterae Encyclicae - In multiplicibus curis</v>
      </c>
    </row>
    <row r="266" spans="1:19" x14ac:dyDescent="0.25">
      <c r="A266" s="12">
        <v>265</v>
      </c>
      <c r="B266" s="17" t="s">
        <v>663</v>
      </c>
      <c r="C266" s="4" t="s">
        <v>659</v>
      </c>
      <c r="D266" s="4" t="s">
        <v>1151</v>
      </c>
      <c r="E266" s="5">
        <v>18003</v>
      </c>
      <c r="F266" s="18" t="s">
        <v>579</v>
      </c>
      <c r="G266" s="18" t="s">
        <v>694</v>
      </c>
      <c r="H266" s="4" t="s">
        <v>603</v>
      </c>
      <c r="I266" s="4" t="s">
        <v>686</v>
      </c>
      <c r="K266" s="2" t="s">
        <v>85</v>
      </c>
      <c r="L266" s="14" t="str">
        <f t="shared" si="42"/>
        <v>Redemptoris nostri cruciatus (18 marzo 8003) | Pio XII</v>
      </c>
      <c r="M266" s="14" t="str">
        <f t="shared" si="43"/>
        <v>Enciclica Redemptoris nostri cruciatus</v>
      </c>
      <c r="N266" s="14" t="str">
        <f t="shared" si="44"/>
        <v>Enciclica Redemptoris nostri cruciatus</v>
      </c>
      <c r="O266" s="14" t="str">
        <f t="shared" si="40"/>
        <v>1949/04/15</v>
      </c>
      <c r="P266" s="14" t="str">
        <f t="shared" si="45"/>
        <v>Pio XII, Lettera Enciclica Redemptoris nostri cruciatus, 18 marzo 8003</v>
      </c>
      <c r="Q266" s="14" t="str">
        <f t="shared" si="41"/>
        <v>1949-04-15T08:00:00.000+02:00</v>
      </c>
      <c r="R266" s="14" t="str">
        <f t="shared" si="46"/>
        <v>pixii-enc-</v>
      </c>
      <c r="S266" s="14" t="str">
        <f t="shared" si="47"/>
        <v>Pius XII - Litterae Encyclicae - Redemptoris nostri cruciatus</v>
      </c>
    </row>
    <row r="267" spans="1:19" x14ac:dyDescent="0.25">
      <c r="A267" s="12">
        <v>266</v>
      </c>
      <c r="B267" s="17" t="s">
        <v>663</v>
      </c>
      <c r="C267" s="4" t="s">
        <v>659</v>
      </c>
      <c r="D267" s="4" t="s">
        <v>1151</v>
      </c>
      <c r="E267" s="5">
        <v>18334</v>
      </c>
      <c r="F267" s="18" t="s">
        <v>579</v>
      </c>
      <c r="G267" s="18" t="s">
        <v>694</v>
      </c>
      <c r="H267" s="4" t="s">
        <v>603</v>
      </c>
      <c r="I267" s="4" t="s">
        <v>686</v>
      </c>
      <c r="K267" s="2" t="s">
        <v>86</v>
      </c>
      <c r="L267" s="14" t="str">
        <f t="shared" si="42"/>
        <v>Anni Sacri (18 settembre 8334) | Pio XII</v>
      </c>
      <c r="M267" s="14" t="str">
        <f t="shared" si="43"/>
        <v>Enciclica Anni Sacri</v>
      </c>
      <c r="N267" s="14" t="str">
        <f t="shared" si="44"/>
        <v>Enciclica Anni Sacri</v>
      </c>
      <c r="O267" s="14" t="str">
        <f t="shared" si="40"/>
        <v>1950/03/12</v>
      </c>
      <c r="P267" s="14" t="str">
        <f t="shared" si="45"/>
        <v>Pio XII, Lettera Enciclica Anni Sacri, 18 settembre 8334</v>
      </c>
      <c r="Q267" s="14" t="str">
        <f t="shared" si="41"/>
        <v>1950-03-12T08:00:00.000+02:00</v>
      </c>
      <c r="R267" s="14" t="str">
        <f t="shared" si="46"/>
        <v>pixii-enc-</v>
      </c>
      <c r="S267" s="14" t="str">
        <f t="shared" si="47"/>
        <v>Pius XII - Litterae Encyclicae - Anni Sacri</v>
      </c>
    </row>
    <row r="268" spans="1:19" x14ac:dyDescent="0.25">
      <c r="A268" s="12">
        <v>267</v>
      </c>
      <c r="B268" s="17" t="s">
        <v>663</v>
      </c>
      <c r="C268" s="4" t="s">
        <v>659</v>
      </c>
      <c r="D268" s="4" t="s">
        <v>1151</v>
      </c>
      <c r="E268" s="5">
        <v>18463</v>
      </c>
      <c r="F268" s="18" t="s">
        <v>579</v>
      </c>
      <c r="G268" s="18" t="s">
        <v>694</v>
      </c>
      <c r="H268" s="4" t="s">
        <v>603</v>
      </c>
      <c r="I268" s="4" t="s">
        <v>686</v>
      </c>
      <c r="K268" s="2" t="s">
        <v>87</v>
      </c>
      <c r="L268" s="14" t="str">
        <f t="shared" si="42"/>
        <v>Summi maeroris (18 dicembre 8463) | Pio XII</v>
      </c>
      <c r="M268" s="14" t="str">
        <f t="shared" si="43"/>
        <v>Enciclica Summi maeroris</v>
      </c>
      <c r="N268" s="14" t="str">
        <f t="shared" si="44"/>
        <v>Enciclica Summi maeroris</v>
      </c>
      <c r="O268" s="14" t="str">
        <f t="shared" si="40"/>
        <v>1950/07/19</v>
      </c>
      <c r="P268" s="14" t="str">
        <f t="shared" si="45"/>
        <v>Pio XII, Lettera Enciclica Summi maeroris, 18 dicembre 8463</v>
      </c>
      <c r="Q268" s="14" t="str">
        <f t="shared" si="41"/>
        <v>1950-07-19T08:00:00.000+02:00</v>
      </c>
      <c r="R268" s="14" t="str">
        <f t="shared" si="46"/>
        <v>pixii-enc-</v>
      </c>
      <c r="S268" s="14" t="str">
        <f t="shared" si="47"/>
        <v>Pius XII - Litterae Encyclicae - Summi maeroris</v>
      </c>
    </row>
    <row r="269" spans="1:19" x14ac:dyDescent="0.25">
      <c r="A269" s="12">
        <v>268</v>
      </c>
      <c r="B269" s="17" t="s">
        <v>663</v>
      </c>
      <c r="C269" s="4" t="s">
        <v>659</v>
      </c>
      <c r="D269" s="4" t="s">
        <v>1151</v>
      </c>
      <c r="E269" s="5">
        <v>18497</v>
      </c>
      <c r="F269" s="18" t="s">
        <v>579</v>
      </c>
      <c r="G269" s="18" t="s">
        <v>694</v>
      </c>
      <c r="H269" s="4" t="s">
        <v>603</v>
      </c>
      <c r="I269" s="4" t="s">
        <v>686</v>
      </c>
      <c r="K269" s="2" t="s">
        <v>88</v>
      </c>
      <c r="L269" s="14" t="str">
        <f t="shared" si="42"/>
        <v>Humani generis (18 settembre 8497) | Pio XII</v>
      </c>
      <c r="M269" s="14" t="str">
        <f t="shared" si="43"/>
        <v>Enciclica Humani generis</v>
      </c>
      <c r="N269" s="14" t="str">
        <f t="shared" si="44"/>
        <v>Enciclica Humani generis</v>
      </c>
      <c r="O269" s="14" t="str">
        <f t="shared" si="40"/>
        <v>1950/08/22</v>
      </c>
      <c r="P269" s="14" t="str">
        <f t="shared" si="45"/>
        <v>Pio XII, Lettera Enciclica Humani generis, 18 settembre 8497</v>
      </c>
      <c r="Q269" s="14" t="str">
        <f t="shared" si="41"/>
        <v>1950-08-22T08:00:00.000+02:00</v>
      </c>
      <c r="R269" s="14" t="str">
        <f t="shared" si="46"/>
        <v>pixii-enc-</v>
      </c>
      <c r="S269" s="14" t="str">
        <f t="shared" si="47"/>
        <v>Pius XII - Litterae Encyclicae - Humani generis</v>
      </c>
    </row>
    <row r="270" spans="1:19" x14ac:dyDescent="0.25">
      <c r="A270" s="12">
        <v>269</v>
      </c>
      <c r="B270" s="17" t="s">
        <v>663</v>
      </c>
      <c r="C270" s="4" t="s">
        <v>659</v>
      </c>
      <c r="D270" s="4" t="s">
        <v>1151</v>
      </c>
      <c r="E270" s="5">
        <v>18603</v>
      </c>
      <c r="F270" s="18" t="s">
        <v>579</v>
      </c>
      <c r="G270" s="18" t="s">
        <v>694</v>
      </c>
      <c r="H270" s="4" t="s">
        <v>603</v>
      </c>
      <c r="I270" s="4" t="s">
        <v>686</v>
      </c>
      <c r="K270" s="2" t="s">
        <v>89</v>
      </c>
      <c r="L270" s="14" t="str">
        <f t="shared" si="42"/>
        <v>Mirabile illud (18 marzo 8603) | Pio XII</v>
      </c>
      <c r="M270" s="14" t="str">
        <f t="shared" si="43"/>
        <v>Enciclica Mirabile illud</v>
      </c>
      <c r="N270" s="14" t="str">
        <f t="shared" si="44"/>
        <v>Enciclica Mirabile illud</v>
      </c>
      <c r="O270" s="14" t="str">
        <f t="shared" si="40"/>
        <v>1950/12/06</v>
      </c>
      <c r="P270" s="14" t="str">
        <f t="shared" si="45"/>
        <v>Pio XII, Lettera Enciclica Mirabile illud, 18 marzo 8603</v>
      </c>
      <c r="Q270" s="14" t="str">
        <f t="shared" si="41"/>
        <v>1950-12-6T08:00:00.000+02:00</v>
      </c>
      <c r="R270" s="14" t="str">
        <f t="shared" si="46"/>
        <v>pixii-enc-</v>
      </c>
      <c r="S270" s="14" t="str">
        <f t="shared" si="47"/>
        <v>Pius XII - Litterae Encyclicae - Mirabile illud</v>
      </c>
    </row>
    <row r="271" spans="1:19" x14ac:dyDescent="0.25">
      <c r="A271" s="12">
        <v>270</v>
      </c>
      <c r="B271" s="17" t="s">
        <v>663</v>
      </c>
      <c r="C271" s="4" t="s">
        <v>659</v>
      </c>
      <c r="D271" s="4" t="s">
        <v>1151</v>
      </c>
      <c r="E271" s="5">
        <v>18781</v>
      </c>
      <c r="F271" s="18" t="s">
        <v>579</v>
      </c>
      <c r="G271" s="18" t="s">
        <v>694</v>
      </c>
      <c r="H271" s="4" t="s">
        <v>603</v>
      </c>
      <c r="I271" s="4" t="s">
        <v>686</v>
      </c>
      <c r="K271" s="2" t="s">
        <v>90</v>
      </c>
      <c r="L271" s="14" t="str">
        <f t="shared" si="42"/>
        <v>Evangelii praecones (18 giugno 8781) | Pio XII</v>
      </c>
      <c r="M271" s="14" t="str">
        <f t="shared" si="43"/>
        <v>Enciclica Evangelii praecones</v>
      </c>
      <c r="N271" s="14" t="str">
        <f t="shared" si="44"/>
        <v>Enciclica Evangelii praecones</v>
      </c>
      <c r="O271" s="14" t="str">
        <f t="shared" si="40"/>
        <v>1951/06/02</v>
      </c>
      <c r="P271" s="14" t="str">
        <f t="shared" si="45"/>
        <v>Pio XII, Lettera Enciclica Evangelii praecones, 18 giugno 8781</v>
      </c>
      <c r="Q271" s="14" t="str">
        <f t="shared" si="41"/>
        <v>1951-06-2T08:00:00.000+02:00</v>
      </c>
      <c r="R271" s="14" t="str">
        <f t="shared" si="46"/>
        <v>pixii-enc-</v>
      </c>
      <c r="S271" s="14" t="str">
        <f t="shared" si="47"/>
        <v>Pius XII - Litterae Encyclicae - Evangelii praecones</v>
      </c>
    </row>
    <row r="272" spans="1:19" x14ac:dyDescent="0.25">
      <c r="A272" s="12">
        <v>271</v>
      </c>
      <c r="B272" s="17" t="s">
        <v>663</v>
      </c>
      <c r="C272" s="4" t="s">
        <v>659</v>
      </c>
      <c r="D272" s="4" t="s">
        <v>1151</v>
      </c>
      <c r="E272" s="5">
        <v>18879</v>
      </c>
      <c r="F272" s="18" t="s">
        <v>579</v>
      </c>
      <c r="G272" s="18" t="s">
        <v>694</v>
      </c>
      <c r="H272" s="4" t="s">
        <v>603</v>
      </c>
      <c r="I272" s="4" t="s">
        <v>686</v>
      </c>
      <c r="K272" s="2" t="s">
        <v>91</v>
      </c>
      <c r="L272" s="14" t="str">
        <f t="shared" si="42"/>
        <v>Sempiternus Rex Christus (18 aprile 8879) | Pio XII</v>
      </c>
      <c r="M272" s="14" t="str">
        <f t="shared" si="43"/>
        <v>Enciclica Sempiternus Rex Christus</v>
      </c>
      <c r="N272" s="14" t="str">
        <f t="shared" si="44"/>
        <v>Enciclica Sempiternus Rex Christus</v>
      </c>
      <c r="O272" s="14" t="str">
        <f t="shared" si="40"/>
        <v>1951/09/08</v>
      </c>
      <c r="P272" s="14" t="str">
        <f t="shared" si="45"/>
        <v>Pio XII, Lettera Enciclica Sempiternus Rex Christus, 18 aprile 8879</v>
      </c>
      <c r="Q272" s="14" t="str">
        <f t="shared" si="41"/>
        <v>1951-09-8T08:00:00.000+02:00</v>
      </c>
      <c r="R272" s="14" t="str">
        <f t="shared" si="46"/>
        <v>pixii-enc-</v>
      </c>
      <c r="S272" s="14" t="str">
        <f t="shared" si="47"/>
        <v>Pius XII - Litterae Encyclicae - Sempiternus Rex Christus</v>
      </c>
    </row>
    <row r="273" spans="1:19" x14ac:dyDescent="0.25">
      <c r="A273" s="12">
        <v>272</v>
      </c>
      <c r="B273" s="17" t="s">
        <v>663</v>
      </c>
      <c r="C273" s="4" t="s">
        <v>659</v>
      </c>
      <c r="D273" s="4" t="s">
        <v>1151</v>
      </c>
      <c r="E273" s="5">
        <v>18886</v>
      </c>
      <c r="F273" s="18" t="s">
        <v>579</v>
      </c>
      <c r="G273" s="18" t="s">
        <v>694</v>
      </c>
      <c r="H273" s="4" t="s">
        <v>603</v>
      </c>
      <c r="I273" s="4" t="s">
        <v>686</v>
      </c>
      <c r="K273" s="2" t="s">
        <v>92</v>
      </c>
      <c r="L273" s="14" t="str">
        <f t="shared" si="42"/>
        <v>Ingruentium malorum (18 ottobre 8886) | Pio XII</v>
      </c>
      <c r="M273" s="14" t="str">
        <f t="shared" si="43"/>
        <v>Enciclica Ingruentium malorum</v>
      </c>
      <c r="N273" s="14" t="str">
        <f t="shared" si="44"/>
        <v>Enciclica Ingruentium malorum</v>
      </c>
      <c r="O273" s="14" t="str">
        <f t="shared" si="40"/>
        <v>1951/09/15</v>
      </c>
      <c r="P273" s="14" t="str">
        <f t="shared" si="45"/>
        <v>Pio XII, Lettera Enciclica Ingruentium malorum, 18 ottobre 8886</v>
      </c>
      <c r="Q273" s="14" t="str">
        <f t="shared" si="41"/>
        <v>1951-09-15T08:00:00.000+02:00</v>
      </c>
      <c r="R273" s="14" t="str">
        <f t="shared" si="46"/>
        <v>pixii-enc-</v>
      </c>
      <c r="S273" s="14" t="str">
        <f t="shared" si="47"/>
        <v>Pius XII - Litterae Encyclicae - Ingruentium malorum</v>
      </c>
    </row>
    <row r="274" spans="1:19" x14ac:dyDescent="0.25">
      <c r="A274" s="12">
        <v>273</v>
      </c>
      <c r="B274" s="17" t="s">
        <v>663</v>
      </c>
      <c r="C274" s="4" t="s">
        <v>659</v>
      </c>
      <c r="D274" s="4" t="s">
        <v>1151</v>
      </c>
      <c r="E274" s="5">
        <v>19343</v>
      </c>
      <c r="F274" s="18" t="s">
        <v>579</v>
      </c>
      <c r="G274" s="18" t="s">
        <v>694</v>
      </c>
      <c r="H274" s="4" t="s">
        <v>603</v>
      </c>
      <c r="I274" s="4" t="s">
        <v>686</v>
      </c>
      <c r="K274" s="2" t="s">
        <v>93</v>
      </c>
      <c r="L274" s="14" t="str">
        <f t="shared" si="42"/>
        <v>Orientales Ecclesias (19 maggio 9343) | Pio XII</v>
      </c>
      <c r="M274" s="14" t="str">
        <f t="shared" si="43"/>
        <v>Enciclica Orientales Ecclesias</v>
      </c>
      <c r="N274" s="14" t="str">
        <f t="shared" si="44"/>
        <v>Enciclica Orientales Ecclesias</v>
      </c>
      <c r="O274" s="14" t="str">
        <f t="shared" si="40"/>
        <v>1952/12/15</v>
      </c>
      <c r="P274" s="14" t="str">
        <f t="shared" si="45"/>
        <v>Pio XII, Lettera Enciclica Orientales Ecclesias, 19 maggio 9343</v>
      </c>
      <c r="Q274" s="14" t="str">
        <f t="shared" si="41"/>
        <v>1952-12-15T08:00:00.000+02:00</v>
      </c>
      <c r="R274" s="14" t="str">
        <f t="shared" si="46"/>
        <v>pixii-enc-</v>
      </c>
      <c r="S274" s="14" t="str">
        <f t="shared" si="47"/>
        <v>Pius XII - Litterae Encyclicae - Orientales Ecclesias</v>
      </c>
    </row>
    <row r="275" spans="1:19" x14ac:dyDescent="0.25">
      <c r="A275" s="12">
        <v>274</v>
      </c>
      <c r="B275" s="17" t="s">
        <v>663</v>
      </c>
      <c r="C275" s="4" t="s">
        <v>659</v>
      </c>
      <c r="D275" s="4" t="s">
        <v>1151</v>
      </c>
      <c r="E275" s="5">
        <v>19503</v>
      </c>
      <c r="F275" s="18" t="s">
        <v>579</v>
      </c>
      <c r="G275" s="18" t="s">
        <v>694</v>
      </c>
      <c r="H275" s="4" t="s">
        <v>603</v>
      </c>
      <c r="I275" s="4" t="s">
        <v>686</v>
      </c>
      <c r="K275" s="2" t="s">
        <v>94</v>
      </c>
      <c r="L275" s="14" t="str">
        <f t="shared" si="42"/>
        <v>Doctor Mellifluus (19 marzo 9503) | Pio XII</v>
      </c>
      <c r="M275" s="14" t="str">
        <f t="shared" si="43"/>
        <v>Enciclica Doctor Mellifluus</v>
      </c>
      <c r="N275" s="14" t="str">
        <f t="shared" si="44"/>
        <v>Enciclica Doctor Mellifluus</v>
      </c>
      <c r="O275" s="14" t="str">
        <f t="shared" si="40"/>
        <v>1953/05/24</v>
      </c>
      <c r="P275" s="14" t="str">
        <f t="shared" si="45"/>
        <v>Pio XII, Lettera Enciclica Doctor Mellifluus, 19 marzo 9503</v>
      </c>
      <c r="Q275" s="14" t="str">
        <f t="shared" si="41"/>
        <v>1953-05-24T08:00:00.000+02:00</v>
      </c>
      <c r="R275" s="14" t="str">
        <f t="shared" si="46"/>
        <v>pixii-enc-</v>
      </c>
      <c r="S275" s="14" t="str">
        <f t="shared" si="47"/>
        <v>Pius XII - Litterae Encyclicae - Doctor Mellifluus</v>
      </c>
    </row>
    <row r="276" spans="1:19" x14ac:dyDescent="0.25">
      <c r="A276" s="12">
        <v>275</v>
      </c>
      <c r="B276" s="17" t="s">
        <v>663</v>
      </c>
      <c r="C276" s="4" t="s">
        <v>659</v>
      </c>
      <c r="D276" s="4" t="s">
        <v>1151</v>
      </c>
      <c r="E276" s="5">
        <v>19610</v>
      </c>
      <c r="F276" s="18" t="s">
        <v>579</v>
      </c>
      <c r="G276" s="18" t="s">
        <v>694</v>
      </c>
      <c r="H276" s="4" t="s">
        <v>603</v>
      </c>
      <c r="I276" s="4" t="s">
        <v>686</v>
      </c>
      <c r="K276" s="2" t="s">
        <v>95</v>
      </c>
      <c r="L276" s="14" t="str">
        <f t="shared" si="42"/>
        <v>Fulgens corona (19 ottobre 9610) | Pio XII</v>
      </c>
      <c r="M276" s="14" t="str">
        <f t="shared" si="43"/>
        <v>Enciclica Fulgens corona</v>
      </c>
      <c r="N276" s="14" t="str">
        <f t="shared" si="44"/>
        <v>Enciclica Fulgens corona</v>
      </c>
      <c r="O276" s="14" t="str">
        <f t="shared" si="40"/>
        <v>1953/09/08</v>
      </c>
      <c r="P276" s="14" t="str">
        <f t="shared" si="45"/>
        <v>Pio XII, Lettera Enciclica Fulgens corona, 19 ottobre 9610</v>
      </c>
      <c r="Q276" s="14" t="str">
        <f t="shared" si="41"/>
        <v>1953-09-8T08:00:00.000+02:00</v>
      </c>
      <c r="R276" s="14" t="str">
        <f t="shared" si="46"/>
        <v>pixii-enc-</v>
      </c>
      <c r="S276" s="14" t="str">
        <f t="shared" si="47"/>
        <v>Pius XII - Litterae Encyclicae - Fulgens corona</v>
      </c>
    </row>
    <row r="277" spans="1:19" x14ac:dyDescent="0.25">
      <c r="A277" s="12">
        <v>276</v>
      </c>
      <c r="B277" s="17" t="s">
        <v>663</v>
      </c>
      <c r="C277" s="4" t="s">
        <v>659</v>
      </c>
      <c r="D277" s="4" t="s">
        <v>1151</v>
      </c>
      <c r="E277" s="5">
        <v>19808</v>
      </c>
      <c r="F277" s="18" t="s">
        <v>579</v>
      </c>
      <c r="G277" s="18" t="s">
        <v>694</v>
      </c>
      <c r="H277" s="4" t="s">
        <v>603</v>
      </c>
      <c r="I277" s="4" t="s">
        <v>686</v>
      </c>
      <c r="K277" s="2" t="s">
        <v>96</v>
      </c>
      <c r="L277" s="14" t="str">
        <f t="shared" si="42"/>
        <v>Sacra virginitas (19 agosto 9808) | Pio XII</v>
      </c>
      <c r="M277" s="14" t="str">
        <f t="shared" si="43"/>
        <v>Enciclica Sacra virginitas</v>
      </c>
      <c r="N277" s="14" t="str">
        <f t="shared" si="44"/>
        <v>Enciclica Sacra virginitas</v>
      </c>
      <c r="O277" s="14" t="str">
        <f t="shared" ref="O277:O308" si="48">_xlfn.CONCAT(YEAR(E277) &amp; "/" &amp; TEXT(E277,"mm") &amp; "/" &amp; TEXT(E277,"gg"))</f>
        <v>1954/03/25</v>
      </c>
      <c r="P277" s="14" t="str">
        <f t="shared" si="45"/>
        <v>Pio XII, Lettera Enciclica Sacra virginitas, 19 agosto 9808</v>
      </c>
      <c r="Q277" s="14" t="str">
        <f t="shared" ref="Q277:Q308" si="49">CONCATENATE(YEAR(E277) &amp; "-" &amp; TEXT(MONTH(E277),"00") &amp; "-" &amp; DAY(E277) &amp; "T08:00:00.000+02:00")</f>
        <v>1954-03-25T08:00:00.000+02:00</v>
      </c>
      <c r="R277" s="14" t="str">
        <f t="shared" si="46"/>
        <v>pixii-enc-</v>
      </c>
      <c r="S277" s="14" t="str">
        <f t="shared" si="47"/>
        <v>Pius XII - Litterae Encyclicae - Sacra virginitas</v>
      </c>
    </row>
    <row r="278" spans="1:19" x14ac:dyDescent="0.25">
      <c r="A278" s="12">
        <v>277</v>
      </c>
      <c r="B278" s="17" t="s">
        <v>663</v>
      </c>
      <c r="C278" s="4" t="s">
        <v>659</v>
      </c>
      <c r="D278" s="4" t="s">
        <v>1151</v>
      </c>
      <c r="E278" s="5">
        <v>19880</v>
      </c>
      <c r="F278" s="18" t="s">
        <v>579</v>
      </c>
      <c r="G278" s="18" t="s">
        <v>694</v>
      </c>
      <c r="H278" s="4" t="s">
        <v>603</v>
      </c>
      <c r="I278" s="4" t="s">
        <v>686</v>
      </c>
      <c r="K278" s="2" t="s">
        <v>97</v>
      </c>
      <c r="L278" s="14" t="str">
        <f t="shared" si="42"/>
        <v>Ecclesiae fastos (19 maggio 9880) | Pio XII</v>
      </c>
      <c r="M278" s="14" t="str">
        <f t="shared" si="43"/>
        <v>Enciclica Ecclesiae fastos</v>
      </c>
      <c r="N278" s="14" t="str">
        <f t="shared" si="44"/>
        <v>Enciclica Ecclesiae fastos</v>
      </c>
      <c r="O278" s="14" t="str">
        <f t="shared" si="48"/>
        <v>1954/06/05</v>
      </c>
      <c r="P278" s="14" t="str">
        <f t="shared" si="45"/>
        <v>Pio XII, Lettera Enciclica Ecclesiae fastos, 19 maggio 9880</v>
      </c>
      <c r="Q278" s="14" t="str">
        <f t="shared" si="49"/>
        <v>1954-06-5T08:00:00.000+02:00</v>
      </c>
      <c r="R278" s="14" t="str">
        <f t="shared" si="46"/>
        <v>pixii-enc-</v>
      </c>
      <c r="S278" s="14" t="str">
        <f t="shared" si="47"/>
        <v>Pius XII - Litterae Encyclicae - Ecclesiae fastos</v>
      </c>
    </row>
    <row r="279" spans="1:19" x14ac:dyDescent="0.25">
      <c r="A279" s="12">
        <v>278</v>
      </c>
      <c r="B279" s="17" t="s">
        <v>663</v>
      </c>
      <c r="C279" s="4" t="s">
        <v>659</v>
      </c>
      <c r="D279" s="4" t="s">
        <v>1151</v>
      </c>
      <c r="E279" s="5">
        <v>20004</v>
      </c>
      <c r="F279" s="18" t="s">
        <v>579</v>
      </c>
      <c r="G279" s="18" t="s">
        <v>694</v>
      </c>
      <c r="H279" s="4" t="s">
        <v>603</v>
      </c>
      <c r="I279" s="4" t="s">
        <v>686</v>
      </c>
      <c r="K279" s="2" t="s">
        <v>98</v>
      </c>
      <c r="L279" s="14" t="str">
        <f t="shared" si="42"/>
        <v>Ad Sinarum gentem (20 aprile 0004) | Pio XII</v>
      </c>
      <c r="M279" s="14" t="str">
        <f t="shared" si="43"/>
        <v>Enciclica Ad Sinarum gentem</v>
      </c>
      <c r="N279" s="14" t="str">
        <f t="shared" si="44"/>
        <v>Enciclica Ad Sinarum gentem</v>
      </c>
      <c r="O279" s="14" t="str">
        <f t="shared" si="48"/>
        <v>1954/10/07</v>
      </c>
      <c r="P279" s="14" t="str">
        <f t="shared" si="45"/>
        <v>Pio XII, Lettera Enciclica Ad Sinarum gentem, 20 aprile 0004</v>
      </c>
      <c r="Q279" s="14" t="str">
        <f t="shared" si="49"/>
        <v>1954-10-7T08:00:00.000+02:00</v>
      </c>
      <c r="R279" s="14" t="str">
        <f t="shared" si="46"/>
        <v>pixii-enc-</v>
      </c>
      <c r="S279" s="14" t="str">
        <f t="shared" si="47"/>
        <v>Pius XII - Litterae Encyclicae - Ad Sinarum gentem</v>
      </c>
    </row>
    <row r="280" spans="1:19" x14ac:dyDescent="0.25">
      <c r="A280" s="12">
        <v>279</v>
      </c>
      <c r="B280" s="17" t="s">
        <v>663</v>
      </c>
      <c r="C280" s="4" t="s">
        <v>659</v>
      </c>
      <c r="D280" s="4" t="s">
        <v>1151</v>
      </c>
      <c r="E280" s="5">
        <v>20008</v>
      </c>
      <c r="F280" s="18" t="s">
        <v>579</v>
      </c>
      <c r="G280" s="18" t="s">
        <v>694</v>
      </c>
      <c r="H280" s="4" t="s">
        <v>603</v>
      </c>
      <c r="I280" s="4" t="s">
        <v>686</v>
      </c>
      <c r="K280" s="2" t="s">
        <v>99</v>
      </c>
      <c r="L280" s="14" t="str">
        <f t="shared" si="42"/>
        <v>Ad Caeli Reginam (20 agosto 0008) | Pio XII</v>
      </c>
      <c r="M280" s="14" t="str">
        <f t="shared" si="43"/>
        <v>Enciclica Ad Caeli Reginam</v>
      </c>
      <c r="N280" s="14" t="str">
        <f t="shared" si="44"/>
        <v>Enciclica Ad Caeli Reginam</v>
      </c>
      <c r="O280" s="14" t="str">
        <f t="shared" si="48"/>
        <v>1954/10/11</v>
      </c>
      <c r="P280" s="14" t="str">
        <f t="shared" si="45"/>
        <v>Pio XII, Lettera Enciclica Ad Caeli Reginam, 20 agosto 0008</v>
      </c>
      <c r="Q280" s="14" t="str">
        <f t="shared" si="49"/>
        <v>1954-10-11T08:00:00.000+02:00</v>
      </c>
      <c r="R280" s="14" t="str">
        <f t="shared" si="46"/>
        <v>pixii-enc-</v>
      </c>
      <c r="S280" s="14" t="str">
        <f t="shared" si="47"/>
        <v>Pius XII - Litterae Encyclicae - Ad Caeli Reginam</v>
      </c>
    </row>
    <row r="281" spans="1:19" x14ac:dyDescent="0.25">
      <c r="A281" s="12">
        <v>280</v>
      </c>
      <c r="B281" s="17" t="s">
        <v>663</v>
      </c>
      <c r="C281" s="4" t="s">
        <v>659</v>
      </c>
      <c r="D281" s="4" t="s">
        <v>1151</v>
      </c>
      <c r="E281" s="5">
        <v>20448</v>
      </c>
      <c r="F281" s="18" t="s">
        <v>579</v>
      </c>
      <c r="G281" s="18" t="s">
        <v>694</v>
      </c>
      <c r="H281" s="4" t="s">
        <v>603</v>
      </c>
      <c r="I281" s="4" t="s">
        <v>686</v>
      </c>
      <c r="K281" s="2" t="s">
        <v>100</v>
      </c>
      <c r="L281" s="14" t="str">
        <f t="shared" si="42"/>
        <v>Musicae sacrae (20 ottobre 0448) | Pio XII</v>
      </c>
      <c r="M281" s="14" t="str">
        <f t="shared" si="43"/>
        <v>Enciclica Musicae sacrae</v>
      </c>
      <c r="N281" s="14" t="str">
        <f t="shared" si="44"/>
        <v>Enciclica Musicae sacrae</v>
      </c>
      <c r="O281" s="14" t="str">
        <f t="shared" si="48"/>
        <v>1955/12/25</v>
      </c>
      <c r="P281" s="14" t="str">
        <f t="shared" si="45"/>
        <v>Pio XII, Lettera Enciclica Musicae sacrae, 20 ottobre 0448</v>
      </c>
      <c r="Q281" s="14" t="str">
        <f t="shared" si="49"/>
        <v>1955-12-25T08:00:00.000+02:00</v>
      </c>
      <c r="R281" s="14" t="str">
        <f t="shared" si="46"/>
        <v>pixii-enc-</v>
      </c>
      <c r="S281" s="14" t="str">
        <f t="shared" si="47"/>
        <v>Pius XII - Litterae Encyclicae - Musicae sacrae</v>
      </c>
    </row>
    <row r="282" spans="1:19" x14ac:dyDescent="0.25">
      <c r="A282" s="12">
        <v>281</v>
      </c>
      <c r="B282" s="17" t="s">
        <v>663</v>
      </c>
      <c r="C282" s="4" t="s">
        <v>659</v>
      </c>
      <c r="D282" s="4" t="s">
        <v>1151</v>
      </c>
      <c r="E282" s="5">
        <v>20590</v>
      </c>
      <c r="F282" s="18" t="s">
        <v>579</v>
      </c>
      <c r="G282" s="18" t="s">
        <v>694</v>
      </c>
      <c r="H282" s="4" t="s">
        <v>603</v>
      </c>
      <c r="I282" s="4" t="s">
        <v>686</v>
      </c>
      <c r="K282" s="2" t="s">
        <v>101</v>
      </c>
      <c r="L282" s="14" t="str">
        <f t="shared" si="42"/>
        <v>Haurietis aquas (20 febbraio 0590) | Pio XII</v>
      </c>
      <c r="M282" s="14" t="str">
        <f t="shared" si="43"/>
        <v>Enciclica Haurietis aquas</v>
      </c>
      <c r="N282" s="14" t="str">
        <f t="shared" si="44"/>
        <v>Enciclica Haurietis aquas</v>
      </c>
      <c r="O282" s="14" t="str">
        <f t="shared" si="48"/>
        <v>1956/05/15</v>
      </c>
      <c r="P282" s="14" t="str">
        <f t="shared" si="45"/>
        <v>Pio XII, Lettera Enciclica Haurietis aquas, 20 febbraio 0590</v>
      </c>
      <c r="Q282" s="14" t="str">
        <f t="shared" si="49"/>
        <v>1956-05-15T08:00:00.000+02:00</v>
      </c>
      <c r="R282" s="14" t="str">
        <f t="shared" si="46"/>
        <v>pixii-enc-</v>
      </c>
      <c r="S282" s="14" t="str">
        <f t="shared" si="47"/>
        <v>Pius XII - Litterae Encyclicae - Haurietis aquas</v>
      </c>
    </row>
    <row r="283" spans="1:19" x14ac:dyDescent="0.25">
      <c r="A283" s="12">
        <v>282</v>
      </c>
      <c r="B283" s="17" t="s">
        <v>663</v>
      </c>
      <c r="C283" s="4" t="s">
        <v>659</v>
      </c>
      <c r="D283" s="4" t="s">
        <v>1151</v>
      </c>
      <c r="E283" s="5">
        <v>20756</v>
      </c>
      <c r="F283" s="18" t="s">
        <v>579</v>
      </c>
      <c r="G283" s="18" t="s">
        <v>694</v>
      </c>
      <c r="H283" s="4" t="s">
        <v>603</v>
      </c>
      <c r="I283" s="4" t="s">
        <v>686</v>
      </c>
      <c r="K283" s="2" t="s">
        <v>102</v>
      </c>
      <c r="L283" s="14" t="str">
        <f t="shared" si="42"/>
        <v>Luctuosissimi eventus (20 giugno 0756) | Pio XII</v>
      </c>
      <c r="M283" s="14" t="str">
        <f t="shared" si="43"/>
        <v>Enciclica Luctuosissimi eventus</v>
      </c>
      <c r="N283" s="14" t="str">
        <f t="shared" si="44"/>
        <v>Enciclica Luctuosissimi eventus</v>
      </c>
      <c r="O283" s="14" t="str">
        <f t="shared" si="48"/>
        <v>1956/10/28</v>
      </c>
      <c r="P283" s="14" t="str">
        <f t="shared" si="45"/>
        <v>Pio XII, Lettera Enciclica Luctuosissimi eventus, 20 giugno 0756</v>
      </c>
      <c r="Q283" s="14" t="str">
        <f t="shared" si="49"/>
        <v>1956-10-28T08:00:00.000+02:00</v>
      </c>
      <c r="R283" s="14" t="str">
        <f t="shared" si="46"/>
        <v>pixii-enc-</v>
      </c>
      <c r="S283" s="14" t="str">
        <f t="shared" si="47"/>
        <v>Pius XII - Litterae Encyclicae - Luctuosissimi eventus</v>
      </c>
    </row>
    <row r="284" spans="1:19" x14ac:dyDescent="0.25">
      <c r="A284" s="12">
        <v>283</v>
      </c>
      <c r="B284" s="17" t="s">
        <v>663</v>
      </c>
      <c r="C284" s="4" t="s">
        <v>659</v>
      </c>
      <c r="D284" s="4" t="s">
        <v>1151</v>
      </c>
      <c r="E284" s="5">
        <v>20760</v>
      </c>
      <c r="F284" s="18" t="s">
        <v>579</v>
      </c>
      <c r="G284" s="18" t="s">
        <v>694</v>
      </c>
      <c r="H284" s="4" t="s">
        <v>603</v>
      </c>
      <c r="I284" s="4" t="s">
        <v>686</v>
      </c>
      <c r="K284" s="2" t="s">
        <v>103</v>
      </c>
      <c r="L284" s="14" t="str">
        <f t="shared" si="42"/>
        <v>Laetamur admodum (20 ottobre 0760) | Pio XII</v>
      </c>
      <c r="M284" s="14" t="str">
        <f t="shared" si="43"/>
        <v>Enciclica Laetamur admodum</v>
      </c>
      <c r="N284" s="14" t="str">
        <f t="shared" si="44"/>
        <v>Enciclica Laetamur admodum</v>
      </c>
      <c r="O284" s="14" t="str">
        <f t="shared" si="48"/>
        <v>1956/11/01</v>
      </c>
      <c r="P284" s="14" t="str">
        <f t="shared" si="45"/>
        <v>Pio XII, Lettera Enciclica Laetamur admodum, 20 ottobre 0760</v>
      </c>
      <c r="Q284" s="14" t="str">
        <f t="shared" si="49"/>
        <v>1956-11-1T08:00:00.000+02:00</v>
      </c>
      <c r="R284" s="14" t="str">
        <f t="shared" si="46"/>
        <v>pixii-enc-</v>
      </c>
      <c r="S284" s="14" t="str">
        <f t="shared" si="47"/>
        <v>Pius XII - Litterae Encyclicae - Laetamur admodum</v>
      </c>
    </row>
    <row r="285" spans="1:19" x14ac:dyDescent="0.25">
      <c r="A285" s="12">
        <v>284</v>
      </c>
      <c r="B285" s="17" t="s">
        <v>663</v>
      </c>
      <c r="C285" s="4" t="s">
        <v>659</v>
      </c>
      <c r="D285" s="4" t="s">
        <v>1151</v>
      </c>
      <c r="E285" s="5">
        <v>20764</v>
      </c>
      <c r="F285" s="18" t="s">
        <v>579</v>
      </c>
      <c r="G285" s="18" t="s">
        <v>694</v>
      </c>
      <c r="H285" s="4" t="s">
        <v>603</v>
      </c>
      <c r="I285" s="4" t="s">
        <v>686</v>
      </c>
      <c r="K285" s="2" t="s">
        <v>104</v>
      </c>
      <c r="L285" s="14" t="str">
        <f t="shared" si="42"/>
        <v>Datis nuperrime (20 gennaio 0764) | Pio XII</v>
      </c>
      <c r="M285" s="14" t="str">
        <f t="shared" si="43"/>
        <v>Enciclica Datis nuperrime</v>
      </c>
      <c r="N285" s="14" t="str">
        <f t="shared" si="44"/>
        <v>Enciclica Datis nuperrime</v>
      </c>
      <c r="O285" s="14" t="str">
        <f t="shared" si="48"/>
        <v>1956/11/05</v>
      </c>
      <c r="P285" s="14" t="str">
        <f t="shared" si="45"/>
        <v>Pio XII, Lettera Enciclica Datis nuperrime, 20 gennaio 0764</v>
      </c>
      <c r="Q285" s="14" t="str">
        <f t="shared" si="49"/>
        <v>1956-11-5T08:00:00.000+02:00</v>
      </c>
      <c r="R285" s="14" t="str">
        <f t="shared" si="46"/>
        <v>pixii-enc-</v>
      </c>
      <c r="S285" s="14" t="str">
        <f t="shared" si="47"/>
        <v>Pius XII - Litterae Encyclicae - Datis nuperrime</v>
      </c>
    </row>
    <row r="286" spans="1:19" x14ac:dyDescent="0.25">
      <c r="A286" s="12">
        <v>285</v>
      </c>
      <c r="B286" s="17" t="s">
        <v>663</v>
      </c>
      <c r="C286" s="4" t="s">
        <v>659</v>
      </c>
      <c r="D286" s="4" t="s">
        <v>1151</v>
      </c>
      <c r="E286" s="5">
        <v>20931</v>
      </c>
      <c r="F286" s="18" t="s">
        <v>579</v>
      </c>
      <c r="G286" s="18" t="s">
        <v>694</v>
      </c>
      <c r="H286" s="4" t="s">
        <v>603</v>
      </c>
      <c r="I286" s="4" t="s">
        <v>686</v>
      </c>
      <c r="K286" s="2" t="s">
        <v>105</v>
      </c>
      <c r="L286" s="14" t="str">
        <f t="shared" si="42"/>
        <v>Fidei donum (20 giugno 0931) | Pio XII</v>
      </c>
      <c r="M286" s="14" t="str">
        <f t="shared" si="43"/>
        <v>Enciclica Fidei donum</v>
      </c>
      <c r="N286" s="14" t="str">
        <f t="shared" si="44"/>
        <v>Enciclica Fidei donum</v>
      </c>
      <c r="O286" s="14" t="str">
        <f t="shared" si="48"/>
        <v>1957/04/21</v>
      </c>
      <c r="P286" s="14" t="str">
        <f t="shared" si="45"/>
        <v>Pio XII, Lettera Enciclica Fidei donum, 20 giugno 0931</v>
      </c>
      <c r="Q286" s="14" t="str">
        <f t="shared" si="49"/>
        <v>1957-04-21T08:00:00.000+02:00</v>
      </c>
      <c r="R286" s="14" t="str">
        <f t="shared" si="46"/>
        <v>pixii-enc-</v>
      </c>
      <c r="S286" s="14" t="str">
        <f t="shared" si="47"/>
        <v>Pius XII - Litterae Encyclicae - Fidei donum</v>
      </c>
    </row>
    <row r="287" spans="1:19" x14ac:dyDescent="0.25">
      <c r="A287" s="12">
        <v>286</v>
      </c>
      <c r="B287" s="17" t="s">
        <v>663</v>
      </c>
      <c r="C287" s="4" t="s">
        <v>659</v>
      </c>
      <c r="D287" s="4" t="s">
        <v>1151</v>
      </c>
      <c r="E287" s="5">
        <v>20956</v>
      </c>
      <c r="F287" s="18" t="s">
        <v>579</v>
      </c>
      <c r="G287" s="18" t="s">
        <v>694</v>
      </c>
      <c r="H287" s="4" t="s">
        <v>603</v>
      </c>
      <c r="I287" s="4" t="s">
        <v>686</v>
      </c>
      <c r="K287" s="2" t="s">
        <v>106</v>
      </c>
      <c r="L287" s="14" t="str">
        <f t="shared" si="42"/>
        <v>Invicti athletae Christi (20 giugno 0956) | Pio XII</v>
      </c>
      <c r="M287" s="14" t="str">
        <f t="shared" si="43"/>
        <v>Enciclica Invicti athletae Christi</v>
      </c>
      <c r="N287" s="14" t="str">
        <f t="shared" si="44"/>
        <v>Enciclica Invicti athletae Christi</v>
      </c>
      <c r="O287" s="14" t="str">
        <f t="shared" si="48"/>
        <v>1957/05/16</v>
      </c>
      <c r="P287" s="14" t="str">
        <f t="shared" si="45"/>
        <v>Pio XII, Lettera Enciclica Invicti athletae Christi, 20 giugno 0956</v>
      </c>
      <c r="Q287" s="14" t="str">
        <f t="shared" si="49"/>
        <v>1957-05-16T08:00:00.000+02:00</v>
      </c>
      <c r="R287" s="14" t="str">
        <f t="shared" si="46"/>
        <v>pixii-enc-</v>
      </c>
      <c r="S287" s="14" t="str">
        <f t="shared" si="47"/>
        <v>Pius XII - Litterae Encyclicae - Invicti athletae Christi</v>
      </c>
    </row>
    <row r="288" spans="1:19" x14ac:dyDescent="0.25">
      <c r="A288" s="12">
        <v>287</v>
      </c>
      <c r="B288" s="17" t="s">
        <v>663</v>
      </c>
      <c r="C288" s="4" t="s">
        <v>659</v>
      </c>
      <c r="D288" s="4" t="s">
        <v>1151</v>
      </c>
      <c r="E288" s="5">
        <v>21003</v>
      </c>
      <c r="F288" s="18" t="s">
        <v>579</v>
      </c>
      <c r="G288" s="18" t="s">
        <v>694</v>
      </c>
      <c r="H288" s="4" t="s">
        <v>603</v>
      </c>
      <c r="I288" s="4" t="s">
        <v>686</v>
      </c>
      <c r="K288" s="2" t="s">
        <v>107</v>
      </c>
      <c r="L288" s="14" t="str">
        <f t="shared" si="42"/>
        <v>Le pèlerinage de Lourdes (21 marzo 1003) | Pio XII</v>
      </c>
      <c r="M288" s="14" t="str">
        <f t="shared" si="43"/>
        <v>Enciclica Le pèlerinage de Lourdes</v>
      </c>
      <c r="N288" s="14" t="str">
        <f t="shared" si="44"/>
        <v>Enciclica Le pèlerinage de Lourdes</v>
      </c>
      <c r="O288" s="14" t="str">
        <f t="shared" si="48"/>
        <v>1957/07/02</v>
      </c>
      <c r="P288" s="14" t="str">
        <f t="shared" si="45"/>
        <v>Pio XII, Lettera Enciclica Le pèlerinage de Lourdes, 21 marzo 1003</v>
      </c>
      <c r="Q288" s="14" t="str">
        <f t="shared" si="49"/>
        <v>1957-07-2T08:00:00.000+02:00</v>
      </c>
      <c r="R288" s="14" t="str">
        <f t="shared" si="46"/>
        <v>pixii-enc-</v>
      </c>
      <c r="S288" s="14" t="str">
        <f t="shared" si="47"/>
        <v>Pius XII - Litterae Encyclicae - Le pèlerinage de Lourdes</v>
      </c>
    </row>
    <row r="289" spans="1:19" x14ac:dyDescent="0.25">
      <c r="A289" s="12">
        <v>288</v>
      </c>
      <c r="B289" s="17" t="s">
        <v>663</v>
      </c>
      <c r="C289" s="4" t="s">
        <v>659</v>
      </c>
      <c r="D289" s="4" t="s">
        <v>1151</v>
      </c>
      <c r="E289" s="5">
        <v>21071</v>
      </c>
      <c r="F289" s="18" t="s">
        <v>579</v>
      </c>
      <c r="G289" s="18" t="s">
        <v>694</v>
      </c>
      <c r="H289" s="4" t="s">
        <v>603</v>
      </c>
      <c r="I289" s="4" t="s">
        <v>686</v>
      </c>
      <c r="K289" s="2" t="s">
        <v>108</v>
      </c>
      <c r="L289" s="14" t="str">
        <f t="shared" si="42"/>
        <v>Miranda prorsus (21 agosto 1071) | Pio XII</v>
      </c>
      <c r="M289" s="14" t="str">
        <f t="shared" si="43"/>
        <v>Enciclica Miranda prorsus</v>
      </c>
      <c r="N289" s="14" t="str">
        <f t="shared" si="44"/>
        <v>Enciclica Miranda prorsus</v>
      </c>
      <c r="O289" s="14" t="str">
        <f t="shared" si="48"/>
        <v>1957/09/08</v>
      </c>
      <c r="P289" s="14" t="str">
        <f t="shared" si="45"/>
        <v>Pio XII, Lettera Enciclica Miranda prorsus, 21 agosto 1071</v>
      </c>
      <c r="Q289" s="14" t="str">
        <f t="shared" si="49"/>
        <v>1957-09-8T08:00:00.000+02:00</v>
      </c>
      <c r="R289" s="14" t="str">
        <f t="shared" si="46"/>
        <v>pixii-enc-</v>
      </c>
      <c r="S289" s="14" t="str">
        <f t="shared" si="47"/>
        <v>Pius XII - Litterae Encyclicae - Miranda prorsus</v>
      </c>
    </row>
    <row r="290" spans="1:19" x14ac:dyDescent="0.25">
      <c r="A290" s="12">
        <v>289</v>
      </c>
      <c r="B290" s="17" t="s">
        <v>663</v>
      </c>
      <c r="C290" s="4" t="s">
        <v>659</v>
      </c>
      <c r="D290" s="4" t="s">
        <v>1151</v>
      </c>
      <c r="E290" s="5">
        <v>21365</v>
      </c>
      <c r="F290" s="18" t="s">
        <v>579</v>
      </c>
      <c r="G290" s="18" t="s">
        <v>694</v>
      </c>
      <c r="H290" s="4" t="s">
        <v>603</v>
      </c>
      <c r="I290" s="4" t="s">
        <v>686</v>
      </c>
      <c r="K290" s="2" t="s">
        <v>109</v>
      </c>
      <c r="L290" s="14" t="str">
        <f t="shared" si="42"/>
        <v>Ad Apostolorum principis (21 febbraio 1365) | Pio XII</v>
      </c>
      <c r="M290" s="14" t="str">
        <f t="shared" si="43"/>
        <v>Enciclica Ad Apostolorum principis</v>
      </c>
      <c r="N290" s="14" t="str">
        <f t="shared" si="44"/>
        <v>Enciclica Ad Apostolorum principis</v>
      </c>
      <c r="O290" s="14" t="str">
        <f t="shared" si="48"/>
        <v>1958/06/29</v>
      </c>
      <c r="P290" s="14" t="str">
        <f t="shared" si="45"/>
        <v>Pio XII, Lettera Enciclica Ad Apostolorum principis, 21 febbraio 1365</v>
      </c>
      <c r="Q290" s="14" t="str">
        <f t="shared" si="49"/>
        <v>1958-06-29T08:00:00.000+02:00</v>
      </c>
      <c r="R290" s="14" t="str">
        <f t="shared" si="46"/>
        <v>pixii-enc-</v>
      </c>
      <c r="S290" s="14" t="str">
        <f t="shared" si="47"/>
        <v>Pius XII - Litterae Encyclicae - Ad Apostolorum principis</v>
      </c>
    </row>
    <row r="291" spans="1:19" x14ac:dyDescent="0.25">
      <c r="A291" s="12">
        <v>290</v>
      </c>
      <c r="B291" s="17" t="s">
        <v>663</v>
      </c>
      <c r="C291" s="4" t="s">
        <v>659</v>
      </c>
      <c r="D291" s="4" t="s">
        <v>1151</v>
      </c>
      <c r="E291" s="5">
        <v>21380</v>
      </c>
      <c r="F291" s="18" t="s">
        <v>579</v>
      </c>
      <c r="G291" s="18" t="s">
        <v>694</v>
      </c>
      <c r="H291" s="4" t="s">
        <v>603</v>
      </c>
      <c r="I291" s="4" t="s">
        <v>686</v>
      </c>
      <c r="K291" s="2" t="s">
        <v>110</v>
      </c>
      <c r="L291" s="14" t="str">
        <f t="shared" si="42"/>
        <v>Meminisse iuvat (21 maggio 1380) | Pio XII</v>
      </c>
      <c r="M291" s="14" t="str">
        <f t="shared" si="43"/>
        <v>Enciclica Meminisse iuvat</v>
      </c>
      <c r="N291" s="14" t="str">
        <f t="shared" si="44"/>
        <v>Enciclica Meminisse iuvat</v>
      </c>
      <c r="O291" s="14" t="str">
        <f t="shared" si="48"/>
        <v>1958/07/14</v>
      </c>
      <c r="P291" s="14" t="str">
        <f t="shared" si="45"/>
        <v>Pio XII, Lettera Enciclica Meminisse iuvat, 21 maggio 1380</v>
      </c>
      <c r="Q291" s="14" t="str">
        <f t="shared" si="49"/>
        <v>1958-07-14T08:00:00.000+02:00</v>
      </c>
      <c r="R291" s="14" t="str">
        <f t="shared" si="46"/>
        <v>pixii-enc-</v>
      </c>
      <c r="S291" s="14" t="str">
        <f t="shared" si="47"/>
        <v>Pius XII - Litterae Encyclicae - Meminisse iuvat</v>
      </c>
    </row>
    <row r="292" spans="1:19" x14ac:dyDescent="0.25">
      <c r="A292" s="12">
        <v>291</v>
      </c>
      <c r="B292" s="17" t="s">
        <v>658</v>
      </c>
      <c r="C292" s="4" t="s">
        <v>657</v>
      </c>
      <c r="D292" s="4" t="s">
        <v>1152</v>
      </c>
      <c r="E292" s="5">
        <v>21730</v>
      </c>
      <c r="F292" s="18" t="s">
        <v>579</v>
      </c>
      <c r="G292" s="18" t="s">
        <v>694</v>
      </c>
      <c r="H292" s="4" t="s">
        <v>603</v>
      </c>
      <c r="I292" s="4" t="s">
        <v>686</v>
      </c>
      <c r="K292" s="2" t="s">
        <v>60</v>
      </c>
      <c r="L292" s="14" t="str">
        <f t="shared" si="42"/>
        <v>Ad Petri Cathedram (21 maggio 1730) | Giovanni XXIII</v>
      </c>
      <c r="M292" s="14" t="str">
        <f t="shared" si="43"/>
        <v>Enciclica Ad Petri Cathedram</v>
      </c>
      <c r="N292" s="14" t="str">
        <f t="shared" si="44"/>
        <v>Enciclica Ad Petri Cathedram</v>
      </c>
      <c r="O292" s="14" t="str">
        <f t="shared" si="48"/>
        <v>1959/06/29</v>
      </c>
      <c r="P292" s="14" t="str">
        <f t="shared" si="45"/>
        <v>Giovanni XXIII, Lettera Enciclica Ad Petri Cathedram, 21 maggio 1730</v>
      </c>
      <c r="Q292" s="14" t="str">
        <f t="shared" si="49"/>
        <v>1959-06-29T08:00:00.000+02:00</v>
      </c>
      <c r="R292" s="14" t="str">
        <f t="shared" si="46"/>
        <v>ixxiii-enc-</v>
      </c>
      <c r="S292" s="14" t="str">
        <f t="shared" si="47"/>
        <v>Ioannes XXIII - Litterae Encyclicae - Ad Petri Cathedram</v>
      </c>
    </row>
    <row r="293" spans="1:19" x14ac:dyDescent="0.25">
      <c r="A293" s="12">
        <v>292</v>
      </c>
      <c r="B293" s="17" t="s">
        <v>658</v>
      </c>
      <c r="C293" s="4" t="s">
        <v>657</v>
      </c>
      <c r="D293" s="4" t="s">
        <v>1152</v>
      </c>
      <c r="E293" s="5">
        <v>21763</v>
      </c>
      <c r="F293" s="18" t="s">
        <v>579</v>
      </c>
      <c r="G293" s="18" t="s">
        <v>694</v>
      </c>
      <c r="H293" s="4" t="s">
        <v>603</v>
      </c>
      <c r="I293" s="4" t="s">
        <v>686</v>
      </c>
      <c r="K293" s="2" t="s">
        <v>61</v>
      </c>
      <c r="L293" s="14" t="str">
        <f t="shared" si="42"/>
        <v>Sacerdotii nostri primordia (21 dicembre 1763) | Giovanni XXIII</v>
      </c>
      <c r="M293" s="14" t="str">
        <f t="shared" si="43"/>
        <v>Enciclica Sacerdotii nostri primordia</v>
      </c>
      <c r="N293" s="14" t="str">
        <f t="shared" si="44"/>
        <v>Enciclica Sacerdotii nostri primordia</v>
      </c>
      <c r="O293" s="14" t="str">
        <f t="shared" si="48"/>
        <v>1959/08/01</v>
      </c>
      <c r="P293" s="14" t="str">
        <f t="shared" si="45"/>
        <v>Giovanni XXIII, Lettera Enciclica Sacerdotii nostri primordia, 21 dicembre 1763</v>
      </c>
      <c r="Q293" s="14" t="str">
        <f t="shared" si="49"/>
        <v>1959-08-1T08:00:00.000+02:00</v>
      </c>
      <c r="R293" s="14" t="str">
        <f t="shared" si="46"/>
        <v>ixxiii-enc-</v>
      </c>
      <c r="S293" s="14" t="str">
        <f t="shared" si="47"/>
        <v>Ioannes XXIII - Litterae Encyclicae - Sacerdotii nostri primordia</v>
      </c>
    </row>
    <row r="294" spans="1:19" x14ac:dyDescent="0.25">
      <c r="A294" s="12">
        <v>293</v>
      </c>
      <c r="B294" s="17" t="s">
        <v>658</v>
      </c>
      <c r="C294" s="4" t="s">
        <v>657</v>
      </c>
      <c r="D294" s="4" t="s">
        <v>1152</v>
      </c>
      <c r="E294" s="5">
        <v>21819</v>
      </c>
      <c r="F294" s="18" t="s">
        <v>579</v>
      </c>
      <c r="G294" s="18" t="s">
        <v>694</v>
      </c>
      <c r="H294" s="4" t="s">
        <v>603</v>
      </c>
      <c r="I294" s="4" t="s">
        <v>686</v>
      </c>
      <c r="K294" s="2" t="s">
        <v>62</v>
      </c>
      <c r="L294" s="14" t="str">
        <f t="shared" si="42"/>
        <v>Grata recordatio (21 luglio 1819) | Giovanni XXIII</v>
      </c>
      <c r="M294" s="14" t="str">
        <f t="shared" si="43"/>
        <v>Enciclica Grata recordatio</v>
      </c>
      <c r="N294" s="14" t="str">
        <f t="shared" si="44"/>
        <v>Enciclica Grata recordatio</v>
      </c>
      <c r="O294" s="14" t="str">
        <f t="shared" si="48"/>
        <v>1959/09/26</v>
      </c>
      <c r="P294" s="14" t="str">
        <f t="shared" si="45"/>
        <v>Giovanni XXIII, Lettera Enciclica Grata recordatio, 21 luglio 1819</v>
      </c>
      <c r="Q294" s="14" t="str">
        <f t="shared" si="49"/>
        <v>1959-09-26T08:00:00.000+02:00</v>
      </c>
      <c r="R294" s="14" t="str">
        <f t="shared" si="46"/>
        <v>ixxiii-enc-</v>
      </c>
      <c r="S294" s="14" t="str">
        <f t="shared" si="47"/>
        <v>Ioannes XXIII - Litterae Encyclicae - Grata recordatio</v>
      </c>
    </row>
    <row r="295" spans="1:19" x14ac:dyDescent="0.25">
      <c r="A295" s="12">
        <v>294</v>
      </c>
      <c r="B295" s="17" t="s">
        <v>658</v>
      </c>
      <c r="C295" s="4" t="s">
        <v>657</v>
      </c>
      <c r="D295" s="4" t="s">
        <v>1152</v>
      </c>
      <c r="E295" s="5">
        <v>21882</v>
      </c>
      <c r="F295" s="18" t="s">
        <v>579</v>
      </c>
      <c r="G295" s="18" t="s">
        <v>694</v>
      </c>
      <c r="H295" s="4" t="s">
        <v>603</v>
      </c>
      <c r="I295" s="4" t="s">
        <v>686</v>
      </c>
      <c r="K295" s="2" t="s">
        <v>63</v>
      </c>
      <c r="L295" s="14" t="str">
        <f t="shared" si="42"/>
        <v>Princeps pastorum (21 luglio 1882) | Giovanni XXIII</v>
      </c>
      <c r="M295" s="14" t="str">
        <f t="shared" si="43"/>
        <v>Enciclica Princeps pastorum</v>
      </c>
      <c r="N295" s="14" t="str">
        <f t="shared" si="44"/>
        <v>Enciclica Princeps pastorum</v>
      </c>
      <c r="O295" s="14" t="str">
        <f t="shared" si="48"/>
        <v>1959/11/28</v>
      </c>
      <c r="P295" s="14" t="str">
        <f t="shared" si="45"/>
        <v>Giovanni XXIII, Lettera Enciclica Princeps pastorum, 21 luglio 1882</v>
      </c>
      <c r="Q295" s="14" t="str">
        <f t="shared" si="49"/>
        <v>1959-11-28T08:00:00.000+02:00</v>
      </c>
      <c r="R295" s="14" t="str">
        <f t="shared" si="46"/>
        <v>ixxiii-enc-</v>
      </c>
      <c r="S295" s="14" t="str">
        <f t="shared" si="47"/>
        <v>Ioannes XXIII - Litterae Encyclicae - Princeps pastorum</v>
      </c>
    </row>
    <row r="296" spans="1:19" x14ac:dyDescent="0.25">
      <c r="A296" s="12">
        <v>295</v>
      </c>
      <c r="B296" s="17" t="s">
        <v>658</v>
      </c>
      <c r="C296" s="4" t="s">
        <v>657</v>
      </c>
      <c r="D296" s="4" t="s">
        <v>1152</v>
      </c>
      <c r="E296" s="5">
        <v>22416</v>
      </c>
      <c r="F296" s="18" t="s">
        <v>579</v>
      </c>
      <c r="G296" s="18" t="s">
        <v>694</v>
      </c>
      <c r="H296" s="4" t="s">
        <v>603</v>
      </c>
      <c r="I296" s="4" t="s">
        <v>686</v>
      </c>
      <c r="K296" s="2" t="s">
        <v>64</v>
      </c>
      <c r="L296" s="14" t="str">
        <f t="shared" si="42"/>
        <v>Mater et magistra (22 aprile 2416) | Giovanni XXIII</v>
      </c>
      <c r="M296" s="14" t="str">
        <f t="shared" si="43"/>
        <v>Enciclica Mater et magistra</v>
      </c>
      <c r="N296" s="14" t="str">
        <f t="shared" si="44"/>
        <v>Enciclica Mater et magistra</v>
      </c>
      <c r="O296" s="14" t="str">
        <f t="shared" si="48"/>
        <v>1961/05/15</v>
      </c>
      <c r="P296" s="14" t="str">
        <f t="shared" si="45"/>
        <v>Giovanni XXIII, Lettera Enciclica Mater et magistra, 22 aprile 2416</v>
      </c>
      <c r="Q296" s="14" t="str">
        <f t="shared" si="49"/>
        <v>1961-05-15T08:00:00.000+02:00</v>
      </c>
      <c r="R296" s="14" t="str">
        <f t="shared" si="46"/>
        <v>ixxiii-enc-</v>
      </c>
      <c r="S296" s="14" t="str">
        <f t="shared" si="47"/>
        <v>Ioannes XXIII - Litterae Encyclicae - Mater et magistra</v>
      </c>
    </row>
    <row r="297" spans="1:19" x14ac:dyDescent="0.25">
      <c r="A297" s="12">
        <v>296</v>
      </c>
      <c r="B297" s="17" t="s">
        <v>658</v>
      </c>
      <c r="C297" s="4" t="s">
        <v>657</v>
      </c>
      <c r="D297" s="4" t="s">
        <v>1152</v>
      </c>
      <c r="E297" s="5">
        <v>22596</v>
      </c>
      <c r="F297" s="18" t="s">
        <v>579</v>
      </c>
      <c r="G297" s="18" t="s">
        <v>694</v>
      </c>
      <c r="H297" s="4" t="s">
        <v>603</v>
      </c>
      <c r="I297" s="4" t="s">
        <v>686</v>
      </c>
      <c r="K297" s="2" t="s">
        <v>65</v>
      </c>
      <c r="L297" s="14" t="str">
        <f t="shared" si="42"/>
        <v>Aeterna Dei sapientia (22 agosto 2596) | Giovanni XXIII</v>
      </c>
      <c r="M297" s="14" t="str">
        <f t="shared" si="43"/>
        <v>Enciclica Aeterna Dei sapientia</v>
      </c>
      <c r="N297" s="14" t="str">
        <f t="shared" si="44"/>
        <v>Enciclica Aeterna Dei sapientia</v>
      </c>
      <c r="O297" s="14" t="str">
        <f t="shared" si="48"/>
        <v>1961/11/11</v>
      </c>
      <c r="P297" s="14" t="str">
        <f t="shared" si="45"/>
        <v>Giovanni XXIII, Lettera Enciclica Aeterna Dei sapientia, 22 agosto 2596</v>
      </c>
      <c r="Q297" s="14" t="str">
        <f t="shared" si="49"/>
        <v>1961-11-11T08:00:00.000+02:00</v>
      </c>
      <c r="R297" s="14" t="str">
        <f t="shared" si="46"/>
        <v>ixxiii-enc-</v>
      </c>
      <c r="S297" s="14" t="str">
        <f t="shared" si="47"/>
        <v>Ioannes XXIII - Litterae Encyclicae - Aeterna Dei sapientia</v>
      </c>
    </row>
    <row r="298" spans="1:19" x14ac:dyDescent="0.25">
      <c r="A298" s="12">
        <v>297</v>
      </c>
      <c r="B298" s="17" t="s">
        <v>658</v>
      </c>
      <c r="C298" s="4" t="s">
        <v>657</v>
      </c>
      <c r="D298" s="4" t="s">
        <v>1152</v>
      </c>
      <c r="E298" s="5">
        <v>22828</v>
      </c>
      <c r="F298" s="18" t="s">
        <v>579</v>
      </c>
      <c r="G298" s="18" t="s">
        <v>694</v>
      </c>
      <c r="H298" s="4" t="s">
        <v>603</v>
      </c>
      <c r="I298" s="4" t="s">
        <v>686</v>
      </c>
      <c r="K298" s="2" t="s">
        <v>66</v>
      </c>
      <c r="L298" s="14" t="str">
        <f t="shared" si="42"/>
        <v>Paenitentiam agere (22 marzo 2828) | Giovanni XXIII</v>
      </c>
      <c r="M298" s="14" t="str">
        <f t="shared" si="43"/>
        <v>Enciclica Paenitentiam agere</v>
      </c>
      <c r="N298" s="14" t="str">
        <f t="shared" si="44"/>
        <v>Enciclica Paenitentiam agere</v>
      </c>
      <c r="O298" s="14" t="str">
        <f t="shared" si="48"/>
        <v>1962/07/01</v>
      </c>
      <c r="P298" s="14" t="str">
        <f t="shared" si="45"/>
        <v>Giovanni XXIII, Lettera Enciclica Paenitentiam agere, 22 marzo 2828</v>
      </c>
      <c r="Q298" s="14" t="str">
        <f t="shared" si="49"/>
        <v>1962-07-1T08:00:00.000+02:00</v>
      </c>
      <c r="R298" s="14" t="str">
        <f t="shared" si="46"/>
        <v>ixxiii-enc-</v>
      </c>
      <c r="S298" s="14" t="str">
        <f t="shared" si="47"/>
        <v>Ioannes XXIII - Litterae Encyclicae - Paenitentiam agere</v>
      </c>
    </row>
    <row r="299" spans="1:19" x14ac:dyDescent="0.25">
      <c r="A299" s="12">
        <v>298</v>
      </c>
      <c r="B299" s="17" t="s">
        <v>658</v>
      </c>
      <c r="C299" s="4" t="s">
        <v>657</v>
      </c>
      <c r="D299" s="4" t="s">
        <v>1152</v>
      </c>
      <c r="E299" s="5">
        <v>23112</v>
      </c>
      <c r="F299" s="18" t="s">
        <v>579</v>
      </c>
      <c r="G299" s="18" t="s">
        <v>694</v>
      </c>
      <c r="H299" s="4" t="s">
        <v>603</v>
      </c>
      <c r="I299" s="4" t="s">
        <v>686</v>
      </c>
      <c r="K299" s="2" t="s">
        <v>67</v>
      </c>
      <c r="L299" s="14" t="str">
        <f t="shared" si="42"/>
        <v>Pacem in terris (23 dicembre 3112) | Giovanni XXIII</v>
      </c>
      <c r="M299" s="14" t="str">
        <f t="shared" si="43"/>
        <v>Enciclica Pacem in terris</v>
      </c>
      <c r="N299" s="14" t="str">
        <f t="shared" si="44"/>
        <v>Enciclica Pacem in terris</v>
      </c>
      <c r="O299" s="14" t="str">
        <f t="shared" si="48"/>
        <v>1963/04/11</v>
      </c>
      <c r="P299" s="14" t="str">
        <f t="shared" si="45"/>
        <v>Giovanni XXIII, Lettera Enciclica Pacem in terris, 23 dicembre 3112</v>
      </c>
      <c r="Q299" s="14" t="str">
        <f t="shared" si="49"/>
        <v>1963-04-11T08:00:00.000+02:00</v>
      </c>
      <c r="R299" s="14" t="str">
        <f t="shared" si="46"/>
        <v>ixxiii-enc-</v>
      </c>
      <c r="S299" s="14" t="str">
        <f t="shared" si="47"/>
        <v>Ioannes XXIII - Litterae Encyclicae - Pacem in terris</v>
      </c>
    </row>
    <row r="300" spans="1:19" x14ac:dyDescent="0.25">
      <c r="A300" s="12">
        <v>299</v>
      </c>
      <c r="B300" s="17" t="s">
        <v>662</v>
      </c>
      <c r="C300" s="4" t="s">
        <v>656</v>
      </c>
      <c r="D300" s="4" t="s">
        <v>1153</v>
      </c>
      <c r="E300" s="5">
        <v>23595</v>
      </c>
      <c r="F300" s="18" t="s">
        <v>579</v>
      </c>
      <c r="G300" s="18" t="s">
        <v>694</v>
      </c>
      <c r="H300" s="4" t="s">
        <v>603</v>
      </c>
      <c r="I300" s="4" t="s">
        <v>686</v>
      </c>
      <c r="K300" s="2" t="s">
        <v>53</v>
      </c>
      <c r="L300" s="14" t="str">
        <f t="shared" si="42"/>
        <v>Ecclesiam Suam (23 luglio 3595) | Paolo VI</v>
      </c>
      <c r="M300" s="14" t="str">
        <f t="shared" si="43"/>
        <v>Enciclica Ecclesiam Suam</v>
      </c>
      <c r="N300" s="14" t="str">
        <f t="shared" si="44"/>
        <v>Enciclica Ecclesiam Suam</v>
      </c>
      <c r="O300" s="14" t="str">
        <f t="shared" si="48"/>
        <v>1964/08/06</v>
      </c>
      <c r="P300" s="14" t="str">
        <f t="shared" si="45"/>
        <v>Paolo VI, Lettera Enciclica Ecclesiam Suam, 23 luglio 3595</v>
      </c>
      <c r="Q300" s="14" t="str">
        <f t="shared" si="49"/>
        <v>1964-08-6T08:00:00.000+02:00</v>
      </c>
      <c r="R300" s="14" t="str">
        <f t="shared" si="46"/>
        <v>pavi-enc-</v>
      </c>
      <c r="S300" s="14" t="str">
        <f t="shared" si="47"/>
        <v>Paulus VI - Litterae Encyclicae - Ecclesiam Suam</v>
      </c>
    </row>
    <row r="301" spans="1:19" x14ac:dyDescent="0.25">
      <c r="A301" s="12">
        <v>300</v>
      </c>
      <c r="B301" s="17" t="s">
        <v>662</v>
      </c>
      <c r="C301" s="4" t="s">
        <v>656</v>
      </c>
      <c r="D301" s="4" t="s">
        <v>1153</v>
      </c>
      <c r="E301" s="5">
        <v>23861</v>
      </c>
      <c r="F301" s="18" t="s">
        <v>579</v>
      </c>
      <c r="G301" s="18" t="s">
        <v>694</v>
      </c>
      <c r="H301" s="4" t="s">
        <v>603</v>
      </c>
      <c r="I301" s="4" t="s">
        <v>686</v>
      </c>
      <c r="K301" s="2" t="s">
        <v>54</v>
      </c>
      <c r="L301" s="14" t="str">
        <f t="shared" si="42"/>
        <v>Mense maio (23 novembre 3861) | Paolo VI</v>
      </c>
      <c r="M301" s="14" t="str">
        <f t="shared" si="43"/>
        <v>Enciclica Mense maio</v>
      </c>
      <c r="N301" s="14" t="str">
        <f t="shared" si="44"/>
        <v>Enciclica Mense maio</v>
      </c>
      <c r="O301" s="14" t="str">
        <f t="shared" si="48"/>
        <v>1965/04/29</v>
      </c>
      <c r="P301" s="14" t="str">
        <f t="shared" si="45"/>
        <v>Paolo VI, Lettera Enciclica Mense maio, 23 novembre 3861</v>
      </c>
      <c r="Q301" s="14" t="str">
        <f t="shared" si="49"/>
        <v>1965-04-29T08:00:00.000+02:00</v>
      </c>
      <c r="R301" s="14" t="str">
        <f t="shared" si="46"/>
        <v>pavi-enc-</v>
      </c>
      <c r="S301" s="14" t="str">
        <f t="shared" si="47"/>
        <v>Paulus VI - Litterae Encyclicae - Mense maio</v>
      </c>
    </row>
    <row r="302" spans="1:19" x14ac:dyDescent="0.25">
      <c r="A302" s="12">
        <v>301</v>
      </c>
      <c r="B302" s="17" t="s">
        <v>662</v>
      </c>
      <c r="C302" s="4" t="s">
        <v>656</v>
      </c>
      <c r="D302" s="4" t="s">
        <v>1153</v>
      </c>
      <c r="E302" s="5">
        <v>23988</v>
      </c>
      <c r="F302" s="18" t="s">
        <v>579</v>
      </c>
      <c r="G302" s="18" t="s">
        <v>694</v>
      </c>
      <c r="H302" s="4" t="s">
        <v>603</v>
      </c>
      <c r="I302" s="4" t="s">
        <v>686</v>
      </c>
      <c r="K302" s="2" t="s">
        <v>55</v>
      </c>
      <c r="L302" s="14" t="str">
        <f t="shared" si="42"/>
        <v>Mysterium fidei (23 dicembre 3988) | Paolo VI</v>
      </c>
      <c r="M302" s="14" t="str">
        <f t="shared" si="43"/>
        <v>Enciclica Mysterium fidei</v>
      </c>
      <c r="N302" s="14" t="str">
        <f t="shared" si="44"/>
        <v>Enciclica Mysterium fidei</v>
      </c>
      <c r="O302" s="14" t="str">
        <f t="shared" si="48"/>
        <v>1965/09/03</v>
      </c>
      <c r="P302" s="14" t="str">
        <f t="shared" si="45"/>
        <v>Paolo VI, Lettera Enciclica Mysterium fidei, 23 dicembre 3988</v>
      </c>
      <c r="Q302" s="14" t="str">
        <f t="shared" si="49"/>
        <v>1965-09-3T08:00:00.000+02:00</v>
      </c>
      <c r="R302" s="14" t="str">
        <f t="shared" si="46"/>
        <v>pavi-enc-</v>
      </c>
      <c r="S302" s="14" t="str">
        <f t="shared" si="47"/>
        <v>Paulus VI - Litterae Encyclicae - Mysterium fidei</v>
      </c>
    </row>
    <row r="303" spans="1:19" x14ac:dyDescent="0.25">
      <c r="A303" s="12">
        <v>302</v>
      </c>
      <c r="B303" s="17" t="s">
        <v>662</v>
      </c>
      <c r="C303" s="4" t="s">
        <v>656</v>
      </c>
      <c r="D303" s="4" t="s">
        <v>1153</v>
      </c>
      <c r="E303" s="5">
        <v>24365</v>
      </c>
      <c r="F303" s="18" t="s">
        <v>579</v>
      </c>
      <c r="G303" s="18" t="s">
        <v>694</v>
      </c>
      <c r="H303" s="4" t="s">
        <v>603</v>
      </c>
      <c r="I303" s="4" t="s">
        <v>686</v>
      </c>
      <c r="K303" s="2" t="s">
        <v>56</v>
      </c>
      <c r="L303" s="14" t="str">
        <f t="shared" si="42"/>
        <v>Christi Matri (24 febbraio 4365) | Paolo VI</v>
      </c>
      <c r="M303" s="14" t="str">
        <f t="shared" si="43"/>
        <v>Enciclica Christi Matri</v>
      </c>
      <c r="N303" s="14" t="str">
        <f t="shared" si="44"/>
        <v>Enciclica Christi Matri</v>
      </c>
      <c r="O303" s="14" t="str">
        <f t="shared" si="48"/>
        <v>1966/09/15</v>
      </c>
      <c r="P303" s="14" t="str">
        <f t="shared" si="45"/>
        <v>Paolo VI, Lettera Enciclica Christi Matri, 24 febbraio 4365</v>
      </c>
      <c r="Q303" s="14" t="str">
        <f t="shared" si="49"/>
        <v>1966-09-15T08:00:00.000+02:00</v>
      </c>
      <c r="R303" s="14" t="str">
        <f t="shared" si="46"/>
        <v>pavi-enc-</v>
      </c>
      <c r="S303" s="14" t="str">
        <f t="shared" si="47"/>
        <v>Paulus VI - Litterae Encyclicae - Christi Matri</v>
      </c>
    </row>
    <row r="304" spans="1:19" x14ac:dyDescent="0.25">
      <c r="A304" s="12">
        <v>303</v>
      </c>
      <c r="B304" s="17" t="s">
        <v>662</v>
      </c>
      <c r="C304" s="4" t="s">
        <v>656</v>
      </c>
      <c r="D304" s="4" t="s">
        <v>1153</v>
      </c>
      <c r="E304" s="5">
        <v>24557</v>
      </c>
      <c r="F304" s="18" t="s">
        <v>579</v>
      </c>
      <c r="G304" s="18" t="s">
        <v>694</v>
      </c>
      <c r="H304" s="4" t="s">
        <v>603</v>
      </c>
      <c r="I304" s="4" t="s">
        <v>686</v>
      </c>
      <c r="K304" s="2" t="s">
        <v>57</v>
      </c>
      <c r="L304" s="14" t="str">
        <f t="shared" si="42"/>
        <v>Populorum progressio (24 luglio 4557) | Paolo VI</v>
      </c>
      <c r="M304" s="14" t="str">
        <f t="shared" si="43"/>
        <v>Enciclica Populorum progressio</v>
      </c>
      <c r="N304" s="14" t="str">
        <f t="shared" si="44"/>
        <v>Enciclica Populorum progressio</v>
      </c>
      <c r="O304" s="14" t="str">
        <f t="shared" si="48"/>
        <v>1967/03/26</v>
      </c>
      <c r="P304" s="14" t="str">
        <f t="shared" si="45"/>
        <v>Paolo VI, Lettera Enciclica Populorum progressio, 24 luglio 4557</v>
      </c>
      <c r="Q304" s="14" t="str">
        <f t="shared" si="49"/>
        <v>1967-03-26T08:00:00.000+02:00</v>
      </c>
      <c r="R304" s="14" t="str">
        <f t="shared" si="46"/>
        <v>pavi-enc-</v>
      </c>
      <c r="S304" s="14" t="str">
        <f t="shared" si="47"/>
        <v>Paulus VI - Litterae Encyclicae - Populorum progressio</v>
      </c>
    </row>
    <row r="305" spans="1:19" x14ac:dyDescent="0.25">
      <c r="A305" s="12">
        <v>304</v>
      </c>
      <c r="B305" s="17" t="s">
        <v>662</v>
      </c>
      <c r="C305" s="4" t="s">
        <v>656</v>
      </c>
      <c r="D305" s="4" t="s">
        <v>1153</v>
      </c>
      <c r="E305" s="5">
        <v>24647</v>
      </c>
      <c r="F305" s="18" t="s">
        <v>579</v>
      </c>
      <c r="G305" s="18" t="s">
        <v>694</v>
      </c>
      <c r="H305" s="4" t="s">
        <v>603</v>
      </c>
      <c r="I305" s="4" t="s">
        <v>686</v>
      </c>
      <c r="K305" s="2" t="s">
        <v>58</v>
      </c>
      <c r="L305" s="14" t="str">
        <f t="shared" si="42"/>
        <v>Sacerdotalis caelibatus (24 settembre 4647) | Paolo VI</v>
      </c>
      <c r="M305" s="14" t="str">
        <f t="shared" si="43"/>
        <v>Enciclica Sacerdotalis caelibatus</v>
      </c>
      <c r="N305" s="14" t="str">
        <f t="shared" si="44"/>
        <v>Enciclica Sacerdotalis caelibatus</v>
      </c>
      <c r="O305" s="14" t="str">
        <f t="shared" si="48"/>
        <v>1967/06/24</v>
      </c>
      <c r="P305" s="14" t="str">
        <f t="shared" si="45"/>
        <v>Paolo VI, Lettera Enciclica Sacerdotalis caelibatus, 24 settembre 4647</v>
      </c>
      <c r="Q305" s="14" t="str">
        <f t="shared" si="49"/>
        <v>1967-06-24T08:00:00.000+02:00</v>
      </c>
      <c r="R305" s="14" t="str">
        <f t="shared" si="46"/>
        <v>pavi-enc-</v>
      </c>
      <c r="S305" s="14" t="str">
        <f t="shared" si="47"/>
        <v>Paulus VI - Litterae Encyclicae - Sacerdotalis caelibatus</v>
      </c>
    </row>
    <row r="306" spans="1:19" x14ac:dyDescent="0.25">
      <c r="A306" s="12">
        <v>305</v>
      </c>
      <c r="B306" s="17" t="s">
        <v>662</v>
      </c>
      <c r="C306" s="4" t="s">
        <v>656</v>
      </c>
      <c r="D306" s="4" t="s">
        <v>1153</v>
      </c>
      <c r="E306" s="5">
        <v>25044</v>
      </c>
      <c r="F306" s="18" t="s">
        <v>579</v>
      </c>
      <c r="G306" s="18" t="s">
        <v>694</v>
      </c>
      <c r="H306" s="4" t="s">
        <v>603</v>
      </c>
      <c r="I306" s="4" t="s">
        <v>686</v>
      </c>
      <c r="K306" s="2" t="s">
        <v>59</v>
      </c>
      <c r="L306" s="14" t="str">
        <f t="shared" si="42"/>
        <v>Humanae vitae (25 giugno 5044) | Paolo VI</v>
      </c>
      <c r="M306" s="14" t="str">
        <f t="shared" si="43"/>
        <v>Enciclica Humanae vitae</v>
      </c>
      <c r="N306" s="14" t="str">
        <f t="shared" si="44"/>
        <v>Enciclica Humanae vitae</v>
      </c>
      <c r="O306" s="14" t="str">
        <f t="shared" si="48"/>
        <v>1968/07/25</v>
      </c>
      <c r="P306" s="14" t="str">
        <f t="shared" si="45"/>
        <v>Paolo VI, Lettera Enciclica Humanae vitae, 25 giugno 5044</v>
      </c>
      <c r="Q306" s="14" t="str">
        <f t="shared" si="49"/>
        <v>1968-07-25T08:00:00.000+02:00</v>
      </c>
      <c r="R306" s="14" t="str">
        <f t="shared" si="46"/>
        <v>pavi-enc-</v>
      </c>
      <c r="S306" s="14" t="str">
        <f t="shared" si="47"/>
        <v>Paulus VI - Litterae Encyclicae - Humanae vitae</v>
      </c>
    </row>
    <row r="307" spans="1:19" x14ac:dyDescent="0.25">
      <c r="A307" s="12">
        <v>306</v>
      </c>
      <c r="B307" s="17" t="s">
        <v>580</v>
      </c>
      <c r="C307" s="4" t="s">
        <v>547</v>
      </c>
      <c r="D307" s="4" t="s">
        <v>1154</v>
      </c>
      <c r="E307" s="5">
        <v>28918</v>
      </c>
      <c r="F307" s="18" t="s">
        <v>579</v>
      </c>
      <c r="G307" s="18" t="s">
        <v>694</v>
      </c>
      <c r="H307" s="4" t="s">
        <v>603</v>
      </c>
      <c r="I307" s="4" t="s">
        <v>686</v>
      </c>
      <c r="J307" s="4" t="s">
        <v>602</v>
      </c>
      <c r="K307" s="2" t="s">
        <v>36</v>
      </c>
      <c r="L307" s="14" t="str">
        <f t="shared" si="42"/>
        <v>Redemptor hominis (28 giugno 8918) | Giovanni Paolo II</v>
      </c>
      <c r="M307" s="14" t="str">
        <f t="shared" si="43"/>
        <v>Enciclica Redemptor hominis</v>
      </c>
      <c r="N307" s="14" t="str">
        <f t="shared" si="44"/>
        <v>Enciclica Redemptor hominis</v>
      </c>
      <c r="O307" s="14" t="str">
        <f t="shared" si="48"/>
        <v>1979/03/04</v>
      </c>
      <c r="P307" s="14" t="str">
        <f t="shared" si="45"/>
        <v>Giovanni Paolo II, Lettera Enciclica Redemptor hominis, 28 giugno 8918</v>
      </c>
      <c r="Q307" s="14" t="str">
        <f t="shared" si="49"/>
        <v>1979-03-4T08:00:00.000+02:00</v>
      </c>
      <c r="R307" s="14" t="str">
        <f t="shared" si="46"/>
        <v>ipii-enc-reh</v>
      </c>
      <c r="S307" s="14" t="str">
        <f t="shared" si="47"/>
        <v>Ioannes Paulus II - Litterae Encyclicae - Redemptor hominis</v>
      </c>
    </row>
    <row r="308" spans="1:19" x14ac:dyDescent="0.25">
      <c r="A308" s="12">
        <v>307</v>
      </c>
      <c r="B308" s="17" t="s">
        <v>580</v>
      </c>
      <c r="C308" s="4" t="s">
        <v>547</v>
      </c>
      <c r="D308" s="4" t="s">
        <v>1154</v>
      </c>
      <c r="E308" s="5">
        <v>29555</v>
      </c>
      <c r="F308" s="18" t="s">
        <v>579</v>
      </c>
      <c r="G308" s="18" t="s">
        <v>694</v>
      </c>
      <c r="H308" s="4" t="s">
        <v>603</v>
      </c>
      <c r="I308" s="4" t="s">
        <v>686</v>
      </c>
      <c r="J308" s="4" t="s">
        <v>601</v>
      </c>
      <c r="K308" s="2" t="s">
        <v>37</v>
      </c>
      <c r="L308" s="14" t="str">
        <f t="shared" si="42"/>
        <v>Dives in misericordia (29 maggio 9555) | Giovanni Paolo II</v>
      </c>
      <c r="M308" s="14" t="str">
        <f t="shared" si="43"/>
        <v>Enciclica Dives in misericordia</v>
      </c>
      <c r="N308" s="14" t="str">
        <f t="shared" si="44"/>
        <v>Enciclica Dives in misericordia</v>
      </c>
      <c r="O308" s="14" t="str">
        <f t="shared" si="48"/>
        <v>1980/11/30</v>
      </c>
      <c r="P308" s="14" t="str">
        <f t="shared" si="45"/>
        <v>Giovanni Paolo II, Lettera Enciclica Dives in misericordia, 29 maggio 9555</v>
      </c>
      <c r="Q308" s="14" t="str">
        <f t="shared" si="49"/>
        <v>1980-11-30T08:00:00.000+02:00</v>
      </c>
      <c r="R308" s="14" t="str">
        <f t="shared" si="46"/>
        <v>ipii-enc-dim</v>
      </c>
      <c r="S308" s="14" t="str">
        <f t="shared" si="47"/>
        <v>Ioannes Paulus II - Litterae Encyclicae - Dives in misericordia</v>
      </c>
    </row>
    <row r="309" spans="1:19" x14ac:dyDescent="0.25">
      <c r="A309" s="12">
        <v>308</v>
      </c>
      <c r="B309" s="17" t="s">
        <v>580</v>
      </c>
      <c r="C309" s="4" t="s">
        <v>547</v>
      </c>
      <c r="D309" s="4" t="s">
        <v>1154</v>
      </c>
      <c r="E309" s="5">
        <v>29843</v>
      </c>
      <c r="F309" s="18" t="s">
        <v>579</v>
      </c>
      <c r="G309" s="18" t="s">
        <v>694</v>
      </c>
      <c r="H309" s="4" t="s">
        <v>603</v>
      </c>
      <c r="I309" s="4" t="s">
        <v>686</v>
      </c>
      <c r="J309" s="4" t="s">
        <v>600</v>
      </c>
      <c r="K309" s="2" t="s">
        <v>38</v>
      </c>
      <c r="L309" s="14" t="str">
        <f t="shared" si="42"/>
        <v>Laborem exercens (29 maggio 9843) | Giovanni Paolo II</v>
      </c>
      <c r="M309" s="14" t="str">
        <f t="shared" si="43"/>
        <v>Enciclica Laborem exercens</v>
      </c>
      <c r="N309" s="14" t="str">
        <f t="shared" si="44"/>
        <v>Enciclica Laborem exercens</v>
      </c>
      <c r="O309" s="14" t="str">
        <f t="shared" ref="O309:O327" si="50">_xlfn.CONCAT(YEAR(E309) &amp; "/" &amp; TEXT(E309,"mm") &amp; "/" &amp; TEXT(E309,"gg"))</f>
        <v>1981/09/14</v>
      </c>
      <c r="P309" s="14" t="str">
        <f t="shared" si="45"/>
        <v>Giovanni Paolo II, Lettera Enciclica Laborem exercens, 29 maggio 9843</v>
      </c>
      <c r="Q309" s="14" t="str">
        <f t="shared" ref="Q309:Q327" si="51">CONCATENATE(YEAR(E309) &amp; "-" &amp; TEXT(MONTH(E309),"00") &amp; "-" &amp; DAY(E309) &amp; "T08:00:00.000+02:00")</f>
        <v>1981-09-14T08:00:00.000+02:00</v>
      </c>
      <c r="R309" s="14" t="str">
        <f t="shared" si="46"/>
        <v>ipii-enc-lae</v>
      </c>
      <c r="S309" s="14" t="str">
        <f t="shared" si="47"/>
        <v>Ioannes Paulus II - Litterae Encyclicae - Laborem exercens</v>
      </c>
    </row>
    <row r="310" spans="1:19" x14ac:dyDescent="0.25">
      <c r="A310" s="12">
        <v>309</v>
      </c>
      <c r="B310" s="17" t="s">
        <v>580</v>
      </c>
      <c r="C310" s="4" t="s">
        <v>547</v>
      </c>
      <c r="D310" s="4" t="s">
        <v>1154</v>
      </c>
      <c r="E310" s="5">
        <v>31200</v>
      </c>
      <c r="F310" s="18" t="s">
        <v>579</v>
      </c>
      <c r="G310" s="18" t="s">
        <v>694</v>
      </c>
      <c r="H310" s="4" t="s">
        <v>603</v>
      </c>
      <c r="I310" s="4" t="s">
        <v>686</v>
      </c>
      <c r="J310" s="4" t="s">
        <v>599</v>
      </c>
      <c r="K310" s="2" t="s">
        <v>39</v>
      </c>
      <c r="L310" s="14" t="str">
        <f t="shared" si="42"/>
        <v>Slavorum Apostoli (31 gennaio 1200) | Giovanni Paolo II</v>
      </c>
      <c r="M310" s="14" t="str">
        <f t="shared" si="43"/>
        <v>Enciclica Slavorum Apostoli</v>
      </c>
      <c r="N310" s="14" t="str">
        <f t="shared" si="44"/>
        <v>Enciclica Slavorum Apostoli</v>
      </c>
      <c r="O310" s="14" t="str">
        <f t="shared" si="50"/>
        <v>1985/06/02</v>
      </c>
      <c r="P310" s="14" t="str">
        <f t="shared" si="45"/>
        <v>Giovanni Paolo II, Lettera Enciclica Slavorum Apostoli, 31 gennaio 1200</v>
      </c>
      <c r="Q310" s="14" t="str">
        <f t="shared" si="51"/>
        <v>1985-06-2T08:00:00.000+02:00</v>
      </c>
      <c r="R310" s="14" t="str">
        <f t="shared" si="46"/>
        <v>ipii-enc-sla</v>
      </c>
      <c r="S310" s="14" t="str">
        <f t="shared" si="47"/>
        <v>Ioannes Paulus II - Litterae Encyclicae - Slavorum Apostoli</v>
      </c>
    </row>
    <row r="311" spans="1:19" x14ac:dyDescent="0.25">
      <c r="A311" s="12">
        <v>310</v>
      </c>
      <c r="B311" s="17" t="s">
        <v>580</v>
      </c>
      <c r="C311" s="4" t="s">
        <v>547</v>
      </c>
      <c r="D311" s="4" t="s">
        <v>1154</v>
      </c>
      <c r="E311" s="5">
        <v>31550</v>
      </c>
      <c r="F311" s="18" t="s">
        <v>579</v>
      </c>
      <c r="G311" s="18" t="s">
        <v>694</v>
      </c>
      <c r="H311" s="4" t="s">
        <v>603</v>
      </c>
      <c r="I311" s="4" t="s">
        <v>686</v>
      </c>
      <c r="J311" s="4" t="s">
        <v>598</v>
      </c>
      <c r="K311" s="2" t="s">
        <v>40</v>
      </c>
      <c r="L311" s="14" t="str">
        <f t="shared" si="42"/>
        <v>Dominum et vivificantem (31 dicembre 1550) | Giovanni Paolo II</v>
      </c>
      <c r="M311" s="14" t="str">
        <f t="shared" si="43"/>
        <v>Enciclica Dominum et vivificantem</v>
      </c>
      <c r="N311" s="14" t="str">
        <f t="shared" si="44"/>
        <v>Enciclica Dominum et vivificantem</v>
      </c>
      <c r="O311" s="14" t="str">
        <f t="shared" si="50"/>
        <v>1986/05/18</v>
      </c>
      <c r="P311" s="14" t="str">
        <f t="shared" si="45"/>
        <v>Giovanni Paolo II, Lettera Enciclica Dominum et vivificantem, 31 dicembre 1550</v>
      </c>
      <c r="Q311" s="14" t="str">
        <f t="shared" si="51"/>
        <v>1986-05-18T08:00:00.000+02:00</v>
      </c>
      <c r="R311" s="14" t="str">
        <f t="shared" si="46"/>
        <v>ipii-enc-dev</v>
      </c>
      <c r="S311" s="14" t="str">
        <f t="shared" si="47"/>
        <v>Ioannes Paulus II - Litterae Encyclicae - Dominum et vivificantem</v>
      </c>
    </row>
    <row r="312" spans="1:19" x14ac:dyDescent="0.25">
      <c r="A312" s="12">
        <v>311</v>
      </c>
      <c r="B312" s="17" t="s">
        <v>580</v>
      </c>
      <c r="C312" s="4" t="s">
        <v>547</v>
      </c>
      <c r="D312" s="4" t="s">
        <v>1154</v>
      </c>
      <c r="E312" s="5">
        <v>31861</v>
      </c>
      <c r="F312" s="18" t="s">
        <v>579</v>
      </c>
      <c r="G312" s="18" t="s">
        <v>694</v>
      </c>
      <c r="H312" s="4" t="s">
        <v>603</v>
      </c>
      <c r="I312" s="4" t="s">
        <v>686</v>
      </c>
      <c r="J312" s="4" t="s">
        <v>595</v>
      </c>
      <c r="K312" s="2" t="s">
        <v>41</v>
      </c>
      <c r="L312" s="14" t="str">
        <f t="shared" si="42"/>
        <v>Redemptoris Mater (31 novembre 1861) | Giovanni Paolo II</v>
      </c>
      <c r="M312" s="14" t="str">
        <f t="shared" si="43"/>
        <v>Enciclica Redemptoris Mater</v>
      </c>
      <c r="N312" s="14" t="str">
        <f t="shared" si="44"/>
        <v>Enciclica Redemptoris Mater</v>
      </c>
      <c r="O312" s="14" t="str">
        <f t="shared" si="50"/>
        <v>1987/03/25</v>
      </c>
      <c r="P312" s="14" t="str">
        <f t="shared" si="45"/>
        <v>Giovanni Paolo II, Lettera Enciclica Redemptoris Mater, 31 novembre 1861</v>
      </c>
      <c r="Q312" s="14" t="str">
        <f t="shared" si="51"/>
        <v>1987-03-25T08:00:00.000+02:00</v>
      </c>
      <c r="R312" s="14" t="str">
        <f t="shared" si="46"/>
        <v>ipii-enc-rem</v>
      </c>
      <c r="S312" s="14" t="str">
        <f t="shared" si="47"/>
        <v>Ioannes Paulus II - Litterae Encyclicae - Redemptoris Mater</v>
      </c>
    </row>
    <row r="313" spans="1:19" x14ac:dyDescent="0.25">
      <c r="A313" s="12">
        <v>312</v>
      </c>
      <c r="B313" s="17" t="s">
        <v>580</v>
      </c>
      <c r="C313" s="4" t="s">
        <v>547</v>
      </c>
      <c r="D313" s="4" t="s">
        <v>1154</v>
      </c>
      <c r="E313" s="5">
        <v>32141</v>
      </c>
      <c r="F313" s="18" t="s">
        <v>579</v>
      </c>
      <c r="G313" s="18" t="s">
        <v>694</v>
      </c>
      <c r="H313" s="4" t="s">
        <v>603</v>
      </c>
      <c r="I313" s="4" t="s">
        <v>686</v>
      </c>
      <c r="J313" s="4" t="s">
        <v>596</v>
      </c>
      <c r="K313" s="2" t="s">
        <v>42</v>
      </c>
      <c r="L313" s="14" t="str">
        <f t="shared" si="42"/>
        <v>Sollicitudo rei socialis (32 aprile 2141) | Giovanni Paolo II</v>
      </c>
      <c r="M313" s="14" t="str">
        <f t="shared" si="43"/>
        <v>Enciclica Sollicitudo rei socialis</v>
      </c>
      <c r="N313" s="14" t="str">
        <f t="shared" si="44"/>
        <v>Enciclica Sollicitudo rei socialis</v>
      </c>
      <c r="O313" s="14" t="str">
        <f t="shared" si="50"/>
        <v>1987/12/30</v>
      </c>
      <c r="P313" s="14" t="str">
        <f t="shared" si="45"/>
        <v>Giovanni Paolo II, Lettera Enciclica Sollicitudo rei socialis, 32 aprile 2141</v>
      </c>
      <c r="Q313" s="14" t="str">
        <f t="shared" si="51"/>
        <v>1987-12-30T08:00:00.000+02:00</v>
      </c>
      <c r="R313" s="14" t="str">
        <f t="shared" si="46"/>
        <v>ipii-enc-srs</v>
      </c>
      <c r="S313" s="14" t="str">
        <f t="shared" si="47"/>
        <v>Ioannes Paulus II - Litterae Encyclicae - Sollicitudo rei socialis</v>
      </c>
    </row>
    <row r="314" spans="1:19" x14ac:dyDescent="0.25">
      <c r="A314" s="12">
        <v>313</v>
      </c>
      <c r="B314" s="17" t="s">
        <v>580</v>
      </c>
      <c r="C314" s="4" t="s">
        <v>547</v>
      </c>
      <c r="D314" s="4" t="s">
        <v>1154</v>
      </c>
      <c r="E314" s="5">
        <v>33214</v>
      </c>
      <c r="F314" s="18" t="s">
        <v>579</v>
      </c>
      <c r="G314" s="18" t="s">
        <v>694</v>
      </c>
      <c r="H314" s="4" t="s">
        <v>603</v>
      </c>
      <c r="I314" s="4" t="s">
        <v>686</v>
      </c>
      <c r="J314" s="4" t="s">
        <v>597</v>
      </c>
      <c r="K314" s="2" t="s">
        <v>43</v>
      </c>
      <c r="L314" s="14" t="str">
        <f t="shared" si="42"/>
        <v>Redemptoris missio (33 febbraio 3214) | Giovanni Paolo II</v>
      </c>
      <c r="M314" s="14" t="str">
        <f t="shared" si="43"/>
        <v>Enciclica Redemptoris missio</v>
      </c>
      <c r="N314" s="14" t="str">
        <f t="shared" si="44"/>
        <v>Enciclica Redemptoris missio</v>
      </c>
      <c r="O314" s="14" t="str">
        <f t="shared" si="50"/>
        <v>1990/12/07</v>
      </c>
      <c r="P314" s="14" t="str">
        <f t="shared" si="45"/>
        <v>Giovanni Paolo II, Lettera Enciclica Redemptoris missio, 33 febbraio 3214</v>
      </c>
      <c r="Q314" s="14" t="str">
        <f t="shared" si="51"/>
        <v>1990-12-7T08:00:00.000+02:00</v>
      </c>
      <c r="R314" s="14" t="str">
        <f t="shared" si="46"/>
        <v>ipii-enc-rmi</v>
      </c>
      <c r="S314" s="14" t="str">
        <f t="shared" si="47"/>
        <v>Ioannes Paulus II - Litterae Encyclicae - Redemptoris missio</v>
      </c>
    </row>
    <row r="315" spans="1:19" x14ac:dyDescent="0.25">
      <c r="A315" s="12">
        <v>314</v>
      </c>
      <c r="B315" s="17" t="s">
        <v>580</v>
      </c>
      <c r="C315" s="4" t="s">
        <v>547</v>
      </c>
      <c r="D315" s="4" t="s">
        <v>1154</v>
      </c>
      <c r="E315" s="5">
        <v>33359</v>
      </c>
      <c r="F315" s="18" t="s">
        <v>579</v>
      </c>
      <c r="G315" s="18" t="s">
        <v>694</v>
      </c>
      <c r="H315" s="4" t="s">
        <v>603</v>
      </c>
      <c r="I315" s="4" t="s">
        <v>686</v>
      </c>
      <c r="J315" s="4" t="s">
        <v>594</v>
      </c>
      <c r="K315" s="2" t="s">
        <v>44</v>
      </c>
      <c r="L315" s="14" t="str">
        <f t="shared" si="42"/>
        <v>Centesimus annus (33 settembre 3359) | Giovanni Paolo II</v>
      </c>
      <c r="M315" s="14" t="str">
        <f t="shared" si="43"/>
        <v>Enciclica Centesimus annus</v>
      </c>
      <c r="N315" s="14" t="str">
        <f t="shared" si="44"/>
        <v>Enciclica Centesimus annus</v>
      </c>
      <c r="O315" s="14" t="str">
        <f t="shared" si="50"/>
        <v>1991/05/01</v>
      </c>
      <c r="P315" s="14" t="str">
        <f t="shared" si="45"/>
        <v>Giovanni Paolo II, Lettera Enciclica Centesimus annus, 33 settembre 3359</v>
      </c>
      <c r="Q315" s="14" t="str">
        <f t="shared" si="51"/>
        <v>1991-05-1T08:00:00.000+02:00</v>
      </c>
      <c r="R315" s="14" t="str">
        <f t="shared" si="46"/>
        <v>ipii-enc-cea</v>
      </c>
      <c r="S315" s="14" t="str">
        <f t="shared" si="47"/>
        <v>Ioannes Paulus II - Litterae Encyclicae - Centesimus annus</v>
      </c>
    </row>
    <row r="316" spans="1:19" x14ac:dyDescent="0.25">
      <c r="A316" s="12">
        <v>315</v>
      </c>
      <c r="B316" s="17" t="s">
        <v>580</v>
      </c>
      <c r="C316" s="4" t="s">
        <v>547</v>
      </c>
      <c r="D316" s="4" t="s">
        <v>1154</v>
      </c>
      <c r="E316" s="5">
        <v>34187</v>
      </c>
      <c r="F316" s="18" t="s">
        <v>579</v>
      </c>
      <c r="G316" s="18" t="s">
        <v>694</v>
      </c>
      <c r="H316" s="4" t="s">
        <v>603</v>
      </c>
      <c r="I316" s="4" t="s">
        <v>686</v>
      </c>
      <c r="J316" s="4" t="s">
        <v>593</v>
      </c>
      <c r="K316" s="2" t="s">
        <v>45</v>
      </c>
      <c r="L316" s="14" t="str">
        <f t="shared" si="42"/>
        <v>Veritatis splendor (34 novembre 4187) | Giovanni Paolo II</v>
      </c>
      <c r="M316" s="14" t="str">
        <f t="shared" si="43"/>
        <v>Enciclica Veritatis splendor</v>
      </c>
      <c r="N316" s="14" t="str">
        <f t="shared" si="44"/>
        <v>Enciclica Veritatis splendor</v>
      </c>
      <c r="O316" s="14" t="str">
        <f t="shared" si="50"/>
        <v>1993/08/06</v>
      </c>
      <c r="P316" s="14" t="str">
        <f t="shared" si="45"/>
        <v>Giovanni Paolo II, Lettera Enciclica Veritatis splendor, 34 novembre 4187</v>
      </c>
      <c r="Q316" s="14" t="str">
        <f t="shared" si="51"/>
        <v>1993-08-6T08:00:00.000+02:00</v>
      </c>
      <c r="R316" s="14" t="str">
        <f t="shared" si="46"/>
        <v>ipii-enc-ves</v>
      </c>
      <c r="S316" s="14" t="str">
        <f t="shared" si="47"/>
        <v>Ioannes Paulus II - Litterae Encyclicae - Veritatis splendor</v>
      </c>
    </row>
    <row r="317" spans="1:19" x14ac:dyDescent="0.25">
      <c r="A317" s="12">
        <v>316</v>
      </c>
      <c r="B317" s="17" t="s">
        <v>580</v>
      </c>
      <c r="C317" s="4" t="s">
        <v>547</v>
      </c>
      <c r="D317" s="4" t="s">
        <v>1154</v>
      </c>
      <c r="E317" s="5">
        <v>34783</v>
      </c>
      <c r="F317" s="18" t="s">
        <v>579</v>
      </c>
      <c r="G317" s="18" t="s">
        <v>694</v>
      </c>
      <c r="H317" s="4" t="s">
        <v>603</v>
      </c>
      <c r="I317" s="4" t="s">
        <v>686</v>
      </c>
      <c r="J317" s="4" t="s">
        <v>592</v>
      </c>
      <c r="K317" s="2" t="s">
        <v>46</v>
      </c>
      <c r="L317" s="14" t="str">
        <f t="shared" si="42"/>
        <v>Evangelium vitae (34 agosto 4783) | Giovanni Paolo II</v>
      </c>
      <c r="M317" s="14" t="str">
        <f t="shared" si="43"/>
        <v>Enciclica Evangelium vitae</v>
      </c>
      <c r="N317" s="14" t="str">
        <f t="shared" si="44"/>
        <v>Enciclica Evangelium vitae</v>
      </c>
      <c r="O317" s="14" t="str">
        <f t="shared" si="50"/>
        <v>1995/03/25</v>
      </c>
      <c r="P317" s="14" t="str">
        <f t="shared" si="45"/>
        <v>Giovanni Paolo II, Lettera Enciclica Evangelium vitae, 34 agosto 4783</v>
      </c>
      <c r="Q317" s="14" t="str">
        <f t="shared" si="51"/>
        <v>1995-03-25T08:00:00.000+02:00</v>
      </c>
      <c r="R317" s="14" t="str">
        <f t="shared" si="46"/>
        <v>ipii-enc-evv</v>
      </c>
      <c r="S317" s="14" t="str">
        <f t="shared" si="47"/>
        <v>Ioannes Paulus II - Litterae Encyclicae - Evangelium vitae</v>
      </c>
    </row>
    <row r="318" spans="1:19" x14ac:dyDescent="0.25">
      <c r="A318" s="12">
        <v>317</v>
      </c>
      <c r="B318" s="17" t="s">
        <v>580</v>
      </c>
      <c r="C318" s="4" t="s">
        <v>547</v>
      </c>
      <c r="D318" s="4" t="s">
        <v>1154</v>
      </c>
      <c r="E318" s="5">
        <v>34844</v>
      </c>
      <c r="F318" s="18" t="s">
        <v>579</v>
      </c>
      <c r="G318" s="18" t="s">
        <v>694</v>
      </c>
      <c r="H318" s="4" t="s">
        <v>603</v>
      </c>
      <c r="I318" s="4" t="s">
        <v>686</v>
      </c>
      <c r="J318" s="4" t="s">
        <v>591</v>
      </c>
      <c r="K318" s="2" t="s">
        <v>47</v>
      </c>
      <c r="L318" s="14" t="str">
        <f t="shared" si="42"/>
        <v>Ut unum sint (34 giugno 4844) | Giovanni Paolo II</v>
      </c>
      <c r="M318" s="14" t="str">
        <f t="shared" si="43"/>
        <v>Enciclica Ut unum sint</v>
      </c>
      <c r="N318" s="14" t="str">
        <f t="shared" si="44"/>
        <v>Enciclica Ut unum sint</v>
      </c>
      <c r="O318" s="14" t="str">
        <f t="shared" si="50"/>
        <v>1995/05/25</v>
      </c>
      <c r="P318" s="14" t="str">
        <f t="shared" si="45"/>
        <v>Giovanni Paolo II, Lettera Enciclica Ut unum sint, 34 giugno 4844</v>
      </c>
      <c r="Q318" s="14" t="str">
        <f t="shared" si="51"/>
        <v>1995-05-25T08:00:00.000+02:00</v>
      </c>
      <c r="R318" s="14" t="str">
        <f t="shared" si="46"/>
        <v>ipii-enc-uus</v>
      </c>
      <c r="S318" s="14" t="str">
        <f t="shared" si="47"/>
        <v>Ioannes Paulus II - Litterae Encyclicae - Ut unum sint</v>
      </c>
    </row>
    <row r="319" spans="1:19" x14ac:dyDescent="0.25">
      <c r="A319" s="12">
        <v>318</v>
      </c>
      <c r="B319" s="17" t="s">
        <v>580</v>
      </c>
      <c r="C319" s="4" t="s">
        <v>547</v>
      </c>
      <c r="D319" s="4" t="s">
        <v>1154</v>
      </c>
      <c r="E319" s="5">
        <v>36052</v>
      </c>
      <c r="F319" s="18" t="s">
        <v>579</v>
      </c>
      <c r="G319" s="18" t="s">
        <v>694</v>
      </c>
      <c r="H319" s="4" t="s">
        <v>603</v>
      </c>
      <c r="I319" s="4" t="s">
        <v>686</v>
      </c>
      <c r="J319" s="4" t="s">
        <v>590</v>
      </c>
      <c r="K319" s="2" t="s">
        <v>48</v>
      </c>
      <c r="L319" s="14" t="str">
        <f t="shared" si="42"/>
        <v>Fides et ratio (36 febbraio 6052) | Giovanni Paolo II</v>
      </c>
      <c r="M319" s="14" t="str">
        <f t="shared" si="43"/>
        <v>Enciclica Fides et ratio</v>
      </c>
      <c r="N319" s="14" t="str">
        <f t="shared" si="44"/>
        <v>Enciclica Fides et ratio</v>
      </c>
      <c r="O319" s="14" t="str">
        <f t="shared" si="50"/>
        <v>1998/09/14</v>
      </c>
      <c r="P319" s="14" t="str">
        <f t="shared" si="45"/>
        <v>Giovanni Paolo II, Lettera Enciclica Fides et ratio, 36 febbraio 6052</v>
      </c>
      <c r="Q319" s="14" t="str">
        <f t="shared" si="51"/>
        <v>1998-09-14T08:00:00.000+02:00</v>
      </c>
      <c r="R319" s="14" t="str">
        <f t="shared" si="46"/>
        <v>ipii-enc-fer</v>
      </c>
      <c r="S319" s="14" t="str">
        <f t="shared" si="47"/>
        <v>Ioannes Paulus II - Litterae Encyclicae - Fides et ratio</v>
      </c>
    </row>
    <row r="320" spans="1:19" x14ac:dyDescent="0.25">
      <c r="A320" s="12">
        <v>319</v>
      </c>
      <c r="B320" s="17" t="s">
        <v>580</v>
      </c>
      <c r="C320" s="4" t="s">
        <v>547</v>
      </c>
      <c r="D320" s="4" t="s">
        <v>1154</v>
      </c>
      <c r="E320" s="5">
        <v>37728</v>
      </c>
      <c r="F320" s="18" t="s">
        <v>579</v>
      </c>
      <c r="G320" s="18" t="s">
        <v>694</v>
      </c>
      <c r="H320" s="4" t="s">
        <v>603</v>
      </c>
      <c r="I320" s="4" t="s">
        <v>686</v>
      </c>
      <c r="J320" s="4" t="s">
        <v>583</v>
      </c>
      <c r="K320" s="2" t="s">
        <v>49</v>
      </c>
      <c r="L320" s="14" t="str">
        <f t="shared" si="42"/>
        <v>Ecclesia de Eucharistia (37 marzo 7728) | Giovanni Paolo II</v>
      </c>
      <c r="M320" s="14" t="str">
        <f t="shared" si="43"/>
        <v>Enciclica Ecclesia de Eucharistia</v>
      </c>
      <c r="N320" s="14" t="str">
        <f t="shared" si="44"/>
        <v>Enciclica Ecclesia de Eucharistia</v>
      </c>
      <c r="O320" s="14" t="str">
        <f t="shared" si="50"/>
        <v>2003/04/17</v>
      </c>
      <c r="P320" s="14" t="str">
        <f t="shared" si="45"/>
        <v>Giovanni Paolo II, Lettera Enciclica Ecclesia de Eucharistia, 37 marzo 7728</v>
      </c>
      <c r="Q320" s="14" t="str">
        <f t="shared" si="51"/>
        <v>2003-04-17T08:00:00.000+02:00</v>
      </c>
      <c r="R320" s="14" t="str">
        <f t="shared" si="46"/>
        <v>ipii-enc-ede</v>
      </c>
      <c r="S320" s="14" t="str">
        <f t="shared" si="47"/>
        <v>Ioannes Paulus II - Litterae Encyclicae - Ecclesia de Eucharistia</v>
      </c>
    </row>
    <row r="321" spans="1:19" x14ac:dyDescent="0.25">
      <c r="A321" s="12">
        <v>320</v>
      </c>
      <c r="B321" s="17" t="s">
        <v>581</v>
      </c>
      <c r="C321" s="4" t="s">
        <v>604</v>
      </c>
      <c r="D321" s="4" t="s">
        <v>1155</v>
      </c>
      <c r="E321" s="5">
        <v>38711</v>
      </c>
      <c r="F321" s="18" t="s">
        <v>579</v>
      </c>
      <c r="G321" s="18" t="s">
        <v>694</v>
      </c>
      <c r="H321" s="4" t="s">
        <v>603</v>
      </c>
      <c r="I321" s="4" t="s">
        <v>686</v>
      </c>
      <c r="J321" s="4" t="s">
        <v>584</v>
      </c>
      <c r="K321" s="2" t="s">
        <v>11</v>
      </c>
      <c r="L321" s="14" t="str">
        <f t="shared" si="42"/>
        <v>Deus caritas est (38 novembre 8711) | Benedetto XVI</v>
      </c>
      <c r="M321" s="14" t="str">
        <f t="shared" si="43"/>
        <v>Enciclica Deus caritas est</v>
      </c>
      <c r="N321" s="14" t="str">
        <f t="shared" si="44"/>
        <v>Enciclica Deus caritas est</v>
      </c>
      <c r="O321" s="14" t="str">
        <f t="shared" si="50"/>
        <v>2005/12/25</v>
      </c>
      <c r="P321" s="14" t="str">
        <f t="shared" si="45"/>
        <v>Benedetto XVI, Lettera Enciclica Deus caritas est, 38 novembre 8711</v>
      </c>
      <c r="Q321" s="14" t="str">
        <f t="shared" si="51"/>
        <v>2005-12-25T08:00:00.000+02:00</v>
      </c>
      <c r="R321" s="14" t="str">
        <f t="shared" si="46"/>
        <v>bxvi-enc-dce</v>
      </c>
      <c r="S321" s="14" t="str">
        <f t="shared" si="47"/>
        <v>Benedictus XVI - Litterae Encyclicae - Deus caritas est</v>
      </c>
    </row>
    <row r="322" spans="1:19" x14ac:dyDescent="0.25">
      <c r="A322" s="12">
        <v>321</v>
      </c>
      <c r="B322" s="17" t="s">
        <v>581</v>
      </c>
      <c r="C322" s="4" t="s">
        <v>604</v>
      </c>
      <c r="D322" s="4" t="s">
        <v>1155</v>
      </c>
      <c r="E322" s="5">
        <v>39416</v>
      </c>
      <c r="F322" s="18" t="s">
        <v>579</v>
      </c>
      <c r="G322" s="18" t="s">
        <v>694</v>
      </c>
      <c r="H322" s="4" t="s">
        <v>603</v>
      </c>
      <c r="I322" s="4" t="s">
        <v>686</v>
      </c>
      <c r="J322" s="4" t="s">
        <v>585</v>
      </c>
      <c r="K322" s="2" t="s">
        <v>12</v>
      </c>
      <c r="L322" s="14" t="str">
        <f t="shared" ref="L322:L327" si="52">_xlfn.CONCAT(K322 &amp; " (" &amp; LEFT(E322,2) &amp; " " &amp; TEXT(VALUE(MID(E322,4,2))*29,"mmmm") &amp; " " &amp; RIGHT(E322,4) &amp; ") | " &amp; D322)</f>
        <v>Spe salvi (39 aprile 9416) | Benedetto XVI</v>
      </c>
      <c r="M322" s="14" t="str">
        <f t="shared" si="43"/>
        <v>Enciclica Spe salvi</v>
      </c>
      <c r="N322" s="14" t="str">
        <f t="shared" si="44"/>
        <v>Enciclica Spe salvi</v>
      </c>
      <c r="O322" s="14" t="str">
        <f t="shared" si="50"/>
        <v>2007/11/30</v>
      </c>
      <c r="P322" s="14" t="str">
        <f t="shared" si="45"/>
        <v>Benedetto XVI, Lettera Enciclica Spe salvi, 39 aprile 9416</v>
      </c>
      <c r="Q322" s="14" t="str">
        <f t="shared" si="51"/>
        <v>2007-11-30T08:00:00.000+02:00</v>
      </c>
      <c r="R322" s="14" t="str">
        <f t="shared" si="46"/>
        <v>bxvi-enc-sps</v>
      </c>
      <c r="S322" s="14" t="str">
        <f t="shared" si="47"/>
        <v>Benedictus XVI - Litterae Encyclicae - Spe salvi</v>
      </c>
    </row>
    <row r="323" spans="1:19" x14ac:dyDescent="0.25">
      <c r="A323" s="12">
        <v>322</v>
      </c>
      <c r="B323" s="17" t="s">
        <v>581</v>
      </c>
      <c r="C323" s="4" t="s">
        <v>604</v>
      </c>
      <c r="D323" s="4" t="s">
        <v>1155</v>
      </c>
      <c r="E323" s="5">
        <v>39993</v>
      </c>
      <c r="F323" s="18" t="s">
        <v>579</v>
      </c>
      <c r="G323" s="18" t="s">
        <v>694</v>
      </c>
      <c r="H323" s="4" t="s">
        <v>603</v>
      </c>
      <c r="I323" s="4" t="s">
        <v>686</v>
      </c>
      <c r="J323" s="4" t="s">
        <v>589</v>
      </c>
      <c r="K323" s="2" t="s">
        <v>13</v>
      </c>
      <c r="L323" s="14" t="str">
        <f t="shared" si="52"/>
        <v>Caritas in veritate (39 maggio 9993) | Benedetto XVI</v>
      </c>
      <c r="M323" s="14" t="str">
        <f t="shared" si="43"/>
        <v>Enciclica Caritas in veritate</v>
      </c>
      <c r="N323" s="14" t="str">
        <f t="shared" si="44"/>
        <v>Enciclica Caritas in veritate</v>
      </c>
      <c r="O323" s="14" t="str">
        <f t="shared" si="50"/>
        <v>2009/06/29</v>
      </c>
      <c r="P323" s="14" t="str">
        <f t="shared" si="45"/>
        <v>Benedetto XVI, Lettera Enciclica Caritas in veritate, 39 maggio 9993</v>
      </c>
      <c r="Q323" s="14" t="str">
        <f t="shared" si="51"/>
        <v>2009-06-29T08:00:00.000+02:00</v>
      </c>
      <c r="R323" s="14" t="str">
        <f t="shared" si="46"/>
        <v>bxvi-enc-civ</v>
      </c>
      <c r="S323" s="14" t="str">
        <f t="shared" si="47"/>
        <v>Benedictus XVI - Litterae Encyclicae - Caritas in veritate</v>
      </c>
    </row>
    <row r="324" spans="1:19" x14ac:dyDescent="0.25">
      <c r="A324" s="12">
        <v>323</v>
      </c>
      <c r="B324" s="17" t="s">
        <v>582</v>
      </c>
      <c r="C324" s="4" t="s">
        <v>1157</v>
      </c>
      <c r="D324" s="4" t="s">
        <v>1156</v>
      </c>
      <c r="E324" s="5">
        <v>41454</v>
      </c>
      <c r="F324" s="18" t="s">
        <v>579</v>
      </c>
      <c r="G324" s="18" t="s">
        <v>694</v>
      </c>
      <c r="H324" s="4" t="s">
        <v>603</v>
      </c>
      <c r="I324" s="4" t="s">
        <v>686</v>
      </c>
      <c r="J324" s="4" t="s">
        <v>586</v>
      </c>
      <c r="K324" s="2" t="s">
        <v>5</v>
      </c>
      <c r="L324" s="14" t="str">
        <f t="shared" si="52"/>
        <v>Lumen fidei (41 aprile 1454) | Francesco I</v>
      </c>
      <c r="M324" s="14" t="str">
        <f t="shared" si="43"/>
        <v>Enciclica Lumen fidei</v>
      </c>
      <c r="N324" s="14" t="str">
        <f t="shared" si="44"/>
        <v>Enciclica Lumen fidei</v>
      </c>
      <c r="O324" s="14" t="str">
        <f t="shared" si="50"/>
        <v>2013/06/29</v>
      </c>
      <c r="P324" s="14" t="str">
        <f t="shared" si="45"/>
        <v>Francesco I, Lettera Enciclica Lumen fidei, 41 aprile 1454</v>
      </c>
      <c r="Q324" s="14" t="str">
        <f t="shared" si="51"/>
        <v>2013-06-29T08:00:00.000+02:00</v>
      </c>
      <c r="R324" s="14" t="str">
        <f t="shared" si="46"/>
        <v>fi-enc-luf</v>
      </c>
      <c r="S324" s="14" t="str">
        <f t="shared" si="47"/>
        <v>Franciscus I - Litterae Encyclicae - Lumen fidei</v>
      </c>
    </row>
    <row r="325" spans="1:19" x14ac:dyDescent="0.25">
      <c r="A325" s="12">
        <v>324</v>
      </c>
      <c r="B325" s="17" t="s">
        <v>582</v>
      </c>
      <c r="C325" s="4" t="s">
        <v>1157</v>
      </c>
      <c r="D325" s="4" t="s">
        <v>1156</v>
      </c>
      <c r="E325" s="5">
        <v>42148</v>
      </c>
      <c r="F325" s="18" t="s">
        <v>579</v>
      </c>
      <c r="G325" s="18" t="s">
        <v>694</v>
      </c>
      <c r="H325" s="4" t="s">
        <v>603</v>
      </c>
      <c r="I325" s="4" t="s">
        <v>686</v>
      </c>
      <c r="J325" s="4" t="s">
        <v>587</v>
      </c>
      <c r="K325" s="2" t="s">
        <v>6</v>
      </c>
      <c r="L325" s="14" t="str">
        <f t="shared" si="52"/>
        <v>Laudato si' (42 ottobre 2148) | Francesco I</v>
      </c>
      <c r="M325" s="14" t="str">
        <f t="shared" si="43"/>
        <v>Enciclica Laudato si'</v>
      </c>
      <c r="N325" s="14" t="str">
        <f t="shared" si="44"/>
        <v>Enciclica Laudato si'</v>
      </c>
      <c r="O325" s="14" t="str">
        <f t="shared" si="50"/>
        <v>2015/05/24</v>
      </c>
      <c r="P325" s="14" t="str">
        <f t="shared" si="45"/>
        <v>Francesco I, Lettera Enciclica Laudato si', 42 ottobre 2148</v>
      </c>
      <c r="Q325" s="14" t="str">
        <f t="shared" si="51"/>
        <v>2015-05-24T08:00:00.000+02:00</v>
      </c>
      <c r="R325" s="14" t="str">
        <f t="shared" si="46"/>
        <v>fi-enc-las</v>
      </c>
      <c r="S325" s="14" t="str">
        <f t="shared" si="47"/>
        <v>Franciscus I - Litterae Encyclicae - Laudato si'</v>
      </c>
    </row>
    <row r="326" spans="1:19" x14ac:dyDescent="0.25">
      <c r="A326" s="12">
        <v>325</v>
      </c>
      <c r="B326" s="17" t="s">
        <v>582</v>
      </c>
      <c r="C326" s="4" t="s">
        <v>1157</v>
      </c>
      <c r="D326" s="4" t="s">
        <v>1156</v>
      </c>
      <c r="E326" s="5">
        <v>44107</v>
      </c>
      <c r="F326" s="18" t="s">
        <v>579</v>
      </c>
      <c r="G326" s="18" t="s">
        <v>694</v>
      </c>
      <c r="H326" s="4" t="s">
        <v>603</v>
      </c>
      <c r="I326" s="4" t="s">
        <v>686</v>
      </c>
      <c r="J326" s="4" t="s">
        <v>588</v>
      </c>
      <c r="K326" s="2" t="s">
        <v>7</v>
      </c>
      <c r="L326" s="14" t="str">
        <f t="shared" si="52"/>
        <v>Fratelli tutti (44 luglio 4107) | Francesco I</v>
      </c>
      <c r="M326" s="14" t="str">
        <f t="shared" si="43"/>
        <v>Enciclica Fratelli tutti</v>
      </c>
      <c r="N326" s="14" t="str">
        <f t="shared" si="44"/>
        <v>Enciclica Fratelli tutti</v>
      </c>
      <c r="O326" s="14" t="str">
        <f t="shared" si="50"/>
        <v>2020/10/03</v>
      </c>
      <c r="P326" s="14" t="str">
        <f t="shared" si="45"/>
        <v>Francesco I, Lettera Enciclica Fratelli tutti, 44 luglio 4107</v>
      </c>
      <c r="Q326" s="14" t="str">
        <f t="shared" si="51"/>
        <v>2020-10-3T08:00:00.000+02:00</v>
      </c>
      <c r="R326" s="14" t="str">
        <f t="shared" si="46"/>
        <v>fi-enc-frt</v>
      </c>
      <c r="S326" s="14" t="str">
        <f t="shared" si="47"/>
        <v>Franciscus I - Litterae Encyclicae - Fratelli tutti</v>
      </c>
    </row>
    <row r="327" spans="1:19" x14ac:dyDescent="0.25">
      <c r="A327" s="12">
        <v>326</v>
      </c>
      <c r="B327" s="17" t="s">
        <v>582</v>
      </c>
      <c r="C327" s="4" t="s">
        <v>1157</v>
      </c>
      <c r="D327" s="4" t="s">
        <v>1156</v>
      </c>
      <c r="E327" s="5">
        <v>45589</v>
      </c>
      <c r="F327" s="18" t="s">
        <v>579</v>
      </c>
      <c r="G327" s="18" t="s">
        <v>694</v>
      </c>
      <c r="H327" s="4" t="s">
        <v>603</v>
      </c>
      <c r="I327" s="4" t="s">
        <v>686</v>
      </c>
      <c r="J327" s="4" t="s">
        <v>3640</v>
      </c>
      <c r="K327" s="2" t="s">
        <v>5179</v>
      </c>
      <c r="L327" s="14" t="str">
        <f t="shared" si="52"/>
        <v>Dilexit nos (45 gennaio 5589) | Francesco I</v>
      </c>
      <c r="M327" s="14" t="str">
        <f t="shared" ref="M327" si="53">_xlfn.CONCAT(G327 &amp; " " &amp; K327)</f>
        <v>Enciclica Dilexit nos</v>
      </c>
      <c r="N327" s="14" t="str">
        <f t="shared" ref="N327" si="54">_xlfn.CONCAT(G327 &amp; " " &amp; K327)</f>
        <v>Enciclica Dilexit nos</v>
      </c>
      <c r="O327" s="14" t="str">
        <f t="shared" si="50"/>
        <v>2024/10/24</v>
      </c>
      <c r="P327" s="14" t="str">
        <f t="shared" si="45"/>
        <v>Francesco I, Lettera Enciclica Dilexit nos, 45 gennaio 5589</v>
      </c>
      <c r="Q327" s="14" t="str">
        <f t="shared" si="51"/>
        <v>2024-10-24T08:00:00.000+02:00</v>
      </c>
      <c r="R327" s="14" t="str">
        <f t="shared" si="46"/>
        <v>fi-enc-din</v>
      </c>
      <c r="S327" s="1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1973"/>
  <sheetViews>
    <sheetView workbookViewId="0">
      <pane ySplit="1" topLeftCell="A22" activePane="bottomLeft" state="frozen"/>
      <selection pane="bottomLeft" activeCell="C45" sqref="C45"/>
    </sheetView>
  </sheetViews>
  <sheetFormatPr defaultColWidth="3.85546875" defaultRowHeight="12.75" x14ac:dyDescent="0.2"/>
  <cols>
    <col min="1" max="1" width="87.42578125" style="29" bestFit="1" customWidth="1"/>
    <col min="2" max="2" width="6.5703125" style="29" bestFit="1" customWidth="1"/>
    <col min="3" max="3" width="114.28515625" style="29" bestFit="1" customWidth="1"/>
    <col min="4" max="4" width="13.28515625" style="29" bestFit="1" customWidth="1"/>
    <col min="5" max="5" width="7.5703125" style="29" bestFit="1" customWidth="1"/>
    <col min="6" max="6" width="11" style="29" bestFit="1" customWidth="1"/>
    <col min="7" max="7" width="18" style="29" bestFit="1" customWidth="1"/>
    <col min="8" max="8" width="14.28515625" style="29" bestFit="1" customWidth="1"/>
    <col min="9" max="9" width="15.7109375" style="29" bestFit="1" customWidth="1"/>
    <col min="10" max="10" width="6.28515625" style="29" bestFit="1" customWidth="1"/>
    <col min="11" max="12" width="19.85546875" style="29" bestFit="1" customWidth="1"/>
    <col min="13" max="13" width="12.85546875" style="29" bestFit="1" customWidth="1"/>
    <col min="14" max="14" width="10.5703125" style="29" bestFit="1" customWidth="1"/>
    <col min="15" max="15" width="204.140625" style="29" bestFit="1" customWidth="1"/>
    <col min="16" max="16" width="10" style="29" bestFit="1" customWidth="1"/>
    <col min="17" max="17" width="15.7109375" style="29" bestFit="1" customWidth="1"/>
    <col min="18" max="18" width="10.5703125" style="32" bestFit="1" customWidth="1"/>
    <col min="19" max="19" width="10.140625" style="32" bestFit="1" customWidth="1"/>
    <col min="20" max="20" width="9.5703125" style="32" bestFit="1" customWidth="1"/>
    <col min="21" max="21" width="10.42578125" style="29" bestFit="1" customWidth="1"/>
    <col min="22" max="22" width="19.7109375" style="33" bestFit="1" customWidth="1"/>
    <col min="23" max="23" width="15.7109375" style="29" bestFit="1" customWidth="1"/>
    <col min="24" max="24" width="8.28515625" style="29" bestFit="1" customWidth="1"/>
    <col min="25" max="25" width="255.7109375" style="29" bestFit="1" customWidth="1"/>
    <col min="26" max="26" width="222.140625" style="29" bestFit="1" customWidth="1"/>
    <col min="27" max="28" width="215" style="29" bestFit="1" customWidth="1"/>
    <col min="29" max="29" width="242" style="29" bestFit="1" customWidth="1"/>
    <col min="30" max="30" width="27.140625" style="29" bestFit="1" customWidth="1"/>
    <col min="31" max="31" width="22.42578125" style="29" bestFit="1" customWidth="1"/>
    <col min="32" max="32" width="228" style="29" bestFit="1" customWidth="1"/>
    <col min="33" max="33" width="46.42578125" style="29" bestFit="1" customWidth="1"/>
    <col min="34" max="34" width="4" style="29" bestFit="1" customWidth="1"/>
    <col min="35" max="16384" width="3.85546875" style="29"/>
  </cols>
  <sheetData>
    <row r="1" spans="1:38" ht="54.75" customHeight="1" x14ac:dyDescent="0.2">
      <c r="B1" s="15" t="s">
        <v>881</v>
      </c>
      <c r="C1" s="15" t="s">
        <v>1219</v>
      </c>
      <c r="D1" s="15" t="s">
        <v>32</v>
      </c>
      <c r="E1" s="15" t="s">
        <v>882</v>
      </c>
      <c r="F1" s="15" t="s">
        <v>655</v>
      </c>
      <c r="G1" s="15" t="s">
        <v>695</v>
      </c>
      <c r="H1" s="15" t="s">
        <v>1159</v>
      </c>
      <c r="I1" s="15" t="s">
        <v>687</v>
      </c>
      <c r="J1" s="15"/>
      <c r="K1" s="15" t="s">
        <v>693</v>
      </c>
      <c r="L1" s="15" t="s">
        <v>688</v>
      </c>
      <c r="M1" s="15" t="s">
        <v>653</v>
      </c>
      <c r="N1" s="15" t="s">
        <v>5180</v>
      </c>
      <c r="O1" s="15" t="s">
        <v>1</v>
      </c>
      <c r="P1" s="15" t="s">
        <v>654</v>
      </c>
      <c r="Q1" s="15" t="s">
        <v>544</v>
      </c>
      <c r="R1" s="15" t="s">
        <v>1161</v>
      </c>
      <c r="S1" s="15" t="s">
        <v>1162</v>
      </c>
      <c r="T1" s="15" t="s">
        <v>1163</v>
      </c>
      <c r="V1" s="19" t="s">
        <v>691</v>
      </c>
      <c r="X1" s="30" t="s">
        <v>947</v>
      </c>
      <c r="Y1" s="15" t="s">
        <v>1164</v>
      </c>
      <c r="Z1" s="15" t="s">
        <v>1160</v>
      </c>
      <c r="AA1" s="15" t="s">
        <v>1165</v>
      </c>
      <c r="AB1" s="15" t="s">
        <v>692</v>
      </c>
      <c r="AC1" s="15" t="s">
        <v>690</v>
      </c>
      <c r="AD1" s="15" t="s">
        <v>689</v>
      </c>
      <c r="AE1" s="15" t="s">
        <v>685</v>
      </c>
      <c r="AF1" s="15" t="s">
        <v>684</v>
      </c>
      <c r="AG1" s="15" t="s">
        <v>1470</v>
      </c>
      <c r="AH1" s="15"/>
      <c r="AI1" s="15"/>
      <c r="AJ1" s="15"/>
      <c r="AK1" s="15"/>
      <c r="AL1" s="15"/>
    </row>
    <row r="2" spans="1:38" s="31" customFormat="1" x14ac:dyDescent="0.2">
      <c r="A2" s="31" t="s">
        <v>5109</v>
      </c>
      <c r="B2" s="31">
        <v>247</v>
      </c>
      <c r="C2" s="34" t="s">
        <v>1559</v>
      </c>
      <c r="D2" s="31" t="s">
        <v>699</v>
      </c>
      <c r="E2" s="31" t="s">
        <v>704</v>
      </c>
      <c r="F2" s="31" t="s">
        <v>606</v>
      </c>
      <c r="G2" s="31" t="s">
        <v>607</v>
      </c>
      <c r="H2" s="31" t="str">
        <f t="shared" ref="H2:H33" si="0">_xlfn.CONCAT(D2 &amp; " " &amp; E2)</f>
        <v>Benedetto XIV</v>
      </c>
      <c r="I2" s="31" t="s">
        <v>603</v>
      </c>
      <c r="J2" s="31" t="s">
        <v>829</v>
      </c>
      <c r="K2" s="31" t="s">
        <v>694</v>
      </c>
      <c r="L2" s="31" t="str">
        <f t="shared" ref="L2:L33" si="1">IF(J2&lt;&gt;"",_xlfn.CONCAT(J2 &amp; " " &amp; K2),K2)</f>
        <v>Lettera Enciclica</v>
      </c>
      <c r="M2" s="31" t="s">
        <v>579</v>
      </c>
      <c r="N2" s="31">
        <v>1</v>
      </c>
      <c r="O2" s="31" t="s">
        <v>3</v>
      </c>
      <c r="P2" s="31" t="s">
        <v>983</v>
      </c>
      <c r="Q2" s="31" t="s">
        <v>782</v>
      </c>
      <c r="R2" s="35" t="str">
        <f t="shared" ref="R2:R65" si="2">IF(ISERROR(DAY(Q2)),TEXT((LEFT(Q2,2)),"00"),TEXT(DAY(Q2),"00"))</f>
        <v>03</v>
      </c>
      <c r="S2" s="35" t="str">
        <f>IF(ISERROR(DAY(Q2)),TEXT(MATCH(TRIM(SUBSTITUTE(SUBSTITUTE(SUBSTITUTE(SUBSTITUTE(SUBSTITUTE(SUBSTITUTE(SUBSTITUTE(SUBSTITUTE(SUBSTITUTE(SUBSTITUTE(SUBSTITUTE(Q2,1,""),2,""),3,""),4,""),5,""),6,""),7,""),8,""),9,""),0,""),"-","")),{"gennaio","febbraio","marzo","aprile","maggio","giugno","luglio","agosto","settembre","ottobre","novembre","dicembre"},0),"00"),TEXT(MONTH(Q2)*29,"mm"))</f>
        <v>12</v>
      </c>
      <c r="T2" s="35">
        <f t="shared" ref="T2:T65" si="3">IF(ISERROR(DAY(Q2)),VALUE(RIGHT(Q2,4)),YEAR(Q2))</f>
        <v>1740</v>
      </c>
      <c r="U2" s="31"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36"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31"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31">
        <v>0</v>
      </c>
      <c r="Y2" s="31"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31" t="str">
        <f t="shared" ref="Z2:Z65" si="5">_xlfn.CONCAT(O2 &amp; " (" &amp; Q2 &amp; ") | " &amp; D2 &amp; " " &amp; E2)</f>
        <v>Ubi primum (3 dicembre 1740) | Benedetto XIV</v>
      </c>
      <c r="AA2" s="31" t="str">
        <f t="shared" ref="AA2:AA65" si="6">_xlfn.CONCAT(K2 &amp; " " &amp; O2)</f>
        <v>Enciclica Ubi primum</v>
      </c>
      <c r="AB2" s="31" t="str">
        <f t="shared" ref="AB2:AB65" si="7">_xlfn.CONCAT(K2 &amp; " " &amp; O2)</f>
        <v>Enciclica Ubi primum</v>
      </c>
      <c r="AC2" s="31" t="str">
        <f t="shared" ref="AC2:AC65" si="8">_xlfn.CONCAT(H2 &amp; ", " &amp; L2 &amp; " " &amp; O2 &amp; ", " &amp; LEFT(U2,2) &amp; " " &amp; TEXT(VALUE(MID(U2,4,2))*29,"mmmm") &amp; " " &amp; RIGHT(U2,4))</f>
        <v>Benedetto XIV, Lettera Enciclica Ubi primum, 03 dicembre 1740</v>
      </c>
      <c r="AD2" s="31" t="str">
        <f t="shared" ref="AD2:AD65" si="9">_xlfn.CONCAT(RIGHT(U2,4) &amp; "-" &amp; MID(U2,4,2) &amp; "-" &amp; LEFT(U2,2) &amp; "T08:00:00.000+02:00")</f>
        <v>1740-12-03T08:00:00.000+02:00</v>
      </c>
      <c r="AE2" s="31" t="str">
        <f>_xlfn.CONCAT(F2 &amp; "-" &amp; M2 &amp; "-" &amp; P2)</f>
        <v>bxiv-enc-ubi</v>
      </c>
      <c r="AF2" s="31" t="str">
        <f>_xlfn.CONCAT(H2 &amp; " - " &amp; L2 &amp; " - " &amp; O2)</f>
        <v>Benedetto XIV - Lettera Enciclica - Ubi primum</v>
      </c>
    </row>
    <row r="3" spans="1:38" s="31" customFormat="1" x14ac:dyDescent="0.2">
      <c r="A3" s="31" t="s">
        <v>5237</v>
      </c>
      <c r="B3" s="31">
        <v>247</v>
      </c>
      <c r="C3" s="34" t="s">
        <v>1560</v>
      </c>
      <c r="D3" s="31" t="s">
        <v>699</v>
      </c>
      <c r="E3" s="31" t="s">
        <v>704</v>
      </c>
      <c r="F3" s="31" t="s">
        <v>606</v>
      </c>
      <c r="G3" s="31" t="s">
        <v>607</v>
      </c>
      <c r="H3" s="31" t="str">
        <f t="shared" si="0"/>
        <v>Benedetto XIV</v>
      </c>
      <c r="I3" s="31" t="s">
        <v>825</v>
      </c>
      <c r="K3" s="31" t="s">
        <v>825</v>
      </c>
      <c r="L3" s="31" t="str">
        <f t="shared" si="1"/>
        <v>Breve</v>
      </c>
      <c r="M3" s="31" t="s">
        <v>577</v>
      </c>
      <c r="N3" s="31">
        <v>2</v>
      </c>
      <c r="O3" s="31" t="s">
        <v>838</v>
      </c>
      <c r="P3" s="31" t="s">
        <v>1166</v>
      </c>
      <c r="Q3" s="31" t="s">
        <v>783</v>
      </c>
      <c r="R3" s="35" t="str">
        <f t="shared" si="2"/>
        <v>30</v>
      </c>
      <c r="S3" s="35" t="str">
        <f>IF(ISERROR(DAY(Q3)),TEXT(MATCH(TRIM(SUBSTITUTE(SUBSTITUTE(SUBSTITUTE(SUBSTITUTE(SUBSTITUTE(SUBSTITUTE(SUBSTITUTE(SUBSTITUTE(SUBSTITUTE(SUBSTITUTE(SUBSTITUTE(Q3,1,""),2,""),3,""),4,""),5,""),6,""),7,""),8,""),9,""),0,""),"-","")),{"gennaio","febbraio","marzo","aprile","maggio","giugno","luglio","agosto","settembre","ottobre","novembre","dicembre"},0),"00"),TEXT(MONTH(Q3)*29,"mm"))</f>
        <v>05</v>
      </c>
      <c r="T3" s="37">
        <f t="shared" si="3"/>
        <v>1741</v>
      </c>
      <c r="U3" s="31"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36"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31"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31">
        <v>1</v>
      </c>
      <c r="Y3" s="31" t="str">
        <f t="shared" si="4"/>
        <v>['Benedetto XIV', 'Breve', 'Non Ambigimus', 'bxiv-bre-noa', '30 maggio 1741', '30/05/1741', '1741/05/30'],</v>
      </c>
      <c r="Z3" s="31" t="str">
        <f t="shared" si="5"/>
        <v>Non Ambigimus (30 maggio 1741) | Benedetto XIV</v>
      </c>
      <c r="AA3" s="31" t="str">
        <f t="shared" si="6"/>
        <v>Breve Non Ambigimus</v>
      </c>
      <c r="AB3" s="31" t="str">
        <f t="shared" si="7"/>
        <v>Breve Non Ambigimus</v>
      </c>
      <c r="AC3" s="31" t="str">
        <f t="shared" si="8"/>
        <v>Benedetto XIV, Breve Non Ambigimus, 30 maggio 1741</v>
      </c>
      <c r="AD3" s="31" t="str">
        <f t="shared" si="9"/>
        <v>1741-05-30T08:00:00.000+02:00</v>
      </c>
      <c r="AE3" s="31" t="str">
        <f t="shared" ref="AE3:AE66" si="10">_xlfn.CONCAT(F3 &amp; "-" &amp; M3 &amp; "-" &amp; P3)</f>
        <v>bxiv-bre-noa</v>
      </c>
      <c r="AF3" s="31" t="str">
        <f t="shared" ref="AF3:AF66" si="11">_xlfn.CONCAT(H3 &amp; " - " &amp; L3 &amp; " - " &amp; O3)</f>
        <v>Benedetto XIV - Breve - Non Ambigimus</v>
      </c>
    </row>
    <row r="4" spans="1:38" s="31" customFormat="1" x14ac:dyDescent="0.2">
      <c r="A4" s="31" t="s">
        <v>5237</v>
      </c>
      <c r="B4" s="31">
        <v>247</v>
      </c>
      <c r="C4" s="34" t="s">
        <v>1562</v>
      </c>
      <c r="D4" s="31" t="s">
        <v>699</v>
      </c>
      <c r="E4" s="31" t="s">
        <v>704</v>
      </c>
      <c r="F4" s="31" t="s">
        <v>606</v>
      </c>
      <c r="G4" s="31" t="s">
        <v>607</v>
      </c>
      <c r="H4" s="31" t="str">
        <f t="shared" si="0"/>
        <v>Benedetto XIV</v>
      </c>
      <c r="K4" s="31" t="s">
        <v>825</v>
      </c>
      <c r="L4" s="31" t="str">
        <f t="shared" si="1"/>
        <v>Breve</v>
      </c>
      <c r="M4" s="31" t="s">
        <v>577</v>
      </c>
      <c r="N4" s="31">
        <v>3</v>
      </c>
      <c r="O4" s="31" t="s">
        <v>839</v>
      </c>
      <c r="P4" s="31" t="s">
        <v>1003</v>
      </c>
      <c r="Q4" s="31" t="s">
        <v>784</v>
      </c>
      <c r="R4" s="35" t="str">
        <f t="shared" si="2"/>
        <v>30</v>
      </c>
      <c r="S4" s="35" t="str">
        <f>IF(ISERROR(DAY(Q4)),TEXT(MATCH(TRIM(SUBSTITUTE(SUBSTITUTE(SUBSTITUTE(SUBSTITUTE(SUBSTITUTE(SUBSTITUTE(SUBSTITUTE(SUBSTITUTE(SUBSTITUTE(SUBSTITUTE(SUBSTITUTE(Q4,1,""),2,""),3,""),4,""),5,""),6,""),7,""),8,""),9,""),0,""),"-","")),{"gennaio","febbraio","marzo","aprile","maggio","giugno","luglio","agosto","settembre","ottobre","novembre","dicembre"},0),"00"),TEXT(MONTH(Q4)*29,"mm"))</f>
        <v>06</v>
      </c>
      <c r="T4" s="35">
        <f t="shared" si="3"/>
        <v>1741</v>
      </c>
      <c r="U4" s="31"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36"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31"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31">
        <v>2</v>
      </c>
      <c r="Y4" s="31" t="str">
        <f t="shared" si="4"/>
        <v>['Benedetto XIV', 'Breve', 'Quanta Cura', 'bxiv-bre-quc', '30 giugno 1741', '30/06/1741', '1741/06/30'],</v>
      </c>
      <c r="Z4" s="31" t="str">
        <f t="shared" si="5"/>
        <v>Quanta Cura (30 giugno 1741) | Benedetto XIV</v>
      </c>
      <c r="AA4" s="31" t="str">
        <f t="shared" si="6"/>
        <v>Breve Quanta Cura</v>
      </c>
      <c r="AB4" s="31" t="str">
        <f t="shared" si="7"/>
        <v>Breve Quanta Cura</v>
      </c>
      <c r="AC4" s="31" t="str">
        <f t="shared" si="8"/>
        <v>Benedetto XIV, Breve Quanta Cura, 30 giugno 1741</v>
      </c>
      <c r="AD4" s="31" t="str">
        <f t="shared" si="9"/>
        <v>1741-06-30T08:00:00.000+02:00</v>
      </c>
      <c r="AE4" s="31" t="str">
        <f>_xlfn.CONCAT(F4 &amp; "-" &amp; M4 &amp; "-" &amp; P4)</f>
        <v>bxiv-bre-quc</v>
      </c>
      <c r="AF4" s="31" t="str">
        <f t="shared" si="11"/>
        <v>Benedetto XIV - Breve - Quanta Cura</v>
      </c>
    </row>
    <row r="5" spans="1:38" s="31" customFormat="1" x14ac:dyDescent="0.2">
      <c r="B5" s="31">
        <v>247</v>
      </c>
      <c r="C5" s="34" t="s">
        <v>1561</v>
      </c>
      <c r="D5" s="31" t="s">
        <v>699</v>
      </c>
      <c r="E5" s="31" t="s">
        <v>704</v>
      </c>
      <c r="F5" s="31" t="s">
        <v>606</v>
      </c>
      <c r="G5" s="31" t="s">
        <v>607</v>
      </c>
      <c r="H5" s="31" t="str">
        <f t="shared" si="0"/>
        <v>Benedetto XIV</v>
      </c>
      <c r="I5" s="31" t="s">
        <v>603</v>
      </c>
      <c r="J5" s="31" t="s">
        <v>825</v>
      </c>
      <c r="K5" s="31" t="s">
        <v>694</v>
      </c>
      <c r="L5" s="31" t="str">
        <f t="shared" si="1"/>
        <v>Breve Enciclica</v>
      </c>
      <c r="M5" s="31" t="s">
        <v>880</v>
      </c>
      <c r="N5" s="31">
        <v>4</v>
      </c>
      <c r="O5" s="31" t="s">
        <v>877</v>
      </c>
      <c r="P5" s="31" t="s">
        <v>611</v>
      </c>
      <c r="Q5" s="31" t="s">
        <v>784</v>
      </c>
      <c r="R5" s="35" t="str">
        <f t="shared" si="2"/>
        <v>30</v>
      </c>
      <c r="S5" s="35" t="str">
        <f>IF(ISERROR(DAY(Q5)),TEXT(MATCH(TRIM(SUBSTITUTE(SUBSTITUTE(SUBSTITUTE(SUBSTITUTE(SUBSTITUTE(SUBSTITUTE(SUBSTITUTE(SUBSTITUTE(SUBSTITUTE(SUBSTITUTE(SUBSTITUTE(Q5,1,""),2,""),3,""),4,""),5,""),6,""),7,""),8,""),9,""),0,""),"-","")),{"gennaio","febbraio","marzo","aprile","maggio","giugno","luglio","agosto","settembre","ottobre","novembre","dicembre"},0),"00"),TEXT(MONTH(Q5)*29,"mm"))</f>
        <v>06</v>
      </c>
      <c r="T5" s="35">
        <f t="shared" si="3"/>
        <v>1741</v>
      </c>
      <c r="U5" s="31"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36"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31"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31">
        <v>3</v>
      </c>
      <c r="Y5" s="31" t="str">
        <f t="shared" si="4"/>
        <v>['Benedetto XIV', 'Enciclica', 'Pro Eximia Tua', 'bxiv-ben-pet', '30 giugno 1741', '30/06/1741', '1741/06/30'],</v>
      </c>
      <c r="Z5" s="31" t="str">
        <f t="shared" si="5"/>
        <v>Pro Eximia Tua (30 giugno 1741) | Benedetto XIV</v>
      </c>
      <c r="AA5" s="31" t="str">
        <f t="shared" si="6"/>
        <v>Enciclica Pro Eximia Tua</v>
      </c>
      <c r="AB5" s="31" t="str">
        <f t="shared" si="7"/>
        <v>Enciclica Pro Eximia Tua</v>
      </c>
      <c r="AC5" s="31" t="str">
        <f t="shared" si="8"/>
        <v>Benedetto XIV, Breve Enciclica Pro Eximia Tua, 30 giugno 1741</v>
      </c>
      <c r="AD5" s="31" t="str">
        <f t="shared" si="9"/>
        <v>1741-06-30T08:00:00.000+02:00</v>
      </c>
      <c r="AE5" s="31" t="str">
        <f t="shared" si="10"/>
        <v>bxiv-ben-pet</v>
      </c>
      <c r="AF5" s="31" t="str">
        <f t="shared" si="11"/>
        <v>Benedetto XIV - Breve Enciclica - Pro Eximia Tua</v>
      </c>
    </row>
    <row r="6" spans="1:38" s="31" customFormat="1" x14ac:dyDescent="0.2">
      <c r="B6" s="31">
        <v>247</v>
      </c>
      <c r="C6" s="34" t="s">
        <v>1563</v>
      </c>
      <c r="D6" s="31" t="s">
        <v>699</v>
      </c>
      <c r="E6" s="31" t="s">
        <v>704</v>
      </c>
      <c r="F6" s="31" t="s">
        <v>606</v>
      </c>
      <c r="G6" s="31" t="s">
        <v>607</v>
      </c>
      <c r="H6" s="31" t="str">
        <f t="shared" si="0"/>
        <v>Benedetto XIV</v>
      </c>
      <c r="K6" s="31" t="s">
        <v>825</v>
      </c>
      <c r="L6" s="31" t="str">
        <f t="shared" si="1"/>
        <v>Breve</v>
      </c>
      <c r="M6" s="31" t="s">
        <v>577</v>
      </c>
      <c r="N6" s="31">
        <v>5</v>
      </c>
      <c r="O6" s="31" t="s">
        <v>840</v>
      </c>
      <c r="P6" s="31" t="s">
        <v>1287</v>
      </c>
      <c r="Q6" s="31" t="s">
        <v>785</v>
      </c>
      <c r="R6" s="35" t="str">
        <f t="shared" si="2"/>
        <v>22</v>
      </c>
      <c r="S6" s="35" t="str">
        <f>IF(ISERROR(DAY(Q6)),TEXT(MATCH(TRIM(SUBSTITUTE(SUBSTITUTE(SUBSTITUTE(SUBSTITUTE(SUBSTITUTE(SUBSTITUTE(SUBSTITUTE(SUBSTITUTE(SUBSTITUTE(SUBSTITUTE(SUBSTITUTE(Q6,1,""),2,""),3,""),4,""),5,""),6,""),7,""),8,""),9,""),0,""),"-","")),{"gennaio","febbraio","marzo","aprile","maggio","giugno","luglio","agosto","settembre","ottobre","novembre","dicembre"},0),"00"),TEXT(MONTH(Q6)*29,"mm"))</f>
        <v>08</v>
      </c>
      <c r="T6" s="37">
        <f t="shared" si="3"/>
        <v>1741</v>
      </c>
      <c r="U6" s="31"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36"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31"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31">
        <v>4</v>
      </c>
      <c r="Y6" s="31" t="str">
        <f t="shared" si="4"/>
        <v>['Benedetto XIV', 'Breve', 'In Suprema Universalis', 'bxiv-bre-isu', '22 agosto 1741', '22/08/1741', '1741/08/22'],</v>
      </c>
      <c r="Z6" s="31" t="str">
        <f t="shared" si="5"/>
        <v>In Suprema Universalis (22 agosto 1741) | Benedetto XIV</v>
      </c>
      <c r="AA6" s="31" t="str">
        <f t="shared" si="6"/>
        <v>Breve In Suprema Universalis</v>
      </c>
      <c r="AB6" s="31" t="str">
        <f t="shared" si="7"/>
        <v>Breve In Suprema Universalis</v>
      </c>
      <c r="AC6" s="31" t="str">
        <f t="shared" si="8"/>
        <v>Benedetto XIV, Breve In Suprema Universalis, 22 agosto 1741</v>
      </c>
      <c r="AD6" s="31" t="str">
        <f t="shared" si="9"/>
        <v>1741-08-22T08:00:00.000+02:00</v>
      </c>
      <c r="AE6" s="31" t="str">
        <f t="shared" si="10"/>
        <v>bxiv-bre-isu</v>
      </c>
      <c r="AF6" s="31" t="str">
        <f t="shared" si="11"/>
        <v>Benedetto XIV - Breve - In Suprema Universalis</v>
      </c>
    </row>
    <row r="7" spans="1:38" s="31" customFormat="1" x14ac:dyDescent="0.2">
      <c r="B7" s="31">
        <v>247</v>
      </c>
      <c r="C7" s="34" t="s">
        <v>1564</v>
      </c>
      <c r="D7" s="31" t="s">
        <v>699</v>
      </c>
      <c r="E7" s="31" t="s">
        <v>704</v>
      </c>
      <c r="F7" s="31" t="s">
        <v>606</v>
      </c>
      <c r="G7" s="31" t="s">
        <v>607</v>
      </c>
      <c r="H7" s="31" t="str">
        <f t="shared" si="0"/>
        <v>Benedetto XIV</v>
      </c>
      <c r="I7" s="31" t="s">
        <v>603</v>
      </c>
      <c r="J7" s="31" t="s">
        <v>829</v>
      </c>
      <c r="K7" s="31" t="s">
        <v>694</v>
      </c>
      <c r="L7" s="31" t="str">
        <f t="shared" si="1"/>
        <v>Lettera Enciclica</v>
      </c>
      <c r="M7" s="31" t="s">
        <v>579</v>
      </c>
      <c r="N7" s="31">
        <v>6</v>
      </c>
      <c r="O7" s="31" t="s">
        <v>841</v>
      </c>
      <c r="P7" s="31" t="s">
        <v>1685</v>
      </c>
      <c r="Q7" s="31" t="s">
        <v>786</v>
      </c>
      <c r="R7" s="35" t="str">
        <f t="shared" si="2"/>
        <v>26</v>
      </c>
      <c r="S7" s="35" t="str">
        <f>IF(ISERROR(DAY(Q7)),TEXT(MATCH(TRIM(SUBSTITUTE(SUBSTITUTE(SUBSTITUTE(SUBSTITUTE(SUBSTITUTE(SUBSTITUTE(SUBSTITUTE(SUBSTITUTE(SUBSTITUTE(SUBSTITUTE(SUBSTITUTE(Q7,1,""),2,""),3,""),4,""),5,""),6,""),7,""),8,""),9,""),0,""),"-","")),{"gennaio","febbraio","marzo","aprile","maggio","giugno","luglio","agosto","settembre","ottobre","novembre","dicembre"},0),"00"),TEXT(MONTH(Q7)*29,"mm"))</f>
        <v>08</v>
      </c>
      <c r="T7" s="35">
        <f t="shared" si="3"/>
        <v>1741</v>
      </c>
      <c r="U7" s="31"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36"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31"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31">
        <v>5</v>
      </c>
      <c r="Y7" s="31" t="str">
        <f t="shared" si="4"/>
        <v>['Benedetto XIV', 'Enciclica', 'Quamvis Paternae', 'bxiv-enc-qpa', '26 agosto 1741', '26/08/1741', '1741/08/26'],</v>
      </c>
      <c r="Z7" s="31" t="str">
        <f t="shared" si="5"/>
        <v>Quamvis Paternae (26 agosto 1741) | Benedetto XIV</v>
      </c>
      <c r="AA7" s="31" t="str">
        <f t="shared" si="6"/>
        <v>Enciclica Quamvis Paternae</v>
      </c>
      <c r="AB7" s="31" t="str">
        <f t="shared" si="7"/>
        <v>Enciclica Quamvis Paternae</v>
      </c>
      <c r="AC7" s="31" t="str">
        <f t="shared" si="8"/>
        <v>Benedetto XIV, Lettera Enciclica Quamvis Paternae, 26 agosto 1741</v>
      </c>
      <c r="AD7" s="31" t="str">
        <f t="shared" si="9"/>
        <v>1741-08-26T08:00:00.000+02:00</v>
      </c>
      <c r="AE7" s="31" t="str">
        <f t="shared" si="10"/>
        <v>bxiv-enc-qpa</v>
      </c>
      <c r="AF7" s="31" t="str">
        <f t="shared" si="11"/>
        <v>Benedetto XIV - Lettera Enciclica - Quamvis Paternae</v>
      </c>
    </row>
    <row r="8" spans="1:38" s="31" customFormat="1" x14ac:dyDescent="0.2">
      <c r="B8" s="31">
        <v>247</v>
      </c>
      <c r="C8" s="34" t="s">
        <v>1565</v>
      </c>
      <c r="D8" s="31" t="s">
        <v>699</v>
      </c>
      <c r="E8" s="31" t="s">
        <v>704</v>
      </c>
      <c r="F8" s="31" t="s">
        <v>606</v>
      </c>
      <c r="G8" s="31" t="s">
        <v>607</v>
      </c>
      <c r="H8" s="31" t="str">
        <f t="shared" si="0"/>
        <v>Benedetto XIV</v>
      </c>
      <c r="I8" s="31" t="s">
        <v>603</v>
      </c>
      <c r="J8" s="31" t="s">
        <v>829</v>
      </c>
      <c r="K8" s="31" t="s">
        <v>694</v>
      </c>
      <c r="L8" s="31" t="str">
        <f t="shared" si="1"/>
        <v>Lettera Enciclica</v>
      </c>
      <c r="M8" s="31" t="s">
        <v>579</v>
      </c>
      <c r="N8" s="31">
        <v>7</v>
      </c>
      <c r="O8" s="31" t="s">
        <v>943</v>
      </c>
      <c r="P8" s="31" t="s">
        <v>613</v>
      </c>
      <c r="Q8" s="31" t="s">
        <v>787</v>
      </c>
      <c r="R8" s="35" t="str">
        <f t="shared" si="2"/>
        <v>17</v>
      </c>
      <c r="S8" s="35" t="str">
        <f>IF(ISERROR(DAY(Q8)),TEXT(MATCH(TRIM(SUBSTITUTE(SUBSTITUTE(SUBSTITUTE(SUBSTITUTE(SUBSTITUTE(SUBSTITUTE(SUBSTITUTE(SUBSTITUTE(SUBSTITUTE(SUBSTITUTE(SUBSTITUTE(Q8,1,""),2,""),3,""),4,""),5,""),6,""),7,""),8,""),9,""),0,""),"-","")),{"gennaio","febbraio","marzo","aprile","maggio","giugno","luglio","agosto","settembre","ottobre","novembre","dicembre"},0),"00"),TEXT(MONTH(Q8)*29,"mm"))</f>
        <v>11</v>
      </c>
      <c r="T8" s="35">
        <f t="shared" si="3"/>
        <v>1741</v>
      </c>
      <c r="U8" s="31"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36"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31"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31">
        <v>6</v>
      </c>
      <c r="Y8" s="31" t="str">
        <f t="shared" si="4"/>
        <v>['Benedetto XIV', 'Enciclica', 'Satis Vobis Compertum', 'bxiv-enc-svc', '17 novembre 1741', '17/11/1741', '1741/11/17'],</v>
      </c>
      <c r="Z8" s="31" t="str">
        <f t="shared" si="5"/>
        <v>Satis Vobis Compertum (17 novembre 1741) | Benedetto XIV</v>
      </c>
      <c r="AA8" s="31" t="str">
        <f t="shared" si="6"/>
        <v>Enciclica Satis Vobis Compertum</v>
      </c>
      <c r="AB8" s="31" t="str">
        <f t="shared" si="7"/>
        <v>Enciclica Satis Vobis Compertum</v>
      </c>
      <c r="AC8" s="31" t="str">
        <f t="shared" si="8"/>
        <v>Benedetto XIV, Lettera Enciclica Satis Vobis Compertum, 17 novembre 1741</v>
      </c>
      <c r="AD8" s="31" t="str">
        <f t="shared" si="9"/>
        <v>1741-11-17T08:00:00.000+02:00</v>
      </c>
      <c r="AE8" s="31" t="str">
        <f t="shared" si="10"/>
        <v>bxiv-enc-svc</v>
      </c>
      <c r="AF8" s="31" t="str">
        <f t="shared" si="11"/>
        <v>Benedetto XIV - Lettera Enciclica - Satis Vobis Compertum</v>
      </c>
    </row>
    <row r="9" spans="1:38" s="31" customFormat="1" x14ac:dyDescent="0.2">
      <c r="B9" s="31">
        <v>247</v>
      </c>
      <c r="C9" s="34" t="s">
        <v>1566</v>
      </c>
      <c r="D9" s="31" t="s">
        <v>699</v>
      </c>
      <c r="E9" s="31" t="s">
        <v>704</v>
      </c>
      <c r="F9" s="31" t="s">
        <v>606</v>
      </c>
      <c r="G9" s="31" t="s">
        <v>607</v>
      </c>
      <c r="H9" s="31" t="str">
        <f t="shared" si="0"/>
        <v>Benedetto XIV</v>
      </c>
      <c r="I9" s="31" t="s">
        <v>603</v>
      </c>
      <c r="J9" s="31" t="s">
        <v>829</v>
      </c>
      <c r="K9" s="31" t="s">
        <v>694</v>
      </c>
      <c r="L9" s="31" t="str">
        <f t="shared" si="1"/>
        <v>Lettera Enciclica</v>
      </c>
      <c r="M9" s="31" t="s">
        <v>579</v>
      </c>
      <c r="N9" s="31">
        <v>8</v>
      </c>
      <c r="O9" s="31" t="s">
        <v>842</v>
      </c>
      <c r="P9" s="31" t="s">
        <v>615</v>
      </c>
      <c r="Q9" s="31" t="s">
        <v>788</v>
      </c>
      <c r="R9" s="35" t="str">
        <f t="shared" si="2"/>
        <v>07</v>
      </c>
      <c r="S9" s="35" t="str">
        <f>IF(ISERROR(DAY(Q9)),TEXT(MATCH(TRIM(SUBSTITUTE(SUBSTITUTE(SUBSTITUTE(SUBSTITUTE(SUBSTITUTE(SUBSTITUTE(SUBSTITUTE(SUBSTITUTE(SUBSTITUTE(SUBSTITUTE(SUBSTITUTE(Q9,1,""),2,""),3,""),4,""),5,""),6,""),7,""),8,""),9,""),0,""),"-","")),{"gennaio","febbraio","marzo","aprile","maggio","giugno","luglio","agosto","settembre","ottobre","novembre","dicembre"},0),"00"),TEXT(MONTH(Q9)*29,"mm"))</f>
        <v>02</v>
      </c>
      <c r="T9" s="35">
        <f t="shared" si="3"/>
        <v>1742</v>
      </c>
      <c r="U9" s="31"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36"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31"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31">
        <v>7</v>
      </c>
      <c r="Y9" s="31" t="str">
        <f t="shared" si="4"/>
        <v>['Benedetto XIV', 'Enciclica', 'Etsi Minime', 'bxiv-enc-etm', '07 febbraio 1742', '07/02/1742', '1742/02/07'],</v>
      </c>
      <c r="Z9" s="31" t="str">
        <f t="shared" si="5"/>
        <v>Etsi Minime (7 febbraio 1742) | Benedetto XIV</v>
      </c>
      <c r="AA9" s="31" t="str">
        <f t="shared" si="6"/>
        <v>Enciclica Etsi Minime</v>
      </c>
      <c r="AB9" s="31" t="str">
        <f t="shared" si="7"/>
        <v>Enciclica Etsi Minime</v>
      </c>
      <c r="AC9" s="31" t="str">
        <f t="shared" si="8"/>
        <v>Benedetto XIV, Lettera Enciclica Etsi Minime, 07 febbraio 1742</v>
      </c>
      <c r="AD9" s="31" t="str">
        <f t="shared" si="9"/>
        <v>1742-02-07T08:00:00.000+02:00</v>
      </c>
      <c r="AE9" s="31" t="str">
        <f t="shared" si="10"/>
        <v>bxiv-enc-etm</v>
      </c>
      <c r="AF9" s="31" t="str">
        <f t="shared" si="11"/>
        <v>Benedetto XIV - Lettera Enciclica - Etsi Minime</v>
      </c>
    </row>
    <row r="10" spans="1:38" s="31" customFormat="1" x14ac:dyDescent="0.2">
      <c r="B10" s="31">
        <v>247</v>
      </c>
      <c r="C10" s="34" t="s">
        <v>1567</v>
      </c>
      <c r="D10" s="31" t="s">
        <v>699</v>
      </c>
      <c r="E10" s="31" t="s">
        <v>704</v>
      </c>
      <c r="F10" s="31" t="s">
        <v>606</v>
      </c>
      <c r="G10" s="31" t="s">
        <v>607</v>
      </c>
      <c r="H10" s="31" t="str">
        <f t="shared" si="0"/>
        <v>Benedetto XIV</v>
      </c>
      <c r="I10" s="31" t="s">
        <v>603</v>
      </c>
      <c r="J10" s="31" t="s">
        <v>829</v>
      </c>
      <c r="K10" s="31" t="s">
        <v>694</v>
      </c>
      <c r="L10" s="31" t="str">
        <f t="shared" si="1"/>
        <v>Lettera Enciclica</v>
      </c>
      <c r="M10" s="31" t="s">
        <v>579</v>
      </c>
      <c r="N10" s="31">
        <v>9</v>
      </c>
      <c r="O10" s="31" t="s">
        <v>843</v>
      </c>
      <c r="P10" s="31" t="s">
        <v>616</v>
      </c>
      <c r="Q10" s="31" t="s">
        <v>789</v>
      </c>
      <c r="R10" s="35" t="str">
        <f t="shared" si="2"/>
        <v>13</v>
      </c>
      <c r="S10" s="35" t="str">
        <f>IF(ISERROR(DAY(Q10)),TEXT(MATCH(TRIM(SUBSTITUTE(SUBSTITUTE(SUBSTITUTE(SUBSTITUTE(SUBSTITUTE(SUBSTITUTE(SUBSTITUTE(SUBSTITUTE(SUBSTITUTE(SUBSTITUTE(SUBSTITUTE(Q10,1,""),2,""),3,""),4,""),5,""),6,""),7,""),8,""),9,""),0,""),"-","")),{"gennaio","febbraio","marzo","aprile","maggio","giugno","luglio","agosto","settembre","ottobre","novembre","dicembre"},0),"00"),TEXT(MONTH(Q10)*29,"mm"))</f>
        <v>11</v>
      </c>
      <c r="T10" s="35">
        <f t="shared" si="3"/>
        <v>1742</v>
      </c>
      <c r="U10" s="31"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36"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31"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31">
        <v>8</v>
      </c>
      <c r="Y10" s="31" t="str">
        <f t="shared" si="4"/>
        <v>['Benedetto XIV', 'Enciclica', 'Certiores Effecti', 'bxiv-enc-cee', '13 novembre 1742', '13/11/1742', '1742/11/13'],</v>
      </c>
      <c r="Z10" s="31" t="str">
        <f t="shared" si="5"/>
        <v>Certiores Effecti (13 novembre 1742) | Benedetto XIV</v>
      </c>
      <c r="AA10" s="31" t="str">
        <f t="shared" si="6"/>
        <v>Enciclica Certiores Effecti</v>
      </c>
      <c r="AB10" s="31" t="str">
        <f t="shared" si="7"/>
        <v>Enciclica Certiores Effecti</v>
      </c>
      <c r="AC10" s="31" t="str">
        <f t="shared" si="8"/>
        <v>Benedetto XIV, Lettera Enciclica Certiores Effecti, 13 novembre 1742</v>
      </c>
      <c r="AD10" s="31" t="str">
        <f t="shared" si="9"/>
        <v>1742-11-13T08:00:00.000+02:00</v>
      </c>
      <c r="AE10" s="31" t="str">
        <f t="shared" si="10"/>
        <v>bxiv-enc-cee</v>
      </c>
      <c r="AF10" s="31" t="str">
        <f t="shared" si="11"/>
        <v>Benedetto XIV - Lettera Enciclica - Certiores Effecti</v>
      </c>
    </row>
    <row r="11" spans="1:38" s="31" customFormat="1" x14ac:dyDescent="0.2">
      <c r="B11" s="31">
        <v>247</v>
      </c>
      <c r="C11" s="34" t="s">
        <v>1568</v>
      </c>
      <c r="D11" s="31" t="s">
        <v>699</v>
      </c>
      <c r="E11" s="31" t="s">
        <v>704</v>
      </c>
      <c r="F11" s="31" t="s">
        <v>606</v>
      </c>
      <c r="G11" s="31" t="s">
        <v>607</v>
      </c>
      <c r="H11" s="31" t="str">
        <f t="shared" si="0"/>
        <v>Benedetto XIV</v>
      </c>
      <c r="I11" s="31" t="s">
        <v>603</v>
      </c>
      <c r="J11" s="31" t="s">
        <v>829</v>
      </c>
      <c r="K11" s="31" t="s">
        <v>694</v>
      </c>
      <c r="L11" s="31" t="str">
        <f t="shared" si="1"/>
        <v>Lettera Enciclica</v>
      </c>
      <c r="M11" s="31" t="s">
        <v>579</v>
      </c>
      <c r="N11" s="31">
        <v>10</v>
      </c>
      <c r="O11" s="31" t="s">
        <v>844</v>
      </c>
      <c r="P11" s="31" t="s">
        <v>617</v>
      </c>
      <c r="Q11" s="31" t="s">
        <v>790</v>
      </c>
      <c r="R11" s="35" t="str">
        <f t="shared" si="2"/>
        <v>14</v>
      </c>
      <c r="S11" s="35" t="str">
        <f>IF(ISERROR(DAY(Q11)),TEXT(MATCH(TRIM(SUBSTITUTE(SUBSTITUTE(SUBSTITUTE(SUBSTITUTE(SUBSTITUTE(SUBSTITUTE(SUBSTITUTE(SUBSTITUTE(SUBSTITUTE(SUBSTITUTE(SUBSTITUTE(Q11,1,""),2,""),3,""),4,""),5,""),6,""),7,""),8,""),9,""),0,""),"-","")),{"gennaio","febbraio","marzo","aprile","maggio","giugno","luglio","agosto","settembre","ottobre","novembre","dicembre"},0),"00"),TEXT(MONTH(Q11)*29,"mm"))</f>
        <v>12</v>
      </c>
      <c r="T11" s="35">
        <f t="shared" si="3"/>
        <v>1742</v>
      </c>
      <c r="U11" s="31"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36"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31"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31">
        <v>9</v>
      </c>
      <c r="Y11" s="31" t="str">
        <f t="shared" si="4"/>
        <v>['Benedetto XIV', 'Enciclica', 'Cum Illud Semper', 'bxiv-enc-cis', '14 dicembre 1742', '14/12/1742', '1742/12/14'],</v>
      </c>
      <c r="Z11" s="31" t="str">
        <f t="shared" si="5"/>
        <v>Cum Illud Semper (14 dicembre 1742) | Benedetto XIV</v>
      </c>
      <c r="AA11" s="31" t="str">
        <f t="shared" si="6"/>
        <v>Enciclica Cum Illud Semper</v>
      </c>
      <c r="AB11" s="31" t="str">
        <f t="shared" si="7"/>
        <v>Enciclica Cum Illud Semper</v>
      </c>
      <c r="AC11" s="31" t="str">
        <f t="shared" si="8"/>
        <v>Benedetto XIV, Lettera Enciclica Cum Illud Semper, 14 dicembre 1742</v>
      </c>
      <c r="AD11" s="31" t="str">
        <f t="shared" si="9"/>
        <v>1742-12-14T08:00:00.000+02:00</v>
      </c>
      <c r="AE11" s="31" t="str">
        <f t="shared" si="10"/>
        <v>bxiv-enc-cis</v>
      </c>
      <c r="AF11" s="31" t="str">
        <f t="shared" si="11"/>
        <v>Benedetto XIV - Lettera Enciclica - Cum Illud Semper</v>
      </c>
    </row>
    <row r="12" spans="1:38" s="31" customFormat="1" x14ac:dyDescent="0.2">
      <c r="B12" s="31">
        <v>247</v>
      </c>
      <c r="C12" s="34" t="s">
        <v>1569</v>
      </c>
      <c r="D12" s="31" t="s">
        <v>699</v>
      </c>
      <c r="E12" s="31" t="s">
        <v>704</v>
      </c>
      <c r="F12" s="31" t="s">
        <v>606</v>
      </c>
      <c r="G12" s="31" t="s">
        <v>607</v>
      </c>
      <c r="H12" s="31" t="str">
        <f t="shared" si="0"/>
        <v>Benedetto XIV</v>
      </c>
      <c r="I12" s="31" t="s">
        <v>603</v>
      </c>
      <c r="J12" s="31" t="s">
        <v>829</v>
      </c>
      <c r="K12" s="31" t="s">
        <v>694</v>
      </c>
      <c r="L12" s="31" t="str">
        <f t="shared" si="1"/>
        <v>Lettera Enciclica</v>
      </c>
      <c r="M12" s="31" t="s">
        <v>579</v>
      </c>
      <c r="N12" s="31">
        <v>11</v>
      </c>
      <c r="O12" s="31" t="s">
        <v>845</v>
      </c>
      <c r="P12" s="31" t="s">
        <v>636</v>
      </c>
      <c r="Q12" s="31" t="s">
        <v>791</v>
      </c>
      <c r="R12" s="35" t="str">
        <f t="shared" si="2"/>
        <v>23</v>
      </c>
      <c r="S12" s="35" t="str">
        <f>IF(ISERROR(DAY(Q12)),TEXT(MATCH(TRIM(SUBSTITUTE(SUBSTITUTE(SUBSTITUTE(SUBSTITUTE(SUBSTITUTE(SUBSTITUTE(SUBSTITUTE(SUBSTITUTE(SUBSTITUTE(SUBSTITUTE(SUBSTITUTE(Q12,1,""),2,""),3,""),4,""),5,""),6,""),7,""),8,""),9,""),0,""),"-","")),{"gennaio","febbraio","marzo","aprile","maggio","giugno","luglio","agosto","settembre","ottobre","novembre","dicembre"},0),"00"),TEXT(MONTH(Q12)*29,"mm"))</f>
        <v>03</v>
      </c>
      <c r="T12" s="35">
        <f t="shared" si="3"/>
        <v>1743</v>
      </c>
      <c r="U12" s="31"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36"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31"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31">
        <v>10</v>
      </c>
      <c r="Y12" s="31" t="str">
        <f t="shared" si="4"/>
        <v>['Benedetto XIV', 'Enciclica', 'Quemadmodum Preces', 'bxiv-enc-qpr', '23 marzo 1743', '23/03/1743', '1743/03/23'],</v>
      </c>
      <c r="Z12" s="31" t="str">
        <f t="shared" si="5"/>
        <v>Quemadmodum Preces (23 marzo 1743) | Benedetto XIV</v>
      </c>
      <c r="AA12" s="31" t="str">
        <f t="shared" si="6"/>
        <v>Enciclica Quemadmodum Preces</v>
      </c>
      <c r="AB12" s="31" t="str">
        <f t="shared" si="7"/>
        <v>Enciclica Quemadmodum Preces</v>
      </c>
      <c r="AC12" s="31" t="str">
        <f t="shared" si="8"/>
        <v>Benedetto XIV, Lettera Enciclica Quemadmodum Preces, 23 marzo 1743</v>
      </c>
      <c r="AD12" s="31" t="str">
        <f t="shared" si="9"/>
        <v>1743-03-23T08:00:00.000+02:00</v>
      </c>
      <c r="AE12" s="31" t="str">
        <f t="shared" si="10"/>
        <v>bxiv-enc-qpr</v>
      </c>
      <c r="AF12" s="31" t="str">
        <f t="shared" si="11"/>
        <v>Benedetto XIV - Lettera Enciclica - Quemadmodum Preces</v>
      </c>
    </row>
    <row r="13" spans="1:38" s="31" customFormat="1" x14ac:dyDescent="0.2">
      <c r="B13" s="31">
        <v>247</v>
      </c>
      <c r="C13" s="34" t="s">
        <v>1570</v>
      </c>
      <c r="D13" s="31" t="s">
        <v>699</v>
      </c>
      <c r="E13" s="31" t="s">
        <v>704</v>
      </c>
      <c r="F13" s="31" t="s">
        <v>606</v>
      </c>
      <c r="G13" s="31" t="s">
        <v>607</v>
      </c>
      <c r="H13" s="31" t="str">
        <f t="shared" si="0"/>
        <v>Benedetto XIV</v>
      </c>
      <c r="K13" s="31" t="s">
        <v>825</v>
      </c>
      <c r="L13" s="31" t="str">
        <f t="shared" si="1"/>
        <v>Breve</v>
      </c>
      <c r="M13" s="31" t="s">
        <v>577</v>
      </c>
      <c r="N13" s="31">
        <v>12</v>
      </c>
      <c r="O13" s="31" t="s">
        <v>846</v>
      </c>
      <c r="P13" s="31" t="s">
        <v>1602</v>
      </c>
      <c r="Q13" s="31" t="s">
        <v>792</v>
      </c>
      <c r="R13" s="35" t="str">
        <f t="shared" si="2"/>
        <v>18</v>
      </c>
      <c r="S13" s="35" t="str">
        <f>IF(ISERROR(DAY(Q13)),TEXT(MATCH(TRIM(SUBSTITUTE(SUBSTITUTE(SUBSTITUTE(SUBSTITUTE(SUBSTITUTE(SUBSTITUTE(SUBSTITUTE(SUBSTITUTE(SUBSTITUTE(SUBSTITUTE(SUBSTITUTE(Q13,1,""),2,""),3,""),4,""),5,""),6,""),7,""),8,""),9,""),0,""),"-","")),{"gennaio","febbraio","marzo","aprile","maggio","giugno","luglio","agosto","settembre","ottobre","novembre","dicembre"},0),"00"),TEXT(MONTH(Q13)*29,"mm"))</f>
        <v>05</v>
      </c>
      <c r="T13" s="35">
        <f t="shared" si="3"/>
        <v>1743</v>
      </c>
      <c r="U13" s="31"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36"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31"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31">
        <v>11</v>
      </c>
      <c r="Y13" s="31" t="str">
        <f t="shared" si="4"/>
        <v>['Benedetto XIV', 'Breve', 'Nimiam Licentiam', 'bxiv-bre-nil', '18 maggio 1743', '18/05/1743', '1743/05/18'],</v>
      </c>
      <c r="Z13" s="31" t="str">
        <f t="shared" si="5"/>
        <v>Nimiam Licentiam (18 maggio 1743) | Benedetto XIV</v>
      </c>
      <c r="AA13" s="31" t="str">
        <f t="shared" si="6"/>
        <v>Breve Nimiam Licentiam</v>
      </c>
      <c r="AB13" s="31" t="str">
        <f t="shared" si="7"/>
        <v>Breve Nimiam Licentiam</v>
      </c>
      <c r="AC13" s="31" t="str">
        <f t="shared" si="8"/>
        <v>Benedetto XIV, Breve Nimiam Licentiam, 18 maggio 1743</v>
      </c>
      <c r="AD13" s="31" t="str">
        <f t="shared" si="9"/>
        <v>1743-05-18T08:00:00.000+02:00</v>
      </c>
      <c r="AE13" s="31" t="str">
        <f t="shared" si="10"/>
        <v>bxiv-bre-nil</v>
      </c>
      <c r="AF13" s="31" t="str">
        <f t="shared" si="11"/>
        <v>Benedetto XIV - Breve - Nimiam Licentiam</v>
      </c>
    </row>
    <row r="14" spans="1:38" s="31" customFormat="1" x14ac:dyDescent="0.2">
      <c r="B14" s="31">
        <v>247</v>
      </c>
      <c r="C14" s="34" t="s">
        <v>1571</v>
      </c>
      <c r="D14" s="31" t="s">
        <v>699</v>
      </c>
      <c r="E14" s="31" t="s">
        <v>704</v>
      </c>
      <c r="F14" s="31" t="s">
        <v>606</v>
      </c>
      <c r="G14" s="31" t="s">
        <v>607</v>
      </c>
      <c r="H14" s="31" t="str">
        <f t="shared" si="0"/>
        <v>Benedetto XIV</v>
      </c>
      <c r="I14" s="31" t="s">
        <v>603</v>
      </c>
      <c r="J14" s="31" t="s">
        <v>829</v>
      </c>
      <c r="K14" s="31" t="s">
        <v>694</v>
      </c>
      <c r="L14" s="31" t="str">
        <f t="shared" si="1"/>
        <v>Lettera Enciclica</v>
      </c>
      <c r="M14" s="31" t="s">
        <v>579</v>
      </c>
      <c r="N14" s="31">
        <v>13</v>
      </c>
      <c r="O14" s="31" t="s">
        <v>847</v>
      </c>
      <c r="P14" s="31" t="s">
        <v>618</v>
      </c>
      <c r="Q14" s="31" t="s">
        <v>793</v>
      </c>
      <c r="R14" s="35" t="str">
        <f t="shared" si="2"/>
        <v>02</v>
      </c>
      <c r="S14" s="35" t="str">
        <f>IF(ISERROR(DAY(Q14)),TEXT(MATCH(TRIM(SUBSTITUTE(SUBSTITUTE(SUBSTITUTE(SUBSTITUTE(SUBSTITUTE(SUBSTITUTE(SUBSTITUTE(SUBSTITUTE(SUBSTITUTE(SUBSTITUTE(SUBSTITUTE(Q14,1,""),2,""),3,""),4,""),5,""),6,""),7,""),8,""),9,""),0,""),"-","")),{"gennaio","febbraio","marzo","aprile","maggio","giugno","luglio","agosto","settembre","ottobre","novembre","dicembre"},0),"00"),TEXT(MONTH(Q14)*29,"mm"))</f>
        <v>02</v>
      </c>
      <c r="T14" s="35">
        <f t="shared" si="3"/>
        <v>1744</v>
      </c>
      <c r="U14" s="31"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36"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31"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31">
        <v>12</v>
      </c>
      <c r="Y14" s="31" t="str">
        <f t="shared" si="4"/>
        <v>['Benedetto XIV', 'Enciclica', 'Inter Omnigenas', 'bxiv-enc-ino', '02 febbraio 1744', '02/02/1744', '1744/02/02'],</v>
      </c>
      <c r="Z14" s="31" t="str">
        <f t="shared" si="5"/>
        <v>Inter Omnigenas (2 febbraio 1744) | Benedetto XIV</v>
      </c>
      <c r="AA14" s="31" t="str">
        <f t="shared" si="6"/>
        <v>Enciclica Inter Omnigenas</v>
      </c>
      <c r="AB14" s="31" t="str">
        <f t="shared" si="7"/>
        <v>Enciclica Inter Omnigenas</v>
      </c>
      <c r="AC14" s="31" t="str">
        <f t="shared" si="8"/>
        <v>Benedetto XIV, Lettera Enciclica Inter Omnigenas, 02 febbraio 1744</v>
      </c>
      <c r="AD14" s="31" t="str">
        <f t="shared" si="9"/>
        <v>1744-02-02T08:00:00.000+02:00</v>
      </c>
      <c r="AE14" s="31" t="str">
        <f t="shared" si="10"/>
        <v>bxiv-enc-ino</v>
      </c>
      <c r="AF14" s="31" t="str">
        <f t="shared" si="11"/>
        <v>Benedetto XIV - Lettera Enciclica - Inter Omnigenas</v>
      </c>
    </row>
    <row r="15" spans="1:38" s="31" customFormat="1" x14ac:dyDescent="0.2">
      <c r="B15" s="31">
        <v>247</v>
      </c>
      <c r="C15" s="34" t="s">
        <v>1572</v>
      </c>
      <c r="D15" s="31" t="s">
        <v>699</v>
      </c>
      <c r="E15" s="31" t="s">
        <v>704</v>
      </c>
      <c r="F15" s="31" t="s">
        <v>606</v>
      </c>
      <c r="G15" s="31" t="s">
        <v>607</v>
      </c>
      <c r="H15" s="31" t="str">
        <f t="shared" si="0"/>
        <v>Benedetto XIV</v>
      </c>
      <c r="I15" s="31" t="s">
        <v>603</v>
      </c>
      <c r="J15" s="31" t="s">
        <v>829</v>
      </c>
      <c r="K15" s="31" t="s">
        <v>694</v>
      </c>
      <c r="L15" s="31" t="str">
        <f t="shared" si="1"/>
        <v>Lettera Enciclica</v>
      </c>
      <c r="M15" s="31" t="s">
        <v>579</v>
      </c>
      <c r="N15" s="31">
        <v>14</v>
      </c>
      <c r="O15" s="31" t="s">
        <v>848</v>
      </c>
      <c r="P15" s="31" t="s">
        <v>619</v>
      </c>
      <c r="Q15" s="31" t="s">
        <v>794</v>
      </c>
      <c r="R15" s="35" t="str">
        <f t="shared" si="2"/>
        <v>19</v>
      </c>
      <c r="S15" s="35" t="str">
        <f>IF(ISERROR(DAY(Q15)),TEXT(MATCH(TRIM(SUBSTITUTE(SUBSTITUTE(SUBSTITUTE(SUBSTITUTE(SUBSTITUTE(SUBSTITUTE(SUBSTITUTE(SUBSTITUTE(SUBSTITUTE(SUBSTITUTE(SUBSTITUTE(Q15,1,""),2,""),3,""),4,""),5,""),6,""),7,""),8,""),9,""),0,""),"-","")),{"gennaio","febbraio","marzo","aprile","maggio","giugno","luglio","agosto","settembre","ottobre","novembre","dicembre"},0),"00"),TEXT(MONTH(Q15)*29,"mm"))</f>
        <v>08</v>
      </c>
      <c r="T15" s="35">
        <f t="shared" si="3"/>
        <v>1744</v>
      </c>
      <c r="U15" s="31"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36"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31"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31">
        <v>13</v>
      </c>
      <c r="Y15" s="31" t="str">
        <f t="shared" si="4"/>
        <v>['Benedetto XIV', 'Enciclica', 'Cum Semper Oblatas', 'bxiv-enc-cso', '19 agosto 1744', '19/08/1744', '1744/08/19'],</v>
      </c>
      <c r="Z15" s="31" t="str">
        <f t="shared" si="5"/>
        <v>Cum Semper Oblatas (19 agosto 1744) | Benedetto XIV</v>
      </c>
      <c r="AA15" s="31" t="str">
        <f t="shared" si="6"/>
        <v>Enciclica Cum Semper Oblatas</v>
      </c>
      <c r="AB15" s="31" t="str">
        <f t="shared" si="7"/>
        <v>Enciclica Cum Semper Oblatas</v>
      </c>
      <c r="AC15" s="31" t="str">
        <f t="shared" si="8"/>
        <v>Benedetto XIV, Lettera Enciclica Cum Semper Oblatas, 19 agosto 1744</v>
      </c>
      <c r="AD15" s="31" t="str">
        <f t="shared" si="9"/>
        <v>1744-08-19T08:00:00.000+02:00</v>
      </c>
      <c r="AE15" s="31" t="str">
        <f t="shared" si="10"/>
        <v>bxiv-enc-cso</v>
      </c>
      <c r="AF15" s="31" t="str">
        <f t="shared" si="11"/>
        <v>Benedetto XIV - Lettera Enciclica - Cum Semper Oblatas</v>
      </c>
    </row>
    <row r="16" spans="1:38" s="31" customFormat="1" x14ac:dyDescent="0.2">
      <c r="B16" s="31">
        <v>247</v>
      </c>
      <c r="C16" s="34" t="s">
        <v>1573</v>
      </c>
      <c r="D16" s="31" t="s">
        <v>699</v>
      </c>
      <c r="E16" s="31" t="s">
        <v>704</v>
      </c>
      <c r="F16" s="31" t="s">
        <v>606</v>
      </c>
      <c r="G16" s="31" t="s">
        <v>607</v>
      </c>
      <c r="H16" s="31" t="str">
        <f t="shared" si="0"/>
        <v>Benedetto XIV</v>
      </c>
      <c r="K16" s="31" t="s">
        <v>825</v>
      </c>
      <c r="L16" s="31" t="str">
        <f t="shared" si="1"/>
        <v>Breve</v>
      </c>
      <c r="M16" s="31" t="s">
        <v>577</v>
      </c>
      <c r="N16" s="31">
        <v>15</v>
      </c>
      <c r="O16" s="31" t="s">
        <v>849</v>
      </c>
      <c r="P16" s="31" t="s">
        <v>1603</v>
      </c>
      <c r="Q16" s="31" t="s">
        <v>795</v>
      </c>
      <c r="R16" s="35" t="str">
        <f t="shared" si="2"/>
        <v>20</v>
      </c>
      <c r="S16" s="35" t="str">
        <f>IF(ISERROR(DAY(Q16)),TEXT(MATCH(TRIM(SUBSTITUTE(SUBSTITUTE(SUBSTITUTE(SUBSTITUTE(SUBSTITUTE(SUBSTITUTE(SUBSTITUTE(SUBSTITUTE(SUBSTITUTE(SUBSTITUTE(SUBSTITUTE(Q16,1,""),2,""),3,""),4,""),5,""),6,""),7,""),8,""),9,""),0,""),"-","")),{"gennaio","febbraio","marzo","aprile","maggio","giugno","luglio","agosto","settembre","ottobre","novembre","dicembre"},0),"00"),TEXT(MONTH(Q16)*29,"mm"))</f>
        <v>11</v>
      </c>
      <c r="T16" s="35">
        <f t="shared" si="3"/>
        <v>1744</v>
      </c>
      <c r="U16" s="31"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36"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31"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31">
        <v>14</v>
      </c>
      <c r="Y16" s="31" t="str">
        <f t="shared" si="4"/>
        <v>['Benedetto XIV', 'Breve', 'In Suprema Catholicae', 'bxiv-bre-isc', '20 novembre 1744', '20/11/1744', '1744/11/20'],</v>
      </c>
      <c r="Z16" s="31" t="str">
        <f t="shared" si="5"/>
        <v>In Suprema Catholicae (20 novembre 1744) | Benedetto XIV</v>
      </c>
      <c r="AA16" s="31" t="str">
        <f t="shared" si="6"/>
        <v>Breve In Suprema Catholicae</v>
      </c>
      <c r="AB16" s="31" t="str">
        <f t="shared" si="7"/>
        <v>Breve In Suprema Catholicae</v>
      </c>
      <c r="AC16" s="31" t="str">
        <f t="shared" si="8"/>
        <v>Benedetto XIV, Breve In Suprema Catholicae, 20 novembre 1744</v>
      </c>
      <c r="AD16" s="31" t="str">
        <f t="shared" si="9"/>
        <v>1744-11-20T08:00:00.000+02:00</v>
      </c>
      <c r="AE16" s="31" t="str">
        <f t="shared" si="10"/>
        <v>bxiv-bre-isc</v>
      </c>
      <c r="AF16" s="31" t="str">
        <f t="shared" si="11"/>
        <v>Benedetto XIV - Breve - In Suprema Catholicae</v>
      </c>
    </row>
    <row r="17" spans="1:32" s="31" customFormat="1" x14ac:dyDescent="0.2">
      <c r="B17" s="31">
        <v>247</v>
      </c>
      <c r="C17" s="34" t="s">
        <v>1574</v>
      </c>
      <c r="D17" s="31" t="s">
        <v>699</v>
      </c>
      <c r="E17" s="31" t="s">
        <v>704</v>
      </c>
      <c r="F17" s="31" t="s">
        <v>606</v>
      </c>
      <c r="G17" s="31" t="s">
        <v>607</v>
      </c>
      <c r="H17" s="31" t="str">
        <f t="shared" si="0"/>
        <v>Benedetto XIV</v>
      </c>
      <c r="K17" s="31" t="s">
        <v>825</v>
      </c>
      <c r="L17" s="31" t="str">
        <f t="shared" si="1"/>
        <v>Breve</v>
      </c>
      <c r="M17" s="31" t="s">
        <v>577</v>
      </c>
      <c r="N17" s="31">
        <v>16</v>
      </c>
      <c r="O17" s="31" t="s">
        <v>850</v>
      </c>
      <c r="P17" s="31" t="s">
        <v>1604</v>
      </c>
      <c r="Q17" s="31" t="s">
        <v>796</v>
      </c>
      <c r="R17" s="35" t="str">
        <f t="shared" si="2"/>
        <v>18</v>
      </c>
      <c r="S17" s="35" t="str">
        <f>IF(ISERROR(DAY(Q17)),TEXT(MATCH(TRIM(SUBSTITUTE(SUBSTITUTE(SUBSTITUTE(SUBSTITUTE(SUBSTITUTE(SUBSTITUTE(SUBSTITUTE(SUBSTITUTE(SUBSTITUTE(SUBSTITUTE(SUBSTITUTE(Q17,1,""),2,""),3,""),4,""),5,""),6,""),7,""),8,""),9,""),0,""),"-","")),{"gennaio","febbraio","marzo","aprile","maggio","giugno","luglio","agosto","settembre","ottobre","novembre","dicembre"},0),"00"),TEXT(MONTH(Q17)*29,"mm"))</f>
        <v>02</v>
      </c>
      <c r="T17" s="35">
        <f t="shared" si="3"/>
        <v>1745</v>
      </c>
      <c r="U17" s="31"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36"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31"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31">
        <v>15</v>
      </c>
      <c r="Y17" s="31" t="str">
        <f t="shared" si="4"/>
        <v>['Benedetto XIV', 'Breve', 'Cum Multorum Charitate', 'bxiv-bre-cmc', '18 febbraio 1745', '18/02/1745', '1745/02/18'],</v>
      </c>
      <c r="Z17" s="31" t="str">
        <f t="shared" si="5"/>
        <v>Cum Multorum Charitate (18 febbraio 1745) | Benedetto XIV</v>
      </c>
      <c r="AA17" s="31" t="str">
        <f t="shared" si="6"/>
        <v>Breve Cum Multorum Charitate</v>
      </c>
      <c r="AB17" s="31" t="str">
        <f t="shared" si="7"/>
        <v>Breve Cum Multorum Charitate</v>
      </c>
      <c r="AC17" s="31" t="str">
        <f t="shared" si="8"/>
        <v>Benedetto XIV, Breve Cum Multorum Charitate, 18 febbraio 1745</v>
      </c>
      <c r="AD17" s="31" t="str">
        <f t="shared" si="9"/>
        <v>1745-02-18T08:00:00.000+02:00</v>
      </c>
      <c r="AE17" s="31" t="str">
        <f t="shared" si="10"/>
        <v>bxiv-bre-cmc</v>
      </c>
      <c r="AF17" s="31" t="str">
        <f t="shared" si="11"/>
        <v>Benedetto XIV - Breve - Cum Multorum Charitate</v>
      </c>
    </row>
    <row r="18" spans="1:32" s="31" customFormat="1" x14ac:dyDescent="0.2">
      <c r="B18" s="31">
        <v>247</v>
      </c>
      <c r="C18" s="34" t="s">
        <v>1575</v>
      </c>
      <c r="D18" s="31" t="s">
        <v>699</v>
      </c>
      <c r="E18" s="31" t="s">
        <v>704</v>
      </c>
      <c r="F18" s="31" t="s">
        <v>606</v>
      </c>
      <c r="G18" s="31" t="s">
        <v>607</v>
      </c>
      <c r="H18" s="31" t="str">
        <f t="shared" si="0"/>
        <v>Benedetto XIV</v>
      </c>
      <c r="I18" s="31" t="s">
        <v>603</v>
      </c>
      <c r="J18" s="31" t="s">
        <v>829</v>
      </c>
      <c r="K18" s="31" t="s">
        <v>694</v>
      </c>
      <c r="L18" s="31" t="str">
        <f t="shared" si="1"/>
        <v>Lettera Enciclica</v>
      </c>
      <c r="M18" s="31" t="s">
        <v>579</v>
      </c>
      <c r="N18" s="31">
        <v>17</v>
      </c>
      <c r="O18" s="31" t="s">
        <v>851</v>
      </c>
      <c r="P18" s="31" t="s">
        <v>620</v>
      </c>
      <c r="Q18" s="31" t="s">
        <v>797</v>
      </c>
      <c r="R18" s="35" t="str">
        <f t="shared" si="2"/>
        <v>10</v>
      </c>
      <c r="S18" s="35" t="str">
        <f>IF(ISERROR(DAY(Q18)),TEXT(MATCH(TRIM(SUBSTITUTE(SUBSTITUTE(SUBSTITUTE(SUBSTITUTE(SUBSTITUTE(SUBSTITUTE(SUBSTITUTE(SUBSTITUTE(SUBSTITUTE(SUBSTITUTE(SUBSTITUTE(Q18,1,""),2,""),3,""),4,""),5,""),6,""),7,""),8,""),9,""),0,""),"-","")),{"gennaio","febbraio","marzo","aprile","maggio","giugno","luglio","agosto","settembre","ottobre","novembre","dicembre"},0),"00"),TEXT(MONTH(Q18)*29,"mm"))</f>
        <v>06</v>
      </c>
      <c r="T18" s="35">
        <f t="shared" si="3"/>
        <v>1745</v>
      </c>
      <c r="U18" s="31"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36"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31"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31">
        <v>16</v>
      </c>
      <c r="Y18" s="31" t="str">
        <f t="shared" si="4"/>
        <v>['Benedetto XIV', 'Enciclica', 'Libentissime Quidem', 'bxiv-enc-liq', '10 giugno 1745', '10/06/1745', '1745/06/10'],</v>
      </c>
      <c r="Z18" s="31" t="str">
        <f t="shared" si="5"/>
        <v>Libentissime Quidem (10 giugno 1745) | Benedetto XIV</v>
      </c>
      <c r="AA18" s="31" t="str">
        <f t="shared" si="6"/>
        <v>Enciclica Libentissime Quidem</v>
      </c>
      <c r="AB18" s="31" t="str">
        <f t="shared" si="7"/>
        <v>Enciclica Libentissime Quidem</v>
      </c>
      <c r="AC18" s="31" t="str">
        <f t="shared" si="8"/>
        <v>Benedetto XIV, Lettera Enciclica Libentissime Quidem, 10 giugno 1745</v>
      </c>
      <c r="AD18" s="31" t="str">
        <f t="shared" si="9"/>
        <v>1745-06-10T08:00:00.000+02:00</v>
      </c>
      <c r="AE18" s="31" t="str">
        <f t="shared" si="10"/>
        <v>bxiv-enc-liq</v>
      </c>
      <c r="AF18" s="31" t="str">
        <f t="shared" si="11"/>
        <v>Benedetto XIV - Lettera Enciclica - Libentissime Quidem</v>
      </c>
    </row>
    <row r="19" spans="1:32" s="31" customFormat="1" x14ac:dyDescent="0.2">
      <c r="B19" s="31">
        <v>247</v>
      </c>
      <c r="C19" s="34" t="s">
        <v>1576</v>
      </c>
      <c r="D19" s="31" t="s">
        <v>699</v>
      </c>
      <c r="E19" s="31" t="s">
        <v>704</v>
      </c>
      <c r="F19" s="31" t="s">
        <v>606</v>
      </c>
      <c r="G19" s="31" t="s">
        <v>607</v>
      </c>
      <c r="H19" s="31" t="str">
        <f t="shared" si="0"/>
        <v>Benedetto XIV</v>
      </c>
      <c r="I19" s="31" t="s">
        <v>603</v>
      </c>
      <c r="J19" s="31" t="s">
        <v>829</v>
      </c>
      <c r="K19" s="31" t="s">
        <v>694</v>
      </c>
      <c r="L19" s="31" t="str">
        <f t="shared" si="1"/>
        <v>Lettera Enciclica</v>
      </c>
      <c r="M19" s="31" t="s">
        <v>579</v>
      </c>
      <c r="N19" s="31">
        <v>18</v>
      </c>
      <c r="O19" s="31" t="s">
        <v>852</v>
      </c>
      <c r="P19" s="31" t="s">
        <v>621</v>
      </c>
      <c r="Q19" s="31" t="s">
        <v>798</v>
      </c>
      <c r="R19" s="35" t="str">
        <f t="shared" si="2"/>
        <v>08</v>
      </c>
      <c r="S19" s="35" t="str">
        <f>IF(ISERROR(DAY(Q19)),TEXT(MATCH(TRIM(SUBSTITUTE(SUBSTITUTE(SUBSTITUTE(SUBSTITUTE(SUBSTITUTE(SUBSTITUTE(SUBSTITUTE(SUBSTITUTE(SUBSTITUTE(SUBSTITUTE(SUBSTITUTE(Q19,1,""),2,""),3,""),4,""),5,""),6,""),7,""),8,""),9,""),0,""),"-","")),{"gennaio","febbraio","marzo","aprile","maggio","giugno","luglio","agosto","settembre","ottobre","novembre","dicembre"},0),"00"),TEXT(MONTH(Q19)*29,"mm"))</f>
        <v>09</v>
      </c>
      <c r="T19" s="35">
        <f t="shared" si="3"/>
        <v>1745</v>
      </c>
      <c r="U19" s="31"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36"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31"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31">
        <v>17</v>
      </c>
      <c r="Y19" s="31" t="str">
        <f t="shared" si="4"/>
        <v>['Benedetto XIV', 'Enciclica', 'Gravissimum Supremi', 'bxiv-enc-grs', '08 settembre 1745', '08/09/1745', '1745/09/08'],</v>
      </c>
      <c r="Z19" s="31" t="str">
        <f t="shared" si="5"/>
        <v>Gravissimum Supremi (8 settembre 1745) | Benedetto XIV</v>
      </c>
      <c r="AA19" s="31" t="str">
        <f t="shared" si="6"/>
        <v>Enciclica Gravissimum Supremi</v>
      </c>
      <c r="AB19" s="31" t="str">
        <f t="shared" si="7"/>
        <v>Enciclica Gravissimum Supremi</v>
      </c>
      <c r="AC19" s="31" t="str">
        <f t="shared" si="8"/>
        <v>Benedetto XIV, Lettera Enciclica Gravissimum Supremi, 08 settembre 1745</v>
      </c>
      <c r="AD19" s="31" t="str">
        <f t="shared" si="9"/>
        <v>1745-09-08T08:00:00.000+02:00</v>
      </c>
      <c r="AE19" s="31" t="str">
        <f t="shared" si="10"/>
        <v>bxiv-enc-grs</v>
      </c>
      <c r="AF19" s="31" t="str">
        <f t="shared" si="11"/>
        <v>Benedetto XIV - Lettera Enciclica - Gravissimum Supremi</v>
      </c>
    </row>
    <row r="20" spans="1:32" s="31" customFormat="1" x14ac:dyDescent="0.2">
      <c r="B20" s="31">
        <v>247</v>
      </c>
      <c r="C20" s="34" t="s">
        <v>1577</v>
      </c>
      <c r="D20" s="31" t="s">
        <v>699</v>
      </c>
      <c r="E20" s="31" t="s">
        <v>704</v>
      </c>
      <c r="F20" s="31" t="s">
        <v>606</v>
      </c>
      <c r="G20" s="31" t="s">
        <v>607</v>
      </c>
      <c r="H20" s="31" t="str">
        <f t="shared" si="0"/>
        <v>Benedetto XIV</v>
      </c>
      <c r="I20" s="31" t="s">
        <v>603</v>
      </c>
      <c r="J20" s="31" t="s">
        <v>829</v>
      </c>
      <c r="K20" s="31" t="s">
        <v>694</v>
      </c>
      <c r="L20" s="31" t="str">
        <f t="shared" si="1"/>
        <v>Lettera Enciclica</v>
      </c>
      <c r="M20" s="31" t="s">
        <v>579</v>
      </c>
      <c r="N20" s="31">
        <v>19</v>
      </c>
      <c r="O20" s="31" t="s">
        <v>853</v>
      </c>
      <c r="P20" s="31" t="s">
        <v>622</v>
      </c>
      <c r="Q20" s="31" t="s">
        <v>799</v>
      </c>
      <c r="R20" s="35" t="str">
        <f t="shared" si="2"/>
        <v>01</v>
      </c>
      <c r="S20" s="35" t="str">
        <f>IF(ISERROR(DAY(Q20)),TEXT(MATCH(TRIM(SUBSTITUTE(SUBSTITUTE(SUBSTITUTE(SUBSTITUTE(SUBSTITUTE(SUBSTITUTE(SUBSTITUTE(SUBSTITUTE(SUBSTITUTE(SUBSTITUTE(SUBSTITUTE(Q20,1,""),2,""),3,""),4,""),5,""),6,""),7,""),8,""),9,""),0,""),"-","")),{"gennaio","febbraio","marzo","aprile","maggio","giugno","luglio","agosto","settembre","ottobre","novembre","dicembre"},0),"00"),TEXT(MONTH(Q20)*29,"mm"))</f>
        <v>11</v>
      </c>
      <c r="T20" s="35">
        <f t="shared" si="3"/>
        <v>1745</v>
      </c>
      <c r="U20" s="31"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36"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31"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31">
        <v>18</v>
      </c>
      <c r="Y20" s="31" t="str">
        <f t="shared" si="4"/>
        <v>['Benedetto XIV', 'Enciclica', 'Vix Pervenit', 'bxiv-enc-vip', '01 novembre 1745', '01/11/1745', '1745/11/01'],</v>
      </c>
      <c r="Z20" s="31" t="str">
        <f t="shared" si="5"/>
        <v>Vix Pervenit (1 novembre 1745) | Benedetto XIV</v>
      </c>
      <c r="AA20" s="31" t="str">
        <f t="shared" si="6"/>
        <v>Enciclica Vix Pervenit</v>
      </c>
      <c r="AB20" s="31" t="str">
        <f t="shared" si="7"/>
        <v>Enciclica Vix Pervenit</v>
      </c>
      <c r="AC20" s="31" t="str">
        <f t="shared" si="8"/>
        <v>Benedetto XIV, Lettera Enciclica Vix Pervenit, 01 novembre 1745</v>
      </c>
      <c r="AD20" s="31" t="str">
        <f t="shared" si="9"/>
        <v>1745-11-01T08:00:00.000+02:00</v>
      </c>
      <c r="AE20" s="31" t="str">
        <f t="shared" si="10"/>
        <v>bxiv-enc-vip</v>
      </c>
      <c r="AF20" s="31" t="str">
        <f t="shared" si="11"/>
        <v>Benedetto XIV - Lettera Enciclica - Vix Pervenit</v>
      </c>
    </row>
    <row r="21" spans="1:32" s="31" customFormat="1" x14ac:dyDescent="0.2">
      <c r="B21" s="31">
        <v>247</v>
      </c>
      <c r="C21" s="34" t="s">
        <v>1578</v>
      </c>
      <c r="D21" s="31" t="s">
        <v>699</v>
      </c>
      <c r="E21" s="31" t="s">
        <v>704</v>
      </c>
      <c r="F21" s="31" t="s">
        <v>606</v>
      </c>
      <c r="G21" s="31" t="s">
        <v>607</v>
      </c>
      <c r="H21" s="31" t="str">
        <f t="shared" si="0"/>
        <v>Benedetto XIV</v>
      </c>
      <c r="I21" s="31" t="s">
        <v>603</v>
      </c>
      <c r="J21" s="31" t="s">
        <v>829</v>
      </c>
      <c r="K21" s="31" t="s">
        <v>694</v>
      </c>
      <c r="L21" s="31" t="str">
        <f t="shared" si="1"/>
        <v>Lettera Enciclica</v>
      </c>
      <c r="M21" s="31" t="s">
        <v>579</v>
      </c>
      <c r="N21" s="31">
        <v>20</v>
      </c>
      <c r="O21" s="31" t="s">
        <v>854</v>
      </c>
      <c r="P21" s="31" t="s">
        <v>623</v>
      </c>
      <c r="Q21" s="31" t="s">
        <v>800</v>
      </c>
      <c r="R21" s="35" t="str">
        <f t="shared" si="2"/>
        <v>16</v>
      </c>
      <c r="S21" s="35" t="str">
        <f>IF(ISERROR(DAY(Q21)),TEXT(MATCH(TRIM(SUBSTITUTE(SUBSTITUTE(SUBSTITUTE(SUBSTITUTE(SUBSTITUTE(SUBSTITUTE(SUBSTITUTE(SUBSTITUTE(SUBSTITUTE(SUBSTITUTE(SUBSTITUTE(Q21,1,""),2,""),3,""),4,""),5,""),6,""),7,""),8,""),9,""),0,""),"-","")),{"gennaio","febbraio","marzo","aprile","maggio","giugno","luglio","agosto","settembre","ottobre","novembre","dicembre"},0),"00"),TEXT(MONTH(Q21)*29,"mm"))</f>
        <v>07</v>
      </c>
      <c r="T21" s="35">
        <f t="shared" si="3"/>
        <v>1746</v>
      </c>
      <c r="U21" s="31"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36"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31"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31">
        <v>19</v>
      </c>
      <c r="Y21" s="31" t="str">
        <f t="shared" si="4"/>
        <v>['Benedetto XIV', 'Enciclica', 'Accepimus Praestantium', 'bxiv-enc-acp', '16 luglio 1746', '16/07/1746', '1746/07/16'],</v>
      </c>
      <c r="Z21" s="31" t="str">
        <f t="shared" si="5"/>
        <v>Accepimus Praestantium (16 luglio 1746) | Benedetto XIV</v>
      </c>
      <c r="AA21" s="31" t="str">
        <f t="shared" si="6"/>
        <v>Enciclica Accepimus Praestantium</v>
      </c>
      <c r="AB21" s="31" t="str">
        <f t="shared" si="7"/>
        <v>Enciclica Accepimus Praestantium</v>
      </c>
      <c r="AC21" s="31" t="str">
        <f t="shared" si="8"/>
        <v>Benedetto XIV, Lettera Enciclica Accepimus Praestantium, 16 luglio 1746</v>
      </c>
      <c r="AD21" s="31" t="str">
        <f t="shared" si="9"/>
        <v>1746-07-16T08:00:00.000+02:00</v>
      </c>
      <c r="AE21" s="31" t="str">
        <f t="shared" si="10"/>
        <v>bxiv-enc-acp</v>
      </c>
      <c r="AF21" s="31" t="str">
        <f t="shared" si="11"/>
        <v>Benedetto XIV - Lettera Enciclica - Accepimus Praestantium</v>
      </c>
    </row>
    <row r="22" spans="1:32" s="31" customFormat="1" x14ac:dyDescent="0.2">
      <c r="B22" s="31">
        <v>247</v>
      </c>
      <c r="C22" s="34" t="s">
        <v>1579</v>
      </c>
      <c r="D22" s="31" t="s">
        <v>699</v>
      </c>
      <c r="E22" s="31" t="s">
        <v>704</v>
      </c>
      <c r="F22" s="31" t="s">
        <v>606</v>
      </c>
      <c r="G22" s="31" t="s">
        <v>607</v>
      </c>
      <c r="H22" s="31" t="str">
        <f t="shared" si="0"/>
        <v>Benedetto XIV</v>
      </c>
      <c r="K22" s="31" t="s">
        <v>825</v>
      </c>
      <c r="L22" s="31" t="str">
        <f t="shared" si="1"/>
        <v>Breve</v>
      </c>
      <c r="M22" s="31" t="s">
        <v>577</v>
      </c>
      <c r="N22" s="31">
        <v>21</v>
      </c>
      <c r="O22" s="31" t="s">
        <v>855</v>
      </c>
      <c r="P22" s="31" t="s">
        <v>1000</v>
      </c>
      <c r="Q22" s="31" t="s">
        <v>801</v>
      </c>
      <c r="R22" s="35" t="str">
        <f t="shared" si="2"/>
        <v>16</v>
      </c>
      <c r="S22" s="35" t="str">
        <f>IF(ISERROR(DAY(Q22)),TEXT(MATCH(TRIM(SUBSTITUTE(SUBSTITUTE(SUBSTITUTE(SUBSTITUTE(SUBSTITUTE(SUBSTITUTE(SUBSTITUTE(SUBSTITUTE(SUBSTITUTE(SUBSTITUTE(SUBSTITUTE(Q22,1,""),2,""),3,""),4,""),5,""),6,""),7,""),8,""),9,""),0,""),"-","")),{"gennaio","febbraio","marzo","aprile","maggio","giugno","luglio","agosto","settembre","ottobre","novembre","dicembre"},0),"00"),TEXT(MONTH(Q22)*29,"mm"))</f>
        <v>12</v>
      </c>
      <c r="T22" s="35">
        <f t="shared" si="3"/>
        <v>1746</v>
      </c>
      <c r="U22" s="31"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36"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31"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31">
        <v>20</v>
      </c>
      <c r="Y22" s="31" t="str">
        <f t="shared" si="4"/>
        <v>['Benedetto XIV', 'Breve', 'Quemadmodum Nihil', 'bxiv-bre-qun', '16 dicembre 1746', '16/12/1746', '1746/12/16'],</v>
      </c>
      <c r="Z22" s="31" t="str">
        <f t="shared" si="5"/>
        <v>Quemadmodum Nihil (16 dicembre 1746) | Benedetto XIV</v>
      </c>
      <c r="AA22" s="31" t="str">
        <f t="shared" si="6"/>
        <v>Breve Quemadmodum Nihil</v>
      </c>
      <c r="AB22" s="31" t="str">
        <f t="shared" si="7"/>
        <v>Breve Quemadmodum Nihil</v>
      </c>
      <c r="AC22" s="31" t="str">
        <f t="shared" si="8"/>
        <v>Benedetto XIV, Breve Quemadmodum Nihil, 16 dicembre 1746</v>
      </c>
      <c r="AD22" s="31" t="str">
        <f t="shared" si="9"/>
        <v>1746-12-16T08:00:00.000+02:00</v>
      </c>
      <c r="AE22" s="31" t="str">
        <f t="shared" si="10"/>
        <v>bxiv-bre-qun</v>
      </c>
      <c r="AF22" s="31" t="str">
        <f t="shared" si="11"/>
        <v>Benedetto XIV - Breve - Quemadmodum Nihil</v>
      </c>
    </row>
    <row r="23" spans="1:32" s="31" customFormat="1" x14ac:dyDescent="0.2">
      <c r="B23" s="31">
        <v>247</v>
      </c>
      <c r="C23" s="34" t="s">
        <v>1580</v>
      </c>
      <c r="D23" s="31" t="s">
        <v>699</v>
      </c>
      <c r="E23" s="31" t="s">
        <v>704</v>
      </c>
      <c r="F23" s="31" t="s">
        <v>606</v>
      </c>
      <c r="G23" s="31" t="s">
        <v>607</v>
      </c>
      <c r="H23" s="31" t="str">
        <f t="shared" si="0"/>
        <v>Benedetto XIV</v>
      </c>
      <c r="I23" s="31" t="s">
        <v>603</v>
      </c>
      <c r="J23" s="31" t="s">
        <v>829</v>
      </c>
      <c r="K23" s="31" t="s">
        <v>694</v>
      </c>
      <c r="L23" s="31" t="str">
        <f t="shared" si="1"/>
        <v>Lettera Enciclica</v>
      </c>
      <c r="M23" s="31" t="s">
        <v>579</v>
      </c>
      <c r="N23" s="31">
        <v>22</v>
      </c>
      <c r="O23" s="31" t="s">
        <v>856</v>
      </c>
      <c r="P23" s="31" t="s">
        <v>624</v>
      </c>
      <c r="Q23" s="31" t="s">
        <v>802</v>
      </c>
      <c r="R23" s="35" t="str">
        <f t="shared" si="2"/>
        <v>01</v>
      </c>
      <c r="S23" s="35" t="str">
        <f>IF(ISERROR(DAY(Q23)),TEXT(MATCH(TRIM(SUBSTITUTE(SUBSTITUTE(SUBSTITUTE(SUBSTITUTE(SUBSTITUTE(SUBSTITUTE(SUBSTITUTE(SUBSTITUTE(SUBSTITUTE(SUBSTITUTE(SUBSTITUTE(Q23,1,""),2,""),3,""),4,""),5,""),6,""),7,""),8,""),9,""),0,""),"-","")),{"gennaio","febbraio","marzo","aprile","maggio","giugno","luglio","agosto","settembre","ottobre","novembre","dicembre"},0),"00"),TEXT(MONTH(Q23)*29,"mm"))</f>
        <v>01</v>
      </c>
      <c r="T23" s="35">
        <f t="shared" si="3"/>
        <v>1748</v>
      </c>
      <c r="U23" s="31"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36"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31"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31">
        <v>21</v>
      </c>
      <c r="Y23" s="31" t="str">
        <f t="shared" si="4"/>
        <v>['Benedetto XIV', 'Enciclica', 'Inter Caetera', 'bxiv-enc-inc', '01 gennaio 1748', '01/01/1748', '1748/01/01'],</v>
      </c>
      <c r="Z23" s="31" t="str">
        <f t="shared" si="5"/>
        <v>Inter Caetera (1 gennaio 1748) | Benedetto XIV</v>
      </c>
      <c r="AA23" s="31" t="str">
        <f t="shared" si="6"/>
        <v>Enciclica Inter Caetera</v>
      </c>
      <c r="AB23" s="31" t="str">
        <f t="shared" si="7"/>
        <v>Enciclica Inter Caetera</v>
      </c>
      <c r="AC23" s="31" t="str">
        <f t="shared" si="8"/>
        <v>Benedetto XIV, Lettera Enciclica Inter Caetera, 01 gennaio 1748</v>
      </c>
      <c r="AD23" s="31" t="str">
        <f t="shared" si="9"/>
        <v>1748-01-01T08:00:00.000+02:00</v>
      </c>
      <c r="AE23" s="31" t="str">
        <f t="shared" si="10"/>
        <v>bxiv-enc-inc</v>
      </c>
      <c r="AF23" s="31" t="str">
        <f t="shared" si="11"/>
        <v>Benedetto XIV - Lettera Enciclica - Inter Caetera</v>
      </c>
    </row>
    <row r="24" spans="1:32" s="31" customFormat="1" x14ac:dyDescent="0.2">
      <c r="B24" s="31">
        <v>247</v>
      </c>
      <c r="C24" s="34" t="s">
        <v>1581</v>
      </c>
      <c r="D24" s="31" t="s">
        <v>699</v>
      </c>
      <c r="E24" s="31" t="s">
        <v>704</v>
      </c>
      <c r="F24" s="31" t="s">
        <v>606</v>
      </c>
      <c r="G24" s="31" t="s">
        <v>607</v>
      </c>
      <c r="H24" s="31" t="str">
        <f t="shared" si="0"/>
        <v>Benedetto XIV</v>
      </c>
      <c r="I24" s="31" t="s">
        <v>603</v>
      </c>
      <c r="J24" s="31" t="s">
        <v>829</v>
      </c>
      <c r="K24" s="31" t="s">
        <v>694</v>
      </c>
      <c r="L24" s="31" t="str">
        <f t="shared" si="1"/>
        <v>Lettera Enciclica</v>
      </c>
      <c r="M24" s="31" t="s">
        <v>579</v>
      </c>
      <c r="N24" s="31">
        <v>23</v>
      </c>
      <c r="O24" s="31" t="s">
        <v>857</v>
      </c>
      <c r="P24" s="31" t="s">
        <v>625</v>
      </c>
      <c r="Q24" s="31" t="s">
        <v>803</v>
      </c>
      <c r="R24" s="35" t="str">
        <f t="shared" si="2"/>
        <v>29</v>
      </c>
      <c r="S24" s="35" t="str">
        <f>IF(ISERROR(DAY(Q24)),TEXT(MATCH(TRIM(SUBSTITUTE(SUBSTITUTE(SUBSTITUTE(SUBSTITUTE(SUBSTITUTE(SUBSTITUTE(SUBSTITUTE(SUBSTITUTE(SUBSTITUTE(SUBSTITUTE(SUBSTITUTE(Q24,1,""),2,""),3,""),4,""),5,""),6,""),7,""),8,""),9,""),0,""),"-","")),{"gennaio","febbraio","marzo","aprile","maggio","giugno","luglio","agosto","settembre","ottobre","novembre","dicembre"},0),"00"),TEXT(MONTH(Q24)*29,"mm"))</f>
        <v>06</v>
      </c>
      <c r="T24" s="35">
        <f t="shared" si="3"/>
        <v>1748</v>
      </c>
      <c r="U24" s="31"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36"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31"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31">
        <v>22</v>
      </c>
      <c r="Y24" s="31" t="str">
        <f t="shared" si="4"/>
        <v>['Benedetto XIV', 'Enciclica', 'Magnae Nobis', 'bxiv-enc-man', '29 giugno 1748', '29/06/1748', '1748/06/29'],</v>
      </c>
      <c r="Z24" s="31" t="str">
        <f t="shared" si="5"/>
        <v>Magnae Nobis (29 giugno 1748) | Benedetto XIV</v>
      </c>
      <c r="AA24" s="31" t="str">
        <f t="shared" si="6"/>
        <v>Enciclica Magnae Nobis</v>
      </c>
      <c r="AB24" s="31" t="str">
        <f t="shared" si="7"/>
        <v>Enciclica Magnae Nobis</v>
      </c>
      <c r="AC24" s="31" t="str">
        <f t="shared" si="8"/>
        <v>Benedetto XIV, Lettera Enciclica Magnae Nobis, 29 giugno 1748</v>
      </c>
      <c r="AD24" s="31" t="str">
        <f t="shared" si="9"/>
        <v>1748-06-29T08:00:00.000+02:00</v>
      </c>
      <c r="AE24" s="31" t="str">
        <f t="shared" si="10"/>
        <v>bxiv-enc-man</v>
      </c>
      <c r="AF24" s="31" t="str">
        <f t="shared" si="11"/>
        <v>Benedetto XIV - Lettera Enciclica - Magnae Nobis</v>
      </c>
    </row>
    <row r="25" spans="1:32" s="31" customFormat="1" x14ac:dyDescent="0.2">
      <c r="B25" s="31">
        <v>247</v>
      </c>
      <c r="C25" s="34" t="s">
        <v>1582</v>
      </c>
      <c r="D25" s="31" t="s">
        <v>699</v>
      </c>
      <c r="E25" s="31" t="s">
        <v>704</v>
      </c>
      <c r="F25" s="31" t="s">
        <v>606</v>
      </c>
      <c r="G25" s="31" t="s">
        <v>607</v>
      </c>
      <c r="H25" s="31" t="str">
        <f t="shared" si="0"/>
        <v>Benedetto XIV</v>
      </c>
      <c r="I25" s="31" t="s">
        <v>603</v>
      </c>
      <c r="J25" s="31" t="s">
        <v>829</v>
      </c>
      <c r="K25" s="31" t="s">
        <v>694</v>
      </c>
      <c r="L25" s="31" t="str">
        <f t="shared" si="1"/>
        <v>Lettera Enciclica</v>
      </c>
      <c r="M25" s="31" t="s">
        <v>579</v>
      </c>
      <c r="N25" s="31">
        <v>24</v>
      </c>
      <c r="O25" s="31" t="s">
        <v>858</v>
      </c>
      <c r="P25" s="31" t="s">
        <v>626</v>
      </c>
      <c r="Q25" s="31" t="s">
        <v>804</v>
      </c>
      <c r="R25" s="35" t="str">
        <f t="shared" si="2"/>
        <v>19</v>
      </c>
      <c r="S25" s="35" t="str">
        <f>IF(ISERROR(DAY(Q25)),TEXT(MATCH(TRIM(SUBSTITUTE(SUBSTITUTE(SUBSTITUTE(SUBSTITUTE(SUBSTITUTE(SUBSTITUTE(SUBSTITUTE(SUBSTITUTE(SUBSTITUTE(SUBSTITUTE(SUBSTITUTE(Q25,1,""),2,""),3,""),4,""),5,""),6,""),7,""),8,""),9,""),0,""),"-","")),{"gennaio","febbraio","marzo","aprile","maggio","giugno","luglio","agosto","settembre","ottobre","novembre","dicembre"},0),"00"),TEXT(MONTH(Q25)*29,"mm"))</f>
        <v>02</v>
      </c>
      <c r="T25" s="35">
        <f t="shared" si="3"/>
        <v>1749</v>
      </c>
      <c r="U25" s="31"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36"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31"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31">
        <v>23</v>
      </c>
      <c r="Y25" s="31" t="str">
        <f t="shared" si="4"/>
        <v>['Benedetto XIV', 'Enciclica', 'Annus Qui Hunc', 'bxiv-enc-aqh', '19 febbraio 1749', '19/02/1749', '1749/02/19'],</v>
      </c>
      <c r="Z25" s="31" t="str">
        <f t="shared" si="5"/>
        <v>Annus Qui Hunc (19 febbraio 1749) | Benedetto XIV</v>
      </c>
      <c r="AA25" s="31" t="str">
        <f t="shared" si="6"/>
        <v>Enciclica Annus Qui Hunc</v>
      </c>
      <c r="AB25" s="31" t="str">
        <f t="shared" si="7"/>
        <v>Enciclica Annus Qui Hunc</v>
      </c>
      <c r="AC25" s="31" t="str">
        <f t="shared" si="8"/>
        <v>Benedetto XIV, Lettera Enciclica Annus Qui Hunc, 19 febbraio 1749</v>
      </c>
      <c r="AD25" s="31" t="str">
        <f t="shared" si="9"/>
        <v>1749-02-19T08:00:00.000+02:00</v>
      </c>
      <c r="AE25" s="31" t="str">
        <f t="shared" si="10"/>
        <v>bxiv-enc-aqh</v>
      </c>
      <c r="AF25" s="31" t="str">
        <f t="shared" si="11"/>
        <v>Benedetto XIV - Lettera Enciclica - Annus Qui Hunc</v>
      </c>
    </row>
    <row r="26" spans="1:32" s="31" customFormat="1" x14ac:dyDescent="0.2">
      <c r="A26" s="31" t="s">
        <v>5237</v>
      </c>
      <c r="B26" s="31">
        <v>247</v>
      </c>
      <c r="C26" s="34" t="s">
        <v>1583</v>
      </c>
      <c r="D26" s="31" t="s">
        <v>699</v>
      </c>
      <c r="E26" s="31" t="s">
        <v>704</v>
      </c>
      <c r="F26" s="31" t="s">
        <v>606</v>
      </c>
      <c r="G26" s="31" t="s">
        <v>607</v>
      </c>
      <c r="H26" s="31" t="str">
        <f t="shared" si="0"/>
        <v>Benedetto XIV</v>
      </c>
      <c r="K26" s="31" t="s">
        <v>824</v>
      </c>
      <c r="L26" s="31" t="str">
        <f t="shared" si="1"/>
        <v>Bolla</v>
      </c>
      <c r="M26" s="31" t="s">
        <v>564</v>
      </c>
      <c r="N26" s="31">
        <v>25</v>
      </c>
      <c r="O26" s="31" t="s">
        <v>859</v>
      </c>
      <c r="P26" s="31" t="s">
        <v>1605</v>
      </c>
      <c r="Q26" s="31" t="s">
        <v>805</v>
      </c>
      <c r="R26" s="35" t="str">
        <f t="shared" si="2"/>
        <v>15</v>
      </c>
      <c r="S26" s="35" t="str">
        <f>IF(ISERROR(DAY(Q26)),TEXT(MATCH(TRIM(SUBSTITUTE(SUBSTITUTE(SUBSTITUTE(SUBSTITUTE(SUBSTITUTE(SUBSTITUTE(SUBSTITUTE(SUBSTITUTE(SUBSTITUTE(SUBSTITUTE(SUBSTITUTE(Q26,1,""),2,""),3,""),4,""),5,""),6,""),7,""),8,""),9,""),0,""),"-","")),{"gennaio","febbraio","marzo","aprile","maggio","giugno","luglio","agosto","settembre","ottobre","novembre","dicembre"},0),"00"),TEXT(MONTH(Q26)*29,"mm"))</f>
        <v>03</v>
      </c>
      <c r="T26" s="35">
        <f t="shared" si="3"/>
        <v>1749</v>
      </c>
      <c r="U26" s="31"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6"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31"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31">
        <v>24</v>
      </c>
      <c r="Y26" s="31" t="str">
        <f t="shared" si="4"/>
        <v>['Benedetto XIV', 'Bolla', 'Officii Nostri', 'bxiv-bol-ofn', '15 marzo 1749', '15/03/1749', '1749/03/15'],</v>
      </c>
      <c r="Z26" s="31" t="str">
        <f t="shared" si="5"/>
        <v>Officii Nostri (15 marzo 1749) | Benedetto XIV</v>
      </c>
      <c r="AA26" s="31" t="str">
        <f t="shared" si="6"/>
        <v>Bolla Officii Nostri</v>
      </c>
      <c r="AB26" s="31" t="str">
        <f t="shared" si="7"/>
        <v>Bolla Officii Nostri</v>
      </c>
      <c r="AC26" s="31" t="str">
        <f t="shared" si="8"/>
        <v>Benedetto XIV, Bolla Officii Nostri, 15 marzo 1749</v>
      </c>
      <c r="AD26" s="31" t="str">
        <f t="shared" si="9"/>
        <v>1749-03-15T08:00:00.000+02:00</v>
      </c>
      <c r="AE26" s="31" t="str">
        <f t="shared" si="10"/>
        <v>bxiv-bol-ofn</v>
      </c>
      <c r="AF26" s="31" t="str">
        <f t="shared" si="11"/>
        <v>Benedetto XIV - Bolla - Officii Nostri</v>
      </c>
    </row>
    <row r="27" spans="1:32" s="31" customFormat="1" x14ac:dyDescent="0.2">
      <c r="B27" s="31">
        <v>247</v>
      </c>
      <c r="C27" s="34" t="s">
        <v>1584</v>
      </c>
      <c r="D27" s="31" t="s">
        <v>699</v>
      </c>
      <c r="E27" s="31" t="s">
        <v>704</v>
      </c>
      <c r="F27" s="31" t="s">
        <v>606</v>
      </c>
      <c r="G27" s="31" t="s">
        <v>607</v>
      </c>
      <c r="H27" s="31" t="str">
        <f t="shared" si="0"/>
        <v>Benedetto XIV</v>
      </c>
      <c r="K27" s="31" t="s">
        <v>824</v>
      </c>
      <c r="L27" s="31" t="str">
        <f t="shared" si="1"/>
        <v>Bolla</v>
      </c>
      <c r="M27" s="31" t="s">
        <v>564</v>
      </c>
      <c r="N27" s="31">
        <v>26</v>
      </c>
      <c r="O27" s="31" t="s">
        <v>860</v>
      </c>
      <c r="P27" s="31" t="s">
        <v>1606</v>
      </c>
      <c r="Q27" s="31" t="s">
        <v>806</v>
      </c>
      <c r="R27" s="35" t="str">
        <f t="shared" si="2"/>
        <v>05</v>
      </c>
      <c r="S27" s="35" t="str">
        <f>IF(ISERROR(DAY(Q27)),TEXT(MATCH(TRIM(SUBSTITUTE(SUBSTITUTE(SUBSTITUTE(SUBSTITUTE(SUBSTITUTE(SUBSTITUTE(SUBSTITUTE(SUBSTITUTE(SUBSTITUTE(SUBSTITUTE(SUBSTITUTE(Q27,1,""),2,""),3,""),4,""),5,""),6,""),7,""),8,""),9,""),0,""),"-","")),{"gennaio","febbraio","marzo","aprile","maggio","giugno","luglio","agosto","settembre","ottobre","novembre","dicembre"},0),"00"),TEXT(MONTH(Q27)*29,"mm"))</f>
        <v>05</v>
      </c>
      <c r="T27" s="35">
        <f t="shared" si="3"/>
        <v>1749</v>
      </c>
      <c r="U27" s="31"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6"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31"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31">
        <v>25</v>
      </c>
      <c r="Y27" s="31" t="str">
        <f t="shared" si="4"/>
        <v>['Benedetto XIV', 'Bolla', 'Peregrinantes a Domino', 'bxiv-bol-pad', '05 maggio 1749', '05/05/1749', '1749/05/05'],</v>
      </c>
      <c r="Z27" s="31" t="str">
        <f t="shared" si="5"/>
        <v>Peregrinantes a Domino (5 maggio 1749) | Benedetto XIV</v>
      </c>
      <c r="AA27" s="31" t="str">
        <f t="shared" si="6"/>
        <v>Bolla Peregrinantes a Domino</v>
      </c>
      <c r="AB27" s="31" t="str">
        <f t="shared" si="7"/>
        <v>Bolla Peregrinantes a Domino</v>
      </c>
      <c r="AC27" s="31" t="str">
        <f t="shared" si="8"/>
        <v>Benedetto XIV, Bolla Peregrinantes a Domino, 05 maggio 1749</v>
      </c>
      <c r="AD27" s="31" t="str">
        <f t="shared" si="9"/>
        <v>1749-05-05T08:00:00.000+02:00</v>
      </c>
      <c r="AE27" s="31" t="str">
        <f t="shared" si="10"/>
        <v>bxiv-bol-pad</v>
      </c>
      <c r="AF27" s="31" t="str">
        <f t="shared" si="11"/>
        <v>Benedetto XIV - Bolla - Peregrinantes a Domino</v>
      </c>
    </row>
    <row r="28" spans="1:32" s="31" customFormat="1" x14ac:dyDescent="0.2">
      <c r="B28" s="31">
        <v>247</v>
      </c>
      <c r="C28" s="34" t="s">
        <v>1585</v>
      </c>
      <c r="D28" s="31" t="s">
        <v>699</v>
      </c>
      <c r="E28" s="31" t="s">
        <v>704</v>
      </c>
      <c r="F28" s="31" t="s">
        <v>606</v>
      </c>
      <c r="G28" s="31" t="s">
        <v>607</v>
      </c>
      <c r="H28" s="31" t="str">
        <f t="shared" si="0"/>
        <v>Benedetto XIV</v>
      </c>
      <c r="I28" s="31" t="s">
        <v>603</v>
      </c>
      <c r="J28" s="31" t="s">
        <v>829</v>
      </c>
      <c r="K28" s="31" t="s">
        <v>694</v>
      </c>
      <c r="L28" s="31" t="str">
        <f t="shared" si="1"/>
        <v>Lettera Enciclica</v>
      </c>
      <c r="M28" s="31" t="s">
        <v>579</v>
      </c>
      <c r="N28" s="31">
        <v>27</v>
      </c>
      <c r="O28" s="31" t="s">
        <v>861</v>
      </c>
      <c r="P28" s="31" t="s">
        <v>627</v>
      </c>
      <c r="Q28" s="31" t="s">
        <v>807</v>
      </c>
      <c r="R28" s="35" t="str">
        <f t="shared" si="2"/>
        <v>26</v>
      </c>
      <c r="S28" s="35" t="str">
        <f>IF(ISERROR(DAY(Q28)),TEXT(MATCH(TRIM(SUBSTITUTE(SUBSTITUTE(SUBSTITUTE(SUBSTITUTE(SUBSTITUTE(SUBSTITUTE(SUBSTITUTE(SUBSTITUTE(SUBSTITUTE(SUBSTITUTE(SUBSTITUTE(Q28,1,""),2,""),3,""),4,""),5,""),6,""),7,""),8,""),9,""),0,""),"-","")),{"gennaio","febbraio","marzo","aprile","maggio","giugno","luglio","agosto","settembre","ottobre","novembre","dicembre"},0),"00"),TEXT(MONTH(Q28)*29,"mm"))</f>
        <v>06</v>
      </c>
      <c r="T28" s="35">
        <f t="shared" si="3"/>
        <v>1749</v>
      </c>
      <c r="U28" s="31"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36"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31"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31">
        <v>26</v>
      </c>
      <c r="Y28" s="31" t="str">
        <f t="shared" si="4"/>
        <v>['Benedetto XIV', 'Enciclica', 'Apostolica Constitutio', 'bxiv-enc-apc', '26 giugno 1749', '26/06/1749', '1749/06/26'],</v>
      </c>
      <c r="Z28" s="31" t="str">
        <f t="shared" si="5"/>
        <v>Apostolica Constitutio (26 giugno 1749) | Benedetto XIV</v>
      </c>
      <c r="AA28" s="31" t="str">
        <f t="shared" si="6"/>
        <v>Enciclica Apostolica Constitutio</v>
      </c>
      <c r="AB28" s="31" t="str">
        <f t="shared" si="7"/>
        <v>Enciclica Apostolica Constitutio</v>
      </c>
      <c r="AC28" s="31" t="str">
        <f t="shared" si="8"/>
        <v>Benedetto XIV, Lettera Enciclica Apostolica Constitutio, 26 giugno 1749</v>
      </c>
      <c r="AD28" s="31" t="str">
        <f t="shared" si="9"/>
        <v>1749-06-26T08:00:00.000+02:00</v>
      </c>
      <c r="AE28" s="31" t="str">
        <f t="shared" si="10"/>
        <v>bxiv-enc-apc</v>
      </c>
      <c r="AF28" s="31" t="str">
        <f t="shared" si="11"/>
        <v>Benedetto XIV - Lettera Enciclica - Apostolica Constitutio</v>
      </c>
    </row>
    <row r="29" spans="1:32" s="31" customFormat="1" x14ac:dyDescent="0.2">
      <c r="B29" s="31">
        <v>247</v>
      </c>
      <c r="C29" s="34" t="s">
        <v>1586</v>
      </c>
      <c r="D29" s="31" t="s">
        <v>699</v>
      </c>
      <c r="E29" s="31" t="s">
        <v>704</v>
      </c>
      <c r="F29" s="31" t="s">
        <v>606</v>
      </c>
      <c r="G29" s="31" t="s">
        <v>607</v>
      </c>
      <c r="H29" s="31" t="str">
        <f t="shared" si="0"/>
        <v>Benedetto XIV</v>
      </c>
      <c r="I29" s="31" t="s">
        <v>603</v>
      </c>
      <c r="J29" s="31" t="s">
        <v>829</v>
      </c>
      <c r="K29" s="31" t="s">
        <v>694</v>
      </c>
      <c r="L29" s="31" t="str">
        <f t="shared" si="1"/>
        <v>Lettera Enciclica</v>
      </c>
      <c r="M29" s="31" t="s">
        <v>579</v>
      </c>
      <c r="N29" s="31">
        <v>28</v>
      </c>
      <c r="O29" s="31" t="s">
        <v>862</v>
      </c>
      <c r="P29" s="31" t="s">
        <v>628</v>
      </c>
      <c r="Q29" s="31" t="s">
        <v>808</v>
      </c>
      <c r="R29" s="35" t="str">
        <f t="shared" si="2"/>
        <v>31</v>
      </c>
      <c r="S29" s="35" t="str">
        <f>IF(ISERROR(DAY(Q29)),TEXT(MATCH(TRIM(SUBSTITUTE(SUBSTITUTE(SUBSTITUTE(SUBSTITUTE(SUBSTITUTE(SUBSTITUTE(SUBSTITUTE(SUBSTITUTE(SUBSTITUTE(SUBSTITUTE(SUBSTITUTE(Q29,1,""),2,""),3,""),4,""),5,""),6,""),7,""),8,""),9,""),0,""),"-","")),{"gennaio","febbraio","marzo","aprile","maggio","giugno","luglio","agosto","settembre","ottobre","novembre","dicembre"},0),"00"),TEXT(MONTH(Q29)*29,"mm"))</f>
        <v>10</v>
      </c>
      <c r="T29" s="35">
        <f t="shared" si="3"/>
        <v>1749</v>
      </c>
      <c r="U29" s="31"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36"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31"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31">
        <v>27</v>
      </c>
      <c r="Y29" s="31" t="str">
        <f t="shared" si="4"/>
        <v>['Benedetto XIV', 'Enciclica', 'Gravissimo Animi', 'bxiv-enc-gra', '31 ottobre 1749', '31/10/1749', '1749/10/31'],</v>
      </c>
      <c r="Z29" s="31" t="str">
        <f t="shared" si="5"/>
        <v>Gravissimo Animi (31 ottobre 1749) | Benedetto XIV</v>
      </c>
      <c r="AA29" s="31" t="str">
        <f t="shared" si="6"/>
        <v>Enciclica Gravissimo Animi</v>
      </c>
      <c r="AB29" s="31" t="str">
        <f t="shared" si="7"/>
        <v>Enciclica Gravissimo Animi</v>
      </c>
      <c r="AC29" s="31" t="str">
        <f t="shared" si="8"/>
        <v>Benedetto XIV, Lettera Enciclica Gravissimo Animi, 31 ottobre 1749</v>
      </c>
      <c r="AD29" s="31" t="str">
        <f t="shared" si="9"/>
        <v>1749-10-31T08:00:00.000+02:00</v>
      </c>
      <c r="AE29" s="31" t="str">
        <f t="shared" si="10"/>
        <v>bxiv-enc-gra</v>
      </c>
      <c r="AF29" s="31" t="str">
        <f t="shared" si="11"/>
        <v>Benedetto XIV - Lettera Enciclica - Gravissimo Animi</v>
      </c>
    </row>
    <row r="30" spans="1:32" s="31" customFormat="1" x14ac:dyDescent="0.2">
      <c r="B30" s="31">
        <v>247</v>
      </c>
      <c r="C30" s="34" t="s">
        <v>1587</v>
      </c>
      <c r="D30" s="31" t="s">
        <v>699</v>
      </c>
      <c r="E30" s="31" t="s">
        <v>704</v>
      </c>
      <c r="F30" s="31" t="s">
        <v>606</v>
      </c>
      <c r="G30" s="31" t="s">
        <v>607</v>
      </c>
      <c r="H30" s="31" t="str">
        <f t="shared" si="0"/>
        <v>Benedetto XIV</v>
      </c>
      <c r="I30" s="31" t="s">
        <v>603</v>
      </c>
      <c r="J30" s="31" t="s">
        <v>829</v>
      </c>
      <c r="K30" s="31" t="s">
        <v>694</v>
      </c>
      <c r="L30" s="31" t="str">
        <f t="shared" si="1"/>
        <v>Lettera Enciclica</v>
      </c>
      <c r="M30" s="31" t="s">
        <v>579</v>
      </c>
      <c r="N30" s="31">
        <v>29</v>
      </c>
      <c r="O30" s="31" t="s">
        <v>358</v>
      </c>
      <c r="P30" s="31" t="s">
        <v>629</v>
      </c>
      <c r="Q30" s="31" t="s">
        <v>809</v>
      </c>
      <c r="R30" s="35" t="str">
        <f t="shared" si="2"/>
        <v>03</v>
      </c>
      <c r="S30" s="35" t="str">
        <f>IF(ISERROR(DAY(Q30)),TEXT(MATCH(TRIM(SUBSTITUTE(SUBSTITUTE(SUBSTITUTE(SUBSTITUTE(SUBSTITUTE(SUBSTITUTE(SUBSTITUTE(SUBSTITUTE(SUBSTITUTE(SUBSTITUTE(SUBSTITUTE(Q30,1,""),2,""),3,""),4,""),5,""),6,""),7,""),8,""),9,""),0,""),"-","")),{"gennaio","febbraio","marzo","aprile","maggio","giugno","luglio","agosto","settembre","ottobre","novembre","dicembre"},0),"00"),TEXT(MONTH(Q30)*29,"mm"))</f>
        <v>12</v>
      </c>
      <c r="T30" s="35">
        <f t="shared" si="3"/>
        <v>1749</v>
      </c>
      <c r="U30" s="31"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6"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31"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31">
        <v>28</v>
      </c>
      <c r="Y30" s="31" t="str">
        <f t="shared" si="4"/>
        <v>['Benedetto XIV', 'Enciclica', 'Inter praeteritos', 'bxiv-enc-inp', '03 dicembre 1749', '03/12/1749', '1749/12/03'],</v>
      </c>
      <c r="Z30" s="31" t="str">
        <f t="shared" si="5"/>
        <v>Inter praeteritos (3 dicembre 1749) | Benedetto XIV</v>
      </c>
      <c r="AA30" s="31" t="str">
        <f t="shared" si="6"/>
        <v>Enciclica Inter praeteritos</v>
      </c>
      <c r="AB30" s="31" t="str">
        <f t="shared" si="7"/>
        <v>Enciclica Inter praeteritos</v>
      </c>
      <c r="AC30" s="31" t="str">
        <f t="shared" si="8"/>
        <v>Benedetto XIV, Lettera Enciclica Inter praeteritos, 03 dicembre 1749</v>
      </c>
      <c r="AD30" s="31" t="str">
        <f t="shared" si="9"/>
        <v>1749-12-03T08:00:00.000+02:00</v>
      </c>
      <c r="AE30" s="31" t="str">
        <f t="shared" si="10"/>
        <v>bxiv-enc-inp</v>
      </c>
      <c r="AF30" s="31" t="str">
        <f t="shared" si="11"/>
        <v>Benedetto XIV - Lettera Enciclica - Inter praeteritos</v>
      </c>
    </row>
    <row r="31" spans="1:32" s="31" customFormat="1" x14ac:dyDescent="0.2">
      <c r="B31" s="31">
        <v>247</v>
      </c>
      <c r="C31" s="34" t="s">
        <v>1588</v>
      </c>
      <c r="D31" s="31" t="s">
        <v>699</v>
      </c>
      <c r="E31" s="31" t="s">
        <v>704</v>
      </c>
      <c r="F31" s="31" t="s">
        <v>606</v>
      </c>
      <c r="G31" s="31" t="s">
        <v>607</v>
      </c>
      <c r="H31" s="31" t="str">
        <f t="shared" si="0"/>
        <v>Benedetto XIV</v>
      </c>
      <c r="K31" s="31" t="s">
        <v>824</v>
      </c>
      <c r="L31" s="31" t="str">
        <f t="shared" si="1"/>
        <v>Bolla</v>
      </c>
      <c r="M31" s="31" t="s">
        <v>564</v>
      </c>
      <c r="N31" s="31">
        <v>30</v>
      </c>
      <c r="O31" s="31" t="s">
        <v>863</v>
      </c>
      <c r="P31" s="31" t="s">
        <v>1010</v>
      </c>
      <c r="Q31" s="31" t="s">
        <v>810</v>
      </c>
      <c r="R31" s="35" t="str">
        <f t="shared" si="2"/>
        <v>25</v>
      </c>
      <c r="S31" s="35" t="str">
        <f>IF(ISERROR(DAY(Q31)),TEXT(MATCH(TRIM(SUBSTITUTE(SUBSTITUTE(SUBSTITUTE(SUBSTITUTE(SUBSTITUTE(SUBSTITUTE(SUBSTITUTE(SUBSTITUTE(SUBSTITUTE(SUBSTITUTE(SUBSTITUTE(Q31,1,""),2,""),3,""),4,""),5,""),6,""),7,""),8,""),9,""),0,""),"-","")),{"gennaio","febbraio","marzo","aprile","maggio","giugno","luglio","agosto","settembre","ottobre","novembre","dicembre"},0),"00"),TEXT(MONTH(Q31)*29,"mm"))</f>
        <v>12</v>
      </c>
      <c r="T31" s="35">
        <f t="shared" si="3"/>
        <v>1750</v>
      </c>
      <c r="U31" s="31"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6"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31"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31">
        <v>29</v>
      </c>
      <c r="Y31" s="31" t="str">
        <f t="shared" si="4"/>
        <v>['Benedetto XIV', 'Bolla', 'Benedictus Deus', 'bxiv-bol-bed', '25 dicembre 1750', '25/12/1750', '1750/12/25'],</v>
      </c>
      <c r="Z31" s="31" t="str">
        <f t="shared" si="5"/>
        <v>Benedictus Deus (25 dicembre 1750) | Benedetto XIV</v>
      </c>
      <c r="AA31" s="31" t="str">
        <f t="shared" si="6"/>
        <v>Bolla Benedictus Deus</v>
      </c>
      <c r="AB31" s="31" t="str">
        <f t="shared" si="7"/>
        <v>Bolla Benedictus Deus</v>
      </c>
      <c r="AC31" s="31" t="str">
        <f t="shared" si="8"/>
        <v>Benedetto XIV, Bolla Benedictus Deus, 25 dicembre 1750</v>
      </c>
      <c r="AD31" s="31" t="str">
        <f t="shared" si="9"/>
        <v>1750-12-25T08:00:00.000+02:00</v>
      </c>
      <c r="AE31" s="31" t="str">
        <f t="shared" si="10"/>
        <v>bxiv-bol-bed</v>
      </c>
      <c r="AF31" s="31" t="str">
        <f t="shared" si="11"/>
        <v>Benedetto XIV - Bolla - Benedictus Deus</v>
      </c>
    </row>
    <row r="32" spans="1:32" s="31" customFormat="1" x14ac:dyDescent="0.2">
      <c r="B32" s="31">
        <v>247</v>
      </c>
      <c r="C32" s="34" t="s">
        <v>1589</v>
      </c>
      <c r="D32" s="31" t="s">
        <v>699</v>
      </c>
      <c r="E32" s="31" t="s">
        <v>704</v>
      </c>
      <c r="F32" s="31" t="s">
        <v>606</v>
      </c>
      <c r="G32" s="31" t="s">
        <v>607</v>
      </c>
      <c r="H32" s="31" t="str">
        <f t="shared" si="0"/>
        <v>Benedetto XIV</v>
      </c>
      <c r="I32" s="31" t="s">
        <v>603</v>
      </c>
      <c r="J32" s="31" t="s">
        <v>829</v>
      </c>
      <c r="K32" s="31" t="s">
        <v>694</v>
      </c>
      <c r="L32" s="31" t="str">
        <f t="shared" si="1"/>
        <v>Lettera Enciclica</v>
      </c>
      <c r="M32" s="31" t="s">
        <v>579</v>
      </c>
      <c r="N32" s="31">
        <v>31</v>
      </c>
      <c r="O32" s="31" t="s">
        <v>864</v>
      </c>
      <c r="P32" s="31" t="s">
        <v>630</v>
      </c>
      <c r="Q32" s="31" t="s">
        <v>811</v>
      </c>
      <c r="R32" s="35" t="str">
        <f t="shared" si="2"/>
        <v>01</v>
      </c>
      <c r="S32" s="35" t="str">
        <f>IF(ISERROR(DAY(Q32)),TEXT(MATCH(TRIM(SUBSTITUTE(SUBSTITUTE(SUBSTITUTE(SUBSTITUTE(SUBSTITUTE(SUBSTITUTE(SUBSTITUTE(SUBSTITUTE(SUBSTITUTE(SUBSTITUTE(SUBSTITUTE(Q32,1,""),2,""),3,""),4,""),5,""),6,""),7,""),8,""),9,""),0,""),"-","")),{"gennaio","febbraio","marzo","aprile","maggio","giugno","luglio","agosto","settembre","ottobre","novembre","dicembre"},0),"00"),TEXT(MONTH(Q32)*29,"mm"))</f>
        <v>01</v>
      </c>
      <c r="T32" s="35">
        <f t="shared" si="3"/>
        <v>1751</v>
      </c>
      <c r="U32" s="31"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36"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31"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31">
        <v>30</v>
      </c>
      <c r="Y32" s="31" t="str">
        <f t="shared" si="4"/>
        <v>['Benedetto XIV', 'Enciclica', 'Celebrationem Magni', 'bxiv-enc-cem', '01 gennaio 1751', '01/01/1751', '1751/01/01'],</v>
      </c>
      <c r="Z32" s="31" t="str">
        <f t="shared" si="5"/>
        <v>Celebrationem Magni (1 gennaio 1751) | Benedetto XIV</v>
      </c>
      <c r="AA32" s="31" t="str">
        <f t="shared" si="6"/>
        <v>Enciclica Celebrationem Magni</v>
      </c>
      <c r="AB32" s="31" t="str">
        <f t="shared" si="7"/>
        <v>Enciclica Celebrationem Magni</v>
      </c>
      <c r="AC32" s="31" t="str">
        <f t="shared" si="8"/>
        <v>Benedetto XIV, Lettera Enciclica Celebrationem Magni, 01 gennaio 1751</v>
      </c>
      <c r="AD32" s="31" t="str">
        <f t="shared" si="9"/>
        <v>1751-01-01T08:00:00.000+02:00</v>
      </c>
      <c r="AE32" s="31" t="str">
        <f t="shared" si="10"/>
        <v>bxiv-enc-cem</v>
      </c>
      <c r="AF32" s="31" t="str">
        <f t="shared" si="11"/>
        <v>Benedetto XIV - Lettera Enciclica - Celebrationem Magni</v>
      </c>
    </row>
    <row r="33" spans="2:32" s="31" customFormat="1" x14ac:dyDescent="0.2">
      <c r="B33" s="31">
        <v>247</v>
      </c>
      <c r="C33" s="34" t="s">
        <v>1590</v>
      </c>
      <c r="D33" s="31" t="s">
        <v>699</v>
      </c>
      <c r="E33" s="31" t="s">
        <v>704</v>
      </c>
      <c r="F33" s="31" t="s">
        <v>606</v>
      </c>
      <c r="G33" s="31" t="s">
        <v>607</v>
      </c>
      <c r="H33" s="31" t="str">
        <f t="shared" si="0"/>
        <v>Benedetto XIV</v>
      </c>
      <c r="I33" s="31" t="s">
        <v>603</v>
      </c>
      <c r="J33" s="31" t="s">
        <v>829</v>
      </c>
      <c r="K33" s="31" t="s">
        <v>694</v>
      </c>
      <c r="L33" s="31" t="str">
        <f t="shared" si="1"/>
        <v>Lettera Enciclica</v>
      </c>
      <c r="M33" s="31" t="s">
        <v>579</v>
      </c>
      <c r="N33" s="31">
        <v>32</v>
      </c>
      <c r="O33" s="31" t="s">
        <v>865</v>
      </c>
      <c r="P33" s="31" t="s">
        <v>631</v>
      </c>
      <c r="Q33" s="31" t="s">
        <v>812</v>
      </c>
      <c r="R33" s="35" t="str">
        <f t="shared" si="2"/>
        <v>30</v>
      </c>
      <c r="S33" s="35" t="str">
        <f>IF(ISERROR(DAY(Q33)),TEXT(MATCH(TRIM(SUBSTITUTE(SUBSTITUTE(SUBSTITUTE(SUBSTITUTE(SUBSTITUTE(SUBSTITUTE(SUBSTITUTE(SUBSTITUTE(SUBSTITUTE(SUBSTITUTE(SUBSTITUTE(Q33,1,""),2,""),3,""),4,""),5,""),6,""),7,""),8,""),9,""),0,""),"-","")),{"gennaio","febbraio","marzo","aprile","maggio","giugno","luglio","agosto","settembre","ottobre","novembre","dicembre"},0),"00"),TEXT(MONTH(Q33)*29,"mm"))</f>
        <v>01</v>
      </c>
      <c r="T33" s="35">
        <f t="shared" si="3"/>
        <v>1751</v>
      </c>
      <c r="U33" s="31"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36"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31"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31">
        <v>31</v>
      </c>
      <c r="Y33" s="31" t="str">
        <f t="shared" si="4"/>
        <v>['Benedetto XIV', 'Enciclica', 'Prodiit Jamdudum', 'bxiv-enc-prj', '30 gennaio 1751', '30/01/1751', '1751/01/30'],</v>
      </c>
      <c r="Z33" s="31" t="str">
        <f t="shared" si="5"/>
        <v>Prodiit Jamdudum (30 gennaio 1751) | Benedetto XIV</v>
      </c>
      <c r="AA33" s="31" t="str">
        <f t="shared" si="6"/>
        <v>Enciclica Prodiit Jamdudum</v>
      </c>
      <c r="AB33" s="31" t="str">
        <f t="shared" si="7"/>
        <v>Enciclica Prodiit Jamdudum</v>
      </c>
      <c r="AC33" s="31" t="str">
        <f t="shared" si="8"/>
        <v>Benedetto XIV, Lettera Enciclica Prodiit Jamdudum, 30 gennaio 1751</v>
      </c>
      <c r="AD33" s="31" t="str">
        <f t="shared" si="9"/>
        <v>1751-01-30T08:00:00.000+02:00</v>
      </c>
      <c r="AE33" s="31" t="str">
        <f t="shared" si="10"/>
        <v>bxiv-enc-prj</v>
      </c>
      <c r="AF33" s="31" t="str">
        <f t="shared" si="11"/>
        <v>Benedetto XIV - Lettera Enciclica - Prodiit Jamdudum</v>
      </c>
    </row>
    <row r="34" spans="2:32" s="31" customFormat="1" x14ac:dyDescent="0.2">
      <c r="B34" s="31">
        <v>247</v>
      </c>
      <c r="C34" s="34" t="s">
        <v>1591</v>
      </c>
      <c r="D34" s="31" t="s">
        <v>699</v>
      </c>
      <c r="E34" s="31" t="s">
        <v>704</v>
      </c>
      <c r="F34" s="31" t="s">
        <v>606</v>
      </c>
      <c r="G34" s="31" t="s">
        <v>607</v>
      </c>
      <c r="H34" s="31" t="str">
        <f t="shared" ref="H34:H65" si="12">_xlfn.CONCAT(D34 &amp; " " &amp; E34)</f>
        <v>Benedetto XIV</v>
      </c>
      <c r="I34" s="31" t="s">
        <v>603</v>
      </c>
      <c r="J34" s="31" t="s">
        <v>829</v>
      </c>
      <c r="K34" s="31" t="s">
        <v>694</v>
      </c>
      <c r="L34" s="31" t="str">
        <f t="shared" ref="L34:L65" si="13">IF(J34&lt;&gt;"",_xlfn.CONCAT(J34 &amp; " " &amp; K34),K34)</f>
        <v>Lettera Enciclica</v>
      </c>
      <c r="M34" s="31" t="s">
        <v>579</v>
      </c>
      <c r="N34" s="31">
        <v>33</v>
      </c>
      <c r="O34" s="31" t="s">
        <v>866</v>
      </c>
      <c r="P34" s="31" t="s">
        <v>632</v>
      </c>
      <c r="Q34" s="31" t="s">
        <v>813</v>
      </c>
      <c r="R34" s="35" t="str">
        <f t="shared" si="2"/>
        <v>20</v>
      </c>
      <c r="S34" s="35" t="str">
        <f>IF(ISERROR(DAY(Q34)),TEXT(MATCH(TRIM(SUBSTITUTE(SUBSTITUTE(SUBSTITUTE(SUBSTITUTE(SUBSTITUTE(SUBSTITUTE(SUBSTITUTE(SUBSTITUTE(SUBSTITUTE(SUBSTITUTE(SUBSTITUTE(Q34,1,""),2,""),3,""),4,""),5,""),6,""),7,""),8,""),9,""),0,""),"-","")),{"gennaio","febbraio","marzo","aprile","maggio","giugno","luglio","agosto","settembre","ottobre","novembre","dicembre"},0),"00"),TEXT(MONTH(Q34)*29,"mm"))</f>
        <v>02</v>
      </c>
      <c r="T34" s="35">
        <f t="shared" si="3"/>
        <v>1751</v>
      </c>
      <c r="U34" s="31"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36"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31"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31">
        <v>32</v>
      </c>
      <c r="Y34" s="31" t="str">
        <f t="shared" si="4"/>
        <v>['Benedetto XIV', 'Enciclica', 'Elapso Proxime Anno', 'bxiv-enc-epa', '20 febbraio 1751', '20/02/1751', '1751/02/20'],</v>
      </c>
      <c r="Z34" s="31" t="str">
        <f t="shared" si="5"/>
        <v>Elapso Proxime Anno (20 febbraio 1751) | Benedetto XIV</v>
      </c>
      <c r="AA34" s="31" t="str">
        <f t="shared" si="6"/>
        <v>Enciclica Elapso Proxime Anno</v>
      </c>
      <c r="AB34" s="31" t="str">
        <f t="shared" si="7"/>
        <v>Enciclica Elapso Proxime Anno</v>
      </c>
      <c r="AC34" s="31" t="str">
        <f t="shared" si="8"/>
        <v>Benedetto XIV, Lettera Enciclica Elapso Proxime Anno, 20 febbraio 1751</v>
      </c>
      <c r="AD34" s="31" t="str">
        <f t="shared" si="9"/>
        <v>1751-02-20T08:00:00.000+02:00</v>
      </c>
      <c r="AE34" s="31" t="str">
        <f t="shared" si="10"/>
        <v>bxiv-enc-epa</v>
      </c>
      <c r="AF34" s="31" t="str">
        <f t="shared" si="11"/>
        <v>Benedetto XIV - Lettera Enciclica - Elapso Proxime Anno</v>
      </c>
    </row>
    <row r="35" spans="2:32" s="31" customFormat="1" x14ac:dyDescent="0.2">
      <c r="B35" s="31">
        <v>247</v>
      </c>
      <c r="C35" s="34" t="s">
        <v>1592</v>
      </c>
      <c r="D35" s="31" t="s">
        <v>699</v>
      </c>
      <c r="E35" s="31" t="s">
        <v>704</v>
      </c>
      <c r="F35" s="31" t="s">
        <v>606</v>
      </c>
      <c r="G35" s="31" t="s">
        <v>607</v>
      </c>
      <c r="H35" s="31" t="str">
        <f t="shared" si="12"/>
        <v>Benedetto XIV</v>
      </c>
      <c r="K35" s="31" t="s">
        <v>824</v>
      </c>
      <c r="L35" s="31" t="str">
        <f t="shared" si="13"/>
        <v>Bolla</v>
      </c>
      <c r="M35" s="31" t="s">
        <v>564</v>
      </c>
      <c r="N35" s="31">
        <v>34</v>
      </c>
      <c r="O35" s="31" t="s">
        <v>867</v>
      </c>
      <c r="P35" s="31" t="s">
        <v>1607</v>
      </c>
      <c r="Q35" s="31" t="s">
        <v>814</v>
      </c>
      <c r="R35" s="35" t="str">
        <f t="shared" si="2"/>
        <v>18</v>
      </c>
      <c r="S35" s="35" t="str">
        <f>IF(ISERROR(DAY(Q35)),TEXT(MATCH(TRIM(SUBSTITUTE(SUBSTITUTE(SUBSTITUTE(SUBSTITUTE(SUBSTITUTE(SUBSTITUTE(SUBSTITUTE(SUBSTITUTE(SUBSTITUTE(SUBSTITUTE(SUBSTITUTE(Q35,1,""),2,""),3,""),4,""),5,""),6,""),7,""),8,""),9,""),0,""),"-","")),{"gennaio","febbraio","marzo","aprile","maggio","giugno","luglio","agosto","settembre","ottobre","novembre","dicembre"},0),"00"),TEXT(MONTH(Q35)*29,"mm"))</f>
        <v>03</v>
      </c>
      <c r="T35" s="35">
        <f t="shared" si="3"/>
        <v>1751</v>
      </c>
      <c r="U35" s="31"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6"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31"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31">
        <v>33</v>
      </c>
      <c r="Y35" s="31" t="str">
        <f t="shared" si="4"/>
        <v>['Benedetto XIV', 'Bolla', 'Providas Romanorum', 'bxiv-bol-prr', '18 marzo 1751', '18/03/1751', '1751/03/18'],</v>
      </c>
      <c r="Z35" s="31" t="str">
        <f t="shared" si="5"/>
        <v>Providas Romanorum (18 marzo 1751) | Benedetto XIV</v>
      </c>
      <c r="AA35" s="31" t="str">
        <f t="shared" si="6"/>
        <v>Bolla Providas Romanorum</v>
      </c>
      <c r="AB35" s="31" t="str">
        <f t="shared" si="7"/>
        <v>Bolla Providas Romanorum</v>
      </c>
      <c r="AC35" s="31" t="str">
        <f t="shared" si="8"/>
        <v>Benedetto XIV, Bolla Providas Romanorum, 18 marzo 1751</v>
      </c>
      <c r="AD35" s="31" t="str">
        <f t="shared" si="9"/>
        <v>1751-03-18T08:00:00.000+02:00</v>
      </c>
      <c r="AE35" s="31" t="str">
        <f t="shared" si="10"/>
        <v>bxiv-bol-prr</v>
      </c>
      <c r="AF35" s="31" t="str">
        <f t="shared" si="11"/>
        <v>Benedetto XIV - Bolla - Providas Romanorum</v>
      </c>
    </row>
    <row r="36" spans="2:32" s="31" customFormat="1" x14ac:dyDescent="0.2">
      <c r="B36" s="31">
        <v>247</v>
      </c>
      <c r="C36" s="34" t="s">
        <v>1593</v>
      </c>
      <c r="D36" s="31" t="s">
        <v>699</v>
      </c>
      <c r="E36" s="31" t="s">
        <v>704</v>
      </c>
      <c r="F36" s="31" t="s">
        <v>606</v>
      </c>
      <c r="G36" s="31" t="s">
        <v>607</v>
      </c>
      <c r="H36" s="31" t="str">
        <f t="shared" si="12"/>
        <v>Benedetto XIV</v>
      </c>
      <c r="I36" s="31" t="s">
        <v>603</v>
      </c>
      <c r="J36" s="31" t="s">
        <v>829</v>
      </c>
      <c r="K36" s="31" t="s">
        <v>694</v>
      </c>
      <c r="L36" s="31" t="str">
        <f t="shared" si="13"/>
        <v>Lettera Enciclica</v>
      </c>
      <c r="M36" s="31" t="s">
        <v>579</v>
      </c>
      <c r="N36" s="31">
        <v>35</v>
      </c>
      <c r="O36" s="31" t="s">
        <v>868</v>
      </c>
      <c r="P36" s="31" t="s">
        <v>633</v>
      </c>
      <c r="Q36" s="31" t="s">
        <v>815</v>
      </c>
      <c r="R36" s="35" t="str">
        <f t="shared" si="2"/>
        <v>02</v>
      </c>
      <c r="S36" s="35" t="str">
        <f>IF(ISERROR(DAY(Q36)),TEXT(MATCH(TRIM(SUBSTITUTE(SUBSTITUTE(SUBSTITUTE(SUBSTITUTE(SUBSTITUTE(SUBSTITUTE(SUBSTITUTE(SUBSTITUTE(SUBSTITUTE(SUBSTITUTE(SUBSTITUTE(Q36,1,""),2,""),3,""),4,""),5,""),6,""),7,""),8,""),9,""),0,""),"-","")),{"gennaio","febbraio","marzo","aprile","maggio","giugno","luglio","agosto","settembre","ottobre","novembre","dicembre"},0),"00"),TEXT(MONTH(Q36)*29,"mm"))</f>
        <v>06</v>
      </c>
      <c r="T36" s="35">
        <f t="shared" si="3"/>
        <v>1751</v>
      </c>
      <c r="U36" s="31"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36"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31"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31">
        <v>34</v>
      </c>
      <c r="Y36" s="31" t="str">
        <f t="shared" si="4"/>
        <v>['Benedetto XIV', 'Enciclica', 'Magno Cum Animi', 'bxiv-enc-mca', '02 giugno 1751', '02/06/1751', '1751/06/02'],</v>
      </c>
      <c r="Z36" s="31" t="str">
        <f t="shared" si="5"/>
        <v>Magno Cum Animi (2 giugno 1751) | Benedetto XIV</v>
      </c>
      <c r="AA36" s="31" t="str">
        <f t="shared" si="6"/>
        <v>Enciclica Magno Cum Animi</v>
      </c>
      <c r="AB36" s="31" t="str">
        <f t="shared" si="7"/>
        <v>Enciclica Magno Cum Animi</v>
      </c>
      <c r="AC36" s="31" t="str">
        <f t="shared" si="8"/>
        <v>Benedetto XIV, Lettera Enciclica Magno Cum Animi, 02 giugno 1751</v>
      </c>
      <c r="AD36" s="31" t="str">
        <f t="shared" si="9"/>
        <v>1751-06-02T08:00:00.000+02:00</v>
      </c>
      <c r="AE36" s="31" t="str">
        <f t="shared" si="10"/>
        <v>bxiv-enc-mca</v>
      </c>
      <c r="AF36" s="31" t="str">
        <f t="shared" si="11"/>
        <v>Benedetto XIV - Lettera Enciclica - Magno Cum Animi</v>
      </c>
    </row>
    <row r="37" spans="2:32" s="31" customFormat="1" x14ac:dyDescent="0.2">
      <c r="B37" s="31">
        <v>247</v>
      </c>
      <c r="C37" s="34" t="s">
        <v>1594</v>
      </c>
      <c r="D37" s="31" t="s">
        <v>699</v>
      </c>
      <c r="E37" s="31" t="s">
        <v>704</v>
      </c>
      <c r="F37" s="31" t="s">
        <v>606</v>
      </c>
      <c r="G37" s="31" t="s">
        <v>607</v>
      </c>
      <c r="H37" s="31" t="str">
        <f t="shared" si="12"/>
        <v>Benedetto XIV</v>
      </c>
      <c r="I37" s="31" t="s">
        <v>603</v>
      </c>
      <c r="J37" s="31" t="s">
        <v>829</v>
      </c>
      <c r="K37" s="31" t="s">
        <v>694</v>
      </c>
      <c r="L37" s="31" t="str">
        <f t="shared" si="13"/>
        <v>Lettera Enciclica</v>
      </c>
      <c r="M37" s="31" t="s">
        <v>579</v>
      </c>
      <c r="N37" s="31">
        <v>36</v>
      </c>
      <c r="O37" s="31" t="s">
        <v>869</v>
      </c>
      <c r="P37" s="31" t="s">
        <v>634</v>
      </c>
      <c r="Q37" s="31" t="s">
        <v>816</v>
      </c>
      <c r="R37" s="35" t="str">
        <f t="shared" si="2"/>
        <v>14</v>
      </c>
      <c r="S37" s="35" t="str">
        <f>IF(ISERROR(DAY(Q37)),TEXT(MATCH(TRIM(SUBSTITUTE(SUBSTITUTE(SUBSTITUTE(SUBSTITUTE(SUBSTITUTE(SUBSTITUTE(SUBSTITUTE(SUBSTITUTE(SUBSTITUTE(SUBSTITUTE(SUBSTITUTE(Q37,1,""),2,""),3,""),4,""),5,""),6,""),7,""),8,""),9,""),0,""),"-","")),{"gennaio","febbraio","marzo","aprile","maggio","giugno","luglio","agosto","settembre","ottobre","novembre","dicembre"},0),"00"),TEXT(MONTH(Q37)*29,"mm"))</f>
        <v>06</v>
      </c>
      <c r="T37" s="35">
        <f t="shared" si="3"/>
        <v>1751</v>
      </c>
      <c r="U37" s="31"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36"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31"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31">
        <v>35</v>
      </c>
      <c r="Y37" s="31" t="str">
        <f t="shared" si="4"/>
        <v>['Benedetto XIV', 'Enciclica', 'A Quo Primum', 'bxiv-enc-aqp', '14 giugno 1751', '14/06/1751', '1751/06/14'],</v>
      </c>
      <c r="Z37" s="31" t="str">
        <f t="shared" si="5"/>
        <v>A Quo Primum (14 giugno 1751) | Benedetto XIV</v>
      </c>
      <c r="AA37" s="31" t="str">
        <f t="shared" si="6"/>
        <v>Enciclica A Quo Primum</v>
      </c>
      <c r="AB37" s="31" t="str">
        <f t="shared" si="7"/>
        <v>Enciclica A Quo Primum</v>
      </c>
      <c r="AC37" s="31" t="str">
        <f t="shared" si="8"/>
        <v>Benedetto XIV, Lettera Enciclica A Quo Primum, 14 giugno 1751</v>
      </c>
      <c r="AD37" s="31" t="str">
        <f t="shared" si="9"/>
        <v>1751-06-14T08:00:00.000+02:00</v>
      </c>
      <c r="AE37" s="31" t="str">
        <f t="shared" si="10"/>
        <v>bxiv-enc-aqp</v>
      </c>
      <c r="AF37" s="31" t="str">
        <f t="shared" si="11"/>
        <v>Benedetto XIV - Lettera Enciclica - A Quo Primum</v>
      </c>
    </row>
    <row r="38" spans="2:32" s="31" customFormat="1" x14ac:dyDescent="0.2">
      <c r="B38" s="31">
        <v>247</v>
      </c>
      <c r="C38" s="34" t="s">
        <v>1595</v>
      </c>
      <c r="D38" s="31" t="s">
        <v>699</v>
      </c>
      <c r="E38" s="31" t="s">
        <v>704</v>
      </c>
      <c r="F38" s="31" t="s">
        <v>606</v>
      </c>
      <c r="G38" s="31" t="s">
        <v>607</v>
      </c>
      <c r="H38" s="31" t="str">
        <f t="shared" si="12"/>
        <v>Benedetto XIV</v>
      </c>
      <c r="I38" s="31" t="s">
        <v>603</v>
      </c>
      <c r="J38" s="31" t="s">
        <v>829</v>
      </c>
      <c r="K38" s="31" t="s">
        <v>694</v>
      </c>
      <c r="L38" s="31" t="str">
        <f t="shared" si="13"/>
        <v>Lettera Enciclica</v>
      </c>
      <c r="M38" s="31" t="s">
        <v>579</v>
      </c>
      <c r="N38" s="31">
        <v>37</v>
      </c>
      <c r="O38" s="31" t="s">
        <v>870</v>
      </c>
      <c r="P38" s="31" t="s">
        <v>635</v>
      </c>
      <c r="Q38" s="31" t="s">
        <v>817</v>
      </c>
      <c r="R38" s="35" t="str">
        <f t="shared" si="2"/>
        <v>26</v>
      </c>
      <c r="S38" s="35" t="str">
        <f>IF(ISERROR(DAY(Q38)),TEXT(MATCH(TRIM(SUBSTITUTE(SUBSTITUTE(SUBSTITUTE(SUBSTITUTE(SUBSTITUTE(SUBSTITUTE(SUBSTITUTE(SUBSTITUTE(SUBSTITUTE(SUBSTITUTE(SUBSTITUTE(Q38,1,""),2,""),3,""),4,""),5,""),6,""),7,""),8,""),9,""),0,""),"-","")),{"gennaio","febbraio","marzo","aprile","maggio","giugno","luglio","agosto","settembre","ottobre","novembre","dicembre"},0),"00"),TEXT(MONTH(Q38)*29,"mm"))</f>
        <v>06</v>
      </c>
      <c r="T38" s="35">
        <f t="shared" si="3"/>
        <v>1754</v>
      </c>
      <c r="U38" s="31"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36"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31"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31">
        <v>36</v>
      </c>
      <c r="Y38" s="31" t="str">
        <f t="shared" si="4"/>
        <v>['Benedetto XIV', 'Enciclica', 'Cum Religiosi Aeque', 'bxiv-enc-cra', '26 giugno 1754', '26/06/1754', '1754/06/26'],</v>
      </c>
      <c r="Z38" s="31" t="str">
        <f t="shared" si="5"/>
        <v>Cum Religiosi Aeque (26 giugno 1754) | Benedetto XIV</v>
      </c>
      <c r="AA38" s="31" t="str">
        <f t="shared" si="6"/>
        <v>Enciclica Cum Religiosi Aeque</v>
      </c>
      <c r="AB38" s="31" t="str">
        <f t="shared" si="7"/>
        <v>Enciclica Cum Religiosi Aeque</v>
      </c>
      <c r="AC38" s="31" t="str">
        <f t="shared" si="8"/>
        <v>Benedetto XIV, Lettera Enciclica Cum Religiosi Aeque, 26 giugno 1754</v>
      </c>
      <c r="AD38" s="31" t="str">
        <f t="shared" si="9"/>
        <v>1754-06-26T08:00:00.000+02:00</v>
      </c>
      <c r="AE38" s="31" t="str">
        <f t="shared" si="10"/>
        <v>bxiv-enc-cra</v>
      </c>
      <c r="AF38" s="31" t="str">
        <f t="shared" si="11"/>
        <v>Benedetto XIV - Lettera Enciclica - Cum Religiosi Aeque</v>
      </c>
    </row>
    <row r="39" spans="2:32" s="31" customFormat="1" x14ac:dyDescent="0.2">
      <c r="B39" s="31">
        <v>247</v>
      </c>
      <c r="C39" s="34" t="s">
        <v>1596</v>
      </c>
      <c r="D39" s="31" t="s">
        <v>699</v>
      </c>
      <c r="E39" s="31" t="s">
        <v>704</v>
      </c>
      <c r="F39" s="31" t="s">
        <v>606</v>
      </c>
      <c r="G39" s="31" t="s">
        <v>607</v>
      </c>
      <c r="H39" s="31" t="str">
        <f t="shared" si="12"/>
        <v>Benedetto XIV</v>
      </c>
      <c r="I39" s="31" t="s">
        <v>603</v>
      </c>
      <c r="J39" s="31" t="s">
        <v>829</v>
      </c>
      <c r="K39" s="31" t="s">
        <v>694</v>
      </c>
      <c r="L39" s="31" t="str">
        <f t="shared" si="13"/>
        <v>Lettera Enciclica</v>
      </c>
      <c r="M39" s="31" t="s">
        <v>579</v>
      </c>
      <c r="N39" s="31">
        <v>38</v>
      </c>
      <c r="O39" s="31" t="s">
        <v>871</v>
      </c>
      <c r="P39" s="31" t="s">
        <v>612</v>
      </c>
      <c r="Q39" s="31" t="s">
        <v>818</v>
      </c>
      <c r="R39" s="35" t="str">
        <f t="shared" si="2"/>
        <v>01</v>
      </c>
      <c r="S39" s="35" t="str">
        <f>IF(ISERROR(DAY(Q39)),TEXT(MATCH(TRIM(SUBSTITUTE(SUBSTITUTE(SUBSTITUTE(SUBSTITUTE(SUBSTITUTE(SUBSTITUTE(SUBSTITUTE(SUBSTITUTE(SUBSTITUTE(SUBSTITUTE(SUBSTITUTE(Q39,1,""),2,""),3,""),4,""),5,""),6,""),7,""),8,""),9,""),0,""),"-","")),{"gennaio","febbraio","marzo","aprile","maggio","giugno","luglio","agosto","settembre","ottobre","novembre","dicembre"},0),"00"),TEXT(MONTH(Q39)*29,"mm"))</f>
        <v>08</v>
      </c>
      <c r="T39" s="35">
        <f t="shared" si="3"/>
        <v>1754</v>
      </c>
      <c r="U39" s="31"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36"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31"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31">
        <v>37</v>
      </c>
      <c r="Y39" s="31" t="str">
        <f t="shared" si="4"/>
        <v>['Benedetto XIV', 'Enciclica', 'Quod Provinciale', 'bxiv-enc-qup', '01 agosto 1754', '01/08/1754', '1754/08/01'],</v>
      </c>
      <c r="Z39" s="31" t="str">
        <f t="shared" si="5"/>
        <v>Quod Provinciale (1 agosto 1754) | Benedetto XIV</v>
      </c>
      <c r="AA39" s="31" t="str">
        <f t="shared" si="6"/>
        <v>Enciclica Quod Provinciale</v>
      </c>
      <c r="AB39" s="31" t="str">
        <f t="shared" si="7"/>
        <v>Enciclica Quod Provinciale</v>
      </c>
      <c r="AC39" s="31" t="str">
        <f t="shared" si="8"/>
        <v>Benedetto XIV, Lettera Enciclica Quod Provinciale, 01 agosto 1754</v>
      </c>
      <c r="AD39" s="31" t="str">
        <f t="shared" si="9"/>
        <v>1754-08-01T08:00:00.000+02:00</v>
      </c>
      <c r="AE39" s="31" t="str">
        <f t="shared" si="10"/>
        <v>bxiv-enc-qup</v>
      </c>
      <c r="AF39" s="31" t="str">
        <f t="shared" si="11"/>
        <v>Benedetto XIV - Lettera Enciclica - Quod Provinciale</v>
      </c>
    </row>
    <row r="40" spans="2:32" s="31" customFormat="1" x14ac:dyDescent="0.2">
      <c r="B40" s="31">
        <v>247</v>
      </c>
      <c r="C40" s="34" t="s">
        <v>1597</v>
      </c>
      <c r="D40" s="31" t="s">
        <v>699</v>
      </c>
      <c r="E40" s="31" t="s">
        <v>704</v>
      </c>
      <c r="F40" s="31" t="s">
        <v>606</v>
      </c>
      <c r="G40" s="31" t="s">
        <v>607</v>
      </c>
      <c r="H40" s="31" t="str">
        <f t="shared" si="12"/>
        <v>Benedetto XIV</v>
      </c>
      <c r="I40" s="31" t="s">
        <v>603</v>
      </c>
      <c r="J40" s="31" t="s">
        <v>829</v>
      </c>
      <c r="K40" s="31" t="s">
        <v>694</v>
      </c>
      <c r="L40" s="31" t="str">
        <f t="shared" si="13"/>
        <v>Lettera Enciclica</v>
      </c>
      <c r="M40" s="31" t="s">
        <v>579</v>
      </c>
      <c r="N40" s="31">
        <v>39</v>
      </c>
      <c r="O40" s="31" t="s">
        <v>872</v>
      </c>
      <c r="P40" s="31" t="s">
        <v>637</v>
      </c>
      <c r="Q40" s="31" t="s">
        <v>819</v>
      </c>
      <c r="R40" s="35" t="str">
        <f t="shared" si="2"/>
        <v>26</v>
      </c>
      <c r="S40" s="35" t="str">
        <f>IF(ISERROR(DAY(Q40)),TEXT(MATCH(TRIM(SUBSTITUTE(SUBSTITUTE(SUBSTITUTE(SUBSTITUTE(SUBSTITUTE(SUBSTITUTE(SUBSTITUTE(SUBSTITUTE(SUBSTITUTE(SUBSTITUTE(SUBSTITUTE(Q40,1,""),2,""),3,""),4,""),5,""),6,""),7,""),8,""),9,""),0,""),"-","")),{"gennaio","febbraio","marzo","aprile","maggio","giugno","luglio","agosto","settembre","ottobre","novembre","dicembre"},0),"00"),TEXT(MONTH(Q40)*29,"mm"))</f>
        <v>07</v>
      </c>
      <c r="T40" s="35">
        <f t="shared" si="3"/>
        <v>1755</v>
      </c>
      <c r="U40" s="31"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36"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31"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31">
        <v>38</v>
      </c>
      <c r="Y40" s="31" t="str">
        <f t="shared" si="4"/>
        <v>['Benedetto XIV', 'Enciclica', 'Allatae Sunt', 'bxiv-enc-als', '26 luglio 1755', '26/07/1755', '1755/07/26'],</v>
      </c>
      <c r="Z40" s="31" t="str">
        <f t="shared" si="5"/>
        <v>Allatae Sunt (26 luglio 1755) | Benedetto XIV</v>
      </c>
      <c r="AA40" s="31" t="str">
        <f t="shared" si="6"/>
        <v>Enciclica Allatae Sunt</v>
      </c>
      <c r="AB40" s="31" t="str">
        <f t="shared" si="7"/>
        <v>Enciclica Allatae Sunt</v>
      </c>
      <c r="AC40" s="31" t="str">
        <f t="shared" si="8"/>
        <v>Benedetto XIV, Lettera Enciclica Allatae Sunt, 26 luglio 1755</v>
      </c>
      <c r="AD40" s="31" t="str">
        <f t="shared" si="9"/>
        <v>1755-07-26T08:00:00.000+02:00</v>
      </c>
      <c r="AE40" s="31" t="str">
        <f t="shared" si="10"/>
        <v>bxiv-enc-als</v>
      </c>
      <c r="AF40" s="31" t="str">
        <f t="shared" si="11"/>
        <v>Benedetto XIV - Lettera Enciclica - Allatae Sunt</v>
      </c>
    </row>
    <row r="41" spans="2:32" s="31" customFormat="1" x14ac:dyDescent="0.2">
      <c r="B41" s="31">
        <v>247</v>
      </c>
      <c r="C41" s="34" t="s">
        <v>1598</v>
      </c>
      <c r="D41" s="31" t="s">
        <v>699</v>
      </c>
      <c r="E41" s="31" t="s">
        <v>704</v>
      </c>
      <c r="F41" s="31" t="s">
        <v>606</v>
      </c>
      <c r="G41" s="31" t="s">
        <v>607</v>
      </c>
      <c r="H41" s="31" t="str">
        <f t="shared" si="12"/>
        <v>Benedetto XIV</v>
      </c>
      <c r="K41" s="31" t="s">
        <v>825</v>
      </c>
      <c r="L41" s="31" t="str">
        <f t="shared" si="13"/>
        <v>Breve</v>
      </c>
      <c r="M41" s="31" t="s">
        <v>577</v>
      </c>
      <c r="N41" s="31">
        <v>40</v>
      </c>
      <c r="O41" s="31" t="s">
        <v>873</v>
      </c>
      <c r="P41" s="31" t="s">
        <v>1288</v>
      </c>
      <c r="Q41" s="31" t="s">
        <v>820</v>
      </c>
      <c r="R41" s="35" t="str">
        <f t="shared" si="2"/>
        <v>08</v>
      </c>
      <c r="S41" s="35" t="str">
        <f>IF(ISERROR(DAY(Q41)),TEXT(MATCH(TRIM(SUBSTITUTE(SUBSTITUTE(SUBSTITUTE(SUBSTITUTE(SUBSTITUTE(SUBSTITUTE(SUBSTITUTE(SUBSTITUTE(SUBSTITUTE(SUBSTITUTE(SUBSTITUTE(Q41,1,""),2,""),3,""),4,""),5,""),6,""),7,""),8,""),9,""),0,""),"-","")),{"gennaio","febbraio","marzo","aprile","maggio","giugno","luglio","agosto","settembre","ottobre","novembre","dicembre"},0),"00"),TEXT(MONTH(Q41)*29,"mm"))</f>
        <v>08</v>
      </c>
      <c r="T41" s="35">
        <f t="shared" si="3"/>
        <v>1755</v>
      </c>
      <c r="U41" s="31"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6"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31"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31">
        <v>39</v>
      </c>
      <c r="Y41" s="31" t="str">
        <f t="shared" si="4"/>
        <v>['Benedetto XIV', 'Breve', 'Quam Ex Sublimi', 'bxiv-bre-qes', '08 agosto 1755', '08/08/1755', '1755/08/08'],</v>
      </c>
      <c r="Z41" s="31" t="str">
        <f t="shared" si="5"/>
        <v>Quam Ex Sublimi (8 agosto 1755) | Benedetto XIV</v>
      </c>
      <c r="AA41" s="31" t="str">
        <f t="shared" si="6"/>
        <v>Breve Quam Ex Sublimi</v>
      </c>
      <c r="AB41" s="31" t="str">
        <f t="shared" si="7"/>
        <v>Breve Quam Ex Sublimi</v>
      </c>
      <c r="AC41" s="31" t="str">
        <f t="shared" si="8"/>
        <v>Benedetto XIV, Breve Quam Ex Sublimi, 08 agosto 1755</v>
      </c>
      <c r="AD41" s="31" t="str">
        <f t="shared" si="9"/>
        <v>1755-08-08T08:00:00.000+02:00</v>
      </c>
      <c r="AE41" s="31" t="str">
        <f t="shared" si="10"/>
        <v>bxiv-bre-qes</v>
      </c>
      <c r="AF41" s="31" t="str">
        <f t="shared" si="11"/>
        <v>Benedetto XIV - Breve - Quam Ex Sublimi</v>
      </c>
    </row>
    <row r="42" spans="2:32" s="31" customFormat="1" x14ac:dyDescent="0.2">
      <c r="B42" s="31">
        <v>247</v>
      </c>
      <c r="C42" s="34" t="s">
        <v>1599</v>
      </c>
      <c r="D42" s="31" t="s">
        <v>699</v>
      </c>
      <c r="E42" s="31" t="s">
        <v>704</v>
      </c>
      <c r="F42" s="31" t="s">
        <v>606</v>
      </c>
      <c r="G42" s="31" t="s">
        <v>607</v>
      </c>
      <c r="H42" s="31" t="str">
        <f t="shared" si="12"/>
        <v>Benedetto XIV</v>
      </c>
      <c r="I42" s="31" t="s">
        <v>603</v>
      </c>
      <c r="J42" s="31" t="s">
        <v>829</v>
      </c>
      <c r="K42" s="31" t="s">
        <v>694</v>
      </c>
      <c r="L42" s="31" t="str">
        <f t="shared" si="13"/>
        <v>Lettera Enciclica</v>
      </c>
      <c r="M42" s="31" t="s">
        <v>579</v>
      </c>
      <c r="N42" s="31">
        <v>41</v>
      </c>
      <c r="O42" s="31" t="s">
        <v>874</v>
      </c>
      <c r="P42" s="31" t="s">
        <v>638</v>
      </c>
      <c r="Q42" s="31" t="s">
        <v>821</v>
      </c>
      <c r="R42" s="35" t="str">
        <f t="shared" si="2"/>
        <v>01</v>
      </c>
      <c r="S42" s="35" t="str">
        <f>IF(ISERROR(DAY(Q42)),TEXT(MATCH(TRIM(SUBSTITUTE(SUBSTITUTE(SUBSTITUTE(SUBSTITUTE(SUBSTITUTE(SUBSTITUTE(SUBSTITUTE(SUBSTITUTE(SUBSTITUTE(SUBSTITUTE(SUBSTITUTE(Q42,1,""),2,""),3,""),4,""),5,""),6,""),7,""),8,""),9,""),0,""),"-","")),{"gennaio","febbraio","marzo","aprile","maggio","giugno","luglio","agosto","settembre","ottobre","novembre","dicembre"},0),"00"),TEXT(MONTH(Q42)*29,"mm"))</f>
        <v>03</v>
      </c>
      <c r="T42" s="35">
        <f t="shared" si="3"/>
        <v>1756</v>
      </c>
      <c r="U42" s="31"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6"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31"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31">
        <v>40</v>
      </c>
      <c r="Y42" s="31" t="str">
        <f t="shared" si="4"/>
        <v>['Benedetto XIV', 'Enciclica', 'Ex Quo Primum', 'bxiv-enc-eqp', '01 marzo 1756', '01/03/1756', '1756/03/01'],</v>
      </c>
      <c r="Z42" s="31" t="str">
        <f t="shared" si="5"/>
        <v>Ex Quo Primum (1 marzo 1756) | Benedetto XIV</v>
      </c>
      <c r="AA42" s="31" t="str">
        <f t="shared" si="6"/>
        <v>Enciclica Ex Quo Primum</v>
      </c>
      <c r="AB42" s="31" t="str">
        <f t="shared" si="7"/>
        <v>Enciclica Ex Quo Primum</v>
      </c>
      <c r="AC42" s="31" t="str">
        <f t="shared" si="8"/>
        <v>Benedetto XIV, Lettera Enciclica Ex Quo Primum, 01 marzo 1756</v>
      </c>
      <c r="AD42" s="31" t="str">
        <f t="shared" si="9"/>
        <v>1756-03-01T08:00:00.000+02:00</v>
      </c>
      <c r="AE42" s="31" t="str">
        <f t="shared" si="10"/>
        <v>bxiv-enc-eqp</v>
      </c>
      <c r="AF42" s="31" t="str">
        <f t="shared" si="11"/>
        <v>Benedetto XIV - Lettera Enciclica - Ex Quo Primum</v>
      </c>
    </row>
    <row r="43" spans="2:32" s="31" customFormat="1" x14ac:dyDescent="0.2">
      <c r="B43" s="31">
        <v>247</v>
      </c>
      <c r="C43" s="34" t="s">
        <v>1600</v>
      </c>
      <c r="D43" s="31" t="s">
        <v>699</v>
      </c>
      <c r="E43" s="31" t="s">
        <v>704</v>
      </c>
      <c r="F43" s="31" t="s">
        <v>606</v>
      </c>
      <c r="G43" s="31" t="s">
        <v>607</v>
      </c>
      <c r="H43" s="31" t="str">
        <f t="shared" si="12"/>
        <v>Benedetto XIV</v>
      </c>
      <c r="I43" s="31" t="s">
        <v>603</v>
      </c>
      <c r="J43" s="31" t="s">
        <v>829</v>
      </c>
      <c r="K43" s="31" t="s">
        <v>694</v>
      </c>
      <c r="L43" s="31" t="str">
        <f t="shared" si="13"/>
        <v>Lettera Enciclica</v>
      </c>
      <c r="M43" s="31" t="s">
        <v>579</v>
      </c>
      <c r="N43" s="31">
        <v>42</v>
      </c>
      <c r="O43" s="31" t="s">
        <v>875</v>
      </c>
      <c r="P43" s="31" t="s">
        <v>639</v>
      </c>
      <c r="Q43" s="31" t="s">
        <v>822</v>
      </c>
      <c r="R43" s="35" t="str">
        <f t="shared" si="2"/>
        <v>16</v>
      </c>
      <c r="S43" s="35" t="str">
        <f>IF(ISERROR(DAY(Q43)),TEXT(MATCH(TRIM(SUBSTITUTE(SUBSTITUTE(SUBSTITUTE(SUBSTITUTE(SUBSTITUTE(SUBSTITUTE(SUBSTITUTE(SUBSTITUTE(SUBSTITUTE(SUBSTITUTE(SUBSTITUTE(Q43,1,""),2,""),3,""),4,""),5,""),6,""),7,""),8,""),9,""),0,""),"-","")),{"gennaio","febbraio","marzo","aprile","maggio","giugno","luglio","agosto","settembre","ottobre","novembre","dicembre"},0),"00"),TEXT(MONTH(Q43)*29,"mm"))</f>
        <v>10</v>
      </c>
      <c r="T43" s="35">
        <f t="shared" si="3"/>
        <v>1756</v>
      </c>
      <c r="U43" s="31"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36"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31"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31">
        <v>41</v>
      </c>
      <c r="Y43" s="31" t="str">
        <f t="shared" si="4"/>
        <v>['Benedetto XIV', 'Enciclica', 'Ex Omnibus Christiani', 'bxiv-enc-eoc', '16 ottobre 1756', '16/10/1756', '1756/10/16'],</v>
      </c>
      <c r="Z43" s="31" t="str">
        <f t="shared" si="5"/>
        <v>Ex Omnibus Christiani (16 ottobre 1756) | Benedetto XIV</v>
      </c>
      <c r="AA43" s="31" t="str">
        <f t="shared" si="6"/>
        <v>Enciclica Ex Omnibus Christiani</v>
      </c>
      <c r="AB43" s="31" t="str">
        <f t="shared" si="7"/>
        <v>Enciclica Ex Omnibus Christiani</v>
      </c>
      <c r="AC43" s="31" t="str">
        <f t="shared" si="8"/>
        <v>Benedetto XIV, Lettera Enciclica Ex Omnibus Christiani, 16 ottobre 1756</v>
      </c>
      <c r="AD43" s="31" t="str">
        <f t="shared" si="9"/>
        <v>1756-10-16T08:00:00.000+02:00</v>
      </c>
      <c r="AE43" s="31" t="str">
        <f t="shared" si="10"/>
        <v>bxiv-enc-eoc</v>
      </c>
      <c r="AF43" s="31" t="str">
        <f t="shared" si="11"/>
        <v>Benedetto XIV - Lettera Enciclica - Ex Omnibus Christiani</v>
      </c>
    </row>
    <row r="44" spans="2:32" s="31" customFormat="1" x14ac:dyDescent="0.2">
      <c r="B44" s="31">
        <v>247</v>
      </c>
      <c r="C44" s="34" t="s">
        <v>1601</v>
      </c>
      <c r="D44" s="31" t="s">
        <v>699</v>
      </c>
      <c r="E44" s="31" t="s">
        <v>704</v>
      </c>
      <c r="F44" s="31" t="s">
        <v>606</v>
      </c>
      <c r="G44" s="31" t="s">
        <v>607</v>
      </c>
      <c r="H44" s="31" t="str">
        <f t="shared" si="12"/>
        <v>Benedetto XIV</v>
      </c>
      <c r="I44" s="31" t="s">
        <v>603</v>
      </c>
      <c r="J44" s="31" t="s">
        <v>829</v>
      </c>
      <c r="K44" s="31" t="s">
        <v>694</v>
      </c>
      <c r="L44" s="31" t="str">
        <f t="shared" si="13"/>
        <v>Lettera Enciclica</v>
      </c>
      <c r="M44" s="31" t="s">
        <v>579</v>
      </c>
      <c r="N44" s="31">
        <v>43</v>
      </c>
      <c r="O44" s="31" t="s">
        <v>876</v>
      </c>
      <c r="P44" s="31" t="s">
        <v>640</v>
      </c>
      <c r="Q44" s="31" t="s">
        <v>823</v>
      </c>
      <c r="R44" s="35" t="str">
        <f t="shared" si="2"/>
        <v>02</v>
      </c>
      <c r="S44" s="35" t="str">
        <f>IF(ISERROR(DAY(Q44)),TEXT(MATCH(TRIM(SUBSTITUTE(SUBSTITUTE(SUBSTITUTE(SUBSTITUTE(SUBSTITUTE(SUBSTITUTE(SUBSTITUTE(SUBSTITUTE(SUBSTITUTE(SUBSTITUTE(SUBSTITUTE(Q44,1,""),2,""),3,""),4,""),5,""),6,""),7,""),8,""),9,""),0,""),"-","")),{"gennaio","febbraio","marzo","aprile","maggio","giugno","luglio","agosto","settembre","ottobre","novembre","dicembre"},0),"00"),TEXT(MONTH(Q44)*29,"mm"))</f>
        <v>08</v>
      </c>
      <c r="T44" s="35">
        <f t="shared" si="3"/>
        <v>1757</v>
      </c>
      <c r="U44" s="31"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36"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31"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31">
        <v>42</v>
      </c>
      <c r="Y44" s="31" t="str">
        <f t="shared" si="4"/>
        <v>['Benedetto XIV', 'Enciclica', 'Quam Grave', 'bxiv-enc-qug', '02 agosto 1757', '02/08/1757', '1757/08/02'],</v>
      </c>
      <c r="Z44" s="31" t="str">
        <f t="shared" si="5"/>
        <v>Quam Grave (2 agosto 1757) | Benedetto XIV</v>
      </c>
      <c r="AA44" s="31" t="str">
        <f t="shared" si="6"/>
        <v>Enciclica Quam Grave</v>
      </c>
      <c r="AB44" s="31" t="str">
        <f t="shared" si="7"/>
        <v>Enciclica Quam Grave</v>
      </c>
      <c r="AC44" s="31" t="str">
        <f t="shared" si="8"/>
        <v>Benedetto XIV, Lettera Enciclica Quam Grave, 02 agosto 1757</v>
      </c>
      <c r="AD44" s="31" t="str">
        <f t="shared" si="9"/>
        <v>1757-08-02T08:00:00.000+02:00</v>
      </c>
      <c r="AE44" s="31" t="str">
        <f t="shared" si="10"/>
        <v>bxiv-enc-qug</v>
      </c>
      <c r="AF44" s="31" t="str">
        <f t="shared" si="11"/>
        <v>Benedetto XIV - Lettera Enciclica - Quam Grave</v>
      </c>
    </row>
    <row r="45" spans="2:32" s="31" customFormat="1" ht="15" x14ac:dyDescent="0.25">
      <c r="B45" s="31">
        <v>248</v>
      </c>
      <c r="C45" s="46" t="s">
        <v>1520</v>
      </c>
      <c r="D45" s="31" t="s">
        <v>708</v>
      </c>
      <c r="E45" s="31" t="s">
        <v>707</v>
      </c>
      <c r="F45" s="31" t="s">
        <v>681</v>
      </c>
      <c r="G45" s="31" t="s">
        <v>680</v>
      </c>
      <c r="H45" s="31" t="str">
        <f t="shared" si="12"/>
        <v>Clemente XIII</v>
      </c>
      <c r="K45" s="31" t="s">
        <v>825</v>
      </c>
      <c r="L45" s="31" t="str">
        <f t="shared" si="13"/>
        <v>Breve</v>
      </c>
      <c r="M45" s="31" t="s">
        <v>577</v>
      </c>
      <c r="O45" s="31" t="s">
        <v>1285</v>
      </c>
      <c r="P45" s="31" t="s">
        <v>575</v>
      </c>
      <c r="Q45" s="31" t="s">
        <v>1286</v>
      </c>
      <c r="R45" s="35" t="str">
        <f t="shared" si="2"/>
        <v>11</v>
      </c>
      <c r="S45" s="35" t="str">
        <f>IF(ISERROR(DAY(Q45)),TEXT(MATCH(TRIM(SUBSTITUTE(SUBSTITUTE(SUBSTITUTE(SUBSTITUTE(SUBSTITUTE(SUBSTITUTE(SUBSTITUTE(SUBSTITUTE(SUBSTITUTE(SUBSTITUTE(SUBSTITUTE(Q45,1,""),2,""),3,""),4,""),5,""),6,""),7,""),8,""),9,""),0,""),"-","")),{"gennaio","febbraio","marzo","aprile","maggio","giugno","luglio","agosto","settembre","ottobre","novembre","dicembre"},0),"00"),TEXT(MONTH(Q45)*29,"mm"))</f>
        <v>09</v>
      </c>
      <c r="T45" s="35">
        <f t="shared" si="3"/>
        <v>1758</v>
      </c>
      <c r="U45" s="31"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6"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31"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31">
        <v>43</v>
      </c>
      <c r="Y45" s="31" t="str">
        <f t="shared" si="4"/>
        <v>['Clemente XIII', 'Breve', 'Venimus in altitudinem', 'clxiii-bre-via', '11 settembre 1758', '11/09/1758', '1758/09/11'],</v>
      </c>
      <c r="Z45" s="31" t="str">
        <f t="shared" si="5"/>
        <v>Venimus in altitudinem (11 settembre 1758) | Clemente XIII</v>
      </c>
      <c r="AA45" s="31" t="str">
        <f t="shared" si="6"/>
        <v>Breve Venimus in altitudinem</v>
      </c>
      <c r="AB45" s="31" t="str">
        <f t="shared" si="7"/>
        <v>Breve Venimus in altitudinem</v>
      </c>
      <c r="AC45" s="31" t="str">
        <f t="shared" si="8"/>
        <v>Clemente XIII, Breve Venimus in altitudinem, 11 settembre 1758</v>
      </c>
      <c r="AD45" s="31" t="str">
        <f t="shared" si="9"/>
        <v>1758-09-11T08:00:00.000+02:00</v>
      </c>
      <c r="AE45" s="31" t="str">
        <f t="shared" si="10"/>
        <v>clxiii-bre-via</v>
      </c>
      <c r="AF45" s="31" t="str">
        <f t="shared" si="11"/>
        <v>Clemente XIII - Breve - Venimus in altitudinem</v>
      </c>
    </row>
    <row r="46" spans="2:32" s="31" customFormat="1" x14ac:dyDescent="0.2">
      <c r="B46" s="31">
        <v>248</v>
      </c>
      <c r="C46" s="34" t="s">
        <v>1521</v>
      </c>
      <c r="D46" s="31" t="s">
        <v>708</v>
      </c>
      <c r="E46" s="31" t="s">
        <v>707</v>
      </c>
      <c r="F46" s="31" t="s">
        <v>681</v>
      </c>
      <c r="G46" s="31" t="s">
        <v>680</v>
      </c>
      <c r="H46" s="31" t="str">
        <f t="shared" si="12"/>
        <v>Clemente XIII</v>
      </c>
      <c r="I46" s="31" t="s">
        <v>603</v>
      </c>
      <c r="J46" s="31" t="s">
        <v>829</v>
      </c>
      <c r="K46" s="31" t="s">
        <v>694</v>
      </c>
      <c r="L46" s="31" t="str">
        <f t="shared" si="13"/>
        <v>Lettera Enciclica</v>
      </c>
      <c r="M46" s="31" t="s">
        <v>579</v>
      </c>
      <c r="O46" s="31" t="s">
        <v>333</v>
      </c>
      <c r="P46" s="31" t="s">
        <v>954</v>
      </c>
      <c r="Q46" s="31" t="s">
        <v>1284</v>
      </c>
      <c r="R46" s="35" t="str">
        <f t="shared" si="2"/>
        <v>14</v>
      </c>
      <c r="S46" s="35" t="str">
        <f>IF(ISERROR(DAY(Q46)),TEXT(MATCH(TRIM(SUBSTITUTE(SUBSTITUTE(SUBSTITUTE(SUBSTITUTE(SUBSTITUTE(SUBSTITUTE(SUBSTITUTE(SUBSTITUTE(SUBSTITUTE(SUBSTITUTE(SUBSTITUTE(Q46,1,""),2,""),3,""),4,""),5,""),6,""),7,""),8,""),9,""),0,""),"-","")),{"gennaio","febbraio","marzo","aprile","maggio","giugno","luglio","agosto","settembre","ottobre","novembre","dicembre"},0),"00"),TEXT(MONTH(Q46)*29,"mm"))</f>
        <v>09</v>
      </c>
      <c r="T46" s="35">
        <f t="shared" si="3"/>
        <v>1758</v>
      </c>
      <c r="U46" s="31"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6"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31"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31">
        <v>44</v>
      </c>
      <c r="Y46" s="31" t="str">
        <f t="shared" si="4"/>
        <v>['Clemente XIII', 'Enciclica', 'A quo die', 'clxiii-enc-aqd', '14 settembre 1758', '14/09/1758', '1758/09/14'],</v>
      </c>
      <c r="Z46" s="31" t="str">
        <f t="shared" si="5"/>
        <v>A quo die (14 settembre 1758) | Clemente XIII</v>
      </c>
      <c r="AA46" s="31" t="str">
        <f t="shared" si="6"/>
        <v>Enciclica A quo die</v>
      </c>
      <c r="AB46" s="31" t="str">
        <f t="shared" si="7"/>
        <v>Enciclica A quo die</v>
      </c>
      <c r="AC46" s="31" t="str">
        <f t="shared" si="8"/>
        <v>Clemente XIII, Lettera Enciclica A quo die, 14 settembre 1758</v>
      </c>
      <c r="AD46" s="31" t="str">
        <f t="shared" si="9"/>
        <v>1758-09-14T08:00:00.000+02:00</v>
      </c>
      <c r="AE46" s="31" t="str">
        <f t="shared" si="10"/>
        <v>clxiii-enc-aqd</v>
      </c>
      <c r="AF46" s="31" t="str">
        <f t="shared" si="11"/>
        <v>Clemente XIII - Lettera Enciclica - A quo die</v>
      </c>
    </row>
    <row r="47" spans="2:32" s="31" customFormat="1" x14ac:dyDescent="0.2">
      <c r="B47" s="31">
        <v>248</v>
      </c>
      <c r="C47" s="34" t="s">
        <v>1522</v>
      </c>
      <c r="D47" s="31" t="s">
        <v>708</v>
      </c>
      <c r="E47" s="31" t="s">
        <v>707</v>
      </c>
      <c r="F47" s="31" t="s">
        <v>681</v>
      </c>
      <c r="G47" s="31" t="s">
        <v>680</v>
      </c>
      <c r="H47" s="31" t="str">
        <f t="shared" si="12"/>
        <v>Clemente XIII</v>
      </c>
      <c r="K47" s="31" t="s">
        <v>825</v>
      </c>
      <c r="L47" s="31" t="str">
        <f t="shared" si="13"/>
        <v>Breve</v>
      </c>
      <c r="M47" s="31" t="s">
        <v>577</v>
      </c>
      <c r="O47" s="31" t="s">
        <v>1282</v>
      </c>
      <c r="P47" s="31" t="s">
        <v>1054</v>
      </c>
      <c r="Q47" s="31" t="s">
        <v>1283</v>
      </c>
      <c r="R47" s="35" t="str">
        <f t="shared" si="2"/>
        <v>21</v>
      </c>
      <c r="S47" s="35" t="str">
        <f>IF(ISERROR(DAY(Q47)),TEXT(MATCH(TRIM(SUBSTITUTE(SUBSTITUTE(SUBSTITUTE(SUBSTITUTE(SUBSTITUTE(SUBSTITUTE(SUBSTITUTE(SUBSTITUTE(SUBSTITUTE(SUBSTITUTE(SUBSTITUTE(Q47,1,""),2,""),3,""),4,""),5,""),6,""),7,""),8,""),9,""),0,""),"-","")),{"gennaio","febbraio","marzo","aprile","maggio","giugno","luglio","agosto","settembre","ottobre","novembre","dicembre"},0),"00"),TEXT(MONTH(Q47)*29,"mm"))</f>
        <v>03</v>
      </c>
      <c r="T47" s="35">
        <f t="shared" si="3"/>
        <v>1759</v>
      </c>
      <c r="U47" s="31"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6"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31"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31">
        <v>45</v>
      </c>
      <c r="Y47" s="31" t="str">
        <f t="shared" si="4"/>
        <v>['Clemente XIII', 'Breve', 'Pastoralis officii', 'clxiii-bre-pao', '21 marzo 1759', '21/03/1759', '1759/03/21'],</v>
      </c>
      <c r="Z47" s="31" t="str">
        <f t="shared" si="5"/>
        <v>Pastoralis officii (21 marzo 1759) | Clemente XIII</v>
      </c>
      <c r="AA47" s="31" t="str">
        <f t="shared" si="6"/>
        <v>Breve Pastoralis officii</v>
      </c>
      <c r="AB47" s="31" t="str">
        <f t="shared" si="7"/>
        <v>Breve Pastoralis officii</v>
      </c>
      <c r="AC47" s="31" t="str">
        <f t="shared" si="8"/>
        <v>Clemente XIII, Breve Pastoralis officii, 21 marzo 1759</v>
      </c>
      <c r="AD47" s="31" t="str">
        <f t="shared" si="9"/>
        <v>1759-03-21T08:00:00.000+02:00</v>
      </c>
      <c r="AE47" s="31" t="str">
        <f t="shared" si="10"/>
        <v>clxiii-bre-pao</v>
      </c>
      <c r="AF47" s="31" t="str">
        <f t="shared" si="11"/>
        <v>Clemente XIII - Breve - Pastoralis officii</v>
      </c>
    </row>
    <row r="48" spans="2:32" s="31" customFormat="1" x14ac:dyDescent="0.2">
      <c r="B48" s="31">
        <v>248</v>
      </c>
      <c r="C48" s="34" t="s">
        <v>1523</v>
      </c>
      <c r="D48" s="31" t="s">
        <v>708</v>
      </c>
      <c r="E48" s="31" t="s">
        <v>707</v>
      </c>
      <c r="F48" s="31" t="s">
        <v>681</v>
      </c>
      <c r="G48" s="31" t="s">
        <v>680</v>
      </c>
      <c r="H48" s="31" t="str">
        <f t="shared" si="12"/>
        <v>Clemente XIII</v>
      </c>
      <c r="I48" s="31" t="s">
        <v>603</v>
      </c>
      <c r="J48" s="31" t="s">
        <v>829</v>
      </c>
      <c r="K48" s="31" t="s">
        <v>694</v>
      </c>
      <c r="L48" s="31" t="str">
        <f t="shared" si="13"/>
        <v>Lettera Enciclica</v>
      </c>
      <c r="M48" s="31" t="s">
        <v>579</v>
      </c>
      <c r="O48" s="31" t="s">
        <v>304</v>
      </c>
      <c r="P48" s="31" t="s">
        <v>955</v>
      </c>
      <c r="Q48" s="31" t="s">
        <v>1281</v>
      </c>
      <c r="R48" s="35" t="str">
        <f t="shared" si="2"/>
        <v>17</v>
      </c>
      <c r="S48" s="35" t="str">
        <f>IF(ISERROR(DAY(Q48)),TEXT(MATCH(TRIM(SUBSTITUTE(SUBSTITUTE(SUBSTITUTE(SUBSTITUTE(SUBSTITUTE(SUBSTITUTE(SUBSTITUTE(SUBSTITUTE(SUBSTITUTE(SUBSTITUTE(SUBSTITUTE(Q48,1,""),2,""),3,""),4,""),5,""),6,""),7,""),8,""),9,""),0,""),"-","")),{"gennaio","febbraio","marzo","aprile","maggio","giugno","luglio","agosto","settembre","ottobre","novembre","dicembre"},0),"00"),TEXT(MONTH(Q48)*29,"mm"))</f>
        <v>09</v>
      </c>
      <c r="T48" s="35">
        <f t="shared" si="3"/>
        <v>1759</v>
      </c>
      <c r="U48" s="31"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6"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31"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31">
        <v>46</v>
      </c>
      <c r="Y48" s="31" t="str">
        <f t="shared" si="4"/>
        <v>['Clemente XIII', 'Enciclica', 'Cum primum', 'clxiii-enc-cup', '17 settembre 1759', '17/09/1759', '1759/09/17'],</v>
      </c>
      <c r="Z48" s="31" t="str">
        <f t="shared" si="5"/>
        <v>Cum primum (17 settembre 1759) | Clemente XIII</v>
      </c>
      <c r="AA48" s="31" t="str">
        <f t="shared" si="6"/>
        <v>Enciclica Cum primum</v>
      </c>
      <c r="AB48" s="31" t="str">
        <f t="shared" si="7"/>
        <v>Enciclica Cum primum</v>
      </c>
      <c r="AC48" s="31" t="str">
        <f t="shared" si="8"/>
        <v>Clemente XIII, Lettera Enciclica Cum primum, 17 settembre 1759</v>
      </c>
      <c r="AD48" s="31" t="str">
        <f t="shared" si="9"/>
        <v>1759-09-17T08:00:00.000+02:00</v>
      </c>
      <c r="AE48" s="31" t="str">
        <f t="shared" si="10"/>
        <v>clxiii-enc-cup</v>
      </c>
      <c r="AF48" s="31" t="str">
        <f t="shared" si="11"/>
        <v>Clemente XIII - Lettera Enciclica - Cum primum</v>
      </c>
    </row>
    <row r="49" spans="2:32" s="31" customFormat="1" x14ac:dyDescent="0.2">
      <c r="B49" s="31">
        <v>248</v>
      </c>
      <c r="C49" s="34" t="s">
        <v>1524</v>
      </c>
      <c r="D49" s="31" t="s">
        <v>708</v>
      </c>
      <c r="E49" s="31" t="s">
        <v>707</v>
      </c>
      <c r="F49" s="31" t="s">
        <v>681</v>
      </c>
      <c r="G49" s="31" t="s">
        <v>680</v>
      </c>
      <c r="H49" s="31" t="str">
        <f t="shared" si="12"/>
        <v>Clemente XIII</v>
      </c>
      <c r="I49" s="31" t="s">
        <v>603</v>
      </c>
      <c r="J49" s="31" t="s">
        <v>829</v>
      </c>
      <c r="K49" s="31" t="s">
        <v>694</v>
      </c>
      <c r="L49" s="31" t="str">
        <f t="shared" si="13"/>
        <v>Lettera Enciclica</v>
      </c>
      <c r="M49" s="31" t="s">
        <v>579</v>
      </c>
      <c r="O49" s="31" t="s">
        <v>334</v>
      </c>
      <c r="P49" s="31" t="s">
        <v>956</v>
      </c>
      <c r="Q49" s="31" t="s">
        <v>1280</v>
      </c>
      <c r="R49" s="35" t="str">
        <f t="shared" si="2"/>
        <v>20</v>
      </c>
      <c r="S49" s="35" t="str">
        <f>IF(ISERROR(DAY(Q49)),TEXT(MATCH(TRIM(SUBSTITUTE(SUBSTITUTE(SUBSTITUTE(SUBSTITUTE(SUBSTITUTE(SUBSTITUTE(SUBSTITUTE(SUBSTITUTE(SUBSTITUTE(SUBSTITUTE(SUBSTITUTE(Q49,1,""),2,""),3,""),4,""),5,""),6,""),7,""),8,""),9,""),0,""),"-","")),{"gennaio","febbraio","marzo","aprile","maggio","giugno","luglio","agosto","settembre","ottobre","novembre","dicembre"},0),"00"),TEXT(MONTH(Q49)*29,"mm"))</f>
        <v>12</v>
      </c>
      <c r="T49" s="35">
        <f t="shared" si="3"/>
        <v>1759</v>
      </c>
      <c r="U49" s="31"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6"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31"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31">
        <v>47</v>
      </c>
      <c r="Y49" s="31" t="str">
        <f t="shared" si="4"/>
        <v>['Clemente XIII', 'Enciclica', 'Appetente sacro', 'clxiii-enc-aps', '20 dicembre 1759', '20/12/1759', '1759/12/20'],</v>
      </c>
      <c r="Z49" s="31" t="str">
        <f t="shared" si="5"/>
        <v>Appetente sacro (20 dicembre 1759) | Clemente XIII</v>
      </c>
      <c r="AA49" s="31" t="str">
        <f t="shared" si="6"/>
        <v>Enciclica Appetente sacro</v>
      </c>
      <c r="AB49" s="31" t="str">
        <f t="shared" si="7"/>
        <v>Enciclica Appetente sacro</v>
      </c>
      <c r="AC49" s="31" t="str">
        <f t="shared" si="8"/>
        <v>Clemente XIII, Lettera Enciclica Appetente sacro, 20 dicembre 1759</v>
      </c>
      <c r="AD49" s="31" t="str">
        <f t="shared" si="9"/>
        <v>1759-12-20T08:00:00.000+02:00</v>
      </c>
      <c r="AE49" s="31" t="str">
        <f t="shared" si="10"/>
        <v>clxiii-enc-aps</v>
      </c>
      <c r="AF49" s="31" t="str">
        <f t="shared" si="11"/>
        <v>Clemente XIII - Lettera Enciclica - Appetente sacro</v>
      </c>
    </row>
    <row r="50" spans="2:32" s="31" customFormat="1" x14ac:dyDescent="0.2">
      <c r="B50" s="31">
        <v>248</v>
      </c>
      <c r="C50" s="34" t="s">
        <v>1525</v>
      </c>
      <c r="D50" s="31" t="s">
        <v>708</v>
      </c>
      <c r="E50" s="31" t="s">
        <v>707</v>
      </c>
      <c r="F50" s="31" t="s">
        <v>681</v>
      </c>
      <c r="G50" s="31" t="s">
        <v>680</v>
      </c>
      <c r="H50" s="31" t="str">
        <f t="shared" si="12"/>
        <v>Clemente XIII</v>
      </c>
      <c r="I50" s="31" t="s">
        <v>603</v>
      </c>
      <c r="J50" s="31" t="s">
        <v>829</v>
      </c>
      <c r="K50" s="31" t="s">
        <v>694</v>
      </c>
      <c r="L50" s="31" t="str">
        <f t="shared" si="13"/>
        <v>Lettera Enciclica</v>
      </c>
      <c r="M50" s="31" t="s">
        <v>579</v>
      </c>
      <c r="O50" s="31" t="s">
        <v>335</v>
      </c>
      <c r="P50" s="31" t="s">
        <v>957</v>
      </c>
      <c r="Q50" s="31" t="s">
        <v>1279</v>
      </c>
      <c r="R50" s="35" t="str">
        <f t="shared" si="2"/>
        <v>14</v>
      </c>
      <c r="S50" s="35" t="str">
        <f>IF(ISERROR(DAY(Q50)),TEXT(MATCH(TRIM(SUBSTITUTE(SUBSTITUTE(SUBSTITUTE(SUBSTITUTE(SUBSTITUTE(SUBSTITUTE(SUBSTITUTE(SUBSTITUTE(SUBSTITUTE(SUBSTITUTE(SUBSTITUTE(Q50,1,""),2,""),3,""),4,""),5,""),6,""),7,""),8,""),9,""),0,""),"-","")),{"gennaio","febbraio","marzo","aprile","maggio","giugno","luglio","agosto","settembre","ottobre","novembre","dicembre"},0),"00"),TEXT(MONTH(Q50)*29,"mm"))</f>
        <v>06</v>
      </c>
      <c r="T50" s="35">
        <f t="shared" si="3"/>
        <v>1761</v>
      </c>
      <c r="U50" s="31"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6"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31"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31">
        <v>48</v>
      </c>
      <c r="Y50" s="31" t="str">
        <f t="shared" si="4"/>
        <v>['Clemente XIII', 'Enciclica', 'In dominico agro', 'clxiii-enc-ida', '14 giugno 1761', '14/06/1761', '1761/06/14'],</v>
      </c>
      <c r="Z50" s="31" t="str">
        <f t="shared" si="5"/>
        <v>In dominico agro (14 giugno 1761) | Clemente XIII</v>
      </c>
      <c r="AA50" s="31" t="str">
        <f t="shared" si="6"/>
        <v>Enciclica In dominico agro</v>
      </c>
      <c r="AB50" s="31" t="str">
        <f t="shared" si="7"/>
        <v>Enciclica In dominico agro</v>
      </c>
      <c r="AC50" s="31" t="str">
        <f t="shared" si="8"/>
        <v>Clemente XIII, Lettera Enciclica In dominico agro, 14 giugno 1761</v>
      </c>
      <c r="AD50" s="31" t="str">
        <f t="shared" si="9"/>
        <v>1761-06-14T08:00:00.000+02:00</v>
      </c>
      <c r="AE50" s="31" t="str">
        <f t="shared" si="10"/>
        <v>clxiii-enc-ida</v>
      </c>
      <c r="AF50" s="31" t="str">
        <f t="shared" si="11"/>
        <v>Clemente XIII - Lettera Enciclica - In dominico agro</v>
      </c>
    </row>
    <row r="51" spans="2:32" s="31" customFormat="1" x14ac:dyDescent="0.2">
      <c r="B51" s="31">
        <v>248</v>
      </c>
      <c r="C51" s="34" t="s">
        <v>1526</v>
      </c>
      <c r="D51" s="31" t="s">
        <v>708</v>
      </c>
      <c r="E51" s="31" t="s">
        <v>707</v>
      </c>
      <c r="F51" s="31" t="s">
        <v>681</v>
      </c>
      <c r="G51" s="31" t="s">
        <v>680</v>
      </c>
      <c r="H51" s="31" t="str">
        <f t="shared" si="12"/>
        <v>Clemente XIII</v>
      </c>
      <c r="K51" s="31" t="s">
        <v>825</v>
      </c>
      <c r="L51" s="31" t="str">
        <f t="shared" si="13"/>
        <v>Breve</v>
      </c>
      <c r="M51" s="31" t="s">
        <v>577</v>
      </c>
      <c r="O51" s="31" t="s">
        <v>1277</v>
      </c>
      <c r="P51" s="31" t="s">
        <v>643</v>
      </c>
      <c r="Q51" s="31" t="s">
        <v>1278</v>
      </c>
      <c r="R51" s="35" t="str">
        <f t="shared" si="2"/>
        <v>09</v>
      </c>
      <c r="S51" s="35" t="str">
        <f>IF(ISERROR(DAY(Q51)),TEXT(MATCH(TRIM(SUBSTITUTE(SUBSTITUTE(SUBSTITUTE(SUBSTITUTE(SUBSTITUTE(SUBSTITUTE(SUBSTITUTE(SUBSTITUTE(SUBSTITUTE(SUBSTITUTE(SUBSTITUTE(Q51,1,""),2,""),3,""),4,""),5,""),6,""),7,""),8,""),9,""),0,""),"-","")),{"gennaio","febbraio","marzo","aprile","maggio","giugno","luglio","agosto","settembre","ottobre","novembre","dicembre"},0),"00"),TEXT(MONTH(Q51)*29,"mm"))</f>
        <v>06</v>
      </c>
      <c r="T51" s="35">
        <f t="shared" si="3"/>
        <v>1762</v>
      </c>
      <c r="U51" s="31"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6"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31"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31">
        <v>49</v>
      </c>
      <c r="Y51" s="31" t="str">
        <f t="shared" si="4"/>
        <v>['Clemente XIII', 'Breve', 'Quanto in dolore', 'clxiii-bre-qid', '09 giugno 1762', '09/06/1762', '1762/06/09'],</v>
      </c>
      <c r="Z51" s="31" t="str">
        <f t="shared" si="5"/>
        <v>Quanto in dolore (9 giugno 1762) | Clemente XIII</v>
      </c>
      <c r="AA51" s="31" t="str">
        <f t="shared" si="6"/>
        <v>Breve Quanto in dolore</v>
      </c>
      <c r="AB51" s="31" t="str">
        <f t="shared" si="7"/>
        <v>Breve Quanto in dolore</v>
      </c>
      <c r="AC51" s="31" t="str">
        <f t="shared" si="8"/>
        <v>Clemente XIII, Breve Quanto in dolore, 09 giugno 1762</v>
      </c>
      <c r="AD51" s="31" t="str">
        <f t="shared" si="9"/>
        <v>1762-06-09T08:00:00.000+02:00</v>
      </c>
      <c r="AE51" s="31" t="str">
        <f t="shared" si="10"/>
        <v>clxiii-bre-qid</v>
      </c>
      <c r="AF51" s="31" t="str">
        <f t="shared" si="11"/>
        <v>Clemente XIII - Breve - Quanto in dolore</v>
      </c>
    </row>
    <row r="52" spans="2:32" s="31" customFormat="1" x14ac:dyDescent="0.2">
      <c r="B52" s="31">
        <v>248</v>
      </c>
      <c r="C52" s="34" t="s">
        <v>1527</v>
      </c>
      <c r="D52" s="31" t="s">
        <v>708</v>
      </c>
      <c r="E52" s="31" t="s">
        <v>707</v>
      </c>
      <c r="F52" s="31" t="s">
        <v>681</v>
      </c>
      <c r="G52" s="31" t="s">
        <v>680</v>
      </c>
      <c r="H52" s="31" t="str">
        <f t="shared" si="12"/>
        <v>Clemente XIII</v>
      </c>
      <c r="K52" s="31" t="s">
        <v>825</v>
      </c>
      <c r="L52" s="31" t="str">
        <f t="shared" si="13"/>
        <v>Breve</v>
      </c>
      <c r="M52" s="31" t="s">
        <v>577</v>
      </c>
      <c r="O52" s="31" t="s">
        <v>1275</v>
      </c>
      <c r="P52" s="31" t="s">
        <v>1608</v>
      </c>
      <c r="Q52" s="31" t="s">
        <v>1276</v>
      </c>
      <c r="R52" s="35" t="str">
        <f t="shared" si="2"/>
        <v>14</v>
      </c>
      <c r="S52" s="35" t="str">
        <f>IF(ISERROR(DAY(Q52)),TEXT(MATCH(TRIM(SUBSTITUTE(SUBSTITUTE(SUBSTITUTE(SUBSTITUTE(SUBSTITUTE(SUBSTITUTE(SUBSTITUTE(SUBSTITUTE(SUBSTITUTE(SUBSTITUTE(SUBSTITUTE(Q52,1,""),2,""),3,""),4,""),5,""),6,""),7,""),8,""),9,""),0,""),"-","")),{"gennaio","febbraio","marzo","aprile","maggio","giugno","luglio","agosto","settembre","ottobre","novembre","dicembre"},0),"00"),TEXT(MONTH(Q52)*29,"mm"))</f>
        <v>01</v>
      </c>
      <c r="T52" s="35">
        <f t="shared" si="3"/>
        <v>1764</v>
      </c>
      <c r="U52" s="31"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6"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31"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31">
        <v>50</v>
      </c>
      <c r="Y52" s="31" t="str">
        <f t="shared" si="4"/>
        <v>['Clemente XIII', 'Breve', 'Ubi primum accepimus', 'clxiii-bre-upa', '14 gennaio 1764', '14/01/1764', '1764/01/14'],</v>
      </c>
      <c r="Z52" s="31" t="str">
        <f t="shared" si="5"/>
        <v>Ubi primum accepimus (14 gennaio 1764) | Clemente XIII</v>
      </c>
      <c r="AA52" s="31" t="str">
        <f t="shared" si="6"/>
        <v>Breve Ubi primum accepimus</v>
      </c>
      <c r="AB52" s="31" t="str">
        <f t="shared" si="7"/>
        <v>Breve Ubi primum accepimus</v>
      </c>
      <c r="AC52" s="31" t="str">
        <f t="shared" si="8"/>
        <v>Clemente XIII, Breve Ubi primum accepimus, 14 gennaio 1764</v>
      </c>
      <c r="AD52" s="31" t="str">
        <f t="shared" si="9"/>
        <v>1764-01-14T08:00:00.000+02:00</v>
      </c>
      <c r="AE52" s="31" t="str">
        <f t="shared" si="10"/>
        <v>clxiii-bre-upa</v>
      </c>
      <c r="AF52" s="31" t="str">
        <f t="shared" si="11"/>
        <v>Clemente XIII - Breve - Ubi primum accepimus</v>
      </c>
    </row>
    <row r="53" spans="2:32" s="31" customFormat="1" x14ac:dyDescent="0.2">
      <c r="B53" s="31">
        <v>248</v>
      </c>
      <c r="C53" s="34" t="s">
        <v>1528</v>
      </c>
      <c r="D53" s="31" t="s">
        <v>708</v>
      </c>
      <c r="E53" s="31" t="s">
        <v>707</v>
      </c>
      <c r="F53" s="31" t="s">
        <v>681</v>
      </c>
      <c r="G53" s="31" t="s">
        <v>680</v>
      </c>
      <c r="H53" s="31" t="str">
        <f t="shared" si="12"/>
        <v>Clemente XIII</v>
      </c>
      <c r="K53" s="31" t="s">
        <v>825</v>
      </c>
      <c r="L53" s="31" t="str">
        <f t="shared" si="13"/>
        <v>Breve</v>
      </c>
      <c r="M53" s="31" t="s">
        <v>577</v>
      </c>
      <c r="O53" s="31" t="s">
        <v>1273</v>
      </c>
      <c r="P53" s="31" t="s">
        <v>1037</v>
      </c>
      <c r="Q53" s="31" t="s">
        <v>1274</v>
      </c>
      <c r="R53" s="35" t="str">
        <f t="shared" si="2"/>
        <v>08</v>
      </c>
      <c r="S53" s="35" t="str">
        <f>IF(ISERROR(DAY(Q53)),TEXT(MATCH(TRIM(SUBSTITUTE(SUBSTITUTE(SUBSTITUTE(SUBSTITUTE(SUBSTITUTE(SUBSTITUTE(SUBSTITUTE(SUBSTITUTE(SUBSTITUTE(SUBSTITUTE(SUBSTITUTE(Q53,1,""),2,""),3,""),4,""),5,""),6,""),7,""),8,""),9,""),0,""),"-","")),{"gennaio","febbraio","marzo","aprile","maggio","giugno","luglio","agosto","settembre","ottobre","novembre","dicembre"},0),"00"),TEXT(MONTH(Q53)*29,"mm"))</f>
        <v>05</v>
      </c>
      <c r="T53" s="35">
        <f t="shared" si="3"/>
        <v>1765</v>
      </c>
      <c r="U53" s="31"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6"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31"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31">
        <v>51</v>
      </c>
      <c r="Y53" s="31" t="str">
        <f t="shared" si="4"/>
        <v>['Clemente XIII', 'Breve', 'Quanta auxilii', 'clxiii-bre-qua', '08 maggio 1765', '08/05/1765', '1765/05/08'],</v>
      </c>
      <c r="Z53" s="31" t="str">
        <f t="shared" si="5"/>
        <v>Quanta auxilii (8 maggio 1765) | Clemente XIII</v>
      </c>
      <c r="AA53" s="31" t="str">
        <f t="shared" si="6"/>
        <v>Breve Quanta auxilii</v>
      </c>
      <c r="AB53" s="31" t="str">
        <f t="shared" si="7"/>
        <v>Breve Quanta auxilii</v>
      </c>
      <c r="AC53" s="31" t="str">
        <f t="shared" si="8"/>
        <v>Clemente XIII, Breve Quanta auxilii, 08 maggio 1765</v>
      </c>
      <c r="AD53" s="31" t="str">
        <f t="shared" si="9"/>
        <v>1765-05-08T08:00:00.000+02:00</v>
      </c>
      <c r="AE53" s="31" t="str">
        <f t="shared" si="10"/>
        <v>clxiii-bre-qua</v>
      </c>
      <c r="AF53" s="31" t="str">
        <f t="shared" si="11"/>
        <v>Clemente XIII - Breve - Quanta auxilii</v>
      </c>
    </row>
    <row r="54" spans="2:32" s="31" customFormat="1" x14ac:dyDescent="0.2">
      <c r="B54" s="31">
        <v>248</v>
      </c>
      <c r="C54" s="34" t="s">
        <v>1529</v>
      </c>
      <c r="D54" s="31" t="s">
        <v>708</v>
      </c>
      <c r="E54" s="31" t="s">
        <v>707</v>
      </c>
      <c r="F54" s="31" t="s">
        <v>681</v>
      </c>
      <c r="G54" s="31" t="s">
        <v>680</v>
      </c>
      <c r="H54" s="31" t="str">
        <f t="shared" si="12"/>
        <v>Clemente XIII</v>
      </c>
      <c r="I54" s="31" t="s">
        <v>603</v>
      </c>
      <c r="J54" s="31" t="s">
        <v>829</v>
      </c>
      <c r="K54" s="31" t="s">
        <v>694</v>
      </c>
      <c r="L54" s="31" t="str">
        <f t="shared" si="13"/>
        <v>Lettera Enciclica</v>
      </c>
      <c r="M54" s="31" t="s">
        <v>579</v>
      </c>
      <c r="O54" s="31" t="s">
        <v>336</v>
      </c>
      <c r="P54" s="31" t="s">
        <v>640</v>
      </c>
      <c r="Q54" s="31" t="s">
        <v>1272</v>
      </c>
      <c r="R54" s="35" t="str">
        <f t="shared" si="2"/>
        <v>25</v>
      </c>
      <c r="S54" s="35" t="str">
        <f>IF(ISERROR(DAY(Q54)),TEXT(MATCH(TRIM(SUBSTITUTE(SUBSTITUTE(SUBSTITUTE(SUBSTITUTE(SUBSTITUTE(SUBSTITUTE(SUBSTITUTE(SUBSTITUTE(SUBSTITUTE(SUBSTITUTE(SUBSTITUTE(Q54,1,""),2,""),3,""),4,""),5,""),6,""),7,""),8,""),9,""),0,""),"-","")),{"gennaio","febbraio","marzo","aprile","maggio","giugno","luglio","agosto","settembre","ottobre","novembre","dicembre"},0),"00"),TEXT(MONTH(Q54)*29,"mm"))</f>
        <v>06</v>
      </c>
      <c r="T54" s="35">
        <f t="shared" si="3"/>
        <v>1766</v>
      </c>
      <c r="U54" s="31"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6"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31"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31">
        <v>52</v>
      </c>
      <c r="Y54" s="31" t="str">
        <f t="shared" si="4"/>
        <v>['Clemente XIII', 'Enciclica', 'Quam graviter', 'clxiii-enc-qug', '25 giugno 1766', '25/06/1766', '1766/06/25'],</v>
      </c>
      <c r="Z54" s="31" t="str">
        <f t="shared" si="5"/>
        <v>Quam graviter (25 giugno 1766) | Clemente XIII</v>
      </c>
      <c r="AA54" s="31" t="str">
        <f t="shared" si="6"/>
        <v>Enciclica Quam graviter</v>
      </c>
      <c r="AB54" s="31" t="str">
        <f t="shared" si="7"/>
        <v>Enciclica Quam graviter</v>
      </c>
      <c r="AC54" s="31" t="str">
        <f t="shared" si="8"/>
        <v>Clemente XIII, Lettera Enciclica Quam graviter, 25 giugno 1766</v>
      </c>
      <c r="AD54" s="31" t="str">
        <f t="shared" si="9"/>
        <v>1766-06-25T08:00:00.000+02:00</v>
      </c>
      <c r="AE54" s="31" t="str">
        <f t="shared" si="10"/>
        <v>clxiii-enc-qug</v>
      </c>
      <c r="AF54" s="31" t="str">
        <f t="shared" si="11"/>
        <v>Clemente XIII - Lettera Enciclica - Quam graviter</v>
      </c>
    </row>
    <row r="55" spans="2:32" s="31" customFormat="1" x14ac:dyDescent="0.2">
      <c r="B55" s="31">
        <v>248</v>
      </c>
      <c r="C55" s="34" t="s">
        <v>1530</v>
      </c>
      <c r="D55" s="31" t="s">
        <v>708</v>
      </c>
      <c r="E55" s="31" t="s">
        <v>707</v>
      </c>
      <c r="F55" s="31" t="s">
        <v>681</v>
      </c>
      <c r="G55" s="31" t="s">
        <v>680</v>
      </c>
      <c r="H55" s="31" t="str">
        <f t="shared" si="12"/>
        <v>Clemente XIII</v>
      </c>
      <c r="I55" s="31" t="s">
        <v>603</v>
      </c>
      <c r="J55" s="31" t="s">
        <v>829</v>
      </c>
      <c r="K55" s="31" t="s">
        <v>694</v>
      </c>
      <c r="L55" s="31" t="str">
        <f t="shared" si="13"/>
        <v>Lettera Enciclica</v>
      </c>
      <c r="M55" s="31" t="s">
        <v>579</v>
      </c>
      <c r="O55" s="31" t="s">
        <v>337</v>
      </c>
      <c r="P55" s="31" t="s">
        <v>958</v>
      </c>
      <c r="Q55" s="31" t="s">
        <v>1271</v>
      </c>
      <c r="R55" s="35" t="str">
        <f t="shared" si="2"/>
        <v>25</v>
      </c>
      <c r="S55" s="35" t="str">
        <f>IF(ISERROR(DAY(Q55)),TEXT(MATCH(TRIM(SUBSTITUTE(SUBSTITUTE(SUBSTITUTE(SUBSTITUTE(SUBSTITUTE(SUBSTITUTE(SUBSTITUTE(SUBSTITUTE(SUBSTITUTE(SUBSTITUTE(SUBSTITUTE(Q55,1,""),2,""),3,""),4,""),5,""),6,""),7,""),8,""),9,""),0,""),"-","")),{"gennaio","febbraio","marzo","aprile","maggio","giugno","luglio","agosto","settembre","ottobre","novembre","dicembre"},0),"00"),TEXT(MONTH(Q55)*29,"mm"))</f>
        <v>11</v>
      </c>
      <c r="T55" s="35">
        <f t="shared" si="3"/>
        <v>1766</v>
      </c>
      <c r="U55" s="31"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6"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31"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31">
        <v>53</v>
      </c>
      <c r="Y55" s="31" t="str">
        <f t="shared" si="4"/>
        <v>['Clemente XIII', 'Enciclica', 'Christianae reipublicae', 'clxiii-enc-chr', '25 novembre 1766', '25/11/1766', '1766/11/25'],</v>
      </c>
      <c r="Z55" s="31" t="str">
        <f t="shared" si="5"/>
        <v>Christianae reipublicae (25 novembre 1766) | Clemente XIII</v>
      </c>
      <c r="AA55" s="31" t="str">
        <f t="shared" si="6"/>
        <v>Enciclica Christianae reipublicae</v>
      </c>
      <c r="AB55" s="31" t="str">
        <f t="shared" si="7"/>
        <v>Enciclica Christianae reipublicae</v>
      </c>
      <c r="AC55" s="31" t="str">
        <f t="shared" si="8"/>
        <v>Clemente XIII, Lettera Enciclica Christianae reipublicae, 25 novembre 1766</v>
      </c>
      <c r="AD55" s="31" t="str">
        <f t="shared" si="9"/>
        <v>1766-11-25T08:00:00.000+02:00</v>
      </c>
      <c r="AE55" s="31" t="str">
        <f t="shared" si="10"/>
        <v>clxiii-enc-chr</v>
      </c>
      <c r="AF55" s="31" t="str">
        <f t="shared" si="11"/>
        <v>Clemente XIII - Lettera Enciclica - Christianae reipublicae</v>
      </c>
    </row>
    <row r="56" spans="2:32" s="31" customFormat="1" x14ac:dyDescent="0.2">
      <c r="B56" s="31">
        <v>248</v>
      </c>
      <c r="C56" s="34" t="s">
        <v>1531</v>
      </c>
      <c r="D56" s="31" t="s">
        <v>708</v>
      </c>
      <c r="E56" s="31" t="s">
        <v>707</v>
      </c>
      <c r="F56" s="31" t="s">
        <v>681</v>
      </c>
      <c r="G56" s="31" t="s">
        <v>680</v>
      </c>
      <c r="H56" s="31" t="str">
        <f t="shared" si="12"/>
        <v>Clemente XIII</v>
      </c>
      <c r="K56" s="31" t="s">
        <v>825</v>
      </c>
      <c r="L56" s="31" t="str">
        <f t="shared" si="13"/>
        <v>Breve</v>
      </c>
      <c r="M56" s="31" t="s">
        <v>577</v>
      </c>
      <c r="O56" s="31" t="s">
        <v>1269</v>
      </c>
      <c r="P56" s="31" t="s">
        <v>1290</v>
      </c>
      <c r="Q56" s="31" t="s">
        <v>1270</v>
      </c>
      <c r="R56" s="35" t="str">
        <f t="shared" si="2"/>
        <v>06</v>
      </c>
      <c r="S56" s="35" t="str">
        <f>IF(ISERROR(DAY(Q56)),TEXT(MATCH(TRIM(SUBSTITUTE(SUBSTITUTE(SUBSTITUTE(SUBSTITUTE(SUBSTITUTE(SUBSTITUTE(SUBSTITUTE(SUBSTITUTE(SUBSTITUTE(SUBSTITUTE(SUBSTITUTE(Q56,1,""),2,""),3,""),4,""),5,""),6,""),7,""),8,""),9,""),0,""),"-","")),{"gennaio","febbraio","marzo","aprile","maggio","giugno","luglio","agosto","settembre","ottobre","novembre","dicembre"},0),"00"),TEXT(MONTH(Q56)*29,"mm"))</f>
        <v>01</v>
      </c>
      <c r="T56" s="35">
        <f t="shared" si="3"/>
        <v>1768</v>
      </c>
      <c r="U56" s="31"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6"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31"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31">
        <v>54</v>
      </c>
      <c r="Y56" s="31" t="str">
        <f t="shared" si="4"/>
        <v>['Clemente XIII', 'Breve', 'Summa quae', 'clxiii-bre-suq', '06 gennaio 1768', '06/01/1768', '1768/01/06'],</v>
      </c>
      <c r="Z56" s="31" t="str">
        <f t="shared" si="5"/>
        <v>Summa quae (6 gennaio 1768) | Clemente XIII</v>
      </c>
      <c r="AA56" s="31" t="str">
        <f t="shared" si="6"/>
        <v>Breve Summa quae</v>
      </c>
      <c r="AB56" s="31" t="str">
        <f t="shared" si="7"/>
        <v>Breve Summa quae</v>
      </c>
      <c r="AC56" s="31" t="str">
        <f t="shared" si="8"/>
        <v>Clemente XIII, Breve Summa quae, 06 gennaio 1768</v>
      </c>
      <c r="AD56" s="31" t="str">
        <f t="shared" si="9"/>
        <v>1768-01-06T08:00:00.000+02:00</v>
      </c>
      <c r="AE56" s="31" t="str">
        <f t="shared" si="10"/>
        <v>clxiii-bre-suq</v>
      </c>
      <c r="AF56" s="31" t="str">
        <f t="shared" si="11"/>
        <v>Clemente XIII - Breve - Summa quae</v>
      </c>
    </row>
    <row r="57" spans="2:32" s="31" customFormat="1" x14ac:dyDescent="0.2">
      <c r="B57" s="31">
        <v>248</v>
      </c>
      <c r="C57" s="34" t="s">
        <v>1532</v>
      </c>
      <c r="D57" s="31" t="s">
        <v>708</v>
      </c>
      <c r="E57" s="31" t="s">
        <v>707</v>
      </c>
      <c r="F57" s="31" t="s">
        <v>681</v>
      </c>
      <c r="G57" s="31" t="s">
        <v>680</v>
      </c>
      <c r="H57" s="31" t="str">
        <f t="shared" si="12"/>
        <v>Clemente XIII</v>
      </c>
      <c r="K57" s="31" t="s">
        <v>825</v>
      </c>
      <c r="L57" s="31" t="str">
        <f t="shared" si="13"/>
        <v>Breve</v>
      </c>
      <c r="M57" s="31" t="s">
        <v>577</v>
      </c>
      <c r="O57" s="31" t="s">
        <v>1267</v>
      </c>
      <c r="P57" s="31" t="s">
        <v>1289</v>
      </c>
      <c r="Q57" s="31" t="s">
        <v>1268</v>
      </c>
      <c r="R57" s="35" t="str">
        <f t="shared" si="2"/>
        <v>25</v>
      </c>
      <c r="S57" s="35" t="str">
        <f>IF(ISERROR(DAY(Q57)),TEXT(MATCH(TRIM(SUBSTITUTE(SUBSTITUTE(SUBSTITUTE(SUBSTITUTE(SUBSTITUTE(SUBSTITUTE(SUBSTITUTE(SUBSTITUTE(SUBSTITUTE(SUBSTITUTE(SUBSTITUTE(Q57,1,""),2,""),3,""),4,""),5,""),6,""),7,""),8,""),9,""),0,""),"-","")),{"gennaio","febbraio","marzo","aprile","maggio","giugno","luglio","agosto","settembre","ottobre","novembre","dicembre"},0),"00"),TEXT(MONTH(Q57)*29,"mm"))</f>
        <v>06</v>
      </c>
      <c r="T57" s="35">
        <f t="shared" si="3"/>
        <v>1768</v>
      </c>
      <c r="U57" s="31"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6"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31"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31">
        <v>55</v>
      </c>
      <c r="Y57" s="31" t="str">
        <f t="shared" si="4"/>
        <v>['Clemente XIII', 'Breve', 'Accedamus cum fiducia', 'clxiii-bre-acf', '25 giugno 1768', '25/06/1768', '1768/06/25'],</v>
      </c>
      <c r="Z57" s="31" t="str">
        <f t="shared" si="5"/>
        <v>Accedamus cum fiducia (25 giugno 1768) | Clemente XIII</v>
      </c>
      <c r="AA57" s="31" t="str">
        <f t="shared" si="6"/>
        <v>Breve Accedamus cum fiducia</v>
      </c>
      <c r="AB57" s="31" t="str">
        <f t="shared" si="7"/>
        <v>Breve Accedamus cum fiducia</v>
      </c>
      <c r="AC57" s="31" t="str">
        <f t="shared" si="8"/>
        <v>Clemente XIII, Breve Accedamus cum fiducia, 25 giugno 1768</v>
      </c>
      <c r="AD57" s="31" t="str">
        <f t="shared" si="9"/>
        <v>1768-06-25T08:00:00.000+02:00</v>
      </c>
      <c r="AE57" s="31" t="str">
        <f t="shared" si="10"/>
        <v>clxiii-bre-acf</v>
      </c>
      <c r="AF57" s="31" t="str">
        <f t="shared" si="11"/>
        <v>Clemente XIII - Breve - Accedamus cum fiducia</v>
      </c>
    </row>
    <row r="58" spans="2:32" s="31" customFormat="1" x14ac:dyDescent="0.2">
      <c r="B58" s="31">
        <v>249</v>
      </c>
      <c r="C58" s="34" t="s">
        <v>1515</v>
      </c>
      <c r="D58" s="31" t="s">
        <v>708</v>
      </c>
      <c r="E58" s="31" t="s">
        <v>704</v>
      </c>
      <c r="F58" s="31" t="s">
        <v>682</v>
      </c>
      <c r="G58" s="31" t="s">
        <v>683</v>
      </c>
      <c r="H58" s="31" t="str">
        <f t="shared" si="12"/>
        <v>Clemente XIV</v>
      </c>
      <c r="I58" s="31" t="s">
        <v>603</v>
      </c>
      <c r="J58" s="31" t="s">
        <v>829</v>
      </c>
      <c r="K58" s="31" t="s">
        <v>694</v>
      </c>
      <c r="L58" s="31" t="str">
        <f t="shared" si="13"/>
        <v>Lettera Enciclica</v>
      </c>
      <c r="M58" s="31" t="s">
        <v>579</v>
      </c>
      <c r="O58" s="31" t="s">
        <v>330</v>
      </c>
      <c r="P58" s="31" t="s">
        <v>959</v>
      </c>
      <c r="Q58" s="31" t="s">
        <v>1266</v>
      </c>
      <c r="R58" s="35" t="str">
        <f t="shared" si="2"/>
        <v>21</v>
      </c>
      <c r="S58" s="35" t="str">
        <f>IF(ISERROR(DAY(Q58)),TEXT(MATCH(TRIM(SUBSTITUTE(SUBSTITUTE(SUBSTITUTE(SUBSTITUTE(SUBSTITUTE(SUBSTITUTE(SUBSTITUTE(SUBSTITUTE(SUBSTITUTE(SUBSTITUTE(SUBSTITUTE(Q58,1,""),2,""),3,""),4,""),5,""),6,""),7,""),8,""),9,""),0,""),"-","")),{"gennaio","febbraio","marzo","aprile","maggio","giugno","luglio","agosto","settembre","ottobre","novembre","dicembre"},0),"00"),TEXT(MONTH(Q58)*29,"mm"))</f>
        <v>09</v>
      </c>
      <c r="T58" s="35">
        <f t="shared" si="3"/>
        <v>1769</v>
      </c>
      <c r="U58" s="31"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6"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31"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31">
        <v>56</v>
      </c>
      <c r="Y58" s="31" t="str">
        <f t="shared" si="4"/>
        <v>['Clemente XIV', 'Enciclica', 'Decet quam maxime', 'clxiv-enc-dqm', '21 settembre 1769', '21/09/1769', '1769/09/21'],</v>
      </c>
      <c r="Z58" s="31" t="str">
        <f t="shared" si="5"/>
        <v>Decet quam maxime (21 settembre 1769) | Clemente XIV</v>
      </c>
      <c r="AA58" s="31" t="str">
        <f t="shared" si="6"/>
        <v>Enciclica Decet quam maxime</v>
      </c>
      <c r="AB58" s="31" t="str">
        <f t="shared" si="7"/>
        <v>Enciclica Decet quam maxime</v>
      </c>
      <c r="AC58" s="31" t="str">
        <f t="shared" si="8"/>
        <v>Clemente XIV, Lettera Enciclica Decet quam maxime, 21 settembre 1769</v>
      </c>
      <c r="AD58" s="31" t="str">
        <f t="shared" si="9"/>
        <v>1769-09-21T08:00:00.000+02:00</v>
      </c>
      <c r="AE58" s="31" t="str">
        <f t="shared" si="10"/>
        <v>clxiv-enc-dqm</v>
      </c>
      <c r="AF58" s="31" t="str">
        <f t="shared" si="11"/>
        <v>Clemente XIV - Lettera Enciclica - Decet quam maxime</v>
      </c>
    </row>
    <row r="59" spans="2:32" s="31" customFormat="1" x14ac:dyDescent="0.2">
      <c r="B59" s="31">
        <v>249</v>
      </c>
      <c r="C59" s="34" t="s">
        <v>1518</v>
      </c>
      <c r="D59" s="31" t="s">
        <v>708</v>
      </c>
      <c r="E59" s="31" t="s">
        <v>704</v>
      </c>
      <c r="F59" s="31" t="s">
        <v>682</v>
      </c>
      <c r="G59" s="31" t="s">
        <v>683</v>
      </c>
      <c r="H59" s="31" t="str">
        <f t="shared" si="12"/>
        <v>Clemente XIV</v>
      </c>
      <c r="K59" s="31" t="s">
        <v>825</v>
      </c>
      <c r="L59" s="31" t="str">
        <f t="shared" si="13"/>
        <v>Breve</v>
      </c>
      <c r="M59" s="31" t="s">
        <v>577</v>
      </c>
      <c r="O59" s="31" t="s">
        <v>1261</v>
      </c>
      <c r="P59" s="31" t="s">
        <v>961</v>
      </c>
      <c r="Q59" s="31" t="s">
        <v>1265</v>
      </c>
      <c r="R59" s="35" t="str">
        <f t="shared" si="2"/>
        <v>12</v>
      </c>
      <c r="S59" s="35" t="str">
        <f>IF(ISERROR(DAY(Q59)),TEXT(MATCH(TRIM(SUBSTITUTE(SUBSTITUTE(SUBSTITUTE(SUBSTITUTE(SUBSTITUTE(SUBSTITUTE(SUBSTITUTE(SUBSTITUTE(SUBSTITUTE(SUBSTITUTE(SUBSTITUTE(Q59,1,""),2,""),3,""),4,""),5,""),6,""),7,""),8,""),9,""),0,""),"-","")),{"gennaio","febbraio","marzo","aprile","maggio","giugno","luglio","agosto","settembre","ottobre","novembre","dicembre"},0),"00"),TEXT(MONTH(Q59)*29,"mm"))</f>
        <v>12</v>
      </c>
      <c r="T59" s="35">
        <f t="shared" si="3"/>
        <v>1769</v>
      </c>
      <c r="U59" s="31"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6"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31"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31">
        <v>57</v>
      </c>
      <c r="Y59" s="31" t="str">
        <f t="shared" si="4"/>
        <v>['Clemente XIV', 'Breve', 'Inscrutabili divinae', 'clxiv-bre-ind', '12 dicembre 1769', '12/12/1769', '1769/12/12'],</v>
      </c>
      <c r="Z59" s="31" t="str">
        <f t="shared" si="5"/>
        <v>Inscrutabili divinae (12 dicembre 1769) | Clemente XIV</v>
      </c>
      <c r="AA59" s="31" t="str">
        <f t="shared" si="6"/>
        <v>Breve Inscrutabili divinae</v>
      </c>
      <c r="AB59" s="31" t="str">
        <f t="shared" si="7"/>
        <v>Breve Inscrutabili divinae</v>
      </c>
      <c r="AC59" s="31" t="str">
        <f t="shared" si="8"/>
        <v>Clemente XIV, Breve Inscrutabili divinae, 12 dicembre 1769</v>
      </c>
      <c r="AD59" s="31" t="str">
        <f t="shared" si="9"/>
        <v>1769-12-12T08:00:00.000+02:00</v>
      </c>
      <c r="AE59" s="31" t="str">
        <f t="shared" si="10"/>
        <v>clxiv-bre-ind</v>
      </c>
      <c r="AF59" s="31" t="str">
        <f t="shared" si="11"/>
        <v>Clemente XIV - Breve - Inscrutabili divinae</v>
      </c>
    </row>
    <row r="60" spans="2:32" s="31" customFormat="1" x14ac:dyDescent="0.2">
      <c r="B60" s="31">
        <v>249</v>
      </c>
      <c r="C60" s="34" t="s">
        <v>1516</v>
      </c>
      <c r="D60" s="31" t="s">
        <v>708</v>
      </c>
      <c r="E60" s="31" t="s">
        <v>704</v>
      </c>
      <c r="F60" s="31" t="s">
        <v>682</v>
      </c>
      <c r="G60" s="31" t="s">
        <v>683</v>
      </c>
      <c r="H60" s="31" t="str">
        <f t="shared" si="12"/>
        <v>Clemente XIV</v>
      </c>
      <c r="I60" s="31" t="s">
        <v>603</v>
      </c>
      <c r="J60" s="31" t="s">
        <v>829</v>
      </c>
      <c r="K60" s="31" t="s">
        <v>694</v>
      </c>
      <c r="L60" s="31" t="str">
        <f t="shared" si="13"/>
        <v>Lettera Enciclica</v>
      </c>
      <c r="M60" s="31" t="s">
        <v>579</v>
      </c>
      <c r="O60" s="31" t="s">
        <v>331</v>
      </c>
      <c r="P60" s="31" t="s">
        <v>960</v>
      </c>
      <c r="Q60" s="31" t="s">
        <v>1265</v>
      </c>
      <c r="R60" s="35" t="str">
        <f t="shared" si="2"/>
        <v>12</v>
      </c>
      <c r="S60" s="35" t="str">
        <f>IF(ISERROR(DAY(Q60)),TEXT(MATCH(TRIM(SUBSTITUTE(SUBSTITUTE(SUBSTITUTE(SUBSTITUTE(SUBSTITUTE(SUBSTITUTE(SUBSTITUTE(SUBSTITUTE(SUBSTITUTE(SUBSTITUTE(SUBSTITUTE(Q60,1,""),2,""),3,""),4,""),5,""),6,""),7,""),8,""),9,""),0,""),"-","")),{"gennaio","febbraio","marzo","aprile","maggio","giugno","luglio","agosto","settembre","ottobre","novembre","dicembre"},0),"00"),TEXT(MONTH(Q60)*29,"mm"))</f>
        <v>12</v>
      </c>
      <c r="T60" s="35">
        <f t="shared" si="3"/>
        <v>1769</v>
      </c>
      <c r="U60" s="31"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6"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31"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31">
        <v>58</v>
      </c>
      <c r="Y60" s="31" t="str">
        <f t="shared" si="4"/>
        <v>['Clemente XIV', 'Enciclica', 'Cum summi apostolatus', 'clxiv-enc-csa', '12 dicembre 1769', '12/12/1769', '1769/12/12'],</v>
      </c>
      <c r="Z60" s="31" t="str">
        <f t="shared" si="5"/>
        <v>Cum summi apostolatus (12 dicembre 1769) | Clemente XIV</v>
      </c>
      <c r="AA60" s="31" t="str">
        <f t="shared" si="6"/>
        <v>Enciclica Cum summi apostolatus</v>
      </c>
      <c r="AB60" s="31" t="str">
        <f t="shared" si="7"/>
        <v>Enciclica Cum summi apostolatus</v>
      </c>
      <c r="AC60" s="31" t="str">
        <f t="shared" si="8"/>
        <v>Clemente XIV, Lettera Enciclica Cum summi apostolatus, 12 dicembre 1769</v>
      </c>
      <c r="AD60" s="31" t="str">
        <f t="shared" si="9"/>
        <v>1769-12-12T08:00:00.000+02:00</v>
      </c>
      <c r="AE60" s="31" t="str">
        <f t="shared" si="10"/>
        <v>clxiv-enc-csa</v>
      </c>
      <c r="AF60" s="31" t="str">
        <f t="shared" si="11"/>
        <v>Clemente XIV - Lettera Enciclica - Cum summi apostolatus</v>
      </c>
    </row>
    <row r="61" spans="2:32" s="31" customFormat="1" x14ac:dyDescent="0.2">
      <c r="B61" s="31">
        <v>249</v>
      </c>
      <c r="C61" s="34" t="s">
        <v>1517</v>
      </c>
      <c r="D61" s="31" t="s">
        <v>708</v>
      </c>
      <c r="E61" s="31" t="s">
        <v>704</v>
      </c>
      <c r="F61" s="31" t="s">
        <v>682</v>
      </c>
      <c r="G61" s="31" t="s">
        <v>683</v>
      </c>
      <c r="H61" s="31" t="str">
        <f t="shared" si="12"/>
        <v>Clemente XIV</v>
      </c>
      <c r="K61" s="31" t="s">
        <v>825</v>
      </c>
      <c r="L61" s="31" t="str">
        <f t="shared" si="13"/>
        <v>Breve</v>
      </c>
      <c r="M61" s="31" t="s">
        <v>577</v>
      </c>
      <c r="O61" s="31" t="s">
        <v>1260</v>
      </c>
      <c r="P61" s="31" t="s">
        <v>1609</v>
      </c>
      <c r="Q61" s="31" t="s">
        <v>1264</v>
      </c>
      <c r="R61" s="35" t="str">
        <f t="shared" si="2"/>
        <v>16</v>
      </c>
      <c r="S61" s="35" t="str">
        <f>IF(ISERROR(DAY(Q61)),TEXT(MATCH(TRIM(SUBSTITUTE(SUBSTITUTE(SUBSTITUTE(SUBSTITUTE(SUBSTITUTE(SUBSTITUTE(SUBSTITUTE(SUBSTITUTE(SUBSTITUTE(SUBSTITUTE(SUBSTITUTE(Q61,1,""),2,""),3,""),4,""),5,""),6,""),7,""),8,""),9,""),0,""),"-","")),{"gennaio","febbraio","marzo","aprile","maggio","giugno","luglio","agosto","settembre","ottobre","novembre","dicembre"},0),"00"),TEXT(MONTH(Q61)*29,"mm"))</f>
        <v>03</v>
      </c>
      <c r="T61" s="35">
        <f t="shared" si="3"/>
        <v>1771</v>
      </c>
      <c r="U61" s="31"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6"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31"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31">
        <v>59</v>
      </c>
      <c r="Y61" s="31" t="str">
        <f t="shared" si="4"/>
        <v>['Clemente XIV', 'Breve', 'Magna atque', 'clxiv-bre-maa', '16 marzo 1771', '16/03/1771', '1771/03/16'],</v>
      </c>
      <c r="Z61" s="31" t="str">
        <f t="shared" si="5"/>
        <v>Magna atque (16 marzo 1771) | Clemente XIV</v>
      </c>
      <c r="AA61" s="31" t="str">
        <f t="shared" si="6"/>
        <v>Breve Magna atque</v>
      </c>
      <c r="AB61" s="31" t="str">
        <f t="shared" si="7"/>
        <v>Breve Magna atque</v>
      </c>
      <c r="AC61" s="31" t="str">
        <f t="shared" si="8"/>
        <v>Clemente XIV, Breve Magna atque, 16 marzo 1771</v>
      </c>
      <c r="AD61" s="31" t="str">
        <f t="shared" si="9"/>
        <v>1771-03-16T08:00:00.000+02:00</v>
      </c>
      <c r="AE61" s="31" t="str">
        <f t="shared" si="10"/>
        <v>clxiv-bre-maa</v>
      </c>
      <c r="AF61" s="31" t="str">
        <f t="shared" si="11"/>
        <v>Clemente XIV - Breve - Magna atque</v>
      </c>
    </row>
    <row r="62" spans="2:32" s="31" customFormat="1" x14ac:dyDescent="0.2">
      <c r="B62" s="31">
        <v>249</v>
      </c>
      <c r="C62" s="34" t="s">
        <v>1519</v>
      </c>
      <c r="D62" s="31" t="s">
        <v>708</v>
      </c>
      <c r="E62" s="31" t="s">
        <v>704</v>
      </c>
      <c r="F62" s="31" t="s">
        <v>682</v>
      </c>
      <c r="G62" s="31" t="s">
        <v>683</v>
      </c>
      <c r="H62" s="31" t="str">
        <f t="shared" si="12"/>
        <v>Clemente XIV</v>
      </c>
      <c r="K62" s="31" t="s">
        <v>825</v>
      </c>
      <c r="L62" s="31" t="str">
        <f t="shared" si="13"/>
        <v>Breve</v>
      </c>
      <c r="M62" s="31" t="s">
        <v>577</v>
      </c>
      <c r="O62" s="31" t="s">
        <v>1259</v>
      </c>
      <c r="P62" s="31" t="s">
        <v>1610</v>
      </c>
      <c r="Q62" s="31" t="s">
        <v>1263</v>
      </c>
      <c r="R62" s="35" t="str">
        <f t="shared" si="2"/>
        <v>21</v>
      </c>
      <c r="S62" s="35" t="str">
        <f>IF(ISERROR(DAY(Q62)),TEXT(MATCH(TRIM(SUBSTITUTE(SUBSTITUTE(SUBSTITUTE(SUBSTITUTE(SUBSTITUTE(SUBSTITUTE(SUBSTITUTE(SUBSTITUTE(SUBSTITUTE(SUBSTITUTE(SUBSTITUTE(Q62,1,""),2,""),3,""),4,""),5,""),6,""),7,""),8,""),9,""),0,""),"-","")),{"gennaio","febbraio","marzo","aprile","maggio","giugno","luglio","agosto","settembre","ottobre","novembre","dicembre"},0),"00"),TEXT(MONTH(Q62)*29,"mm"))</f>
        <v>07</v>
      </c>
      <c r="T62" s="35">
        <f t="shared" si="3"/>
        <v>1773</v>
      </c>
      <c r="U62" s="31"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6"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31"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31">
        <v>60</v>
      </c>
      <c r="Y62" s="31" t="str">
        <f t="shared" si="4"/>
        <v>['Clemente XIV', 'Breve', 'Dominus ac Redemptor', 'clxiv-bre-dar', '21 luglio 1773', '21/07/1773', '1773/07/21'],</v>
      </c>
      <c r="Z62" s="31" t="str">
        <f t="shared" si="5"/>
        <v>Dominus ac Redemptor (21 luglio 1773) | Clemente XIV</v>
      </c>
      <c r="AA62" s="31" t="str">
        <f t="shared" si="6"/>
        <v>Breve Dominus ac Redemptor</v>
      </c>
      <c r="AB62" s="31" t="str">
        <f t="shared" si="7"/>
        <v>Breve Dominus ac Redemptor</v>
      </c>
      <c r="AC62" s="31" t="str">
        <f t="shared" si="8"/>
        <v>Clemente XIV, Breve Dominus ac Redemptor, 21 luglio 1773</v>
      </c>
      <c r="AD62" s="31" t="str">
        <f t="shared" si="9"/>
        <v>1773-07-21T08:00:00.000+02:00</v>
      </c>
      <c r="AE62" s="31" t="str">
        <f t="shared" si="10"/>
        <v>clxiv-bre-dar</v>
      </c>
      <c r="AF62" s="31" t="str">
        <f t="shared" si="11"/>
        <v>Clemente XIV - Breve - Dominus ac Redemptor</v>
      </c>
    </row>
    <row r="63" spans="2:32" s="31" customFormat="1" x14ac:dyDescent="0.2">
      <c r="B63" s="31">
        <v>249</v>
      </c>
      <c r="C63" s="34" t="s">
        <v>1514</v>
      </c>
      <c r="D63" s="31" t="s">
        <v>708</v>
      </c>
      <c r="E63" s="31" t="s">
        <v>704</v>
      </c>
      <c r="F63" s="31" t="s">
        <v>682</v>
      </c>
      <c r="G63" s="31" t="s">
        <v>683</v>
      </c>
      <c r="H63" s="31" t="str">
        <f t="shared" si="12"/>
        <v>Clemente XIV</v>
      </c>
      <c r="K63" s="31" t="s">
        <v>824</v>
      </c>
      <c r="L63" s="31" t="str">
        <f t="shared" si="13"/>
        <v>Bolla</v>
      </c>
      <c r="M63" s="31" t="s">
        <v>564</v>
      </c>
      <c r="O63" s="31" t="s">
        <v>1258</v>
      </c>
      <c r="P63" s="31" t="s">
        <v>1044</v>
      </c>
      <c r="Q63" s="31" t="s">
        <v>1262</v>
      </c>
      <c r="R63" s="35" t="str">
        <f t="shared" si="2"/>
        <v>30</v>
      </c>
      <c r="S63" s="35" t="str">
        <f>IF(ISERROR(DAY(Q63)),TEXT(MATCH(TRIM(SUBSTITUTE(SUBSTITUTE(SUBSTITUTE(SUBSTITUTE(SUBSTITUTE(SUBSTITUTE(SUBSTITUTE(SUBSTITUTE(SUBSTITUTE(SUBSTITUTE(SUBSTITUTE(Q63,1,""),2,""),3,""),4,""),5,""),6,""),7,""),8,""),9,""),0,""),"-","")),{"gennaio","febbraio","marzo","aprile","maggio","giugno","luglio","agosto","settembre","ottobre","novembre","dicembre"},0),"00"),TEXT(MONTH(Q63)*29,"mm"))</f>
        <v>04</v>
      </c>
      <c r="T63" s="35">
        <f t="shared" si="3"/>
        <v>1774</v>
      </c>
      <c r="U63" s="31"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6"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31"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31">
        <v>61</v>
      </c>
      <c r="Y63" s="31" t="str">
        <f t="shared" si="4"/>
        <v>['Clemente XIV', 'Bolla', 'Salutis nostrae', 'clxiv-bol-san', '30 aprile 1774', '30/04/1774', '1774/04/30'],</v>
      </c>
      <c r="Z63" s="31" t="str">
        <f t="shared" si="5"/>
        <v>Salutis nostrae (30 aprile 1774) | Clemente XIV</v>
      </c>
      <c r="AA63" s="31" t="str">
        <f t="shared" si="6"/>
        <v>Bolla Salutis nostrae</v>
      </c>
      <c r="AB63" s="31" t="str">
        <f t="shared" si="7"/>
        <v>Bolla Salutis nostrae</v>
      </c>
      <c r="AC63" s="31" t="str">
        <f t="shared" si="8"/>
        <v>Clemente XIV, Bolla Salutis nostrae, 30 aprile 1774</v>
      </c>
      <c r="AD63" s="31" t="str">
        <f t="shared" si="9"/>
        <v>1774-04-30T08:00:00.000+02:00</v>
      </c>
      <c r="AE63" s="31" t="str">
        <f t="shared" si="10"/>
        <v>clxiv-bol-san</v>
      </c>
      <c r="AF63" s="31" t="str">
        <f t="shared" si="11"/>
        <v>Clemente XIV - Bolla - Salutis nostrae</v>
      </c>
    </row>
    <row r="64" spans="2:32" s="31" customFormat="1" x14ac:dyDescent="0.2">
      <c r="B64" s="31">
        <v>250</v>
      </c>
      <c r="C64" s="34" t="s">
        <v>1534</v>
      </c>
      <c r="D64" s="31" t="s">
        <v>715</v>
      </c>
      <c r="E64" s="31" t="s">
        <v>714</v>
      </c>
      <c r="F64" s="31" t="s">
        <v>675</v>
      </c>
      <c r="G64" s="31" t="s">
        <v>674</v>
      </c>
      <c r="H64" s="31" t="str">
        <f t="shared" si="12"/>
        <v>Pio VI</v>
      </c>
      <c r="K64" s="31" t="s">
        <v>824</v>
      </c>
      <c r="L64" s="31" t="str">
        <f t="shared" si="13"/>
        <v>Bolla</v>
      </c>
      <c r="M64" s="31" t="s">
        <v>564</v>
      </c>
      <c r="O64" s="31" t="s">
        <v>940</v>
      </c>
      <c r="P64" s="31" t="s">
        <v>1611</v>
      </c>
      <c r="Q64" s="31" t="s">
        <v>941</v>
      </c>
      <c r="R64" s="35" t="str">
        <f t="shared" si="2"/>
        <v>25</v>
      </c>
      <c r="S64" s="35" t="str">
        <f>IF(ISERROR(DAY(Q64)),TEXT(MATCH(TRIM(SUBSTITUTE(SUBSTITUTE(SUBSTITUTE(SUBSTITUTE(SUBSTITUTE(SUBSTITUTE(SUBSTITUTE(SUBSTITUTE(SUBSTITUTE(SUBSTITUTE(SUBSTITUTE(Q64,1,""),2,""),3,""),4,""),5,""),6,""),7,""),8,""),9,""),0,""),"-","")),{"gennaio","febbraio","marzo","aprile","maggio","giugno","luglio","agosto","settembre","ottobre","novembre","dicembre"},0),"00"),TEXT(MONTH(Q64)*29,"mm"))</f>
        <v>12</v>
      </c>
      <c r="T64" s="35">
        <f t="shared" si="3"/>
        <v>1775</v>
      </c>
      <c r="U64" s="31"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6"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31"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31">
        <v>62</v>
      </c>
      <c r="Y64" s="31" t="str">
        <f t="shared" si="4"/>
        <v>['Pio VI', 'Bolla', 'Summa Dei', 'pivi-bol-sud', '25 dicembre 1775', '25/12/1775', '1775/12/25'],</v>
      </c>
      <c r="Z64" s="31" t="str">
        <f t="shared" si="5"/>
        <v>Summa Dei (25 dicembre 1775) | Pio VI</v>
      </c>
      <c r="AA64" s="31" t="str">
        <f t="shared" si="6"/>
        <v>Bolla Summa Dei</v>
      </c>
      <c r="AB64" s="31" t="str">
        <f t="shared" si="7"/>
        <v>Bolla Summa Dei</v>
      </c>
      <c r="AC64" s="31" t="str">
        <f t="shared" si="8"/>
        <v>Pio VI, Bolla Summa Dei, 25 dicembre 1775</v>
      </c>
      <c r="AD64" s="31" t="str">
        <f t="shared" si="9"/>
        <v>1775-12-25T08:00:00.000+02:00</v>
      </c>
      <c r="AE64" s="31" t="str">
        <f t="shared" si="10"/>
        <v>pivi-bol-sud</v>
      </c>
      <c r="AF64" s="31" t="str">
        <f t="shared" si="11"/>
        <v>Pio VI - Bolla - Summa Dei</v>
      </c>
    </row>
    <row r="65" spans="2:32" s="31" customFormat="1" x14ac:dyDescent="0.2">
      <c r="B65" s="31">
        <v>250</v>
      </c>
      <c r="C65" s="34" t="s">
        <v>1533</v>
      </c>
      <c r="D65" s="31" t="s">
        <v>715</v>
      </c>
      <c r="E65" s="31" t="s">
        <v>714</v>
      </c>
      <c r="F65" s="31" t="s">
        <v>675</v>
      </c>
      <c r="G65" s="31" t="s">
        <v>674</v>
      </c>
      <c r="H65" s="31" t="str">
        <f t="shared" si="12"/>
        <v>Pio VI</v>
      </c>
      <c r="I65" s="31" t="s">
        <v>603</v>
      </c>
      <c r="J65" s="31" t="s">
        <v>829</v>
      </c>
      <c r="K65" s="31" t="s">
        <v>694</v>
      </c>
      <c r="L65" s="31" t="str">
        <f t="shared" si="13"/>
        <v>Lettera Enciclica</v>
      </c>
      <c r="M65" s="31" t="s">
        <v>579</v>
      </c>
      <c r="O65" s="31" t="s">
        <v>942</v>
      </c>
      <c r="P65" s="31" t="s">
        <v>961</v>
      </c>
      <c r="Q65" s="31" t="s">
        <v>941</v>
      </c>
      <c r="R65" s="35" t="str">
        <f t="shared" si="2"/>
        <v>25</v>
      </c>
      <c r="S65" s="35" t="str">
        <f>IF(ISERROR(DAY(Q65)),TEXT(MATCH(TRIM(SUBSTITUTE(SUBSTITUTE(SUBSTITUTE(SUBSTITUTE(SUBSTITUTE(SUBSTITUTE(SUBSTITUTE(SUBSTITUTE(SUBSTITUTE(SUBSTITUTE(SUBSTITUTE(Q65,1,""),2,""),3,""),4,""),5,""),6,""),7,""),8,""),9,""),0,""),"-","")),{"gennaio","febbraio","marzo","aprile","maggio","giugno","luglio","agosto","settembre","ottobre","novembre","dicembre"},0),"00"),TEXT(MONTH(Q65)*29,"mm"))</f>
        <v>12</v>
      </c>
      <c r="T65" s="35">
        <f t="shared" si="3"/>
        <v>1775</v>
      </c>
      <c r="U65" s="31"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6"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31"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31">
        <v>63</v>
      </c>
      <c r="Y65" s="31" t="str">
        <f t="shared" si="4"/>
        <v>['Pio VI', 'Enciclica', 'Inscrutabile Divinae', 'pivi-enc-ind', '25 dicembre 1775', '25/12/1775', '1775/12/25'],</v>
      </c>
      <c r="Z65" s="31" t="str">
        <f t="shared" si="5"/>
        <v>Inscrutabile Divinae (25 dicembre 1775) | Pio VI</v>
      </c>
      <c r="AA65" s="31" t="str">
        <f t="shared" si="6"/>
        <v>Enciclica Inscrutabile Divinae</v>
      </c>
      <c r="AB65" s="31" t="str">
        <f t="shared" si="7"/>
        <v>Enciclica Inscrutabile Divinae</v>
      </c>
      <c r="AC65" s="31" t="str">
        <f t="shared" si="8"/>
        <v>Pio VI, Lettera Enciclica Inscrutabile Divinae, 25 dicembre 1775</v>
      </c>
      <c r="AD65" s="31" t="str">
        <f t="shared" si="9"/>
        <v>1775-12-25T08:00:00.000+02:00</v>
      </c>
      <c r="AE65" s="31" t="str">
        <f t="shared" si="10"/>
        <v>pivi-enc-ind</v>
      </c>
      <c r="AF65" s="31" t="str">
        <f t="shared" si="11"/>
        <v>Pio VI - Lettera Enciclica - Inscrutabile Divinae</v>
      </c>
    </row>
    <row r="66" spans="2:32" s="31" customFormat="1" x14ac:dyDescent="0.2">
      <c r="B66" s="31">
        <v>250</v>
      </c>
      <c r="C66" s="34" t="s">
        <v>1535</v>
      </c>
      <c r="D66" s="31" t="s">
        <v>715</v>
      </c>
      <c r="E66" s="31" t="s">
        <v>714</v>
      </c>
      <c r="F66" s="31" t="s">
        <v>675</v>
      </c>
      <c r="G66" s="31" t="s">
        <v>674</v>
      </c>
      <c r="H66" s="31" t="str">
        <f t="shared" ref="H66:H97" si="14">_xlfn.CONCAT(D66 &amp; " " &amp; E66)</f>
        <v>Pio VI</v>
      </c>
      <c r="K66" s="31" t="s">
        <v>825</v>
      </c>
      <c r="L66" s="31" t="str">
        <f t="shared" ref="L66:L97" si="15">IF(J66&lt;&gt;"",_xlfn.CONCAT(J66 &amp; " " &amp; K66),K66)</f>
        <v>Breve</v>
      </c>
      <c r="M66" s="31" t="s">
        <v>577</v>
      </c>
      <c r="O66" s="31" t="s">
        <v>938</v>
      </c>
      <c r="P66" s="31" t="s">
        <v>1612</v>
      </c>
      <c r="Q66" s="31" t="s">
        <v>939</v>
      </c>
      <c r="R66" s="35" t="str">
        <f t="shared" ref="R66:R129" si="16">IF(ISERROR(DAY(Q66)),TEXT((LEFT(Q66,2)),"00"),TEXT(DAY(Q66),"00"))</f>
        <v>06</v>
      </c>
      <c r="S66" s="35" t="str">
        <f>IF(ISERROR(DAY(Q66)),TEXT(MATCH(TRIM(SUBSTITUTE(SUBSTITUTE(SUBSTITUTE(SUBSTITUTE(SUBSTITUTE(SUBSTITUTE(SUBSTITUTE(SUBSTITUTE(SUBSTITUTE(SUBSTITUTE(SUBSTITUTE(Q66,1,""),2,""),3,""),4,""),5,""),6,""),7,""),8,""),9,""),0,""),"-","")),{"gennaio","febbraio","marzo","aprile","maggio","giugno","luglio","agosto","settembre","ottobre","novembre","dicembre"},0),"00"),TEXT(MONTH(Q66)*29,"mm"))</f>
        <v>03</v>
      </c>
      <c r="T66" s="35">
        <f t="shared" ref="T66:T129" si="17">IF(ISERROR(DAY(Q66)),VALUE(RIGHT(Q66,4)),YEAR(Q66))</f>
        <v>1779</v>
      </c>
      <c r="U66" s="31"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6"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31"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31">
        <v>64</v>
      </c>
      <c r="Y66" s="31" t="str">
        <f t="shared" ref="Y66:Y129" si="18">_xlfn.CONCAT("[" &amp; "'" &amp; D66 &amp; " " &amp; E66 &amp; "'" &amp; ", " &amp; "'" &amp; K66 &amp; "'"&amp; ", " &amp; "'" &amp; O66 &amp; "'" &amp; ", " &amp; "'" &amp; AE66 &amp; "'" &amp; ", " &amp; "'" &amp; W66 &amp; "'" &amp; ", " &amp; "'" &amp; U66 &amp; "'" &amp; ", " &amp; "'" &amp; V66 &amp; "'" &amp; "],")</f>
        <v>['Pio VI', 'Breve', 'Nuper pro', 'pivi-bre-nup', '06 marzo 1779', '06/03/1779', '1779/03/06'],</v>
      </c>
      <c r="Z66" s="31" t="str">
        <f t="shared" ref="Z66:Z129" si="19">_xlfn.CONCAT(O66 &amp; " (" &amp; Q66 &amp; ") | " &amp; D66 &amp; " " &amp; E66)</f>
        <v>Nuper pro (6 marzo 1779) | Pio VI</v>
      </c>
      <c r="AA66" s="31" t="str">
        <f t="shared" ref="AA66:AA129" si="20">_xlfn.CONCAT(K66 &amp; " " &amp; O66)</f>
        <v>Breve Nuper pro</v>
      </c>
      <c r="AB66" s="31" t="str">
        <f t="shared" ref="AB66:AB129" si="21">_xlfn.CONCAT(K66 &amp; " " &amp; O66)</f>
        <v>Breve Nuper pro</v>
      </c>
      <c r="AC66" s="31" t="str">
        <f t="shared" ref="AC66:AC129" si="22">_xlfn.CONCAT(H66 &amp; ", " &amp; L66 &amp; " " &amp; O66 &amp; ", " &amp; LEFT(U66,2) &amp; " " &amp; TEXT(VALUE(MID(U66,4,2))*29,"mmmm") &amp; " " &amp; RIGHT(U66,4))</f>
        <v>Pio VI, Breve Nuper pro, 06 marzo 1779</v>
      </c>
      <c r="AD66" s="31" t="str">
        <f t="shared" ref="AD66:AD129" si="23">_xlfn.CONCAT(RIGHT(U66,4) &amp; "-" &amp; MID(U66,4,2) &amp; "-" &amp; LEFT(U66,2) &amp; "T08:00:00.000+02:00")</f>
        <v>1779-03-06T08:00:00.000+02:00</v>
      </c>
      <c r="AE66" s="31" t="str">
        <f t="shared" si="10"/>
        <v>pivi-bre-nup</v>
      </c>
      <c r="AF66" s="31" t="str">
        <f t="shared" si="11"/>
        <v>Pio VI - Breve - Nuper pro</v>
      </c>
    </row>
    <row r="67" spans="2:32" s="31" customFormat="1" x14ac:dyDescent="0.2">
      <c r="B67" s="31">
        <v>250</v>
      </c>
      <c r="C67" s="34" t="s">
        <v>1536</v>
      </c>
      <c r="D67" s="31" t="s">
        <v>715</v>
      </c>
      <c r="E67" s="31" t="s">
        <v>714</v>
      </c>
      <c r="F67" s="31" t="s">
        <v>675</v>
      </c>
      <c r="G67" s="31" t="s">
        <v>674</v>
      </c>
      <c r="H67" s="31" t="str">
        <f t="shared" si="14"/>
        <v>Pio VI</v>
      </c>
      <c r="K67" s="31" t="s">
        <v>825</v>
      </c>
      <c r="L67" s="31" t="str">
        <f t="shared" si="15"/>
        <v>Breve</v>
      </c>
      <c r="M67" s="31" t="s">
        <v>577</v>
      </c>
      <c r="O67" s="31" t="s">
        <v>936</v>
      </c>
      <c r="P67" s="31" t="s">
        <v>1614</v>
      </c>
      <c r="Q67" s="31" t="s">
        <v>937</v>
      </c>
      <c r="R67" s="35" t="str">
        <f t="shared" si="16"/>
        <v>28</v>
      </c>
      <c r="S67" s="35" t="str">
        <f>IF(ISERROR(DAY(Q67)),TEXT(MATCH(TRIM(SUBSTITUTE(SUBSTITUTE(SUBSTITUTE(SUBSTITUTE(SUBSTITUTE(SUBSTITUTE(SUBSTITUTE(SUBSTITUTE(SUBSTITUTE(SUBSTITUTE(SUBSTITUTE(Q67,1,""),2,""),3,""),4,""),5,""),6,""),7,""),8,""),9,""),0,""),"-","")),{"gennaio","febbraio","marzo","aprile","maggio","giugno","luglio","agosto","settembre","ottobre","novembre","dicembre"},0),"00"),TEXT(MONTH(Q67)*29,"mm"))</f>
        <v>11</v>
      </c>
      <c r="T67" s="35">
        <f t="shared" si="17"/>
        <v>1786</v>
      </c>
      <c r="U67" s="31"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6"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31"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31">
        <v>65</v>
      </c>
      <c r="Y67" s="31" t="str">
        <f t="shared" si="18"/>
        <v>['Pio VI', 'Breve', 'Super soliditate Petrae', 'pivi-bre-ssp', '28 novembre 1786', '28/11/1786', '1786/11/28'],</v>
      </c>
      <c r="Z67" s="31" t="str">
        <f t="shared" si="19"/>
        <v>Super soliditate Petrae (28 novembre 1786) | Pio VI</v>
      </c>
      <c r="AA67" s="31" t="str">
        <f t="shared" si="20"/>
        <v>Breve Super soliditate Petrae</v>
      </c>
      <c r="AB67" s="31" t="str">
        <f t="shared" si="21"/>
        <v>Breve Super soliditate Petrae</v>
      </c>
      <c r="AC67" s="31" t="str">
        <f t="shared" si="22"/>
        <v>Pio VI, Breve Super soliditate Petrae, 28 novembre 1786</v>
      </c>
      <c r="AD67" s="31" t="str">
        <f t="shared" si="23"/>
        <v>1786-11-28T08:00:00.000+02:00</v>
      </c>
      <c r="AE67" s="31" t="str">
        <f t="shared" ref="AE67:AE130" si="24">_xlfn.CONCAT(F67 &amp; "-" &amp; M67 &amp; "-" &amp; P67)</f>
        <v>pivi-bre-ssp</v>
      </c>
      <c r="AF67" s="31" t="str">
        <f t="shared" ref="AF67:AF130" si="25">_xlfn.CONCAT(H67 &amp; " - " &amp; L67 &amp; " - " &amp; O67)</f>
        <v>Pio VI - Breve - Super soliditate Petrae</v>
      </c>
    </row>
    <row r="68" spans="2:32" s="31" customFormat="1" x14ac:dyDescent="0.2">
      <c r="B68" s="31">
        <v>250</v>
      </c>
      <c r="C68" s="34" t="s">
        <v>1537</v>
      </c>
      <c r="D68" s="31" t="s">
        <v>715</v>
      </c>
      <c r="E68" s="31" t="s">
        <v>714</v>
      </c>
      <c r="F68" s="31" t="s">
        <v>675</v>
      </c>
      <c r="G68" s="31" t="s">
        <v>674</v>
      </c>
      <c r="H68" s="31" t="str">
        <f t="shared" si="14"/>
        <v>Pio VI</v>
      </c>
      <c r="K68" s="31" t="s">
        <v>825</v>
      </c>
      <c r="L68" s="31" t="str">
        <f t="shared" si="15"/>
        <v>Breve</v>
      </c>
      <c r="M68" s="31" t="s">
        <v>577</v>
      </c>
      <c r="O68" s="31" t="s">
        <v>934</v>
      </c>
      <c r="P68" s="31" t="s">
        <v>1037</v>
      </c>
      <c r="Q68" s="31" t="s">
        <v>935</v>
      </c>
      <c r="R68" s="35" t="str">
        <f t="shared" si="16"/>
        <v>10</v>
      </c>
      <c r="S68" s="35" t="str">
        <f>IF(ISERROR(DAY(Q68)),TEXT(MATCH(TRIM(SUBSTITUTE(SUBSTITUTE(SUBSTITUTE(SUBSTITUTE(SUBSTITUTE(SUBSTITUTE(SUBSTITUTE(SUBSTITUTE(SUBSTITUTE(SUBSTITUTE(SUBSTITUTE(Q68,1,""),2,""),3,""),4,""),5,""),6,""),7,""),8,""),9,""),0,""),"-","")),{"gennaio","febbraio","marzo","aprile","maggio","giugno","luglio","agosto","settembre","ottobre","novembre","dicembre"},0),"00"),TEXT(MONTH(Q68)*29,"mm"))</f>
        <v>03</v>
      </c>
      <c r="T68" s="35">
        <f t="shared" si="17"/>
        <v>1791</v>
      </c>
      <c r="U68" s="31"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6"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31"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31">
        <v>66</v>
      </c>
      <c r="Y68" s="31" t="str">
        <f t="shared" si="18"/>
        <v>['Pio VI', 'Breve', 'Quod aliquantum', 'pivi-bre-qua', '10 marzo 1791', '10/03/1791', '1791/03/10'],</v>
      </c>
      <c r="Z68" s="31" t="str">
        <f t="shared" si="19"/>
        <v>Quod aliquantum (10 marzo 1791) | Pio VI</v>
      </c>
      <c r="AA68" s="31" t="str">
        <f t="shared" si="20"/>
        <v>Breve Quod aliquantum</v>
      </c>
      <c r="AB68" s="31" t="str">
        <f t="shared" si="21"/>
        <v>Breve Quod aliquantum</v>
      </c>
      <c r="AC68" s="31" t="str">
        <f t="shared" si="22"/>
        <v>Pio VI, Breve Quod aliquantum, 10 marzo 1791</v>
      </c>
      <c r="AD68" s="31" t="str">
        <f t="shared" si="23"/>
        <v>1791-03-10T08:00:00.000+02:00</v>
      </c>
      <c r="AE68" s="31" t="str">
        <f t="shared" si="24"/>
        <v>pivi-bre-qua</v>
      </c>
      <c r="AF68" s="31" t="str">
        <f t="shared" si="25"/>
        <v>Pio VI - Breve - Quod aliquantum</v>
      </c>
    </row>
    <row r="69" spans="2:32" s="31" customFormat="1" x14ac:dyDescent="0.2">
      <c r="B69" s="31">
        <v>250</v>
      </c>
      <c r="C69" s="34" t="s">
        <v>1539</v>
      </c>
      <c r="D69" s="31" t="s">
        <v>715</v>
      </c>
      <c r="E69" s="31" t="s">
        <v>714</v>
      </c>
      <c r="F69" s="31" t="s">
        <v>675</v>
      </c>
      <c r="G69" s="31" t="s">
        <v>674</v>
      </c>
      <c r="H69" s="31" t="str">
        <f t="shared" si="14"/>
        <v>Pio VI</v>
      </c>
      <c r="K69" s="31" t="s">
        <v>825</v>
      </c>
      <c r="L69" s="31" t="str">
        <f t="shared" si="15"/>
        <v>Breve</v>
      </c>
      <c r="M69" s="31" t="s">
        <v>577</v>
      </c>
      <c r="O69" s="31" t="s">
        <v>931</v>
      </c>
      <c r="P69" s="31" t="s">
        <v>1615</v>
      </c>
      <c r="Q69" s="31" t="s">
        <v>932</v>
      </c>
      <c r="R69" s="35" t="str">
        <f t="shared" si="16"/>
        <v>13</v>
      </c>
      <c r="S69" s="35" t="str">
        <f>IF(ISERROR(DAY(Q69)),TEXT(MATCH(TRIM(SUBSTITUTE(SUBSTITUTE(SUBSTITUTE(SUBSTITUTE(SUBSTITUTE(SUBSTITUTE(SUBSTITUTE(SUBSTITUTE(SUBSTITUTE(SUBSTITUTE(SUBSTITUTE(Q69,1,""),2,""),3,""),4,""),5,""),6,""),7,""),8,""),9,""),0,""),"-","")),{"gennaio","febbraio","marzo","aprile","maggio","giugno","luglio","agosto","settembre","ottobre","novembre","dicembre"},0),"00"),TEXT(MONTH(Q69)*29,"mm"))</f>
        <v>04</v>
      </c>
      <c r="T69" s="35">
        <f t="shared" si="17"/>
        <v>1791</v>
      </c>
      <c r="U69" s="31"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6"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31"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31">
        <v>67</v>
      </c>
      <c r="Y69" s="31" t="str">
        <f t="shared" si="18"/>
        <v>['Pio VI', 'Breve', 'Charitas quae', 'pivi-bre-chq', '13 aprile 1791', '13/04/1791', '1791/04/13'],</v>
      </c>
      <c r="Z69" s="31" t="str">
        <f t="shared" si="19"/>
        <v>Charitas quae (13 aprile 1791) | Pio VI</v>
      </c>
      <c r="AA69" s="31" t="str">
        <f t="shared" si="20"/>
        <v>Breve Charitas quae</v>
      </c>
      <c r="AB69" s="31" t="str">
        <f t="shared" si="21"/>
        <v>Breve Charitas quae</v>
      </c>
      <c r="AC69" s="31" t="str">
        <f t="shared" si="22"/>
        <v>Pio VI, Breve Charitas quae, 13 aprile 1791</v>
      </c>
      <c r="AD69" s="31" t="str">
        <f t="shared" si="23"/>
        <v>1791-04-13T08:00:00.000+02:00</v>
      </c>
      <c r="AE69" s="31" t="str">
        <f t="shared" si="24"/>
        <v>pivi-bre-chq</v>
      </c>
      <c r="AF69" s="31" t="str">
        <f t="shared" si="25"/>
        <v>Pio VI - Breve - Charitas quae</v>
      </c>
    </row>
    <row r="70" spans="2:32" s="31" customFormat="1" x14ac:dyDescent="0.2">
      <c r="B70" s="31">
        <v>250</v>
      </c>
      <c r="C70" s="34" t="s">
        <v>1538</v>
      </c>
      <c r="D70" s="31" t="s">
        <v>715</v>
      </c>
      <c r="E70" s="31" t="s">
        <v>714</v>
      </c>
      <c r="F70" s="31" t="s">
        <v>675</v>
      </c>
      <c r="G70" s="31" t="s">
        <v>674</v>
      </c>
      <c r="H70" s="31" t="str">
        <f t="shared" si="14"/>
        <v>Pio VI</v>
      </c>
      <c r="K70" s="31" t="s">
        <v>825</v>
      </c>
      <c r="L70" s="31" t="str">
        <f t="shared" si="15"/>
        <v>Breve</v>
      </c>
      <c r="M70" s="31" t="s">
        <v>577</v>
      </c>
      <c r="O70" s="31" t="s">
        <v>933</v>
      </c>
      <c r="P70" s="31" t="s">
        <v>955</v>
      </c>
      <c r="Q70" s="31" t="s">
        <v>932</v>
      </c>
      <c r="R70" s="35" t="str">
        <f t="shared" si="16"/>
        <v>13</v>
      </c>
      <c r="S70" s="35" t="str">
        <f>IF(ISERROR(DAY(Q70)),TEXT(MATCH(TRIM(SUBSTITUTE(SUBSTITUTE(SUBSTITUTE(SUBSTITUTE(SUBSTITUTE(SUBSTITUTE(SUBSTITUTE(SUBSTITUTE(SUBSTITUTE(SUBSTITUTE(SUBSTITUTE(Q70,1,""),2,""),3,""),4,""),5,""),6,""),7,""),8,""),9,""),0,""),"-","")),{"gennaio","febbraio","marzo","aprile","maggio","giugno","luglio","agosto","settembre","ottobre","novembre","dicembre"},0),"00"),TEXT(MONTH(Q70)*29,"mm"))</f>
        <v>04</v>
      </c>
      <c r="T70" s="35">
        <f t="shared" si="17"/>
        <v>1791</v>
      </c>
      <c r="U70" s="31"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6"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31"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31">
        <v>68</v>
      </c>
      <c r="Y70" s="31" t="str">
        <f t="shared" si="18"/>
        <v>['Pio VI', 'Breve', 'Cum populi', 'pivi-bre-cup', '13 aprile 1791', '13/04/1791', '1791/04/13'],</v>
      </c>
      <c r="Z70" s="31" t="str">
        <f t="shared" si="19"/>
        <v>Cum populi (13 aprile 1791) | Pio VI</v>
      </c>
      <c r="AA70" s="31" t="str">
        <f t="shared" si="20"/>
        <v>Breve Cum populi</v>
      </c>
      <c r="AB70" s="31" t="str">
        <f t="shared" si="21"/>
        <v>Breve Cum populi</v>
      </c>
      <c r="AC70" s="31" t="str">
        <f t="shared" si="22"/>
        <v>Pio VI, Breve Cum populi, 13 aprile 1791</v>
      </c>
      <c r="AD70" s="31" t="str">
        <f t="shared" si="23"/>
        <v>1791-04-13T08:00:00.000+02:00</v>
      </c>
      <c r="AE70" s="31" t="str">
        <f t="shared" si="24"/>
        <v>pivi-bre-cup</v>
      </c>
      <c r="AF70" s="31" t="str">
        <f t="shared" si="25"/>
        <v>Pio VI - Breve - Cum populi</v>
      </c>
    </row>
    <row r="71" spans="2:32" s="31" customFormat="1" x14ac:dyDescent="0.2">
      <c r="B71" s="31">
        <v>250</v>
      </c>
      <c r="C71" s="34" t="s">
        <v>1540</v>
      </c>
      <c r="D71" s="31" t="s">
        <v>715</v>
      </c>
      <c r="E71" s="31" t="s">
        <v>714</v>
      </c>
      <c r="F71" s="31" t="s">
        <v>675</v>
      </c>
      <c r="G71" s="31" t="s">
        <v>674</v>
      </c>
      <c r="H71" s="31" t="str">
        <f t="shared" si="14"/>
        <v>Pio VI</v>
      </c>
      <c r="I71" s="31" t="s">
        <v>603</v>
      </c>
      <c r="J71" s="31" t="s">
        <v>829</v>
      </c>
      <c r="K71" s="31" t="s">
        <v>694</v>
      </c>
      <c r="L71" s="31" t="str">
        <f t="shared" si="15"/>
        <v>Lettera Enciclica</v>
      </c>
      <c r="M71" s="31" t="s">
        <v>579</v>
      </c>
      <c r="O71" s="31" t="s">
        <v>322</v>
      </c>
      <c r="P71" s="31" t="s">
        <v>962</v>
      </c>
      <c r="Q71" s="31" t="s">
        <v>930</v>
      </c>
      <c r="R71" s="35" t="str">
        <f t="shared" si="16"/>
        <v>23</v>
      </c>
      <c r="S71" s="35" t="str">
        <f>IF(ISERROR(DAY(Q71)),TEXT(MATCH(TRIM(SUBSTITUTE(SUBSTITUTE(SUBSTITUTE(SUBSTITUTE(SUBSTITUTE(SUBSTITUTE(SUBSTITUTE(SUBSTITUTE(SUBSTITUTE(SUBSTITUTE(SUBSTITUTE(Q71,1,""),2,""),3,""),4,""),5,""),6,""),7,""),8,""),9,""),0,""),"-","")),{"gennaio","febbraio","marzo","aprile","maggio","giugno","luglio","agosto","settembre","ottobre","novembre","dicembre"},0),"00"),TEXT(MONTH(Q71)*29,"mm"))</f>
        <v>04</v>
      </c>
      <c r="T71" s="35">
        <f t="shared" si="17"/>
        <v>1791</v>
      </c>
      <c r="U71" s="31"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6"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31"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31">
        <v>69</v>
      </c>
      <c r="Y71" s="31" t="str">
        <f t="shared" si="18"/>
        <v>['Pio VI', 'Enciclica', 'Adeo nota', 'pivi-enc-adn', '23 aprile 1791', '23/04/1791', '1791/04/23'],</v>
      </c>
      <c r="Z71" s="31" t="str">
        <f t="shared" si="19"/>
        <v>Adeo nota (23 aprile 1791) | Pio VI</v>
      </c>
      <c r="AA71" s="31" t="str">
        <f t="shared" si="20"/>
        <v>Enciclica Adeo nota</v>
      </c>
      <c r="AB71" s="31" t="str">
        <f t="shared" si="21"/>
        <v>Enciclica Adeo nota</v>
      </c>
      <c r="AC71" s="31" t="str">
        <f t="shared" si="22"/>
        <v>Pio VI, Lettera Enciclica Adeo nota, 23 aprile 1791</v>
      </c>
      <c r="AD71" s="31" t="str">
        <f t="shared" si="23"/>
        <v>1791-04-23T08:00:00.000+02:00</v>
      </c>
      <c r="AE71" s="31" t="str">
        <f t="shared" si="24"/>
        <v>pivi-enc-adn</v>
      </c>
      <c r="AF71" s="31" t="str">
        <f t="shared" si="25"/>
        <v>Pio VI - Lettera Enciclica - Adeo nota</v>
      </c>
    </row>
    <row r="72" spans="2:32" s="31" customFormat="1" x14ac:dyDescent="0.2">
      <c r="B72" s="31">
        <v>250</v>
      </c>
      <c r="C72" s="34" t="s">
        <v>1541</v>
      </c>
      <c r="D72" s="31" t="s">
        <v>715</v>
      </c>
      <c r="E72" s="31" t="s">
        <v>714</v>
      </c>
      <c r="F72" s="31" t="s">
        <v>675</v>
      </c>
      <c r="G72" s="31" t="s">
        <v>674</v>
      </c>
      <c r="H72" s="31" t="str">
        <f t="shared" si="14"/>
        <v>Pio VI</v>
      </c>
      <c r="K72" s="31" t="s">
        <v>825</v>
      </c>
      <c r="L72" s="31" t="str">
        <f t="shared" si="15"/>
        <v>Breve</v>
      </c>
      <c r="M72" s="31" t="s">
        <v>577</v>
      </c>
      <c r="O72" s="31" t="s">
        <v>928</v>
      </c>
      <c r="P72" s="31" t="s">
        <v>1616</v>
      </c>
      <c r="Q72" s="31" t="s">
        <v>929</v>
      </c>
      <c r="R72" s="35" t="str">
        <f t="shared" si="16"/>
        <v>04</v>
      </c>
      <c r="S72" s="35" t="str">
        <f>IF(ISERROR(DAY(Q72)),TEXT(MATCH(TRIM(SUBSTITUTE(SUBSTITUTE(SUBSTITUTE(SUBSTITUTE(SUBSTITUTE(SUBSTITUTE(SUBSTITUTE(SUBSTITUTE(SUBSTITUTE(SUBSTITUTE(SUBSTITUTE(Q72,1,""),2,""),3,""),4,""),5,""),6,""),7,""),8,""),9,""),0,""),"-","")),{"gennaio","febbraio","marzo","aprile","maggio","giugno","luglio","agosto","settembre","ottobre","novembre","dicembre"},0),"00"),TEXT(MONTH(Q72)*29,"mm"))</f>
        <v>05</v>
      </c>
      <c r="T72" s="35">
        <f t="shared" si="17"/>
        <v>1791</v>
      </c>
      <c r="U72" s="31"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6"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31"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31">
        <v>70</v>
      </c>
      <c r="Y72" s="31" t="str">
        <f t="shared" si="18"/>
        <v>['Pio VI', 'Breve', 'Quo luctu', 'pivi-bre-qul', '04 maggio 1791', '04/05/1791', '1791/05/04'],</v>
      </c>
      <c r="Z72" s="31" t="str">
        <f t="shared" si="19"/>
        <v>Quo luctu (4 maggio 1791) | Pio VI</v>
      </c>
      <c r="AA72" s="31" t="str">
        <f t="shared" si="20"/>
        <v>Breve Quo luctu</v>
      </c>
      <c r="AB72" s="31" t="str">
        <f t="shared" si="21"/>
        <v>Breve Quo luctu</v>
      </c>
      <c r="AC72" s="31" t="str">
        <f t="shared" si="22"/>
        <v>Pio VI, Breve Quo luctu, 04 maggio 1791</v>
      </c>
      <c r="AD72" s="31" t="str">
        <f t="shared" si="23"/>
        <v>1791-05-04T08:00:00.000+02:00</v>
      </c>
      <c r="AE72" s="31" t="str">
        <f t="shared" si="24"/>
        <v>pivi-bre-qul</v>
      </c>
      <c r="AF72" s="31" t="str">
        <f t="shared" si="25"/>
        <v>Pio VI - Breve - Quo luctu</v>
      </c>
    </row>
    <row r="73" spans="2:32" s="31" customFormat="1" x14ac:dyDescent="0.2">
      <c r="B73" s="31">
        <v>250</v>
      </c>
      <c r="C73" s="34" t="s">
        <v>1542</v>
      </c>
      <c r="D73" s="31" t="s">
        <v>715</v>
      </c>
      <c r="E73" s="31" t="s">
        <v>714</v>
      </c>
      <c r="F73" s="31" t="s">
        <v>675</v>
      </c>
      <c r="G73" s="31" t="s">
        <v>674</v>
      </c>
      <c r="H73" s="31" t="str">
        <f t="shared" si="14"/>
        <v>Pio VI</v>
      </c>
      <c r="K73" s="31" t="s">
        <v>925</v>
      </c>
      <c r="L73" s="31" t="str">
        <f t="shared" si="15"/>
        <v>Chirografo</v>
      </c>
      <c r="M73" s="31" t="s">
        <v>950</v>
      </c>
      <c r="O73" s="31" t="s">
        <v>926</v>
      </c>
      <c r="P73" s="31" t="s">
        <v>1617</v>
      </c>
      <c r="Q73" s="31" t="s">
        <v>927</v>
      </c>
      <c r="R73" s="35" t="str">
        <f t="shared" si="16"/>
        <v>05</v>
      </c>
      <c r="S73" s="35" t="str">
        <f>IF(ISERROR(DAY(Q73)),TEXT(MATCH(TRIM(SUBSTITUTE(SUBSTITUTE(SUBSTITUTE(SUBSTITUTE(SUBSTITUTE(SUBSTITUTE(SUBSTITUTE(SUBSTITUTE(SUBSTITUTE(SUBSTITUTE(SUBSTITUTE(Q73,1,""),2,""),3,""),4,""),5,""),6,""),7,""),8,""),9,""),0,""),"-","")),{"gennaio","febbraio","marzo","aprile","maggio","giugno","luglio","agosto","settembre","ottobre","novembre","dicembre"},0),"00"),TEXT(MONTH(Q73)*29,"mm"))</f>
        <v>11</v>
      </c>
      <c r="T73" s="35">
        <f t="shared" si="17"/>
        <v>1791</v>
      </c>
      <c r="U73" s="31"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6"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31"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31">
        <v>71</v>
      </c>
      <c r="Y73" s="31" t="str">
        <f t="shared" si="18"/>
        <v>['Pio VI', 'Chirografo', 'Ancorché antichissimo', 'pivi-chi-ana', '05 novembre 1791', '05/11/1791', '1791/11/05'],</v>
      </c>
      <c r="Z73" s="31" t="str">
        <f t="shared" si="19"/>
        <v>Ancorché antichissimo (5 novembre 1791) | Pio VI</v>
      </c>
      <c r="AA73" s="31" t="str">
        <f t="shared" si="20"/>
        <v>Chirografo Ancorché antichissimo</v>
      </c>
      <c r="AB73" s="31" t="str">
        <f t="shared" si="21"/>
        <v>Chirografo Ancorché antichissimo</v>
      </c>
      <c r="AC73" s="31" t="str">
        <f t="shared" si="22"/>
        <v>Pio VI, Chirografo Ancorché antichissimo, 05 novembre 1791</v>
      </c>
      <c r="AD73" s="31" t="str">
        <f t="shared" si="23"/>
        <v>1791-11-05T08:00:00.000+02:00</v>
      </c>
      <c r="AE73" s="31" t="str">
        <f t="shared" si="24"/>
        <v>pivi-chi-ana</v>
      </c>
      <c r="AF73" s="31" t="str">
        <f t="shared" si="25"/>
        <v>Pio VI - Chirografo - Ancorché antichissimo</v>
      </c>
    </row>
    <row r="74" spans="2:32" s="31" customFormat="1" x14ac:dyDescent="0.2">
      <c r="B74" s="31">
        <v>250</v>
      </c>
      <c r="C74" s="34" t="s">
        <v>1544</v>
      </c>
      <c r="D74" s="31" t="s">
        <v>715</v>
      </c>
      <c r="E74" s="31" t="s">
        <v>714</v>
      </c>
      <c r="F74" s="31" t="s">
        <v>675</v>
      </c>
      <c r="G74" s="31" t="s">
        <v>674</v>
      </c>
      <c r="H74" s="31" t="str">
        <f t="shared" si="14"/>
        <v>Pio VI</v>
      </c>
      <c r="I74" s="31" t="s">
        <v>603</v>
      </c>
      <c r="J74" s="31" t="s">
        <v>829</v>
      </c>
      <c r="K74" s="31" t="s">
        <v>694</v>
      </c>
      <c r="L74" s="31" t="str">
        <f t="shared" si="15"/>
        <v>Lettera Enciclica</v>
      </c>
      <c r="M74" s="31" t="s">
        <v>579</v>
      </c>
      <c r="O74" s="31" t="s">
        <v>323</v>
      </c>
      <c r="P74" s="31" t="s">
        <v>963</v>
      </c>
      <c r="Q74" s="31" t="s">
        <v>924</v>
      </c>
      <c r="R74" s="35" t="str">
        <f t="shared" si="16"/>
        <v>19</v>
      </c>
      <c r="S74" s="35" t="str">
        <f>IF(ISERROR(DAY(Q74)),TEXT(MATCH(TRIM(SUBSTITUTE(SUBSTITUTE(SUBSTITUTE(SUBSTITUTE(SUBSTITUTE(SUBSTITUTE(SUBSTITUTE(SUBSTITUTE(SUBSTITUTE(SUBSTITUTE(SUBSTITUTE(Q74,1,""),2,""),3,""),4,""),5,""),6,""),7,""),8,""),9,""),0,""),"-","")),{"gennaio","febbraio","marzo","aprile","maggio","giugno","luglio","agosto","settembre","ottobre","novembre","dicembre"},0),"00"),TEXT(MONTH(Q74)*29,"mm"))</f>
        <v>03</v>
      </c>
      <c r="T74" s="35">
        <f t="shared" si="17"/>
        <v>1792</v>
      </c>
      <c r="U74" s="31"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6"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31"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31">
        <v>72</v>
      </c>
      <c r="Y74" s="31" t="str">
        <f t="shared" si="18"/>
        <v>['Pio VI', 'Enciclica', 'In gravissimis', 'pivi-enc-ing', '19 marzo 1792', '19/03/1792', '1792/03/19'],</v>
      </c>
      <c r="Z74" s="31" t="str">
        <f t="shared" si="19"/>
        <v>In gravissimis (19 marzo 1792) | Pio VI</v>
      </c>
      <c r="AA74" s="31" t="str">
        <f t="shared" si="20"/>
        <v>Enciclica In gravissimis</v>
      </c>
      <c r="AB74" s="31" t="str">
        <f t="shared" si="21"/>
        <v>Enciclica In gravissimis</v>
      </c>
      <c r="AC74" s="31" t="str">
        <f t="shared" si="22"/>
        <v>Pio VI, Lettera Enciclica In gravissimis, 19 marzo 1792</v>
      </c>
      <c r="AD74" s="31" t="str">
        <f t="shared" si="23"/>
        <v>1792-03-19T08:00:00.000+02:00</v>
      </c>
      <c r="AE74" s="31" t="str">
        <f t="shared" si="24"/>
        <v>pivi-enc-ing</v>
      </c>
      <c r="AF74" s="31" t="str">
        <f t="shared" si="25"/>
        <v>Pio VI - Lettera Enciclica - In gravissimis</v>
      </c>
    </row>
    <row r="75" spans="2:32" s="31" customFormat="1" x14ac:dyDescent="0.2">
      <c r="B75" s="31">
        <v>250</v>
      </c>
      <c r="C75" s="34" t="s">
        <v>1543</v>
      </c>
      <c r="D75" s="31" t="s">
        <v>715</v>
      </c>
      <c r="E75" s="31" t="s">
        <v>714</v>
      </c>
      <c r="F75" s="31" t="s">
        <v>675</v>
      </c>
      <c r="G75" s="31" t="s">
        <v>674</v>
      </c>
      <c r="H75" s="31" t="str">
        <f t="shared" si="14"/>
        <v>Pio VI</v>
      </c>
      <c r="I75" s="31" t="s">
        <v>603</v>
      </c>
      <c r="J75" s="31" t="s">
        <v>829</v>
      </c>
      <c r="K75" s="31" t="s">
        <v>694</v>
      </c>
      <c r="L75" s="31" t="str">
        <f t="shared" si="15"/>
        <v>Lettera Enciclica</v>
      </c>
      <c r="M75" s="31" t="s">
        <v>579</v>
      </c>
      <c r="O75" s="31" t="s">
        <v>324</v>
      </c>
      <c r="P75" s="31" t="s">
        <v>964</v>
      </c>
      <c r="Q75" s="31" t="s">
        <v>924</v>
      </c>
      <c r="R75" s="35" t="str">
        <f t="shared" si="16"/>
        <v>19</v>
      </c>
      <c r="S75" s="35" t="str">
        <f>IF(ISERROR(DAY(Q75)),TEXT(MATCH(TRIM(SUBSTITUTE(SUBSTITUTE(SUBSTITUTE(SUBSTITUTE(SUBSTITUTE(SUBSTITUTE(SUBSTITUTE(SUBSTITUTE(SUBSTITUTE(SUBSTITUTE(SUBSTITUTE(Q75,1,""),2,""),3,""),4,""),5,""),6,""),7,""),8,""),9,""),0,""),"-","")),{"gennaio","febbraio","marzo","aprile","maggio","giugno","luglio","agosto","settembre","ottobre","novembre","dicembre"},0),"00"),TEXT(MONTH(Q75)*29,"mm"))</f>
        <v>03</v>
      </c>
      <c r="T75" s="35">
        <f t="shared" si="17"/>
        <v>1792</v>
      </c>
      <c r="U75" s="31"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6"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31"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31">
        <v>73</v>
      </c>
      <c r="Y75" s="31" t="str">
        <f t="shared" si="18"/>
        <v>['Pio VI', 'Enciclica', 'Novae hae litterae', 'pivi-enc-nhl', '19 marzo 1792', '19/03/1792', '1792/03/19'],</v>
      </c>
      <c r="Z75" s="31" t="str">
        <f t="shared" si="19"/>
        <v>Novae hae litterae (19 marzo 1792) | Pio VI</v>
      </c>
      <c r="AA75" s="31" t="str">
        <f t="shared" si="20"/>
        <v>Enciclica Novae hae litterae</v>
      </c>
      <c r="AB75" s="31" t="str">
        <f t="shared" si="21"/>
        <v>Enciclica Novae hae litterae</v>
      </c>
      <c r="AC75" s="31" t="str">
        <f t="shared" si="22"/>
        <v>Pio VI, Lettera Enciclica Novae hae litterae, 19 marzo 1792</v>
      </c>
      <c r="AD75" s="31" t="str">
        <f t="shared" si="23"/>
        <v>1792-03-19T08:00:00.000+02:00</v>
      </c>
      <c r="AE75" s="31" t="str">
        <f t="shared" si="24"/>
        <v>pivi-enc-nhl</v>
      </c>
      <c r="AF75" s="31" t="str">
        <f t="shared" si="25"/>
        <v>Pio VI - Lettera Enciclica - Novae hae litterae</v>
      </c>
    </row>
    <row r="76" spans="2:32" s="31" customFormat="1" x14ac:dyDescent="0.2">
      <c r="B76" s="31">
        <v>250</v>
      </c>
      <c r="C76" s="34" t="s">
        <v>1545</v>
      </c>
      <c r="D76" s="31" t="s">
        <v>715</v>
      </c>
      <c r="E76" s="31" t="s">
        <v>714</v>
      </c>
      <c r="F76" s="31" t="s">
        <v>675</v>
      </c>
      <c r="G76" s="31" t="s">
        <v>674</v>
      </c>
      <c r="H76" s="31" t="str">
        <f t="shared" si="14"/>
        <v>Pio VI</v>
      </c>
      <c r="K76" s="31" t="s">
        <v>825</v>
      </c>
      <c r="L76" s="31" t="str">
        <f t="shared" si="15"/>
        <v>Breve</v>
      </c>
      <c r="M76" s="31" t="s">
        <v>577</v>
      </c>
      <c r="O76" s="31" t="s">
        <v>922</v>
      </c>
      <c r="P76" s="31" t="s">
        <v>1618</v>
      </c>
      <c r="Q76" s="31" t="s">
        <v>923</v>
      </c>
      <c r="R76" s="35" t="str">
        <f t="shared" si="16"/>
        <v>04</v>
      </c>
      <c r="S76" s="35" t="str">
        <f>IF(ISERROR(DAY(Q76)),TEXT(MATCH(TRIM(SUBSTITUTE(SUBSTITUTE(SUBSTITUTE(SUBSTITUTE(SUBSTITUTE(SUBSTITUTE(SUBSTITUTE(SUBSTITUTE(SUBSTITUTE(SUBSTITUTE(SUBSTITUTE(Q76,1,""),2,""),3,""),4,""),5,""),6,""),7,""),8,""),9,""),0,""),"-","")),{"gennaio","febbraio","marzo","aprile","maggio","giugno","luglio","agosto","settembre","ottobre","novembre","dicembre"},0),"00"),TEXT(MONTH(Q76)*29,"mm"))</f>
        <v>04</v>
      </c>
      <c r="T76" s="35">
        <f t="shared" si="17"/>
        <v>1792</v>
      </c>
      <c r="U76" s="31"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6"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31"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31">
        <v>74</v>
      </c>
      <c r="Y76" s="31" t="str">
        <f t="shared" si="18"/>
        <v>['Pio VI', 'Breve', 'Ubi communis', 'pivi-bre-ubc', '04 aprile 1792', '04/04/1792', '1792/04/04'],</v>
      </c>
      <c r="Z76" s="31" t="str">
        <f t="shared" si="19"/>
        <v>Ubi communis (4 aprile 1792) | Pio VI</v>
      </c>
      <c r="AA76" s="31" t="str">
        <f t="shared" si="20"/>
        <v>Breve Ubi communis</v>
      </c>
      <c r="AB76" s="31" t="str">
        <f t="shared" si="21"/>
        <v>Breve Ubi communis</v>
      </c>
      <c r="AC76" s="31" t="str">
        <f t="shared" si="22"/>
        <v>Pio VI, Breve Ubi communis, 04 aprile 1792</v>
      </c>
      <c r="AD76" s="31" t="str">
        <f t="shared" si="23"/>
        <v>1792-04-04T08:00:00.000+02:00</v>
      </c>
      <c r="AE76" s="31" t="str">
        <f t="shared" si="24"/>
        <v>pivi-bre-ubc</v>
      </c>
      <c r="AF76" s="31" t="str">
        <f t="shared" si="25"/>
        <v>Pio VI - Breve - Ubi communis</v>
      </c>
    </row>
    <row r="77" spans="2:32" s="31" customFormat="1" x14ac:dyDescent="0.2">
      <c r="B77" s="31">
        <v>250</v>
      </c>
      <c r="C77" s="34" t="s">
        <v>1546</v>
      </c>
      <c r="D77" s="31" t="s">
        <v>715</v>
      </c>
      <c r="E77" s="31" t="s">
        <v>714</v>
      </c>
      <c r="F77" s="31" t="s">
        <v>675</v>
      </c>
      <c r="G77" s="31" t="s">
        <v>674</v>
      </c>
      <c r="H77" s="31" t="str">
        <f t="shared" si="14"/>
        <v>Pio VI</v>
      </c>
      <c r="I77" s="31" t="s">
        <v>603</v>
      </c>
      <c r="J77" s="31" t="s">
        <v>829</v>
      </c>
      <c r="K77" s="31" t="s">
        <v>694</v>
      </c>
      <c r="L77" s="31" t="str">
        <f t="shared" si="15"/>
        <v>Lettera Enciclica</v>
      </c>
      <c r="M77" s="31" t="s">
        <v>579</v>
      </c>
      <c r="O77" s="31" t="s">
        <v>920</v>
      </c>
      <c r="P77" s="31" t="s">
        <v>965</v>
      </c>
      <c r="Q77" s="31" t="s">
        <v>921</v>
      </c>
      <c r="R77" s="35" t="str">
        <f t="shared" si="16"/>
        <v>19</v>
      </c>
      <c r="S77" s="35" t="str">
        <f>IF(ISERROR(DAY(Q77)),TEXT(MATCH(TRIM(SUBSTITUTE(SUBSTITUTE(SUBSTITUTE(SUBSTITUTE(SUBSTITUTE(SUBSTITUTE(SUBSTITUTE(SUBSTITUTE(SUBSTITUTE(SUBSTITUTE(SUBSTITUTE(Q77,1,""),2,""),3,""),4,""),5,""),6,""),7,""),8,""),9,""),0,""),"-","")),{"gennaio","febbraio","marzo","aprile","maggio","giugno","luglio","agosto","settembre","ottobre","novembre","dicembre"},0),"00"),TEXT(MONTH(Q77)*29,"mm"))</f>
        <v>04</v>
      </c>
      <c r="T77" s="35">
        <f t="shared" si="17"/>
        <v>1792</v>
      </c>
      <c r="U77" s="31"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6"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31"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31">
        <v>75</v>
      </c>
      <c r="Y77" s="31" t="str">
        <f t="shared" si="18"/>
        <v>['Pio VI', 'Enciclica', 'Dum Nos', 'pivi-enc-dun', '19 aprile 1792', '19/04/1792', '1792/04/19'],</v>
      </c>
      <c r="Z77" s="31" t="str">
        <f t="shared" si="19"/>
        <v>Dum Nos (19 aprile 1792) | Pio VI</v>
      </c>
      <c r="AA77" s="31" t="str">
        <f t="shared" si="20"/>
        <v>Enciclica Dum Nos</v>
      </c>
      <c r="AB77" s="31" t="str">
        <f t="shared" si="21"/>
        <v>Enciclica Dum Nos</v>
      </c>
      <c r="AC77" s="31" t="str">
        <f t="shared" si="22"/>
        <v>Pio VI, Lettera Enciclica Dum Nos, 19 aprile 1792</v>
      </c>
      <c r="AD77" s="31" t="str">
        <f t="shared" si="23"/>
        <v>1792-04-19T08:00:00.000+02:00</v>
      </c>
      <c r="AE77" s="31" t="str">
        <f t="shared" si="24"/>
        <v>pivi-enc-dun</v>
      </c>
      <c r="AF77" s="31" t="str">
        <f t="shared" si="25"/>
        <v>Pio VI - Lettera Enciclica - Dum Nos</v>
      </c>
    </row>
    <row r="78" spans="2:32" s="31" customFormat="1" x14ac:dyDescent="0.2">
      <c r="B78" s="31">
        <v>250</v>
      </c>
      <c r="C78" s="34" t="s">
        <v>1547</v>
      </c>
      <c r="D78" s="31" t="s">
        <v>715</v>
      </c>
      <c r="E78" s="31" t="s">
        <v>714</v>
      </c>
      <c r="F78" s="31" t="s">
        <v>675</v>
      </c>
      <c r="G78" s="31" t="s">
        <v>674</v>
      </c>
      <c r="H78" s="31" t="str">
        <f t="shared" si="14"/>
        <v>Pio VI</v>
      </c>
      <c r="K78" s="31" t="s">
        <v>825</v>
      </c>
      <c r="L78" s="31" t="str">
        <f t="shared" si="15"/>
        <v>Breve</v>
      </c>
      <c r="M78" s="31" t="s">
        <v>577</v>
      </c>
      <c r="O78" s="31" t="s">
        <v>918</v>
      </c>
      <c r="P78" s="31" t="s">
        <v>1619</v>
      </c>
      <c r="Q78" s="31" t="s">
        <v>919</v>
      </c>
      <c r="R78" s="35" t="str">
        <f t="shared" si="16"/>
        <v>30</v>
      </c>
      <c r="S78" s="35" t="str">
        <f>IF(ISERROR(DAY(Q78)),TEXT(MATCH(TRIM(SUBSTITUTE(SUBSTITUTE(SUBSTITUTE(SUBSTITUTE(SUBSTITUTE(SUBSTITUTE(SUBSTITUTE(SUBSTITUTE(SUBSTITUTE(SUBSTITUTE(SUBSTITUTE(Q78,1,""),2,""),3,""),4,""),5,""),6,""),7,""),8,""),9,""),0,""),"-","")),{"gennaio","febbraio","marzo","aprile","maggio","giugno","luglio","agosto","settembre","ottobre","novembre","dicembre"},0),"00"),TEXT(MONTH(Q78)*29,"mm"))</f>
        <v>05</v>
      </c>
      <c r="T78" s="35">
        <f t="shared" si="17"/>
        <v>1792</v>
      </c>
      <c r="U78" s="31"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6"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31"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31">
        <v>76</v>
      </c>
      <c r="Y78" s="31" t="str">
        <f t="shared" si="18"/>
        <v>['Pio VI', 'Breve', 'Quo fluctu', 'pivi-bre-quf', '30 maggio 1792', '30/05/1792', '1792/05/30'],</v>
      </c>
      <c r="Z78" s="31" t="str">
        <f t="shared" si="19"/>
        <v>Quo fluctu (30 maggio 1792) | Pio VI</v>
      </c>
      <c r="AA78" s="31" t="str">
        <f t="shared" si="20"/>
        <v>Breve Quo fluctu</v>
      </c>
      <c r="AB78" s="31" t="str">
        <f t="shared" si="21"/>
        <v>Breve Quo fluctu</v>
      </c>
      <c r="AC78" s="31" t="str">
        <f t="shared" si="22"/>
        <v>Pio VI, Breve Quo fluctu, 30 maggio 1792</v>
      </c>
      <c r="AD78" s="31" t="str">
        <f t="shared" si="23"/>
        <v>1792-05-30T08:00:00.000+02:00</v>
      </c>
      <c r="AE78" s="31" t="str">
        <f t="shared" si="24"/>
        <v>pivi-bre-quf</v>
      </c>
      <c r="AF78" s="31" t="str">
        <f t="shared" si="25"/>
        <v>Pio VI - Breve - Quo fluctu</v>
      </c>
    </row>
    <row r="79" spans="2:32" s="31" customFormat="1" x14ac:dyDescent="0.2">
      <c r="B79" s="31">
        <v>250</v>
      </c>
      <c r="C79" s="34" t="s">
        <v>1548</v>
      </c>
      <c r="D79" s="31" t="s">
        <v>715</v>
      </c>
      <c r="E79" s="31" t="s">
        <v>714</v>
      </c>
      <c r="F79" s="31" t="s">
        <v>675</v>
      </c>
      <c r="G79" s="31" t="s">
        <v>674</v>
      </c>
      <c r="H79" s="31" t="str">
        <f t="shared" si="14"/>
        <v>Pio VI</v>
      </c>
      <c r="I79" s="31" t="s">
        <v>603</v>
      </c>
      <c r="J79" s="31" t="s">
        <v>829</v>
      </c>
      <c r="K79" s="31" t="s">
        <v>694</v>
      </c>
      <c r="L79" s="31" t="str">
        <f t="shared" si="15"/>
        <v>Lettera Enciclica</v>
      </c>
      <c r="M79" s="31" t="s">
        <v>579</v>
      </c>
      <c r="O79" s="31" t="s">
        <v>326</v>
      </c>
      <c r="P79" s="31" t="s">
        <v>966</v>
      </c>
      <c r="Q79" s="31" t="s">
        <v>917</v>
      </c>
      <c r="R79" s="35" t="str">
        <f t="shared" si="16"/>
        <v>13</v>
      </c>
      <c r="S79" s="35" t="str">
        <f>IF(ISERROR(DAY(Q79)),TEXT(MATCH(TRIM(SUBSTITUTE(SUBSTITUTE(SUBSTITUTE(SUBSTITUTE(SUBSTITUTE(SUBSTITUTE(SUBSTITUTE(SUBSTITUTE(SUBSTITUTE(SUBSTITUTE(SUBSTITUTE(Q79,1,""),2,""),3,""),4,""),5,""),6,""),7,""),8,""),9,""),0,""),"-","")),{"gennaio","febbraio","marzo","aprile","maggio","giugno","luglio","agosto","settembre","ottobre","novembre","dicembre"},0),"00"),TEXT(MONTH(Q79)*29,"mm"))</f>
        <v>06</v>
      </c>
      <c r="T79" s="35">
        <f t="shared" si="17"/>
        <v>1792</v>
      </c>
      <c r="U79" s="31"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6"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31"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31">
        <v>77</v>
      </c>
      <c r="Y79" s="31" t="str">
        <f t="shared" si="18"/>
        <v>['Pio VI', 'Enciclica', 'Ubi Lutetiam', 'pivi-enc-ubl', '13 giugno 1792', '13/06/1792', '1792/06/13'],</v>
      </c>
      <c r="Z79" s="31" t="str">
        <f t="shared" si="19"/>
        <v>Ubi Lutetiam (13 giugno 1792) | Pio VI</v>
      </c>
      <c r="AA79" s="31" t="str">
        <f t="shared" si="20"/>
        <v>Enciclica Ubi Lutetiam</v>
      </c>
      <c r="AB79" s="31" t="str">
        <f t="shared" si="21"/>
        <v>Enciclica Ubi Lutetiam</v>
      </c>
      <c r="AC79" s="31" t="str">
        <f t="shared" si="22"/>
        <v>Pio VI, Lettera Enciclica Ubi Lutetiam, 13 giugno 1792</v>
      </c>
      <c r="AD79" s="31" t="str">
        <f t="shared" si="23"/>
        <v>1792-06-13T08:00:00.000+02:00</v>
      </c>
      <c r="AE79" s="31" t="str">
        <f t="shared" si="24"/>
        <v>pivi-enc-ubl</v>
      </c>
      <c r="AF79" s="31" t="str">
        <f t="shared" si="25"/>
        <v>Pio VI - Lettera Enciclica - Ubi Lutetiam</v>
      </c>
    </row>
    <row r="80" spans="2:32" s="31" customFormat="1" x14ac:dyDescent="0.2">
      <c r="B80" s="31">
        <v>250</v>
      </c>
      <c r="C80" s="34" t="s">
        <v>1549</v>
      </c>
      <c r="D80" s="31" t="s">
        <v>715</v>
      </c>
      <c r="E80" s="31" t="s">
        <v>714</v>
      </c>
      <c r="F80" s="31" t="s">
        <v>675</v>
      </c>
      <c r="G80" s="31" t="s">
        <v>674</v>
      </c>
      <c r="H80" s="31" t="str">
        <f t="shared" si="14"/>
        <v>Pio VI</v>
      </c>
      <c r="I80" s="31" t="s">
        <v>603</v>
      </c>
      <c r="J80" s="31" t="s">
        <v>829</v>
      </c>
      <c r="K80" s="31" t="s">
        <v>694</v>
      </c>
      <c r="L80" s="31" t="str">
        <f t="shared" si="15"/>
        <v>Lettera Enciclica</v>
      </c>
      <c r="M80" s="31" t="s">
        <v>579</v>
      </c>
      <c r="O80" s="31" t="s">
        <v>327</v>
      </c>
      <c r="P80" s="31" t="s">
        <v>967</v>
      </c>
      <c r="Q80" s="31" t="s">
        <v>916</v>
      </c>
      <c r="R80" s="35" t="str">
        <f t="shared" si="16"/>
        <v>21</v>
      </c>
      <c r="S80" s="35" t="str">
        <f>IF(ISERROR(DAY(Q80)),TEXT(MATCH(TRIM(SUBSTITUTE(SUBSTITUTE(SUBSTITUTE(SUBSTITUTE(SUBSTITUTE(SUBSTITUTE(SUBSTITUTE(SUBSTITUTE(SUBSTITUTE(SUBSTITUTE(SUBSTITUTE(Q80,1,""),2,""),3,""),4,""),5,""),6,""),7,""),8,""),9,""),0,""),"-","")),{"gennaio","febbraio","marzo","aprile","maggio","giugno","luglio","agosto","settembre","ottobre","novembre","dicembre"},0),"00"),TEXT(MONTH(Q80)*29,"mm"))</f>
        <v>11</v>
      </c>
      <c r="T80" s="35">
        <f t="shared" si="17"/>
        <v>1792</v>
      </c>
      <c r="U80" s="31"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6"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31"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31">
        <v>78</v>
      </c>
      <c r="Y80" s="31" t="str">
        <f t="shared" si="18"/>
        <v>['Pio VI', 'Enciclica', 'Ignotae nemini', 'pivi-enc-ign', '21 novembre 1792', '21/11/1792', '1792/11/21'],</v>
      </c>
      <c r="Z80" s="31" t="str">
        <f t="shared" si="19"/>
        <v>Ignotae nemini (21 novembre 1792) | Pio VI</v>
      </c>
      <c r="AA80" s="31" t="str">
        <f t="shared" si="20"/>
        <v>Enciclica Ignotae nemini</v>
      </c>
      <c r="AB80" s="31" t="str">
        <f t="shared" si="21"/>
        <v>Enciclica Ignotae nemini</v>
      </c>
      <c r="AC80" s="31" t="str">
        <f t="shared" si="22"/>
        <v>Pio VI, Lettera Enciclica Ignotae nemini, 21 novembre 1792</v>
      </c>
      <c r="AD80" s="31" t="str">
        <f t="shared" si="23"/>
        <v>1792-11-21T08:00:00.000+02:00</v>
      </c>
      <c r="AE80" s="31" t="str">
        <f t="shared" si="24"/>
        <v>pivi-enc-ign</v>
      </c>
      <c r="AF80" s="31" t="str">
        <f t="shared" si="25"/>
        <v>Pio VI - Lettera Enciclica - Ignotae nemini</v>
      </c>
    </row>
    <row r="81" spans="2:32" s="31" customFormat="1" x14ac:dyDescent="0.2">
      <c r="B81" s="31">
        <v>250</v>
      </c>
      <c r="C81" s="34" t="s">
        <v>1550</v>
      </c>
      <c r="D81" s="31" t="s">
        <v>715</v>
      </c>
      <c r="E81" s="31" t="s">
        <v>714</v>
      </c>
      <c r="F81" s="31" t="s">
        <v>675</v>
      </c>
      <c r="G81" s="31" t="s">
        <v>674</v>
      </c>
      <c r="H81" s="31" t="str">
        <f t="shared" si="14"/>
        <v>Pio VI</v>
      </c>
      <c r="K81" s="31" t="s">
        <v>825</v>
      </c>
      <c r="L81" s="31" t="str">
        <f t="shared" si="15"/>
        <v>Breve</v>
      </c>
      <c r="M81" s="31" t="s">
        <v>577</v>
      </c>
      <c r="O81" s="31" t="s">
        <v>914</v>
      </c>
      <c r="P81" s="31" t="s">
        <v>1003</v>
      </c>
      <c r="Q81" s="31" t="s">
        <v>915</v>
      </c>
      <c r="R81" s="35" t="str">
        <f t="shared" si="16"/>
        <v>24</v>
      </c>
      <c r="S81" s="35" t="str">
        <f>IF(ISERROR(DAY(Q81)),TEXT(MATCH(TRIM(SUBSTITUTE(SUBSTITUTE(SUBSTITUTE(SUBSTITUTE(SUBSTITUTE(SUBSTITUTE(SUBSTITUTE(SUBSTITUTE(SUBSTITUTE(SUBSTITUTE(SUBSTITUTE(Q81,1,""),2,""),3,""),4,""),5,""),6,""),7,""),8,""),9,""),0,""),"-","")),{"gennaio","febbraio","marzo","aprile","maggio","giugno","luglio","agosto","settembre","ottobre","novembre","dicembre"},0),"00"),TEXT(MONTH(Q81)*29,"mm"))</f>
        <v>11</v>
      </c>
      <c r="T81" s="35">
        <f t="shared" si="17"/>
        <v>1792</v>
      </c>
      <c r="U81" s="31"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6"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31"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31">
        <v>79</v>
      </c>
      <c r="Y81" s="31" t="str">
        <f t="shared" si="18"/>
        <v>['Pio VI', 'Breve', 'Quae causa', 'pivi-bre-quc', '24 novembre 1792', '24/11/1792', '1792/11/24'],</v>
      </c>
      <c r="Z81" s="31" t="str">
        <f t="shared" si="19"/>
        <v>Quae causa (24 novembre 1792) | Pio VI</v>
      </c>
      <c r="AA81" s="31" t="str">
        <f t="shared" si="20"/>
        <v>Breve Quae causa</v>
      </c>
      <c r="AB81" s="31" t="str">
        <f t="shared" si="21"/>
        <v>Breve Quae causa</v>
      </c>
      <c r="AC81" s="31" t="str">
        <f t="shared" si="22"/>
        <v>Pio VI, Breve Quae causa, 24 novembre 1792</v>
      </c>
      <c r="AD81" s="31" t="str">
        <f t="shared" si="23"/>
        <v>1792-11-24T08:00:00.000+02:00</v>
      </c>
      <c r="AE81" s="31" t="str">
        <f t="shared" si="24"/>
        <v>pivi-bre-quc</v>
      </c>
      <c r="AF81" s="31" t="str">
        <f t="shared" si="25"/>
        <v>Pio VI - Breve - Quae causa</v>
      </c>
    </row>
    <row r="82" spans="2:32" s="31" customFormat="1" x14ac:dyDescent="0.2">
      <c r="B82" s="31">
        <v>250</v>
      </c>
      <c r="C82" s="34" t="s">
        <v>1551</v>
      </c>
      <c r="D82" s="31" t="s">
        <v>715</v>
      </c>
      <c r="E82" s="31" t="s">
        <v>714</v>
      </c>
      <c r="F82" s="31" t="s">
        <v>675</v>
      </c>
      <c r="G82" s="31" t="s">
        <v>674</v>
      </c>
      <c r="H82" s="31" t="str">
        <f t="shared" si="14"/>
        <v>Pio VI</v>
      </c>
      <c r="K82" s="31" t="s">
        <v>911</v>
      </c>
      <c r="L82" s="31" t="str">
        <f t="shared" si="15"/>
        <v>Dichiarazione</v>
      </c>
      <c r="M82" s="31" t="s">
        <v>952</v>
      </c>
      <c r="O82" s="31" t="s">
        <v>912</v>
      </c>
      <c r="P82" s="31" t="s">
        <v>1620</v>
      </c>
      <c r="Q82" s="31" t="s">
        <v>913</v>
      </c>
      <c r="R82" s="35" t="str">
        <f t="shared" si="16"/>
        <v>10</v>
      </c>
      <c r="S82" s="35" t="str">
        <f>IF(ISERROR(DAY(Q82)),TEXT(MATCH(TRIM(SUBSTITUTE(SUBSTITUTE(SUBSTITUTE(SUBSTITUTE(SUBSTITUTE(SUBSTITUTE(SUBSTITUTE(SUBSTITUTE(SUBSTITUTE(SUBSTITUTE(SUBSTITUTE(Q82,1,""),2,""),3,""),4,""),5,""),6,""),7,""),8,""),9,""),0,""),"-","")),{"gennaio","febbraio","marzo","aprile","maggio","giugno","luglio","agosto","settembre","ottobre","novembre","dicembre"},0),"00"),TEXT(MONTH(Q82)*29,"mm"))</f>
        <v>12</v>
      </c>
      <c r="T82" s="35">
        <f t="shared" si="17"/>
        <v>1792</v>
      </c>
      <c r="U82" s="31"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6"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31"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31">
        <v>80</v>
      </c>
      <c r="Y82" s="31" t="str">
        <f t="shared" si="18"/>
        <v>['Pio VI', 'Dichiarazione', 'Perpensis circumstantiis', 'pivi-dic-pec', '10 dicembre 1792', '10/12/1792', '1792/12/10'],</v>
      </c>
      <c r="Z82" s="31" t="str">
        <f t="shared" si="19"/>
        <v>Perpensis circumstantiis (10 dicembre 1792) | Pio VI</v>
      </c>
      <c r="AA82" s="31" t="str">
        <f t="shared" si="20"/>
        <v>Dichiarazione Perpensis circumstantiis</v>
      </c>
      <c r="AB82" s="31" t="str">
        <f t="shared" si="21"/>
        <v>Dichiarazione Perpensis circumstantiis</v>
      </c>
      <c r="AC82" s="31" t="str">
        <f t="shared" si="22"/>
        <v>Pio VI, Dichiarazione Perpensis circumstantiis, 10 dicembre 1792</v>
      </c>
      <c r="AD82" s="31" t="str">
        <f t="shared" si="23"/>
        <v>1792-12-10T08:00:00.000+02:00</v>
      </c>
      <c r="AE82" s="31" t="str">
        <f t="shared" si="24"/>
        <v>pivi-dic-pec</v>
      </c>
      <c r="AF82" s="31" t="str">
        <f t="shared" si="25"/>
        <v>Pio VI - Dichiarazione - Perpensis circumstantiis</v>
      </c>
    </row>
    <row r="83" spans="2:32" s="31" customFormat="1" x14ac:dyDescent="0.2">
      <c r="B83" s="31">
        <v>250</v>
      </c>
      <c r="C83" s="34" t="s">
        <v>1552</v>
      </c>
      <c r="D83" s="31" t="s">
        <v>715</v>
      </c>
      <c r="E83" s="31" t="s">
        <v>714</v>
      </c>
      <c r="F83" s="31" t="s">
        <v>675</v>
      </c>
      <c r="G83" s="31" t="s">
        <v>674</v>
      </c>
      <c r="H83" s="31" t="str">
        <f t="shared" si="14"/>
        <v>Pio VI</v>
      </c>
      <c r="K83" s="31" t="s">
        <v>908</v>
      </c>
      <c r="L83" s="31" t="str">
        <f t="shared" si="15"/>
        <v>Allocuzione</v>
      </c>
      <c r="M83" s="31" t="s">
        <v>948</v>
      </c>
      <c r="O83" s="31" t="s">
        <v>909</v>
      </c>
      <c r="P83" s="31" t="s">
        <v>1616</v>
      </c>
      <c r="Q83" s="31" t="s">
        <v>910</v>
      </c>
      <c r="R83" s="35" t="str">
        <f t="shared" si="16"/>
        <v>17</v>
      </c>
      <c r="S83" s="35" t="str">
        <f>IF(ISERROR(DAY(Q83)),TEXT(MATCH(TRIM(SUBSTITUTE(SUBSTITUTE(SUBSTITUTE(SUBSTITUTE(SUBSTITUTE(SUBSTITUTE(SUBSTITUTE(SUBSTITUTE(SUBSTITUTE(SUBSTITUTE(SUBSTITUTE(Q83,1,""),2,""),3,""),4,""),5,""),6,""),7,""),8,""),9,""),0,""),"-","")),{"gennaio","febbraio","marzo","aprile","maggio","giugno","luglio","agosto","settembre","ottobre","novembre","dicembre"},0),"00"),TEXT(MONTH(Q83)*29,"mm"))</f>
        <v>06</v>
      </c>
      <c r="T83" s="35">
        <f t="shared" si="17"/>
        <v>1793</v>
      </c>
      <c r="U83" s="31"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6"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31"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31">
        <v>81</v>
      </c>
      <c r="Y83" s="31" t="str">
        <f t="shared" si="18"/>
        <v>['Pio VI', 'Allocuzione', 'Quare lacrymae', 'pivi-all-qul', '17 giugno 1793', '17/06/1793', '1793/06/17'],</v>
      </c>
      <c r="Z83" s="31" t="str">
        <f t="shared" si="19"/>
        <v>Quare lacrymae (17 giugno 1793) | Pio VI</v>
      </c>
      <c r="AA83" s="31" t="str">
        <f t="shared" si="20"/>
        <v>Allocuzione Quare lacrymae</v>
      </c>
      <c r="AB83" s="31" t="str">
        <f t="shared" si="21"/>
        <v>Allocuzione Quare lacrymae</v>
      </c>
      <c r="AC83" s="31" t="str">
        <f t="shared" si="22"/>
        <v>Pio VI, Allocuzione Quare lacrymae, 17 giugno 1793</v>
      </c>
      <c r="AD83" s="31" t="str">
        <f t="shared" si="23"/>
        <v>1793-06-17T08:00:00.000+02:00</v>
      </c>
      <c r="AE83" s="31" t="str">
        <f t="shared" si="24"/>
        <v>pivi-all-qul</v>
      </c>
      <c r="AF83" s="31" t="str">
        <f t="shared" si="25"/>
        <v>Pio VI - Allocuzione - Quare lacrymae</v>
      </c>
    </row>
    <row r="84" spans="2:32" s="31" customFormat="1" x14ac:dyDescent="0.2">
      <c r="B84" s="31">
        <v>250</v>
      </c>
      <c r="C84" s="34" t="s">
        <v>1553</v>
      </c>
      <c r="D84" s="31" t="s">
        <v>715</v>
      </c>
      <c r="E84" s="31" t="s">
        <v>714</v>
      </c>
      <c r="F84" s="31" t="s">
        <v>675</v>
      </c>
      <c r="G84" s="31" t="s">
        <v>674</v>
      </c>
      <c r="H84" s="31" t="str">
        <f t="shared" si="14"/>
        <v>Pio VI</v>
      </c>
      <c r="I84" s="31" t="s">
        <v>603</v>
      </c>
      <c r="J84" s="31" t="s">
        <v>829</v>
      </c>
      <c r="K84" s="31" t="s">
        <v>694</v>
      </c>
      <c r="L84" s="31" t="str">
        <f t="shared" si="15"/>
        <v>Lettera Enciclica</v>
      </c>
      <c r="M84" s="31" t="s">
        <v>579</v>
      </c>
      <c r="O84" s="31" t="s">
        <v>328</v>
      </c>
      <c r="P84" s="31" t="s">
        <v>968</v>
      </c>
      <c r="Q84" s="31" t="s">
        <v>907</v>
      </c>
      <c r="R84" s="35" t="str">
        <f t="shared" si="16"/>
        <v>31</v>
      </c>
      <c r="S84" s="35" t="str">
        <f>IF(ISERROR(DAY(Q84)),TEXT(MATCH(TRIM(SUBSTITUTE(SUBSTITUTE(SUBSTITUTE(SUBSTITUTE(SUBSTITUTE(SUBSTITUTE(SUBSTITUTE(SUBSTITUTE(SUBSTITUTE(SUBSTITUTE(SUBSTITUTE(Q84,1,""),2,""),3,""),4,""),5,""),6,""),7,""),8,""),9,""),0,""),"-","")),{"gennaio","febbraio","marzo","aprile","maggio","giugno","luglio","agosto","settembre","ottobre","novembre","dicembre"},0),"00"),TEXT(MONTH(Q84)*29,"mm"))</f>
        <v>07</v>
      </c>
      <c r="T84" s="35">
        <f t="shared" si="17"/>
        <v>1793</v>
      </c>
      <c r="U84" s="31"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6"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31"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31">
        <v>82</v>
      </c>
      <c r="Y84" s="31" t="str">
        <f t="shared" si="18"/>
        <v>['Pio VI', 'Enciclica', 'Ad nostras manus', 'pivi-enc-anm', '31 luglio 1793', '31/07/1793', '1793/07/31'],</v>
      </c>
      <c r="Z84" s="31" t="str">
        <f t="shared" si="19"/>
        <v>Ad nostras manus (31 luglio 1793) | Pio VI</v>
      </c>
      <c r="AA84" s="31" t="str">
        <f t="shared" si="20"/>
        <v>Enciclica Ad nostras manus</v>
      </c>
      <c r="AB84" s="31" t="str">
        <f t="shared" si="21"/>
        <v>Enciclica Ad nostras manus</v>
      </c>
      <c r="AC84" s="31" t="str">
        <f t="shared" si="22"/>
        <v>Pio VI, Lettera Enciclica Ad nostras manus, 31 luglio 1793</v>
      </c>
      <c r="AD84" s="31" t="str">
        <f t="shared" si="23"/>
        <v>1793-07-31T08:00:00.000+02:00</v>
      </c>
      <c r="AE84" s="31" t="str">
        <f t="shared" si="24"/>
        <v>pivi-enc-anm</v>
      </c>
      <c r="AF84" s="31" t="str">
        <f t="shared" si="25"/>
        <v>Pio VI - Lettera Enciclica - Ad nostras manus</v>
      </c>
    </row>
    <row r="85" spans="2:32" s="31" customFormat="1" x14ac:dyDescent="0.2">
      <c r="B85" s="31">
        <v>250</v>
      </c>
      <c r="C85" s="34" t="s">
        <v>1554</v>
      </c>
      <c r="D85" s="31" t="s">
        <v>715</v>
      </c>
      <c r="E85" s="31" t="s">
        <v>714</v>
      </c>
      <c r="F85" s="31" t="s">
        <v>675</v>
      </c>
      <c r="G85" s="31" t="s">
        <v>674</v>
      </c>
      <c r="H85" s="31" t="str">
        <f t="shared" si="14"/>
        <v>Pio VI</v>
      </c>
      <c r="K85" s="31" t="s">
        <v>824</v>
      </c>
      <c r="L85" s="31" t="str">
        <f t="shared" si="15"/>
        <v>Bolla</v>
      </c>
      <c r="M85" s="31" t="s">
        <v>564</v>
      </c>
      <c r="O85" s="31" t="s">
        <v>905</v>
      </c>
      <c r="P85" s="31" t="s">
        <v>1621</v>
      </c>
      <c r="Q85" s="31" t="s">
        <v>906</v>
      </c>
      <c r="R85" s="35" t="str">
        <f t="shared" si="16"/>
        <v>28</v>
      </c>
      <c r="S85" s="35" t="str">
        <f>IF(ISERROR(DAY(Q85)),TEXT(MATCH(TRIM(SUBSTITUTE(SUBSTITUTE(SUBSTITUTE(SUBSTITUTE(SUBSTITUTE(SUBSTITUTE(SUBSTITUTE(SUBSTITUTE(SUBSTITUTE(SUBSTITUTE(SUBSTITUTE(Q85,1,""),2,""),3,""),4,""),5,""),6,""),7,""),8,""),9,""),0,""),"-","")),{"gennaio","febbraio","marzo","aprile","maggio","giugno","luglio","agosto","settembre","ottobre","novembre","dicembre"},0),"00"),TEXT(MONTH(Q85)*29,"mm"))</f>
        <v>08</v>
      </c>
      <c r="T85" s="35">
        <f t="shared" si="17"/>
        <v>1794</v>
      </c>
      <c r="U85" s="31"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6"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31"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31">
        <v>83</v>
      </c>
      <c r="Y85" s="31" t="str">
        <f t="shared" si="18"/>
        <v>['Pio VI', 'Bolla', 'Auctorem fidei', 'pivi-bol-auf', '28 agosto 1794', '28/08/1794', '1794/08/28'],</v>
      </c>
      <c r="Z85" s="31" t="str">
        <f t="shared" si="19"/>
        <v>Auctorem fidei (28 agosto 1794) | Pio VI</v>
      </c>
      <c r="AA85" s="31" t="str">
        <f t="shared" si="20"/>
        <v>Bolla Auctorem fidei</v>
      </c>
      <c r="AB85" s="31" t="str">
        <f t="shared" si="21"/>
        <v>Bolla Auctorem fidei</v>
      </c>
      <c r="AC85" s="31" t="str">
        <f t="shared" si="22"/>
        <v>Pio VI, Bolla Auctorem fidei, 28 agosto 1794</v>
      </c>
      <c r="AD85" s="31" t="str">
        <f t="shared" si="23"/>
        <v>1794-08-28T08:00:00.000+02:00</v>
      </c>
      <c r="AE85" s="31" t="str">
        <f t="shared" si="24"/>
        <v>pivi-bol-auf</v>
      </c>
      <c r="AF85" s="31" t="str">
        <f t="shared" si="25"/>
        <v>Pio VI - Bolla - Auctorem fidei</v>
      </c>
    </row>
    <row r="86" spans="2:32" s="31" customFormat="1" x14ac:dyDescent="0.2">
      <c r="B86" s="31">
        <v>250</v>
      </c>
      <c r="C86" s="34" t="s">
        <v>1555</v>
      </c>
      <c r="D86" s="31" t="s">
        <v>715</v>
      </c>
      <c r="E86" s="31" t="s">
        <v>714</v>
      </c>
      <c r="F86" s="31" t="s">
        <v>675</v>
      </c>
      <c r="G86" s="31" t="s">
        <v>674</v>
      </c>
      <c r="H86" s="31" t="str">
        <f t="shared" si="14"/>
        <v>Pio VI</v>
      </c>
      <c r="K86" s="31" t="s">
        <v>824</v>
      </c>
      <c r="L86" s="31" t="str">
        <f t="shared" si="15"/>
        <v>Bolla</v>
      </c>
      <c r="M86" s="31" t="s">
        <v>564</v>
      </c>
      <c r="O86" s="31" t="s">
        <v>903</v>
      </c>
      <c r="P86" s="31" t="s">
        <v>1622</v>
      </c>
      <c r="Q86" s="31" t="s">
        <v>904</v>
      </c>
      <c r="R86" s="35" t="str">
        <f t="shared" si="16"/>
        <v>30</v>
      </c>
      <c r="S86" s="35" t="str">
        <f>IF(ISERROR(DAY(Q86)),TEXT(MATCH(TRIM(SUBSTITUTE(SUBSTITUTE(SUBSTITUTE(SUBSTITUTE(SUBSTITUTE(SUBSTITUTE(SUBSTITUTE(SUBSTITUTE(SUBSTITUTE(SUBSTITUTE(SUBSTITUTE(Q86,1,""),2,""),3,""),4,""),5,""),6,""),7,""),8,""),9,""),0,""),"-","")),{"gennaio","febbraio","marzo","aprile","maggio","giugno","luglio","agosto","settembre","ottobre","novembre","dicembre"},0),"00"),TEXT(MONTH(Q86)*29,"mm"))</f>
        <v>12</v>
      </c>
      <c r="T86" s="35">
        <f t="shared" si="17"/>
        <v>1797</v>
      </c>
      <c r="U86" s="31"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6"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31"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31">
        <v>84</v>
      </c>
      <c r="Y86" s="31" t="str">
        <f t="shared" si="18"/>
        <v>['Pio VI', 'Bolla', 'Christi Ecclesiae', 'pivi-bol-che', '30 dicembre 1797', '30/12/1797', '1797/12/30'],</v>
      </c>
      <c r="Z86" s="31" t="str">
        <f t="shared" si="19"/>
        <v>Christi Ecclesiae (30 dicembre 1797) | Pio VI</v>
      </c>
      <c r="AA86" s="31" t="str">
        <f t="shared" si="20"/>
        <v>Bolla Christi Ecclesiae</v>
      </c>
      <c r="AB86" s="31" t="str">
        <f t="shared" si="21"/>
        <v>Bolla Christi Ecclesiae</v>
      </c>
      <c r="AC86" s="31" t="str">
        <f t="shared" si="22"/>
        <v>Pio VI, Bolla Christi Ecclesiae, 30 dicembre 1797</v>
      </c>
      <c r="AD86" s="31" t="str">
        <f t="shared" si="23"/>
        <v>1797-12-30T08:00:00.000+02:00</v>
      </c>
      <c r="AE86" s="31" t="str">
        <f t="shared" si="24"/>
        <v>pivi-bol-che</v>
      </c>
      <c r="AF86" s="31" t="str">
        <f t="shared" si="25"/>
        <v>Pio VI - Bolla - Christi Ecclesiae</v>
      </c>
    </row>
    <row r="87" spans="2:32" s="31" customFormat="1" x14ac:dyDescent="0.2">
      <c r="B87" s="31">
        <v>250</v>
      </c>
      <c r="C87" s="34" t="s">
        <v>1556</v>
      </c>
      <c r="D87" s="31" t="s">
        <v>715</v>
      </c>
      <c r="E87" s="31" t="s">
        <v>714</v>
      </c>
      <c r="F87" s="31" t="s">
        <v>675</v>
      </c>
      <c r="G87" s="31" t="s">
        <v>674</v>
      </c>
      <c r="H87" s="31" t="str">
        <f t="shared" si="14"/>
        <v>Pio VI</v>
      </c>
      <c r="K87" s="31" t="s">
        <v>825</v>
      </c>
      <c r="L87" s="31" t="str">
        <f t="shared" si="15"/>
        <v>Breve</v>
      </c>
      <c r="M87" s="31" t="s">
        <v>577</v>
      </c>
      <c r="O87" s="31" t="s">
        <v>901</v>
      </c>
      <c r="P87" s="31" t="s">
        <v>1623</v>
      </c>
      <c r="Q87" s="31" t="s">
        <v>902</v>
      </c>
      <c r="R87" s="35" t="str">
        <f t="shared" si="16"/>
        <v>10</v>
      </c>
      <c r="S87" s="35" t="str">
        <f>IF(ISERROR(DAY(Q87)),TEXT(MATCH(TRIM(SUBSTITUTE(SUBSTITUTE(SUBSTITUTE(SUBSTITUTE(SUBSTITUTE(SUBSTITUTE(SUBSTITUTE(SUBSTITUTE(SUBSTITUTE(SUBSTITUTE(SUBSTITUTE(Q87,1,""),2,""),3,""),4,""),5,""),6,""),7,""),8,""),9,""),0,""),"-","")),{"gennaio","febbraio","marzo","aprile","maggio","giugno","luglio","agosto","settembre","ottobre","novembre","dicembre"},0),"00"),TEXT(MONTH(Q87)*29,"mm"))</f>
        <v>11</v>
      </c>
      <c r="T87" s="35">
        <f t="shared" si="17"/>
        <v>1798</v>
      </c>
      <c r="U87" s="31"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6"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31"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31">
        <v>85</v>
      </c>
      <c r="Y87" s="31" t="str">
        <f t="shared" si="18"/>
        <v>['Pio VI', 'Breve', 'Constantiam vestram', 'pivi-bre-cov', '10 novembre 1798', '10/11/1798', '1798/11/10'],</v>
      </c>
      <c r="Z87" s="31" t="str">
        <f t="shared" si="19"/>
        <v>Constantiam vestram (10 novembre 1798) | Pio VI</v>
      </c>
      <c r="AA87" s="31" t="str">
        <f t="shared" si="20"/>
        <v>Breve Constantiam vestram</v>
      </c>
      <c r="AB87" s="31" t="str">
        <f t="shared" si="21"/>
        <v>Breve Constantiam vestram</v>
      </c>
      <c r="AC87" s="31" t="str">
        <f t="shared" si="22"/>
        <v>Pio VI, Breve Constantiam vestram, 10 novembre 1798</v>
      </c>
      <c r="AD87" s="31" t="str">
        <f t="shared" si="23"/>
        <v>1798-11-10T08:00:00.000+02:00</v>
      </c>
      <c r="AE87" s="31" t="str">
        <f t="shared" si="24"/>
        <v>pivi-bre-cov</v>
      </c>
      <c r="AF87" s="31" t="str">
        <f t="shared" si="25"/>
        <v>Pio VI - Breve - Constantiam vestram</v>
      </c>
    </row>
    <row r="88" spans="2:32" s="31" customFormat="1" x14ac:dyDescent="0.2">
      <c r="B88" s="31">
        <v>250</v>
      </c>
      <c r="C88" s="34" t="s">
        <v>1557</v>
      </c>
      <c r="D88" s="31" t="s">
        <v>715</v>
      </c>
      <c r="E88" s="31" t="s">
        <v>714</v>
      </c>
      <c r="F88" s="31" t="s">
        <v>675</v>
      </c>
      <c r="G88" s="31" t="s">
        <v>674</v>
      </c>
      <c r="H88" s="31" t="str">
        <f t="shared" si="14"/>
        <v>Pio VI</v>
      </c>
      <c r="K88" s="31" t="s">
        <v>824</v>
      </c>
      <c r="L88" s="31" t="str">
        <f t="shared" si="15"/>
        <v>Bolla</v>
      </c>
      <c r="M88" s="31" t="s">
        <v>564</v>
      </c>
      <c r="O88" s="31" t="s">
        <v>899</v>
      </c>
      <c r="P88" s="31" t="s">
        <v>1624</v>
      </c>
      <c r="Q88" s="31" t="s">
        <v>900</v>
      </c>
      <c r="R88" s="35" t="str">
        <f t="shared" si="16"/>
        <v>13</v>
      </c>
      <c r="S88" s="35" t="str">
        <f>IF(ISERROR(DAY(Q88)),TEXT(MATCH(TRIM(SUBSTITUTE(SUBSTITUTE(SUBSTITUTE(SUBSTITUTE(SUBSTITUTE(SUBSTITUTE(SUBSTITUTE(SUBSTITUTE(SUBSTITUTE(SUBSTITUTE(SUBSTITUTE(Q88,1,""),2,""),3,""),4,""),5,""),6,""),7,""),8,""),9,""),0,""),"-","")),{"gennaio","febbraio","marzo","aprile","maggio","giugno","luglio","agosto","settembre","ottobre","novembre","dicembre"},0),"00"),TEXT(MONTH(Q88)*29,"mm"))</f>
        <v>11</v>
      </c>
      <c r="T88" s="35">
        <f t="shared" si="17"/>
        <v>1798</v>
      </c>
      <c r="U88" s="31"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6"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31"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31">
        <v>86</v>
      </c>
      <c r="Y88" s="31" t="str">
        <f t="shared" si="18"/>
        <v>['Pio VI', 'Bolla', 'Cum Nos superiori', 'pivi-bol-cns', '13 novembre 1798', '13/11/1798', '1798/11/13'],</v>
      </c>
      <c r="Z88" s="31" t="str">
        <f t="shared" si="19"/>
        <v>Cum Nos superiori (13 novembre 1798) | Pio VI</v>
      </c>
      <c r="AA88" s="31" t="str">
        <f t="shared" si="20"/>
        <v>Bolla Cum Nos superiori</v>
      </c>
      <c r="AB88" s="31" t="str">
        <f t="shared" si="21"/>
        <v>Bolla Cum Nos superiori</v>
      </c>
      <c r="AC88" s="31" t="str">
        <f t="shared" si="22"/>
        <v>Pio VI, Bolla Cum Nos superiori, 13 novembre 1798</v>
      </c>
      <c r="AD88" s="31" t="str">
        <f t="shared" si="23"/>
        <v>1798-11-13T08:00:00.000+02:00</v>
      </c>
      <c r="AE88" s="31" t="str">
        <f t="shared" si="24"/>
        <v>pivi-bol-cns</v>
      </c>
      <c r="AF88" s="31" t="str">
        <f t="shared" si="25"/>
        <v>Pio VI - Bolla - Cum Nos superiori</v>
      </c>
    </row>
    <row r="89" spans="2:32" s="31" customFormat="1" x14ac:dyDescent="0.2">
      <c r="B89" s="31">
        <v>250</v>
      </c>
      <c r="C89" s="34" t="s">
        <v>1558</v>
      </c>
      <c r="D89" s="31" t="s">
        <v>715</v>
      </c>
      <c r="E89" s="31" t="s">
        <v>714</v>
      </c>
      <c r="F89" s="31" t="s">
        <v>675</v>
      </c>
      <c r="G89" s="31" t="s">
        <v>674</v>
      </c>
      <c r="H89" s="31" t="str">
        <f t="shared" si="14"/>
        <v>Pio VI</v>
      </c>
      <c r="K89" s="31" t="s">
        <v>825</v>
      </c>
      <c r="L89" s="31" t="str">
        <f t="shared" si="15"/>
        <v>Breve</v>
      </c>
      <c r="M89" s="31" t="s">
        <v>577</v>
      </c>
      <c r="O89" s="31" t="s">
        <v>897</v>
      </c>
      <c r="P89" s="31" t="s">
        <v>1689</v>
      </c>
      <c r="Q89" s="31" t="s">
        <v>898</v>
      </c>
      <c r="R89" s="35" t="str">
        <f t="shared" si="16"/>
        <v>13</v>
      </c>
      <c r="S89" s="35" t="str">
        <f>IF(ISERROR(DAY(Q89)),TEXT(MATCH(TRIM(SUBSTITUTE(SUBSTITUTE(SUBSTITUTE(SUBSTITUTE(SUBSTITUTE(SUBSTITUTE(SUBSTITUTE(SUBSTITUTE(SUBSTITUTE(SUBSTITUTE(SUBSTITUTE(Q89,1,""),2,""),3,""),4,""),5,""),6,""),7,""),8,""),9,""),0,""),"-","")),{"gennaio","febbraio","marzo","aprile","maggio","giugno","luglio","agosto","settembre","ottobre","novembre","dicembre"},0),"00"),TEXT(MONTH(Q89)*29,"mm"))</f>
        <v>08</v>
      </c>
      <c r="T89" s="35">
        <f t="shared" si="17"/>
        <v>1799</v>
      </c>
      <c r="U89" s="31"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6"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31"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31">
        <v>87</v>
      </c>
      <c r="Y89" s="31" t="str">
        <f t="shared" si="18"/>
        <v>['Pio VI', 'Breve', 'Quoties animo', 'pivi-bre-qan', '13 agosto 1799', '13/08/1799', '1799/08/13'],</v>
      </c>
      <c r="Z89" s="31" t="str">
        <f t="shared" si="19"/>
        <v>Quoties animo (13 agosto 1799) | Pio VI</v>
      </c>
      <c r="AA89" s="31" t="str">
        <f t="shared" si="20"/>
        <v>Breve Quoties animo</v>
      </c>
      <c r="AB89" s="31" t="str">
        <f t="shared" si="21"/>
        <v>Breve Quoties animo</v>
      </c>
      <c r="AC89" s="31" t="str">
        <f t="shared" si="22"/>
        <v>Pio VI, Breve Quoties animo, 13 agosto 1799</v>
      </c>
      <c r="AD89" s="31" t="str">
        <f t="shared" si="23"/>
        <v>1799-08-13T08:00:00.000+02:00</v>
      </c>
      <c r="AE89" s="31" t="str">
        <f t="shared" si="24"/>
        <v>pivi-bre-qan</v>
      </c>
      <c r="AF89" s="31" t="str">
        <f t="shared" si="25"/>
        <v>Pio VI - Breve - Quoties animo</v>
      </c>
    </row>
    <row r="90" spans="2:32" s="31" customFormat="1" x14ac:dyDescent="0.2">
      <c r="B90" s="31">
        <v>251</v>
      </c>
      <c r="C90" s="34" t="s">
        <v>1513</v>
      </c>
      <c r="D90" s="31" t="s">
        <v>715</v>
      </c>
      <c r="E90" s="31" t="s">
        <v>720</v>
      </c>
      <c r="F90" s="31" t="s">
        <v>677</v>
      </c>
      <c r="G90" s="31" t="s">
        <v>676</v>
      </c>
      <c r="H90" s="31" t="str">
        <f t="shared" si="14"/>
        <v>Pio VII</v>
      </c>
      <c r="K90" s="31" t="s">
        <v>908</v>
      </c>
      <c r="L90" s="31" t="str">
        <f t="shared" si="15"/>
        <v>Allocuzione</v>
      </c>
      <c r="M90" s="31" t="s">
        <v>948</v>
      </c>
      <c r="O90" s="31" t="s">
        <v>1198</v>
      </c>
      <c r="P90" s="31" t="s">
        <v>1625</v>
      </c>
      <c r="Q90" s="31" t="s">
        <v>1218</v>
      </c>
      <c r="R90" s="35" t="str">
        <f t="shared" si="16"/>
        <v>28</v>
      </c>
      <c r="S90" s="35" t="str">
        <f>IF(ISERROR(DAY(Q90)),TEXT(MATCH(TRIM(SUBSTITUTE(SUBSTITUTE(SUBSTITUTE(SUBSTITUTE(SUBSTITUTE(SUBSTITUTE(SUBSTITUTE(SUBSTITUTE(SUBSTITUTE(SUBSTITUTE(SUBSTITUTE(Q90,1,""),2,""),3,""),4,""),5,""),6,""),7,""),8,""),9,""),0,""),"-","")),{"gennaio","febbraio","marzo","aprile","maggio","giugno","luglio","agosto","settembre","ottobre","novembre","dicembre"},0),"00"),TEXT(MONTH(Q90)*29,"mm"))</f>
        <v>03</v>
      </c>
      <c r="T90" s="35">
        <f t="shared" si="17"/>
        <v>1800</v>
      </c>
      <c r="U90" s="31"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6"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31"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31">
        <v>88</v>
      </c>
      <c r="Y90" s="31" t="str">
        <f t="shared" si="18"/>
        <v>['Pio VII', 'Allocuzione', 'Ad supremum', 'pivii-all-ads', '28 marzo 1800', '28/03/1800', '1800/03/28'],</v>
      </c>
      <c r="Z90" s="31" t="str">
        <f t="shared" si="19"/>
        <v>Ad supremum (28 marzo 1800) | Pio VII</v>
      </c>
      <c r="AA90" s="31" t="str">
        <f t="shared" si="20"/>
        <v>Allocuzione Ad supremum</v>
      </c>
      <c r="AB90" s="31" t="str">
        <f t="shared" si="21"/>
        <v>Allocuzione Ad supremum</v>
      </c>
      <c r="AC90" s="31" t="str">
        <f t="shared" si="22"/>
        <v>Pio VII, Allocuzione Ad supremum, 28 marzo 1800</v>
      </c>
      <c r="AD90" s="31" t="str">
        <f t="shared" si="23"/>
        <v>1800-03-28T08:00:00.000+02:00</v>
      </c>
      <c r="AE90" s="31" t="str">
        <f t="shared" si="24"/>
        <v>pivii-all-ads</v>
      </c>
      <c r="AF90" s="31" t="str">
        <f t="shared" si="25"/>
        <v>Pio VII - Allocuzione - Ad supremum</v>
      </c>
    </row>
    <row r="91" spans="2:32" s="31" customFormat="1" x14ac:dyDescent="0.2">
      <c r="B91" s="31">
        <v>251</v>
      </c>
      <c r="C91" s="34" t="s">
        <v>1512</v>
      </c>
      <c r="D91" s="31" t="s">
        <v>715</v>
      </c>
      <c r="E91" s="31" t="s">
        <v>720</v>
      </c>
      <c r="F91" s="31" t="s">
        <v>677</v>
      </c>
      <c r="G91" s="31" t="s">
        <v>676</v>
      </c>
      <c r="H91" s="31" t="str">
        <f t="shared" si="14"/>
        <v>Pio VII</v>
      </c>
      <c r="I91" s="31" t="s">
        <v>603</v>
      </c>
      <c r="J91" s="31" t="s">
        <v>829</v>
      </c>
      <c r="K91" s="31" t="s">
        <v>694</v>
      </c>
      <c r="L91" s="31" t="str">
        <f t="shared" si="15"/>
        <v>Lettera Enciclica</v>
      </c>
      <c r="M91" s="31" t="s">
        <v>579</v>
      </c>
      <c r="O91" s="31" t="s">
        <v>316</v>
      </c>
      <c r="P91" s="31" t="s">
        <v>566</v>
      </c>
      <c r="Q91" s="31" t="s">
        <v>1217</v>
      </c>
      <c r="R91" s="35" t="str">
        <f t="shared" si="16"/>
        <v>15</v>
      </c>
      <c r="S91" s="35" t="str">
        <f>IF(ISERROR(DAY(Q91)),TEXT(MATCH(TRIM(SUBSTITUTE(SUBSTITUTE(SUBSTITUTE(SUBSTITUTE(SUBSTITUTE(SUBSTITUTE(SUBSTITUTE(SUBSTITUTE(SUBSTITUTE(SUBSTITUTE(SUBSTITUTE(Q91,1,""),2,""),3,""),4,""),5,""),6,""),7,""),8,""),9,""),0,""),"-","")),{"gennaio","febbraio","marzo","aprile","maggio","giugno","luglio","agosto","settembre","ottobre","novembre","dicembre"},0),"00"),TEXT(MONTH(Q91)*29,"mm"))</f>
        <v>05</v>
      </c>
      <c r="T91" s="35">
        <f t="shared" si="17"/>
        <v>1800</v>
      </c>
      <c r="U91" s="31"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6"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31"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31">
        <v>89</v>
      </c>
      <c r="Y91" s="31" t="str">
        <f t="shared" si="18"/>
        <v>['Pio VII', 'Enciclica', 'Diu satis', 'pivii-enc-dis', '15 maggio 1800', '15/05/1800', '1800/05/15'],</v>
      </c>
      <c r="Z91" s="31" t="str">
        <f t="shared" si="19"/>
        <v>Diu satis (15 maggio 1800) | Pio VII</v>
      </c>
      <c r="AA91" s="31" t="str">
        <f t="shared" si="20"/>
        <v>Enciclica Diu satis</v>
      </c>
      <c r="AB91" s="31" t="str">
        <f t="shared" si="21"/>
        <v>Enciclica Diu satis</v>
      </c>
      <c r="AC91" s="31" t="str">
        <f t="shared" si="22"/>
        <v>Pio VII, Lettera Enciclica Diu satis, 15 maggio 1800</v>
      </c>
      <c r="AD91" s="31" t="str">
        <f t="shared" si="23"/>
        <v>1800-05-15T08:00:00.000+02:00</v>
      </c>
      <c r="AE91" s="31" t="str">
        <f t="shared" si="24"/>
        <v>pivii-enc-dis</v>
      </c>
      <c r="AF91" s="31" t="str">
        <f t="shared" si="25"/>
        <v>Pio VII - Lettera Enciclica - Diu satis</v>
      </c>
    </row>
    <row r="92" spans="2:32" s="31" customFormat="1" x14ac:dyDescent="0.2">
      <c r="B92" s="31">
        <v>251</v>
      </c>
      <c r="C92" s="34" t="s">
        <v>1511</v>
      </c>
      <c r="D92" s="31" t="s">
        <v>715</v>
      </c>
      <c r="E92" s="31" t="s">
        <v>720</v>
      </c>
      <c r="F92" s="31" t="s">
        <v>677</v>
      </c>
      <c r="G92" s="31" t="s">
        <v>676</v>
      </c>
      <c r="H92" s="31" t="str">
        <f t="shared" si="14"/>
        <v>Pio VII</v>
      </c>
      <c r="I92" s="31" t="s">
        <v>603</v>
      </c>
      <c r="J92" s="31" t="s">
        <v>829</v>
      </c>
      <c r="K92" s="31" t="s">
        <v>694</v>
      </c>
      <c r="L92" s="31" t="str">
        <f t="shared" si="15"/>
        <v>Lettera Enciclica</v>
      </c>
      <c r="M92" s="31" t="s">
        <v>579</v>
      </c>
      <c r="O92" s="31" t="s">
        <v>317</v>
      </c>
      <c r="P92" s="31" t="s">
        <v>969</v>
      </c>
      <c r="Q92" s="31" t="s">
        <v>1216</v>
      </c>
      <c r="R92" s="35" t="str">
        <f t="shared" si="16"/>
        <v>24</v>
      </c>
      <c r="S92" s="35" t="str">
        <f>IF(ISERROR(DAY(Q92)),TEXT(MATCH(TRIM(SUBSTITUTE(SUBSTITUTE(SUBSTITUTE(SUBSTITUTE(SUBSTITUTE(SUBSTITUTE(SUBSTITUTE(SUBSTITUTE(SUBSTITUTE(SUBSTITUTE(SUBSTITUTE(Q92,1,""),2,""),3,""),4,""),5,""),6,""),7,""),8,""),9,""),0,""),"-","")),{"gennaio","febbraio","marzo","aprile","maggio","giugno","luglio","agosto","settembre","ottobre","novembre","dicembre"},0),"00"),TEXT(MONTH(Q92)*29,"mm"))</f>
        <v>05</v>
      </c>
      <c r="T92" s="35">
        <f t="shared" si="17"/>
        <v>1800</v>
      </c>
      <c r="U92" s="31"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6"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31"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31">
        <v>90</v>
      </c>
      <c r="Y92" s="31" t="str">
        <f t="shared" si="18"/>
        <v>['Pio VII', 'Enciclica', 'Ex quo Ecclesiam', 'pivii-enc-eqe', '24 maggio 1800', '24/05/1800', '1800/05/24'],</v>
      </c>
      <c r="Z92" s="31" t="str">
        <f t="shared" si="19"/>
        <v>Ex quo Ecclesiam (24 maggio 1800) | Pio VII</v>
      </c>
      <c r="AA92" s="31" t="str">
        <f t="shared" si="20"/>
        <v>Enciclica Ex quo Ecclesiam</v>
      </c>
      <c r="AB92" s="31" t="str">
        <f t="shared" si="21"/>
        <v>Enciclica Ex quo Ecclesiam</v>
      </c>
      <c r="AC92" s="31" t="str">
        <f t="shared" si="22"/>
        <v>Pio VII, Lettera Enciclica Ex quo Ecclesiam, 24 maggio 1800</v>
      </c>
      <c r="AD92" s="31" t="str">
        <f t="shared" si="23"/>
        <v>1800-05-24T08:00:00.000+02:00</v>
      </c>
      <c r="AE92" s="31" t="str">
        <f t="shared" si="24"/>
        <v>pivii-enc-eqe</v>
      </c>
      <c r="AF92" s="31" t="str">
        <f t="shared" si="25"/>
        <v>Pio VII - Lettera Enciclica - Ex quo Ecclesiam</v>
      </c>
    </row>
    <row r="93" spans="2:32" s="31" customFormat="1" x14ac:dyDescent="0.2">
      <c r="B93" s="31">
        <v>251</v>
      </c>
      <c r="C93" s="34" t="s">
        <v>1510</v>
      </c>
      <c r="D93" s="31" t="s">
        <v>715</v>
      </c>
      <c r="E93" s="31" t="s">
        <v>720</v>
      </c>
      <c r="F93" s="31" t="s">
        <v>677</v>
      </c>
      <c r="G93" s="31" t="s">
        <v>676</v>
      </c>
      <c r="H93" s="31" t="str">
        <f t="shared" si="14"/>
        <v>Pio VII</v>
      </c>
      <c r="K93" s="31" t="s">
        <v>1200</v>
      </c>
      <c r="L93" s="31" t="str">
        <f t="shared" si="15"/>
        <v>Motu proprio</v>
      </c>
      <c r="M93" s="31" t="s">
        <v>1201</v>
      </c>
      <c r="O93" s="31" t="s">
        <v>1194</v>
      </c>
      <c r="P93" s="31" t="s">
        <v>1626</v>
      </c>
      <c r="Q93" s="31" t="s">
        <v>1215</v>
      </c>
      <c r="R93" s="35" t="str">
        <f t="shared" si="16"/>
        <v>11</v>
      </c>
      <c r="S93" s="35" t="str">
        <f>IF(ISERROR(DAY(Q93)),TEXT(MATCH(TRIM(SUBSTITUTE(SUBSTITUTE(SUBSTITUTE(SUBSTITUTE(SUBSTITUTE(SUBSTITUTE(SUBSTITUTE(SUBSTITUTE(SUBSTITUTE(SUBSTITUTE(SUBSTITUTE(Q93,1,""),2,""),3,""),4,""),5,""),6,""),7,""),8,""),9,""),0,""),"-","")),{"gennaio","febbraio","marzo","aprile","maggio","giugno","luglio","agosto","settembre","ottobre","novembre","dicembre"},0),"00"),TEXT(MONTH(Q93)*29,"mm"))</f>
        <v>03</v>
      </c>
      <c r="T93" s="35">
        <f t="shared" si="17"/>
        <v>1801</v>
      </c>
      <c r="U93" s="31"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6"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31"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31">
        <v>91</v>
      </c>
      <c r="Y93" s="31" t="str">
        <f t="shared" si="18"/>
        <v>['Pio VII', 'Motu proprio', 'Le più colte', 'pivii-mot-lpc', '11 marzo 1801', '11/03/1801', '1801/03/11'],</v>
      </c>
      <c r="Z93" s="31" t="str">
        <f t="shared" si="19"/>
        <v>Le più colte (11 marzo 1801) | Pio VII</v>
      </c>
      <c r="AA93" s="31" t="str">
        <f t="shared" si="20"/>
        <v>Motu proprio Le più colte</v>
      </c>
      <c r="AB93" s="31" t="str">
        <f t="shared" si="21"/>
        <v>Motu proprio Le più colte</v>
      </c>
      <c r="AC93" s="31" t="str">
        <f t="shared" si="22"/>
        <v>Pio VII, Motu proprio Le più colte, 11 marzo 1801</v>
      </c>
      <c r="AD93" s="31" t="str">
        <f t="shared" si="23"/>
        <v>1801-03-11T08:00:00.000+02:00</v>
      </c>
      <c r="AE93" s="31" t="str">
        <f t="shared" si="24"/>
        <v>pivii-mot-lpc</v>
      </c>
      <c r="AF93" s="31" t="str">
        <f t="shared" si="25"/>
        <v>Pio VII - Motu proprio - Le più colte</v>
      </c>
    </row>
    <row r="94" spans="2:32" s="31" customFormat="1" x14ac:dyDescent="0.2">
      <c r="B94" s="31">
        <v>251</v>
      </c>
      <c r="C94" s="34" t="s">
        <v>1508</v>
      </c>
      <c r="D94" s="31" t="s">
        <v>715</v>
      </c>
      <c r="E94" s="31" t="s">
        <v>720</v>
      </c>
      <c r="F94" s="31" t="s">
        <v>677</v>
      </c>
      <c r="G94" s="31" t="s">
        <v>676</v>
      </c>
      <c r="H94" s="31" t="str">
        <f t="shared" si="14"/>
        <v>Pio VII</v>
      </c>
      <c r="K94" s="31" t="s">
        <v>824</v>
      </c>
      <c r="L94" s="31" t="str">
        <f t="shared" si="15"/>
        <v>Bolla</v>
      </c>
      <c r="M94" s="31" t="s">
        <v>564</v>
      </c>
      <c r="O94" s="31" t="s">
        <v>1190</v>
      </c>
      <c r="P94" s="31" t="s">
        <v>1627</v>
      </c>
      <c r="Q94" s="31" t="s">
        <v>1214</v>
      </c>
      <c r="R94" s="35" t="str">
        <f t="shared" si="16"/>
        <v>15</v>
      </c>
      <c r="S94" s="35" t="str">
        <f>IF(ISERROR(DAY(Q94)),TEXT(MATCH(TRIM(SUBSTITUTE(SUBSTITUTE(SUBSTITUTE(SUBSTITUTE(SUBSTITUTE(SUBSTITUTE(SUBSTITUTE(SUBSTITUTE(SUBSTITUTE(SUBSTITUTE(SUBSTITUTE(Q94,1,""),2,""),3,""),4,""),5,""),6,""),7,""),8,""),9,""),0,""),"-","")),{"gennaio","febbraio","marzo","aprile","maggio","giugno","luglio","agosto","settembre","ottobre","novembre","dicembre"},0),"00"),TEXT(MONTH(Q94)*29,"mm"))</f>
        <v>08</v>
      </c>
      <c r="T94" s="35">
        <f t="shared" si="17"/>
        <v>1801</v>
      </c>
      <c r="U94" s="31"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6"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31"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31">
        <v>92</v>
      </c>
      <c r="Y94" s="31" t="str">
        <f t="shared" si="18"/>
        <v>['Pio VII', 'Bolla', 'Ecclesia Christi', 'pivii-bol-ecc', '15 agosto 1801', '15/08/1801', '1801/08/15'],</v>
      </c>
      <c r="Z94" s="31" t="str">
        <f t="shared" si="19"/>
        <v>Ecclesia Christi (15 agosto 1801) | Pio VII</v>
      </c>
      <c r="AA94" s="31" t="str">
        <f t="shared" si="20"/>
        <v>Bolla Ecclesia Christi</v>
      </c>
      <c r="AB94" s="31" t="str">
        <f t="shared" si="21"/>
        <v>Bolla Ecclesia Christi</v>
      </c>
      <c r="AC94" s="31" t="str">
        <f t="shared" si="22"/>
        <v>Pio VII, Bolla Ecclesia Christi, 15 agosto 1801</v>
      </c>
      <c r="AD94" s="31" t="str">
        <f t="shared" si="23"/>
        <v>1801-08-15T08:00:00.000+02:00</v>
      </c>
      <c r="AE94" s="31" t="str">
        <f t="shared" si="24"/>
        <v>pivii-bol-ecc</v>
      </c>
      <c r="AF94" s="31" t="str">
        <f t="shared" si="25"/>
        <v>Pio VII - Bolla - Ecclesia Christi</v>
      </c>
    </row>
    <row r="95" spans="2:32" s="31" customFormat="1" x14ac:dyDescent="0.2">
      <c r="B95" s="31">
        <v>251</v>
      </c>
      <c r="C95" s="34" t="s">
        <v>1509</v>
      </c>
      <c r="D95" s="31" t="s">
        <v>715</v>
      </c>
      <c r="E95" s="31" t="s">
        <v>720</v>
      </c>
      <c r="F95" s="31" t="s">
        <v>677</v>
      </c>
      <c r="G95" s="31" t="s">
        <v>676</v>
      </c>
      <c r="H95" s="31" t="str">
        <f t="shared" si="14"/>
        <v>Pio VII</v>
      </c>
      <c r="K95" s="31" t="s">
        <v>825</v>
      </c>
      <c r="L95" s="31" t="str">
        <f t="shared" si="15"/>
        <v>Breve</v>
      </c>
      <c r="M95" s="31" t="s">
        <v>577</v>
      </c>
      <c r="O95" s="31" t="s">
        <v>1192</v>
      </c>
      <c r="P95" s="31" t="s">
        <v>1628</v>
      </c>
      <c r="Q95" s="31" t="s">
        <v>1214</v>
      </c>
      <c r="R95" s="35" t="str">
        <f t="shared" si="16"/>
        <v>15</v>
      </c>
      <c r="S95" s="35" t="str">
        <f>IF(ISERROR(DAY(Q95)),TEXT(MATCH(TRIM(SUBSTITUTE(SUBSTITUTE(SUBSTITUTE(SUBSTITUTE(SUBSTITUTE(SUBSTITUTE(SUBSTITUTE(SUBSTITUTE(SUBSTITUTE(SUBSTITUTE(SUBSTITUTE(Q95,1,""),2,""),3,""),4,""),5,""),6,""),7,""),8,""),9,""),0,""),"-","")),{"gennaio","febbraio","marzo","aprile","maggio","giugno","luglio","agosto","settembre","ottobre","novembre","dicembre"},0),"00"),TEXT(MONTH(Q95)*29,"mm"))</f>
        <v>08</v>
      </c>
      <c r="T95" s="35">
        <f t="shared" si="17"/>
        <v>1801</v>
      </c>
      <c r="U95" s="31"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6"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31"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31">
        <v>93</v>
      </c>
      <c r="Y95" s="31" t="str">
        <f t="shared" si="18"/>
        <v>['Pio VII', 'Breve', 'Tam multa', 'pivii-bre-tam', '15 agosto 1801', '15/08/1801', '1801/08/15'],</v>
      </c>
      <c r="Z95" s="31" t="str">
        <f t="shared" si="19"/>
        <v>Tam multa (15 agosto 1801) | Pio VII</v>
      </c>
      <c r="AA95" s="31" t="str">
        <f t="shared" si="20"/>
        <v>Breve Tam multa</v>
      </c>
      <c r="AB95" s="31" t="str">
        <f t="shared" si="21"/>
        <v>Breve Tam multa</v>
      </c>
      <c r="AC95" s="31" t="str">
        <f t="shared" si="22"/>
        <v>Pio VII, Breve Tam multa, 15 agosto 1801</v>
      </c>
      <c r="AD95" s="31" t="str">
        <f t="shared" si="23"/>
        <v>1801-08-15T08:00:00.000+02:00</v>
      </c>
      <c r="AE95" s="31" t="str">
        <f t="shared" si="24"/>
        <v>pivii-bre-tam</v>
      </c>
      <c r="AF95" s="31" t="str">
        <f t="shared" si="25"/>
        <v>Pio VII - Breve - Tam multa</v>
      </c>
    </row>
    <row r="96" spans="2:32" s="31" customFormat="1" x14ac:dyDescent="0.2">
      <c r="B96" s="31">
        <v>251</v>
      </c>
      <c r="C96" s="34" t="s">
        <v>1507</v>
      </c>
      <c r="D96" s="31" t="s">
        <v>715</v>
      </c>
      <c r="E96" s="31" t="s">
        <v>720</v>
      </c>
      <c r="F96" s="31" t="s">
        <v>677</v>
      </c>
      <c r="G96" s="31" t="s">
        <v>676</v>
      </c>
      <c r="H96" s="31" t="str">
        <f t="shared" si="14"/>
        <v>Pio VII</v>
      </c>
      <c r="K96" s="31" t="s">
        <v>908</v>
      </c>
      <c r="L96" s="31" t="str">
        <f t="shared" si="15"/>
        <v>Allocuzione</v>
      </c>
      <c r="M96" s="31" t="s">
        <v>948</v>
      </c>
      <c r="O96" s="31" t="s">
        <v>1188</v>
      </c>
      <c r="P96" s="31" t="s">
        <v>1616</v>
      </c>
      <c r="Q96" s="31" t="s">
        <v>1205</v>
      </c>
      <c r="R96" s="35" t="str">
        <f t="shared" si="16"/>
        <v>24</v>
      </c>
      <c r="S96" s="35" t="str">
        <f>IF(ISERROR(DAY(Q96)),TEXT(MATCH(TRIM(SUBSTITUTE(SUBSTITUTE(SUBSTITUTE(SUBSTITUTE(SUBSTITUTE(SUBSTITUTE(SUBSTITUTE(SUBSTITUTE(SUBSTITUTE(SUBSTITUTE(SUBSTITUTE(Q96,1,""),2,""),3,""),4,""),5,""),6,""),7,""),8,""),9,""),0,""),"-","")),{"gennaio","febbraio","marzo","aprile","maggio","giugno","luglio","agosto","settembre","ottobre","novembre","dicembre"},0),"00"),TEXT(MONTH(Q96)*29,"mm"))</f>
        <v>05</v>
      </c>
      <c r="T96" s="35">
        <f t="shared" si="17"/>
        <v>1802</v>
      </c>
      <c r="U96" s="31"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6"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31"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31">
        <v>94</v>
      </c>
      <c r="Y96" s="31" t="str">
        <f t="shared" si="18"/>
        <v>['Pio VII', 'Allocuzione', 'Quam luctuosam', 'pivii-all-qul', '24 maggio 1802', '24/05/1802', '1802/05/24'],</v>
      </c>
      <c r="Z96" s="31" t="str">
        <f t="shared" si="19"/>
        <v>Quam luctuosam (24 maggio 1802) | Pio VII</v>
      </c>
      <c r="AA96" s="31" t="str">
        <f t="shared" si="20"/>
        <v>Allocuzione Quam luctuosam</v>
      </c>
      <c r="AB96" s="31" t="str">
        <f t="shared" si="21"/>
        <v>Allocuzione Quam luctuosam</v>
      </c>
      <c r="AC96" s="31" t="str">
        <f t="shared" si="22"/>
        <v>Pio VII, Allocuzione Quam luctuosam, 24 maggio 1802</v>
      </c>
      <c r="AD96" s="31" t="str">
        <f t="shared" si="23"/>
        <v>1802-05-24T08:00:00.000+02:00</v>
      </c>
      <c r="AE96" s="31" t="str">
        <f t="shared" si="24"/>
        <v>pivii-all-qul</v>
      </c>
      <c r="AF96" s="31" t="str">
        <f t="shared" si="25"/>
        <v>Pio VII - Allocuzione - Quam luctuosam</v>
      </c>
    </row>
    <row r="97" spans="2:32" s="31" customFormat="1" x14ac:dyDescent="0.2">
      <c r="B97" s="31">
        <v>251</v>
      </c>
      <c r="C97" s="34" t="s">
        <v>1506</v>
      </c>
      <c r="D97" s="31" t="s">
        <v>715</v>
      </c>
      <c r="E97" s="31" t="s">
        <v>720</v>
      </c>
      <c r="F97" s="31" t="s">
        <v>677</v>
      </c>
      <c r="G97" s="31" t="s">
        <v>676</v>
      </c>
      <c r="H97" s="31" t="str">
        <f t="shared" si="14"/>
        <v>Pio VII</v>
      </c>
      <c r="K97" s="31" t="s">
        <v>908</v>
      </c>
      <c r="L97" s="31" t="str">
        <f t="shared" si="15"/>
        <v>Allocuzione</v>
      </c>
      <c r="M97" s="31" t="s">
        <v>948</v>
      </c>
      <c r="O97" s="31" t="s">
        <v>1186</v>
      </c>
      <c r="P97" s="31" t="s">
        <v>1629</v>
      </c>
      <c r="Q97" s="31" t="s">
        <v>1204</v>
      </c>
      <c r="R97" s="35" t="str">
        <f t="shared" si="16"/>
        <v>29</v>
      </c>
      <c r="S97" s="35" t="str">
        <f>IF(ISERROR(DAY(Q97)),TEXT(MATCH(TRIM(SUBSTITUTE(SUBSTITUTE(SUBSTITUTE(SUBSTITUTE(SUBSTITUTE(SUBSTITUTE(SUBSTITUTE(SUBSTITUTE(SUBSTITUTE(SUBSTITUTE(SUBSTITUTE(Q97,1,""),2,""),3,""),4,""),5,""),6,""),7,""),8,""),9,""),0,""),"-","")),{"gennaio","febbraio","marzo","aprile","maggio","giugno","luglio","agosto","settembre","ottobre","novembre","dicembre"},0),"00"),TEXT(MONTH(Q97)*29,"mm"))</f>
        <v>10</v>
      </c>
      <c r="T97" s="35">
        <f t="shared" si="17"/>
        <v>1804</v>
      </c>
      <c r="U97" s="31"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6"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31"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31">
        <v>95</v>
      </c>
      <c r="Y97" s="31" t="str">
        <f t="shared" si="18"/>
        <v>['Pio VII', 'Allocuzione', 'Hoc ipso', 'pivii-all-hoi', '29 ottobre 1804', '29/10/1804', '1804/10/29'],</v>
      </c>
      <c r="Z97" s="31" t="str">
        <f t="shared" si="19"/>
        <v>Hoc ipso (29 ottobre 1804) | Pio VII</v>
      </c>
      <c r="AA97" s="31" t="str">
        <f t="shared" si="20"/>
        <v>Allocuzione Hoc ipso</v>
      </c>
      <c r="AB97" s="31" t="str">
        <f t="shared" si="21"/>
        <v>Allocuzione Hoc ipso</v>
      </c>
      <c r="AC97" s="31" t="str">
        <f t="shared" si="22"/>
        <v>Pio VII, Allocuzione Hoc ipso, 29 ottobre 1804</v>
      </c>
      <c r="AD97" s="31" t="str">
        <f t="shared" si="23"/>
        <v>1804-10-29T08:00:00.000+02:00</v>
      </c>
      <c r="AE97" s="31" t="str">
        <f t="shared" si="24"/>
        <v>pivii-all-hoi</v>
      </c>
      <c r="AF97" s="31" t="str">
        <f t="shared" si="25"/>
        <v>Pio VII - Allocuzione - Hoc ipso</v>
      </c>
    </row>
    <row r="98" spans="2:32" s="31" customFormat="1" x14ac:dyDescent="0.2">
      <c r="B98" s="31">
        <v>251</v>
      </c>
      <c r="C98" s="34" t="s">
        <v>1505</v>
      </c>
      <c r="D98" s="31" t="s">
        <v>715</v>
      </c>
      <c r="E98" s="31" t="s">
        <v>720</v>
      </c>
      <c r="F98" s="31" t="s">
        <v>677</v>
      </c>
      <c r="G98" s="31" t="s">
        <v>676</v>
      </c>
      <c r="H98" s="31" t="str">
        <f t="shared" ref="H98:H129" si="26">_xlfn.CONCAT(D98 &amp; " " &amp; E98)</f>
        <v>Pio VII</v>
      </c>
      <c r="K98" s="31" t="s">
        <v>825</v>
      </c>
      <c r="L98" s="31" t="str">
        <f t="shared" ref="L98:L129" si="27">IF(J98&lt;&gt;"",_xlfn.CONCAT(J98 &amp; " " &amp; K98),K98)</f>
        <v>Breve</v>
      </c>
      <c r="M98" s="31" t="s">
        <v>577</v>
      </c>
      <c r="O98" s="31" t="s">
        <v>1184</v>
      </c>
      <c r="P98" s="31" t="s">
        <v>1039</v>
      </c>
      <c r="Q98" s="31" t="s">
        <v>1213</v>
      </c>
      <c r="R98" s="35" t="str">
        <f t="shared" si="16"/>
        <v>10</v>
      </c>
      <c r="S98" s="35" t="str">
        <f>IF(ISERROR(DAY(Q98)),TEXT(MATCH(TRIM(SUBSTITUTE(SUBSTITUTE(SUBSTITUTE(SUBSTITUTE(SUBSTITUTE(SUBSTITUTE(SUBSTITUTE(SUBSTITUTE(SUBSTITUTE(SUBSTITUTE(SUBSTITUTE(Q98,1,""),2,""),3,""),4,""),5,""),6,""),7,""),8,""),9,""),0,""),"-","")),{"gennaio","febbraio","marzo","aprile","maggio","giugno","luglio","agosto","settembre","ottobre","novembre","dicembre"},0),"00"),TEXT(MONTH(Q98)*29,"mm"))</f>
        <v>06</v>
      </c>
      <c r="T98" s="35">
        <f t="shared" si="17"/>
        <v>1809</v>
      </c>
      <c r="U98" s="31"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6"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31"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31">
        <v>96</v>
      </c>
      <c r="Y98" s="31" t="str">
        <f t="shared" si="18"/>
        <v>['Pio VII', 'Breve', 'Quum memoranda', 'pivii-bre-qum', '10 giugno 1809', '10/06/1809', '1809/06/10'],</v>
      </c>
      <c r="Z98" s="31" t="str">
        <f t="shared" si="19"/>
        <v>Quum memoranda (10 giugno 1809) | Pio VII</v>
      </c>
      <c r="AA98" s="31" t="str">
        <f t="shared" si="20"/>
        <v>Breve Quum memoranda</v>
      </c>
      <c r="AB98" s="31" t="str">
        <f t="shared" si="21"/>
        <v>Breve Quum memoranda</v>
      </c>
      <c r="AC98" s="31" t="str">
        <f t="shared" si="22"/>
        <v>Pio VII, Breve Quum memoranda, 10 giugno 1809</v>
      </c>
      <c r="AD98" s="31" t="str">
        <f t="shared" si="23"/>
        <v>1809-06-10T08:00:00.000+02:00</v>
      </c>
      <c r="AE98" s="31" t="str">
        <f t="shared" si="24"/>
        <v>pivii-bre-qum</v>
      </c>
      <c r="AF98" s="31" t="str">
        <f t="shared" si="25"/>
        <v>Pio VII - Breve - Quum memoranda</v>
      </c>
    </row>
    <row r="99" spans="2:32" s="31" customFormat="1" x14ac:dyDescent="0.2">
      <c r="B99" s="31">
        <v>251</v>
      </c>
      <c r="C99" s="34" t="s">
        <v>1504</v>
      </c>
      <c r="D99" s="31" t="s">
        <v>715</v>
      </c>
      <c r="E99" s="31" t="s">
        <v>720</v>
      </c>
      <c r="F99" s="31" t="s">
        <v>677</v>
      </c>
      <c r="G99" s="31" t="s">
        <v>676</v>
      </c>
      <c r="H99" s="31" t="str">
        <f t="shared" si="26"/>
        <v>Pio VII</v>
      </c>
      <c r="I99" s="31" t="s">
        <v>603</v>
      </c>
      <c r="J99" s="31" t="s">
        <v>829</v>
      </c>
      <c r="K99" s="31" t="s">
        <v>694</v>
      </c>
      <c r="L99" s="31" t="str">
        <f t="shared" si="27"/>
        <v>Lettera Enciclica</v>
      </c>
      <c r="M99" s="31" t="s">
        <v>579</v>
      </c>
      <c r="O99" s="31" t="s">
        <v>318</v>
      </c>
      <c r="P99" s="31" t="s">
        <v>970</v>
      </c>
      <c r="Q99" s="31" t="s">
        <v>1212</v>
      </c>
      <c r="R99" s="35" t="str">
        <f t="shared" si="16"/>
        <v>04</v>
      </c>
      <c r="S99" s="35" t="str">
        <f>IF(ISERROR(DAY(Q99)),TEXT(MATCH(TRIM(SUBSTITUTE(SUBSTITUTE(SUBSTITUTE(SUBSTITUTE(SUBSTITUTE(SUBSTITUTE(SUBSTITUTE(SUBSTITUTE(SUBSTITUTE(SUBSTITUTE(SUBSTITUTE(Q99,1,""),2,""),3,""),4,""),5,""),6,""),7,""),8,""),9,""),0,""),"-","")),{"gennaio","febbraio","marzo","aprile","maggio","giugno","luglio","agosto","settembre","ottobre","novembre","dicembre"},0),"00"),TEXT(MONTH(Q99)*29,"mm"))</f>
        <v>05</v>
      </c>
      <c r="T99" s="35">
        <f t="shared" si="17"/>
        <v>1814</v>
      </c>
      <c r="U99" s="31"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6"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31"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31">
        <v>97</v>
      </c>
      <c r="Y99" s="31" t="str">
        <f t="shared" si="18"/>
        <v>['Pio VII', 'Enciclica', 'Il trionfo', 'pivii-enc-ilt', '04 maggio 1814', '04/05/1814', '1814/05/04'],</v>
      </c>
      <c r="Z99" s="31" t="str">
        <f t="shared" si="19"/>
        <v>Il trionfo (4 maggio 1814) | Pio VII</v>
      </c>
      <c r="AA99" s="31" t="str">
        <f t="shared" si="20"/>
        <v>Enciclica Il trionfo</v>
      </c>
      <c r="AB99" s="31" t="str">
        <f t="shared" si="21"/>
        <v>Enciclica Il trionfo</v>
      </c>
      <c r="AC99" s="31" t="str">
        <f t="shared" si="22"/>
        <v>Pio VII, Lettera Enciclica Il trionfo, 04 maggio 1814</v>
      </c>
      <c r="AD99" s="31" t="str">
        <f t="shared" si="23"/>
        <v>1814-05-04T08:00:00.000+02:00</v>
      </c>
      <c r="AE99" s="31" t="str">
        <f t="shared" si="24"/>
        <v>pivii-enc-ilt</v>
      </c>
      <c r="AF99" s="31" t="str">
        <f t="shared" si="25"/>
        <v>Pio VII - Lettera Enciclica - Il trionfo</v>
      </c>
    </row>
    <row r="100" spans="2:32" s="31" customFormat="1" x14ac:dyDescent="0.2">
      <c r="B100" s="31">
        <v>251</v>
      </c>
      <c r="C100" s="34" t="s">
        <v>1503</v>
      </c>
      <c r="D100" s="31" t="s">
        <v>715</v>
      </c>
      <c r="E100" s="31" t="s">
        <v>720</v>
      </c>
      <c r="F100" s="31" t="s">
        <v>677</v>
      </c>
      <c r="G100" s="31" t="s">
        <v>676</v>
      </c>
      <c r="H100" s="31" t="str">
        <f t="shared" si="26"/>
        <v>Pio VII</v>
      </c>
      <c r="K100" s="31" t="s">
        <v>824</v>
      </c>
      <c r="L100" s="31" t="str">
        <f t="shared" si="27"/>
        <v>Bolla</v>
      </c>
      <c r="M100" s="31" t="s">
        <v>564</v>
      </c>
      <c r="O100" s="31" t="s">
        <v>1181</v>
      </c>
      <c r="P100" s="31" t="s">
        <v>1630</v>
      </c>
      <c r="Q100" s="31" t="s">
        <v>1211</v>
      </c>
      <c r="R100" s="35" t="str">
        <f t="shared" si="16"/>
        <v>07</v>
      </c>
      <c r="S100" s="35"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5">
        <f t="shared" si="17"/>
        <v>1814</v>
      </c>
      <c r="U100" s="31"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6"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31"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31">
        <v>98</v>
      </c>
      <c r="Y100" s="31" t="str">
        <f t="shared" si="18"/>
        <v>['Pio VII', 'Bolla', 'Sollicitudo omnium', 'pivii-bol-soo', '07 agosto 1814', '07/08/1814', '1814/08/07'],</v>
      </c>
      <c r="Z100" s="31" t="str">
        <f t="shared" si="19"/>
        <v>Sollicitudo omnium (7 agosto 1814) | Pio VII</v>
      </c>
      <c r="AA100" s="31" t="str">
        <f t="shared" si="20"/>
        <v>Bolla Sollicitudo omnium</v>
      </c>
      <c r="AB100" s="31" t="str">
        <f t="shared" si="21"/>
        <v>Bolla Sollicitudo omnium</v>
      </c>
      <c r="AC100" s="31" t="str">
        <f t="shared" si="22"/>
        <v>Pio VII, Bolla Sollicitudo omnium, 07 agosto 1814</v>
      </c>
      <c r="AD100" s="31" t="str">
        <f t="shared" si="23"/>
        <v>1814-08-07T08:00:00.000+02:00</v>
      </c>
      <c r="AE100" s="31" t="str">
        <f t="shared" si="24"/>
        <v>pivii-bol-soo</v>
      </c>
      <c r="AF100" s="31" t="str">
        <f t="shared" si="25"/>
        <v>Pio VII - Bolla - Sollicitudo omnium</v>
      </c>
    </row>
    <row r="101" spans="2:32" s="31" customFormat="1" x14ac:dyDescent="0.2">
      <c r="B101" s="31">
        <v>251</v>
      </c>
      <c r="C101" s="34" t="s">
        <v>1502</v>
      </c>
      <c r="D101" s="31" t="s">
        <v>715</v>
      </c>
      <c r="E101" s="31" t="s">
        <v>720</v>
      </c>
      <c r="F101" s="31" t="s">
        <v>677</v>
      </c>
      <c r="G101" s="31" t="s">
        <v>676</v>
      </c>
      <c r="H101" s="31" t="str">
        <f t="shared" si="26"/>
        <v>Pio VII</v>
      </c>
      <c r="K101" s="31" t="s">
        <v>908</v>
      </c>
      <c r="L101" s="31" t="str">
        <f t="shared" si="27"/>
        <v>Allocuzione</v>
      </c>
      <c r="M101" s="31" t="s">
        <v>948</v>
      </c>
      <c r="O101" s="31" t="s">
        <v>1179</v>
      </c>
      <c r="P101" s="31" t="s">
        <v>1631</v>
      </c>
      <c r="Q101" s="31" t="s">
        <v>1203</v>
      </c>
      <c r="R101" s="35" t="str">
        <f t="shared" si="16"/>
        <v>26</v>
      </c>
      <c r="S101" s="35"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5">
        <f t="shared" si="17"/>
        <v>1814</v>
      </c>
      <c r="U101" s="31"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6"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31"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31">
        <v>99</v>
      </c>
      <c r="Y101" s="31" t="str">
        <f t="shared" si="18"/>
        <v>['Pio VII', 'Allocuzione', 'Optatissimus tandem', 'pivii-all-opt', '26 settembre 1814', '26/09/1814', '1814/09/26'],</v>
      </c>
      <c r="Z101" s="31" t="str">
        <f t="shared" si="19"/>
        <v>Optatissimus tandem (26 settembre 1814) | Pio VII</v>
      </c>
      <c r="AA101" s="31" t="str">
        <f t="shared" si="20"/>
        <v>Allocuzione Optatissimus tandem</v>
      </c>
      <c r="AB101" s="31" t="str">
        <f t="shared" si="21"/>
        <v>Allocuzione Optatissimus tandem</v>
      </c>
      <c r="AC101" s="31" t="str">
        <f t="shared" si="22"/>
        <v>Pio VII, Allocuzione Optatissimus tandem, 26 settembre 1814</v>
      </c>
      <c r="AD101" s="31" t="str">
        <f t="shared" si="23"/>
        <v>1814-09-26T08:00:00.000+02:00</v>
      </c>
      <c r="AE101" s="31" t="str">
        <f t="shared" si="24"/>
        <v>pivii-all-opt</v>
      </c>
      <c r="AF101" s="31" t="str">
        <f t="shared" si="25"/>
        <v>Pio VII - Allocuzione - Optatissimus tandem</v>
      </c>
    </row>
    <row r="102" spans="2:32" s="31" customFormat="1" x14ac:dyDescent="0.2">
      <c r="B102" s="31">
        <v>251</v>
      </c>
      <c r="C102" s="34" t="s">
        <v>1501</v>
      </c>
      <c r="D102" s="31" t="s">
        <v>715</v>
      </c>
      <c r="E102" s="31" t="s">
        <v>720</v>
      </c>
      <c r="F102" s="31" t="s">
        <v>677</v>
      </c>
      <c r="G102" s="31" t="s">
        <v>676</v>
      </c>
      <c r="H102" s="31" t="str">
        <f t="shared" si="26"/>
        <v>Pio VII</v>
      </c>
      <c r="K102" s="31" t="s">
        <v>825</v>
      </c>
      <c r="L102" s="31" t="str">
        <f t="shared" si="27"/>
        <v>Breve</v>
      </c>
      <c r="M102" s="31" t="s">
        <v>577</v>
      </c>
      <c r="O102" s="31" t="s">
        <v>1177</v>
      </c>
      <c r="P102" s="31" t="s">
        <v>1632</v>
      </c>
      <c r="Q102" s="31" t="s">
        <v>1210</v>
      </c>
      <c r="R102" s="35" t="str">
        <f t="shared" si="16"/>
        <v>30</v>
      </c>
      <c r="S102" s="35"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5">
        <f t="shared" si="17"/>
        <v>1816</v>
      </c>
      <c r="U102" s="31"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6"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31"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31">
        <v>100</v>
      </c>
      <c r="Y102" s="31" t="str">
        <f t="shared" si="18"/>
        <v>['Pio VII', 'Breve', 'Etsi longissimo', 'pivii-bre-etl', '30 gennaio 1816', '30/01/1816', '1816/01/30'],</v>
      </c>
      <c r="Z102" s="31" t="str">
        <f t="shared" si="19"/>
        <v>Etsi longissimo (30 gennaio 1816) | Pio VII</v>
      </c>
      <c r="AA102" s="31" t="str">
        <f t="shared" si="20"/>
        <v>Breve Etsi longissimo</v>
      </c>
      <c r="AB102" s="31" t="str">
        <f t="shared" si="21"/>
        <v>Breve Etsi longissimo</v>
      </c>
      <c r="AC102" s="31" t="str">
        <f t="shared" si="22"/>
        <v>Pio VII, Breve Etsi longissimo, 30 gennaio 1816</v>
      </c>
      <c r="AD102" s="31" t="str">
        <f t="shared" si="23"/>
        <v>1816-01-30T08:00:00.000+02:00</v>
      </c>
      <c r="AE102" s="31" t="str">
        <f t="shared" si="24"/>
        <v>pivii-bre-etl</v>
      </c>
      <c r="AF102" s="31" t="str">
        <f t="shared" si="25"/>
        <v>Pio VII - Breve - Etsi longissimo</v>
      </c>
    </row>
    <row r="103" spans="2:32" s="31" customFormat="1" x14ac:dyDescent="0.2">
      <c r="B103" s="31">
        <v>251</v>
      </c>
      <c r="C103" s="34" t="s">
        <v>1500</v>
      </c>
      <c r="D103" s="31" t="s">
        <v>715</v>
      </c>
      <c r="E103" s="31" t="s">
        <v>720</v>
      </c>
      <c r="F103" s="31" t="s">
        <v>677</v>
      </c>
      <c r="G103" s="31" t="s">
        <v>676</v>
      </c>
      <c r="H103" s="31" t="str">
        <f t="shared" si="26"/>
        <v>Pio VII</v>
      </c>
      <c r="K103" s="31" t="s">
        <v>829</v>
      </c>
      <c r="L103" s="31" t="str">
        <f t="shared" si="27"/>
        <v>Lettera</v>
      </c>
      <c r="M103" s="31" t="s">
        <v>568</v>
      </c>
      <c r="O103" s="31" t="s">
        <v>1175</v>
      </c>
      <c r="P103" s="31" t="s">
        <v>1633</v>
      </c>
      <c r="Q103" s="31" t="s">
        <v>1202</v>
      </c>
      <c r="R103" s="35" t="str">
        <f t="shared" si="16"/>
        <v>03</v>
      </c>
      <c r="S103" s="35"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5">
        <f t="shared" si="17"/>
        <v>1816</v>
      </c>
      <c r="U103" s="31"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6"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31"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31">
        <v>101</v>
      </c>
      <c r="Y103" s="31" t="str">
        <f t="shared" si="18"/>
        <v>['Pio VII', 'Lettera', 'Magno et acerbo', 'pivii-let-mea', '03 settembre 1816', '03/09/1816', '1816/09/03'],</v>
      </c>
      <c r="Z103" s="31" t="str">
        <f t="shared" si="19"/>
        <v>Magno et acerbo (3 settembre 1816) | Pio VII</v>
      </c>
      <c r="AA103" s="31" t="str">
        <f t="shared" si="20"/>
        <v>Lettera Magno et acerbo</v>
      </c>
      <c r="AB103" s="31" t="str">
        <f t="shared" si="21"/>
        <v>Lettera Magno et acerbo</v>
      </c>
      <c r="AC103" s="31" t="str">
        <f t="shared" si="22"/>
        <v>Pio VII, Lettera Magno et acerbo, 03 settembre 1816</v>
      </c>
      <c r="AD103" s="31" t="str">
        <f t="shared" si="23"/>
        <v>1816-09-03T08:00:00.000+02:00</v>
      </c>
      <c r="AE103" s="31" t="str">
        <f t="shared" si="24"/>
        <v>pivii-let-mea</v>
      </c>
      <c r="AF103" s="31" t="str">
        <f t="shared" si="25"/>
        <v>Pio VII - Lettera - Magno et acerbo</v>
      </c>
    </row>
    <row r="104" spans="2:32" s="31" customFormat="1" x14ac:dyDescent="0.2">
      <c r="B104" s="31">
        <v>251</v>
      </c>
      <c r="C104" s="34" t="s">
        <v>1499</v>
      </c>
      <c r="D104" s="31" t="s">
        <v>715</v>
      </c>
      <c r="E104" s="31" t="s">
        <v>720</v>
      </c>
      <c r="F104" s="31" t="s">
        <v>677</v>
      </c>
      <c r="G104" s="31" t="s">
        <v>676</v>
      </c>
      <c r="H104" s="31" t="str">
        <f t="shared" si="26"/>
        <v>Pio VII</v>
      </c>
      <c r="I104" s="31" t="s">
        <v>603</v>
      </c>
      <c r="J104" s="31" t="s">
        <v>829</v>
      </c>
      <c r="K104" s="31" t="s">
        <v>694</v>
      </c>
      <c r="L104" s="31" t="str">
        <f t="shared" si="27"/>
        <v>Lettera Enciclica</v>
      </c>
      <c r="M104" s="31" t="s">
        <v>579</v>
      </c>
      <c r="O104" s="31" t="s">
        <v>319</v>
      </c>
      <c r="P104" s="31" t="s">
        <v>971</v>
      </c>
      <c r="Q104" s="31" t="s">
        <v>1209</v>
      </c>
      <c r="R104" s="35" t="str">
        <f t="shared" si="16"/>
        <v>12</v>
      </c>
      <c r="S104" s="35"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5">
        <f t="shared" si="17"/>
        <v>1817</v>
      </c>
      <c r="U104" s="31"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6"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31"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31">
        <v>102</v>
      </c>
      <c r="Y104" s="31" t="str">
        <f t="shared" si="18"/>
        <v>['Pio VII', 'Enciclica', 'Vineam quam plantavit', 'pivii-enc-vqp', '12 giugno 1817', '12/06/1817', '1817/06/12'],</v>
      </c>
      <c r="Z104" s="31" t="str">
        <f t="shared" si="19"/>
        <v>Vineam quam plantavit (12 giugno 1817) | Pio VII</v>
      </c>
      <c r="AA104" s="31" t="str">
        <f t="shared" si="20"/>
        <v>Enciclica Vineam quam plantavit</v>
      </c>
      <c r="AB104" s="31" t="str">
        <f t="shared" si="21"/>
        <v>Enciclica Vineam quam plantavit</v>
      </c>
      <c r="AC104" s="31" t="str">
        <f t="shared" si="22"/>
        <v>Pio VII, Lettera Enciclica Vineam quam plantavit, 12 giugno 1817</v>
      </c>
      <c r="AD104" s="31" t="str">
        <f t="shared" si="23"/>
        <v>1817-06-12T08:00:00.000+02:00</v>
      </c>
      <c r="AE104" s="31" t="str">
        <f t="shared" si="24"/>
        <v>pivii-enc-vqp</v>
      </c>
      <c r="AF104" s="31" t="str">
        <f t="shared" si="25"/>
        <v>Pio VII - Lettera Enciclica - Vineam quam plantavit</v>
      </c>
    </row>
    <row r="105" spans="2:32" s="31" customFormat="1" x14ac:dyDescent="0.2">
      <c r="B105" s="31">
        <v>251</v>
      </c>
      <c r="C105" s="34" t="s">
        <v>1498</v>
      </c>
      <c r="D105" s="31" t="s">
        <v>715</v>
      </c>
      <c r="E105" s="31" t="s">
        <v>720</v>
      </c>
      <c r="F105" s="31" t="s">
        <v>677</v>
      </c>
      <c r="G105" s="31" t="s">
        <v>676</v>
      </c>
      <c r="H105" s="31" t="str">
        <f t="shared" si="26"/>
        <v>Pio VII</v>
      </c>
      <c r="K105" s="31" t="s">
        <v>825</v>
      </c>
      <c r="L105" s="31" t="str">
        <f t="shared" si="27"/>
        <v>Breve</v>
      </c>
      <c r="M105" s="31" t="s">
        <v>577</v>
      </c>
      <c r="O105" s="31" t="s">
        <v>1172</v>
      </c>
      <c r="P105" s="31" t="s">
        <v>1634</v>
      </c>
      <c r="Q105" s="31" t="s">
        <v>1208</v>
      </c>
      <c r="R105" s="35" t="str">
        <f t="shared" si="16"/>
        <v>25</v>
      </c>
      <c r="S105" s="35"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5">
        <f t="shared" si="17"/>
        <v>1819</v>
      </c>
      <c r="U105" s="31"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6"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31"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31">
        <v>103</v>
      </c>
      <c r="Y105" s="31" t="str">
        <f t="shared" si="18"/>
        <v>['Pio VII', 'Breve', 'Dominici gregis', 'pivii-bre-dog', '25 agosto 1819', '25/08/1819', '1819/08/25'],</v>
      </c>
      <c r="Z105" s="31" t="str">
        <f t="shared" si="19"/>
        <v>Dominici gregis (25 agosto 1819) | Pio VII</v>
      </c>
      <c r="AA105" s="31" t="str">
        <f t="shared" si="20"/>
        <v>Breve Dominici gregis</v>
      </c>
      <c r="AB105" s="31" t="str">
        <f t="shared" si="21"/>
        <v>Breve Dominici gregis</v>
      </c>
      <c r="AC105" s="31" t="str">
        <f t="shared" si="22"/>
        <v>Pio VII, Breve Dominici gregis, 25 agosto 1819</v>
      </c>
      <c r="AD105" s="31" t="str">
        <f t="shared" si="23"/>
        <v>1819-08-25T08:00:00.000+02:00</v>
      </c>
      <c r="AE105" s="31" t="str">
        <f t="shared" si="24"/>
        <v>pivii-bre-dog</v>
      </c>
      <c r="AF105" s="31" t="str">
        <f t="shared" si="25"/>
        <v>Pio VII - Breve - Dominici gregis</v>
      </c>
    </row>
    <row r="106" spans="2:32" s="31" customFormat="1" x14ac:dyDescent="0.2">
      <c r="B106" s="31">
        <v>251</v>
      </c>
      <c r="C106" s="34" t="s">
        <v>1497</v>
      </c>
      <c r="D106" s="31" t="s">
        <v>715</v>
      </c>
      <c r="E106" s="31" t="s">
        <v>720</v>
      </c>
      <c r="F106" s="31" t="s">
        <v>677</v>
      </c>
      <c r="G106" s="31" t="s">
        <v>676</v>
      </c>
      <c r="H106" s="31" t="str">
        <f t="shared" si="26"/>
        <v>Pio VII</v>
      </c>
      <c r="K106" s="31" t="s">
        <v>825</v>
      </c>
      <c r="L106" s="31" t="str">
        <f t="shared" si="27"/>
        <v>Breve</v>
      </c>
      <c r="M106" s="31" t="s">
        <v>577</v>
      </c>
      <c r="O106" s="31" t="s">
        <v>1170</v>
      </c>
      <c r="P106" s="31" t="s">
        <v>1635</v>
      </c>
      <c r="Q106" s="31" t="s">
        <v>1207</v>
      </c>
      <c r="R106" s="35" t="str">
        <f t="shared" si="16"/>
        <v>16</v>
      </c>
      <c r="S106" s="35"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5">
        <f t="shared" si="17"/>
        <v>1820</v>
      </c>
      <c r="U106" s="31"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6"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31"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31">
        <v>104</v>
      </c>
      <c r="Y106" s="31" t="str">
        <f t="shared" si="18"/>
        <v>['Pio VII', 'Breve', 'Praeclara quam', 'pivii-bre-prq', '16 maggio 1820', '16/05/1820', '1820/05/16'],</v>
      </c>
      <c r="Z106" s="31" t="str">
        <f t="shared" si="19"/>
        <v>Praeclara quam (16 maggio 1820) | Pio VII</v>
      </c>
      <c r="AA106" s="31" t="str">
        <f t="shared" si="20"/>
        <v>Breve Praeclara quam</v>
      </c>
      <c r="AB106" s="31" t="str">
        <f t="shared" si="21"/>
        <v>Breve Praeclara quam</v>
      </c>
      <c r="AC106" s="31" t="str">
        <f t="shared" si="22"/>
        <v>Pio VII, Breve Praeclara quam, 16 maggio 1820</v>
      </c>
      <c r="AD106" s="31" t="str">
        <f t="shared" si="23"/>
        <v>1820-05-16T08:00:00.000+02:00</v>
      </c>
      <c r="AE106" s="31" t="str">
        <f t="shared" si="24"/>
        <v>pivii-bre-prq</v>
      </c>
      <c r="AF106" s="31" t="str">
        <f t="shared" si="25"/>
        <v>Pio VII - Breve - Praeclara quam</v>
      </c>
    </row>
    <row r="107" spans="2:32" s="31" customFormat="1" x14ac:dyDescent="0.2">
      <c r="B107" s="31">
        <v>251</v>
      </c>
      <c r="C107" s="34" t="s">
        <v>1496</v>
      </c>
      <c r="D107" s="31" t="s">
        <v>715</v>
      </c>
      <c r="E107" s="31" t="s">
        <v>720</v>
      </c>
      <c r="F107" s="31" t="s">
        <v>677</v>
      </c>
      <c r="G107" s="31" t="s">
        <v>676</v>
      </c>
      <c r="H107" s="31" t="str">
        <f t="shared" si="26"/>
        <v>Pio VII</v>
      </c>
      <c r="K107" s="31" t="s">
        <v>824</v>
      </c>
      <c r="L107" s="31" t="str">
        <f t="shared" si="27"/>
        <v>Bolla</v>
      </c>
      <c r="M107" s="31" t="s">
        <v>564</v>
      </c>
      <c r="O107" s="31" t="s">
        <v>1168</v>
      </c>
      <c r="P107" s="31" t="s">
        <v>1636</v>
      </c>
      <c r="Q107" s="31" t="s">
        <v>1206</v>
      </c>
      <c r="R107" s="35" t="str">
        <f t="shared" si="16"/>
        <v>13</v>
      </c>
      <c r="S107" s="35"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5">
        <f t="shared" si="17"/>
        <v>1821</v>
      </c>
      <c r="U107" s="31"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6"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31"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31">
        <v>105</v>
      </c>
      <c r="Y107" s="31" t="str">
        <f t="shared" si="18"/>
        <v>['Pio VII', 'Bolla', 'Ecclesiam a Jesu', 'pivii-bol-eaj', '13 settembre 1821', '13/09/1821', '1821/09/13'],</v>
      </c>
      <c r="Z107" s="31" t="str">
        <f t="shared" si="19"/>
        <v>Ecclesiam a Jesu (13 settembre 1821) | Pio VII</v>
      </c>
      <c r="AA107" s="31" t="str">
        <f t="shared" si="20"/>
        <v>Bolla Ecclesiam a Jesu</v>
      </c>
      <c r="AB107" s="31" t="str">
        <f t="shared" si="21"/>
        <v>Bolla Ecclesiam a Jesu</v>
      </c>
      <c r="AC107" s="31" t="str">
        <f t="shared" si="22"/>
        <v>Pio VII, Bolla Ecclesiam a Jesu, 13 settembre 1821</v>
      </c>
      <c r="AD107" s="31" t="str">
        <f t="shared" si="23"/>
        <v>1821-09-13T08:00:00.000+02:00</v>
      </c>
      <c r="AE107" s="31" t="str">
        <f t="shared" si="24"/>
        <v>pivii-bol-eaj</v>
      </c>
      <c r="AF107" s="31" t="str">
        <f t="shared" si="25"/>
        <v>Pio VII - Bolla - Ecclesiam a Jesu</v>
      </c>
    </row>
    <row r="108" spans="2:32" s="31" customFormat="1" x14ac:dyDescent="0.2">
      <c r="B108" s="31">
        <v>252</v>
      </c>
      <c r="C108" s="34" t="s">
        <v>1487</v>
      </c>
      <c r="D108" s="31" t="s">
        <v>723</v>
      </c>
      <c r="E108" s="31" t="s">
        <v>724</v>
      </c>
      <c r="F108" s="31" t="s">
        <v>673</v>
      </c>
      <c r="G108" s="31" t="s">
        <v>672</v>
      </c>
      <c r="H108" s="31" t="str">
        <f t="shared" si="26"/>
        <v>Leone XII</v>
      </c>
      <c r="I108" s="31" t="s">
        <v>603</v>
      </c>
      <c r="J108" s="31" t="s">
        <v>829</v>
      </c>
      <c r="K108" s="31" t="s">
        <v>694</v>
      </c>
      <c r="L108" s="31" t="str">
        <f t="shared" si="27"/>
        <v>Lettera Enciclica</v>
      </c>
      <c r="M108" s="31" t="s">
        <v>579</v>
      </c>
      <c r="O108" s="31" t="s">
        <v>264</v>
      </c>
      <c r="P108" s="31" t="s">
        <v>610</v>
      </c>
      <c r="Q108" s="31" t="s">
        <v>1253</v>
      </c>
      <c r="R108" s="35" t="str">
        <f t="shared" si="16"/>
        <v>05</v>
      </c>
      <c r="S108" s="35"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5">
        <f t="shared" si="17"/>
        <v>1824</v>
      </c>
      <c r="U108" s="31"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6"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31"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31">
        <v>106</v>
      </c>
      <c r="Y108" s="31" t="str">
        <f t="shared" si="18"/>
        <v>['Leone XII', 'Enciclica', 'Ubi Primum', 'lxii-enc-ubp', '05 maggio 1824', '05/05/1824', '1824/05/05'],</v>
      </c>
      <c r="Z108" s="31" t="str">
        <f t="shared" si="19"/>
        <v>Ubi Primum (5 maggio 1824) | Leone XII</v>
      </c>
      <c r="AA108" s="31" t="str">
        <f t="shared" si="20"/>
        <v>Enciclica Ubi Primum</v>
      </c>
      <c r="AB108" s="31" t="str">
        <f t="shared" si="21"/>
        <v>Enciclica Ubi Primum</v>
      </c>
      <c r="AC108" s="31" t="str">
        <f t="shared" si="22"/>
        <v>Leone XII, Lettera Enciclica Ubi Primum, 05 maggio 1824</v>
      </c>
      <c r="AD108" s="31" t="str">
        <f t="shared" si="23"/>
        <v>1824-05-05T08:00:00.000+02:00</v>
      </c>
      <c r="AE108" s="31" t="str">
        <f t="shared" si="24"/>
        <v>lxii-enc-ubp</v>
      </c>
      <c r="AF108" s="31" t="str">
        <f t="shared" si="25"/>
        <v>Leone XII - Lettera Enciclica - Ubi Primum</v>
      </c>
    </row>
    <row r="109" spans="2:32" s="31" customFormat="1" x14ac:dyDescent="0.2">
      <c r="B109" s="31">
        <v>252</v>
      </c>
      <c r="C109" s="34" t="s">
        <v>1495</v>
      </c>
      <c r="D109" s="31" t="s">
        <v>723</v>
      </c>
      <c r="E109" s="31" t="s">
        <v>724</v>
      </c>
      <c r="F109" s="31" t="s">
        <v>673</v>
      </c>
      <c r="G109" s="31" t="s">
        <v>672</v>
      </c>
      <c r="H109" s="31" t="str">
        <f t="shared" si="26"/>
        <v>Leone XII</v>
      </c>
      <c r="K109" s="31" t="s">
        <v>825</v>
      </c>
      <c r="L109" s="31" t="str">
        <f t="shared" si="27"/>
        <v>Breve</v>
      </c>
      <c r="M109" s="31" t="s">
        <v>577</v>
      </c>
      <c r="O109" s="31" t="s">
        <v>1236</v>
      </c>
      <c r="P109" s="31" t="s">
        <v>1613</v>
      </c>
      <c r="Q109" s="31" t="s">
        <v>1252</v>
      </c>
      <c r="R109" s="35" t="str">
        <f t="shared" si="16"/>
        <v>17</v>
      </c>
      <c r="S109" s="35"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5">
        <f t="shared" si="17"/>
        <v>1824</v>
      </c>
      <c r="U109" s="31"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6"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31"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31">
        <v>107</v>
      </c>
      <c r="Y109" s="31" t="str">
        <f t="shared" si="18"/>
        <v>['Leone XII', 'Breve', 'Cum Multa', 'lxii-bre-cum', '17 maggio 1824', '17/05/1824', '1824/05/17'],</v>
      </c>
      <c r="Z109" s="31" t="str">
        <f t="shared" si="19"/>
        <v>Cum Multa (17 maggio 1824) | Leone XII</v>
      </c>
      <c r="AA109" s="31" t="str">
        <f t="shared" si="20"/>
        <v>Breve Cum Multa</v>
      </c>
      <c r="AB109" s="31" t="str">
        <f t="shared" si="21"/>
        <v>Breve Cum Multa</v>
      </c>
      <c r="AC109" s="31" t="str">
        <f t="shared" si="22"/>
        <v>Leone XII, Breve Cum Multa, 17 maggio 1824</v>
      </c>
      <c r="AD109" s="31" t="str">
        <f t="shared" si="23"/>
        <v>1824-05-17T08:00:00.000+02:00</v>
      </c>
      <c r="AE109" s="31" t="str">
        <f t="shared" si="24"/>
        <v>lxii-bre-cum</v>
      </c>
      <c r="AF109" s="31" t="str">
        <f t="shared" si="25"/>
        <v>Leone XII - Breve - Cum Multa</v>
      </c>
    </row>
    <row r="110" spans="2:32" s="31" customFormat="1" x14ac:dyDescent="0.2">
      <c r="B110" s="31">
        <v>252</v>
      </c>
      <c r="C110" s="34" t="s">
        <v>1494</v>
      </c>
      <c r="D110" s="31" t="s">
        <v>723</v>
      </c>
      <c r="E110" s="31" t="s">
        <v>724</v>
      </c>
      <c r="F110" s="31" t="s">
        <v>673</v>
      </c>
      <c r="G110" s="31" t="s">
        <v>672</v>
      </c>
      <c r="H110" s="31" t="str">
        <f t="shared" si="26"/>
        <v>Leone XII</v>
      </c>
      <c r="K110" s="31" t="s">
        <v>824</v>
      </c>
      <c r="L110" s="31" t="str">
        <f t="shared" si="27"/>
        <v>Bolla</v>
      </c>
      <c r="M110" s="31" t="s">
        <v>564</v>
      </c>
      <c r="O110" s="31" t="s">
        <v>1235</v>
      </c>
      <c r="P110" s="31" t="s">
        <v>1637</v>
      </c>
      <c r="Q110" s="31" t="s">
        <v>1251</v>
      </c>
      <c r="R110" s="35" t="str">
        <f t="shared" si="16"/>
        <v>24</v>
      </c>
      <c r="S110" s="35"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5">
        <f t="shared" si="17"/>
        <v>1824</v>
      </c>
      <c r="U110" s="31"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6"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31"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31">
        <v>108</v>
      </c>
      <c r="Y110" s="31" t="str">
        <f t="shared" si="18"/>
        <v>['Leone XII', 'Bolla', 'Quod Hoc Ineunte', 'lxii-bol-qhi', '24 maggio 1824', '24/05/1824', '1824/05/24'],</v>
      </c>
      <c r="Z110" s="31" t="str">
        <f t="shared" si="19"/>
        <v>Quod Hoc Ineunte (24 maggio 1824) | Leone XII</v>
      </c>
      <c r="AA110" s="31" t="str">
        <f t="shared" si="20"/>
        <v>Bolla Quod Hoc Ineunte</v>
      </c>
      <c r="AB110" s="31" t="str">
        <f t="shared" si="21"/>
        <v>Bolla Quod Hoc Ineunte</v>
      </c>
      <c r="AC110" s="31" t="str">
        <f t="shared" si="22"/>
        <v>Leone XII, Bolla Quod Hoc Ineunte, 24 maggio 1824</v>
      </c>
      <c r="AD110" s="31" t="str">
        <f t="shared" si="23"/>
        <v>1824-05-24T08:00:00.000+02:00</v>
      </c>
      <c r="AE110" s="31" t="str">
        <f t="shared" si="24"/>
        <v>lxii-bol-qhi</v>
      </c>
      <c r="AF110" s="31" t="str">
        <f t="shared" si="25"/>
        <v>Leone XII - Bolla - Quod Hoc Ineunte</v>
      </c>
    </row>
    <row r="111" spans="2:32" s="31" customFormat="1" x14ac:dyDescent="0.2">
      <c r="B111" s="31">
        <v>252</v>
      </c>
      <c r="C111" s="34" t="s">
        <v>1493</v>
      </c>
      <c r="D111" s="31" t="s">
        <v>723</v>
      </c>
      <c r="E111" s="31" t="s">
        <v>724</v>
      </c>
      <c r="F111" s="31" t="s">
        <v>673</v>
      </c>
      <c r="G111" s="31" t="s">
        <v>672</v>
      </c>
      <c r="H111" s="31" t="str">
        <f t="shared" si="26"/>
        <v>Leone XII</v>
      </c>
      <c r="K111" s="31" t="s">
        <v>825</v>
      </c>
      <c r="L111" s="31" t="str">
        <f t="shared" si="27"/>
        <v>Breve</v>
      </c>
      <c r="M111" s="31" t="s">
        <v>577</v>
      </c>
      <c r="O111" s="31" t="s">
        <v>1234</v>
      </c>
      <c r="P111" s="31" t="s">
        <v>1638</v>
      </c>
      <c r="Q111" s="31" t="s">
        <v>1250</v>
      </c>
      <c r="R111" s="35" t="str">
        <f t="shared" si="16"/>
        <v>24</v>
      </c>
      <c r="S111" s="35"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5">
        <f t="shared" si="17"/>
        <v>1824</v>
      </c>
      <c r="U111" s="31"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6"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31"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31">
        <v>109</v>
      </c>
      <c r="Y111" s="31" t="str">
        <f t="shared" si="18"/>
        <v>['Leone XII', 'Breve', 'Etsi Iam Diu', 'lxii-bre-eid', '24 settembre 1824', '24/09/1824', '1824/09/24'],</v>
      </c>
      <c r="Z111" s="31" t="str">
        <f t="shared" si="19"/>
        <v>Etsi Iam Diu (24 settembre 1824) | Leone XII</v>
      </c>
      <c r="AA111" s="31" t="str">
        <f t="shared" si="20"/>
        <v>Breve Etsi Iam Diu</v>
      </c>
      <c r="AB111" s="31" t="str">
        <f t="shared" si="21"/>
        <v>Breve Etsi Iam Diu</v>
      </c>
      <c r="AC111" s="31" t="str">
        <f t="shared" si="22"/>
        <v>Leone XII, Breve Etsi Iam Diu, 24 settembre 1824</v>
      </c>
      <c r="AD111" s="31" t="str">
        <f t="shared" si="23"/>
        <v>1824-09-24T08:00:00.000+02:00</v>
      </c>
      <c r="AE111" s="31" t="str">
        <f t="shared" si="24"/>
        <v>lxii-bre-eid</v>
      </c>
      <c r="AF111" s="31" t="str">
        <f t="shared" si="25"/>
        <v>Leone XII - Breve - Etsi Iam Diu</v>
      </c>
    </row>
    <row r="112" spans="2:32" s="31" customFormat="1" x14ac:dyDescent="0.2">
      <c r="B112" s="31">
        <v>252</v>
      </c>
      <c r="C112" s="34" t="s">
        <v>1492</v>
      </c>
      <c r="D112" s="31" t="s">
        <v>723</v>
      </c>
      <c r="E112" s="31" t="s">
        <v>724</v>
      </c>
      <c r="F112" s="31" t="s">
        <v>673</v>
      </c>
      <c r="G112" s="31" t="s">
        <v>672</v>
      </c>
      <c r="H112" s="31" t="str">
        <f t="shared" si="26"/>
        <v>Leone XII</v>
      </c>
      <c r="I112" s="31" t="s">
        <v>603</v>
      </c>
      <c r="J112" s="31" t="s">
        <v>829</v>
      </c>
      <c r="K112" s="31" t="s">
        <v>694</v>
      </c>
      <c r="L112" s="31" t="str">
        <f t="shared" si="27"/>
        <v>Lettera Enciclica</v>
      </c>
      <c r="M112" s="31" t="s">
        <v>579</v>
      </c>
      <c r="O112" s="31" t="s">
        <v>1233</v>
      </c>
      <c r="P112" s="31" t="s">
        <v>972</v>
      </c>
      <c r="Q112" s="31" t="s">
        <v>1249</v>
      </c>
      <c r="R112" s="35" t="str">
        <f t="shared" si="16"/>
        <v>25</v>
      </c>
      <c r="S112" s="35"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5">
        <f t="shared" si="17"/>
        <v>1825</v>
      </c>
      <c r="U112" s="31"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6"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31"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31">
        <v>110</v>
      </c>
      <c r="Y112" s="31" t="str">
        <f t="shared" si="18"/>
        <v>['Leone XII', 'Enciclica', 'Ad Plurimas', 'lxii-enc-adp', '25 gennaio 1825', '25/01/1825', '1825/01/25'],</v>
      </c>
      <c r="Z112" s="31" t="str">
        <f t="shared" si="19"/>
        <v>Ad Plurimas (25 gennaio 1825) | Leone XII</v>
      </c>
      <c r="AA112" s="31" t="str">
        <f t="shared" si="20"/>
        <v>Enciclica Ad Plurimas</v>
      </c>
      <c r="AB112" s="31" t="str">
        <f t="shared" si="21"/>
        <v>Enciclica Ad Plurimas</v>
      </c>
      <c r="AC112" s="31" t="str">
        <f t="shared" si="22"/>
        <v>Leone XII, Lettera Enciclica Ad Plurimas, 25 gennaio 1825</v>
      </c>
      <c r="AD112" s="31" t="str">
        <f t="shared" si="23"/>
        <v>1825-01-25T08:00:00.000+02:00</v>
      </c>
      <c r="AE112" s="31" t="str">
        <f t="shared" si="24"/>
        <v>lxii-enc-adp</v>
      </c>
      <c r="AF112" s="31" t="str">
        <f t="shared" si="25"/>
        <v>Leone XII - Lettera Enciclica - Ad Plurimas</v>
      </c>
    </row>
    <row r="113" spans="2:32" s="31" customFormat="1" x14ac:dyDescent="0.2">
      <c r="B113" s="31">
        <v>252</v>
      </c>
      <c r="C113" s="34" t="s">
        <v>1491</v>
      </c>
      <c r="D113" s="31" t="s">
        <v>723</v>
      </c>
      <c r="E113" s="31" t="s">
        <v>724</v>
      </c>
      <c r="F113" s="31" t="s">
        <v>673</v>
      </c>
      <c r="G113" s="31" t="s">
        <v>672</v>
      </c>
      <c r="H113" s="31" t="str">
        <f t="shared" si="26"/>
        <v>Leone XII</v>
      </c>
      <c r="K113" s="31" t="s">
        <v>824</v>
      </c>
      <c r="L113" s="31" t="str">
        <f t="shared" si="27"/>
        <v>Bolla</v>
      </c>
      <c r="M113" s="31" t="s">
        <v>564</v>
      </c>
      <c r="O113" s="31" t="s">
        <v>1232</v>
      </c>
      <c r="P113" s="31" t="s">
        <v>640</v>
      </c>
      <c r="Q113" s="31" t="s">
        <v>1248</v>
      </c>
      <c r="R113" s="35" t="str">
        <f t="shared" si="16"/>
        <v>13</v>
      </c>
      <c r="S113" s="35"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5">
        <f t="shared" si="17"/>
        <v>1825</v>
      </c>
      <c r="U113" s="31"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6"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31"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31">
        <v>111</v>
      </c>
      <c r="Y113" s="31" t="str">
        <f t="shared" si="18"/>
        <v>['Leone XII', 'Bolla', 'Quo Graviora', 'lxii-bol-qug', '13 marzo 1825', '13/03/1825', '1825/03/13'],</v>
      </c>
      <c r="Z113" s="31" t="str">
        <f t="shared" si="19"/>
        <v>Quo Graviora (13 marzo 1825) | Leone XII</v>
      </c>
      <c r="AA113" s="31" t="str">
        <f t="shared" si="20"/>
        <v>Bolla Quo Graviora</v>
      </c>
      <c r="AB113" s="31" t="str">
        <f t="shared" si="21"/>
        <v>Bolla Quo Graviora</v>
      </c>
      <c r="AC113" s="31" t="str">
        <f t="shared" si="22"/>
        <v>Leone XII, Bolla Quo Graviora, 13 marzo 1825</v>
      </c>
      <c r="AD113" s="31" t="str">
        <f t="shared" si="23"/>
        <v>1825-03-13T08:00:00.000+02:00</v>
      </c>
      <c r="AE113" s="31" t="str">
        <f t="shared" si="24"/>
        <v>lxii-bol-qug</v>
      </c>
      <c r="AF113" s="31" t="str">
        <f t="shared" si="25"/>
        <v>Leone XII - Bolla - Quo Graviora</v>
      </c>
    </row>
    <row r="114" spans="2:32" s="31" customFormat="1" x14ac:dyDescent="0.2">
      <c r="B114" s="31">
        <v>252</v>
      </c>
      <c r="C114" s="34" t="s">
        <v>1490</v>
      </c>
      <c r="D114" s="31" t="s">
        <v>723</v>
      </c>
      <c r="E114" s="31" t="s">
        <v>724</v>
      </c>
      <c r="F114" s="31" t="s">
        <v>673</v>
      </c>
      <c r="G114" s="31" t="s">
        <v>672</v>
      </c>
      <c r="H114" s="31" t="str">
        <f t="shared" si="26"/>
        <v>Leone XII</v>
      </c>
      <c r="K114" s="31" t="s">
        <v>824</v>
      </c>
      <c r="L114" s="31" t="str">
        <f t="shared" si="27"/>
        <v>Bolla</v>
      </c>
      <c r="M114" s="31" t="s">
        <v>564</v>
      </c>
      <c r="O114" s="31" t="s">
        <v>1230</v>
      </c>
      <c r="P114" s="31" t="s">
        <v>1639</v>
      </c>
      <c r="Q114" s="31" t="s">
        <v>1247</v>
      </c>
      <c r="R114" s="35" t="str">
        <f t="shared" si="16"/>
        <v>25</v>
      </c>
      <c r="S114" s="35"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5">
        <f t="shared" si="17"/>
        <v>1825</v>
      </c>
      <c r="U114" s="31"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6"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31"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31">
        <v>112</v>
      </c>
      <c r="Y114" s="31" t="str">
        <f t="shared" si="18"/>
        <v>['Leone XII', 'Bolla', 'Charitate Christi', 'lxii-bol-chc', '25 dicembre 1825', '25/12/1825', '1825/12/25'],</v>
      </c>
      <c r="Z114" s="31" t="str">
        <f t="shared" si="19"/>
        <v>Charitate Christi (25 dicembre 1825) | Leone XII</v>
      </c>
      <c r="AA114" s="31" t="str">
        <f t="shared" si="20"/>
        <v>Bolla Charitate Christi</v>
      </c>
      <c r="AB114" s="31" t="str">
        <f t="shared" si="21"/>
        <v>Bolla Charitate Christi</v>
      </c>
      <c r="AC114" s="31" t="str">
        <f t="shared" si="22"/>
        <v>Leone XII, Bolla Charitate Christi, 25 dicembre 1825</v>
      </c>
      <c r="AD114" s="31" t="str">
        <f t="shared" si="23"/>
        <v>1825-12-25T08:00:00.000+02:00</v>
      </c>
      <c r="AE114" s="31" t="str">
        <f t="shared" si="24"/>
        <v>lxii-bol-chc</v>
      </c>
      <c r="AF114" s="31" t="str">
        <f t="shared" si="25"/>
        <v>Leone XII - Bolla - Charitate Christi</v>
      </c>
    </row>
    <row r="115" spans="2:32" s="31" customFormat="1" x14ac:dyDescent="0.2">
      <c r="B115" s="31">
        <v>252</v>
      </c>
      <c r="C115" s="34" t="s">
        <v>1489</v>
      </c>
      <c r="D115" s="31" t="s">
        <v>723</v>
      </c>
      <c r="E115" s="31" t="s">
        <v>724</v>
      </c>
      <c r="F115" s="31" t="s">
        <v>673</v>
      </c>
      <c r="G115" s="31" t="s">
        <v>672</v>
      </c>
      <c r="H115" s="31" t="str">
        <f t="shared" si="26"/>
        <v>Leone XII</v>
      </c>
      <c r="K115" s="31" t="s">
        <v>824</v>
      </c>
      <c r="L115" s="31" t="str">
        <f t="shared" si="27"/>
        <v>Bolla</v>
      </c>
      <c r="M115" s="31" t="s">
        <v>564</v>
      </c>
      <c r="O115" s="31" t="s">
        <v>1231</v>
      </c>
      <c r="P115" s="31" t="s">
        <v>1640</v>
      </c>
      <c r="Q115" s="31" t="s">
        <v>1247</v>
      </c>
      <c r="R115" s="35" t="str">
        <f t="shared" si="16"/>
        <v>25</v>
      </c>
      <c r="S115" s="35"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5">
        <f t="shared" si="17"/>
        <v>1825</v>
      </c>
      <c r="U115" s="31"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6"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31"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31">
        <v>113</v>
      </c>
      <c r="Y115" s="31" t="str">
        <f t="shared" si="18"/>
        <v>['Leone XII', 'Bolla', 'Exultabat Spiritus', 'lxii-bol-exs', '25 dicembre 1825', '25/12/1825', '1825/12/25'],</v>
      </c>
      <c r="Z115" s="31" t="str">
        <f t="shared" si="19"/>
        <v>Exultabat Spiritus (25 dicembre 1825) | Leone XII</v>
      </c>
      <c r="AA115" s="31" t="str">
        <f t="shared" si="20"/>
        <v>Bolla Exultabat Spiritus</v>
      </c>
      <c r="AB115" s="31" t="str">
        <f t="shared" si="21"/>
        <v>Bolla Exultabat Spiritus</v>
      </c>
      <c r="AC115" s="31" t="str">
        <f t="shared" si="22"/>
        <v>Leone XII, Bolla Exultabat Spiritus, 25 dicembre 1825</v>
      </c>
      <c r="AD115" s="31" t="str">
        <f t="shared" si="23"/>
        <v>1825-12-25T08:00:00.000+02:00</v>
      </c>
      <c r="AE115" s="31" t="str">
        <f t="shared" si="24"/>
        <v>lxii-bol-exs</v>
      </c>
      <c r="AF115" s="31" t="str">
        <f t="shared" si="25"/>
        <v>Leone XII - Bolla - Exultabat Spiritus</v>
      </c>
    </row>
    <row r="116" spans="2:32" s="31" customFormat="1" x14ac:dyDescent="0.2">
      <c r="B116" s="31">
        <v>252</v>
      </c>
      <c r="C116" s="34" t="s">
        <v>1488</v>
      </c>
      <c r="D116" s="31" t="s">
        <v>723</v>
      </c>
      <c r="E116" s="31" t="s">
        <v>724</v>
      </c>
      <c r="F116" s="31" t="s">
        <v>673</v>
      </c>
      <c r="G116" s="31" t="s">
        <v>672</v>
      </c>
      <c r="H116" s="31" t="str">
        <f t="shared" si="26"/>
        <v>Leone XII</v>
      </c>
      <c r="K116" s="31" t="s">
        <v>833</v>
      </c>
      <c r="L116" s="31" t="str">
        <f t="shared" si="27"/>
        <v>Omelia</v>
      </c>
      <c r="M116" s="31" t="s">
        <v>572</v>
      </c>
      <c r="O116" s="31" t="s">
        <v>1229</v>
      </c>
      <c r="P116" s="31" t="s">
        <v>612</v>
      </c>
      <c r="Q116" s="31" t="s">
        <v>1246</v>
      </c>
      <c r="R116" s="35" t="str">
        <f t="shared" si="16"/>
        <v>26</v>
      </c>
      <c r="S116" s="35"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5">
        <f t="shared" si="17"/>
        <v>1826</v>
      </c>
      <c r="U116" s="31"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6"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31"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31">
        <v>114</v>
      </c>
      <c r="Y116" s="31" t="str">
        <f t="shared" si="18"/>
        <v>['Leone XII', 'Omelia', 'Qui Pacem', 'lxii-ome-qup', '26 marzo 1826', '26/03/1826', '1826/03/26'],</v>
      </c>
      <c r="Z116" s="31" t="str">
        <f t="shared" si="19"/>
        <v>Qui Pacem (26 marzo 1826) | Leone XII</v>
      </c>
      <c r="AA116" s="31" t="str">
        <f t="shared" si="20"/>
        <v>Omelia Qui Pacem</v>
      </c>
      <c r="AB116" s="31" t="str">
        <f t="shared" si="21"/>
        <v>Omelia Qui Pacem</v>
      </c>
      <c r="AC116" s="31" t="str">
        <f t="shared" si="22"/>
        <v>Leone XII, Omelia Qui Pacem, 26 marzo 1826</v>
      </c>
      <c r="AD116" s="31" t="str">
        <f t="shared" si="23"/>
        <v>1826-03-26T08:00:00.000+02:00</v>
      </c>
      <c r="AE116" s="31" t="str">
        <f t="shared" si="24"/>
        <v>lxii-ome-qup</v>
      </c>
      <c r="AF116" s="31" t="str">
        <f t="shared" si="25"/>
        <v>Leone XII - Omelia - Qui Pacem</v>
      </c>
    </row>
    <row r="117" spans="2:32" s="31" customFormat="1" x14ac:dyDescent="0.2">
      <c r="B117" s="31">
        <v>252</v>
      </c>
      <c r="C117" s="34" t="s">
        <v>1486</v>
      </c>
      <c r="D117" s="31" t="s">
        <v>723</v>
      </c>
      <c r="E117" s="31" t="s">
        <v>724</v>
      </c>
      <c r="F117" s="31" t="s">
        <v>673</v>
      </c>
      <c r="G117" s="31" t="s">
        <v>672</v>
      </c>
      <c r="H117" s="31" t="str">
        <f t="shared" si="26"/>
        <v>Leone XII</v>
      </c>
      <c r="K117" s="31" t="s">
        <v>557</v>
      </c>
      <c r="L117" s="31" t="str">
        <f t="shared" si="27"/>
        <v>Motu Proprio</v>
      </c>
      <c r="M117" s="31" t="s">
        <v>1201</v>
      </c>
      <c r="O117" s="31" t="s">
        <v>1228</v>
      </c>
      <c r="P117" s="31" t="s">
        <v>1641</v>
      </c>
      <c r="Q117" s="31" t="s">
        <v>1245</v>
      </c>
      <c r="R117" s="35" t="str">
        <f t="shared" si="16"/>
        <v>21</v>
      </c>
      <c r="S117" s="35"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5">
        <f t="shared" si="17"/>
        <v>1826</v>
      </c>
      <c r="U117" s="31"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6"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31"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31">
        <v>115</v>
      </c>
      <c r="Y117" s="31" t="str">
        <f t="shared" si="18"/>
        <v>['Leone XII', 'Motu Proprio', 'L'olio oggetto', 'lxii-mot-loo', '21 giugno 1826', '21/06/1826', '1826/06/21'],</v>
      </c>
      <c r="Z117" s="31" t="str">
        <f t="shared" si="19"/>
        <v>L'olio oggetto (21 giugno 1826) | Leone XII</v>
      </c>
      <c r="AA117" s="31" t="str">
        <f t="shared" si="20"/>
        <v>Motu Proprio L'olio oggetto</v>
      </c>
      <c r="AB117" s="31" t="str">
        <f t="shared" si="21"/>
        <v>Motu Proprio L'olio oggetto</v>
      </c>
      <c r="AC117" s="31" t="str">
        <f t="shared" si="22"/>
        <v>Leone XII, Motu Proprio L'olio oggetto, 21 giugno 1826</v>
      </c>
      <c r="AD117" s="31" t="str">
        <f t="shared" si="23"/>
        <v>1826-06-21T08:00:00.000+02:00</v>
      </c>
      <c r="AE117" s="31" t="str">
        <f t="shared" si="24"/>
        <v>lxii-mot-loo</v>
      </c>
      <c r="AF117" s="31" t="str">
        <f t="shared" si="25"/>
        <v>Leone XII - Motu Proprio - L'olio oggetto</v>
      </c>
    </row>
    <row r="118" spans="2:32" s="31" customFormat="1" x14ac:dyDescent="0.2">
      <c r="B118" s="31">
        <v>252</v>
      </c>
      <c r="C118" s="34" t="s">
        <v>1485</v>
      </c>
      <c r="D118" s="31" t="s">
        <v>723</v>
      </c>
      <c r="E118" s="31" t="s">
        <v>724</v>
      </c>
      <c r="F118" s="31" t="s">
        <v>673</v>
      </c>
      <c r="G118" s="31" t="s">
        <v>672</v>
      </c>
      <c r="H118" s="31" t="str">
        <f t="shared" si="26"/>
        <v>Leone XII</v>
      </c>
      <c r="K118" s="31" t="s">
        <v>1255</v>
      </c>
      <c r="L118" s="31" t="str">
        <f t="shared" si="27"/>
        <v>Esortazione</v>
      </c>
      <c r="M118" s="31" t="s">
        <v>1257</v>
      </c>
      <c r="O118" s="31" t="s">
        <v>1227</v>
      </c>
      <c r="P118" s="31" t="s">
        <v>1642</v>
      </c>
      <c r="Q118" s="31" t="s">
        <v>1244</v>
      </c>
      <c r="R118" s="35" t="str">
        <f t="shared" si="16"/>
        <v>02</v>
      </c>
      <c r="S118" s="35"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5">
        <f t="shared" si="17"/>
        <v>1826</v>
      </c>
      <c r="U118" s="31"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6"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31"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31">
        <v>116</v>
      </c>
      <c r="Y118" s="31" t="str">
        <f t="shared" si="18"/>
        <v>['Leone XII', 'Esortazione', 'Pastoris Aeterni', 'lxii-eso-paa', '02 luglio 1826', '02/07/1826', '1826/07/02'],</v>
      </c>
      <c r="Z118" s="31" t="str">
        <f t="shared" si="19"/>
        <v>Pastoris Aeterni (2 luglio 1826) | Leone XII</v>
      </c>
      <c r="AA118" s="31" t="str">
        <f t="shared" si="20"/>
        <v>Esortazione Pastoris Aeterni</v>
      </c>
      <c r="AB118" s="31" t="str">
        <f t="shared" si="21"/>
        <v>Esortazione Pastoris Aeterni</v>
      </c>
      <c r="AC118" s="31" t="str">
        <f t="shared" si="22"/>
        <v>Leone XII, Esortazione Pastoris Aeterni, 02 luglio 1826</v>
      </c>
      <c r="AD118" s="31" t="str">
        <f t="shared" si="23"/>
        <v>1826-07-02T08:00:00.000+02:00</v>
      </c>
      <c r="AE118" s="31" t="str">
        <f t="shared" si="24"/>
        <v>lxii-eso-paa</v>
      </c>
      <c r="AF118" s="31" t="str">
        <f t="shared" si="25"/>
        <v>Leone XII - Esortazione - Pastoris Aeterni</v>
      </c>
    </row>
    <row r="119" spans="2:32" s="31" customFormat="1" x14ac:dyDescent="0.2">
      <c r="B119" s="31">
        <v>252</v>
      </c>
      <c r="C119" s="34" t="s">
        <v>1484</v>
      </c>
      <c r="D119" s="31" t="s">
        <v>723</v>
      </c>
      <c r="E119" s="31" t="s">
        <v>724</v>
      </c>
      <c r="F119" s="31" t="s">
        <v>673</v>
      </c>
      <c r="G119" s="31" t="s">
        <v>672</v>
      </c>
      <c r="H119" s="31" t="str">
        <f t="shared" si="26"/>
        <v>Leone XII</v>
      </c>
      <c r="K119" s="31" t="s">
        <v>557</v>
      </c>
      <c r="L119" s="31" t="str">
        <f t="shared" si="27"/>
        <v>Motu Proprio</v>
      </c>
      <c r="M119" s="31" t="s">
        <v>1201</v>
      </c>
      <c r="O119" s="31" t="s">
        <v>1226</v>
      </c>
      <c r="P119" s="31" t="s">
        <v>967</v>
      </c>
      <c r="Q119" s="31" t="s">
        <v>1243</v>
      </c>
      <c r="R119" s="35" t="str">
        <f t="shared" si="16"/>
        <v>14</v>
      </c>
      <c r="S119" s="35"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5">
        <f t="shared" si="17"/>
        <v>1826</v>
      </c>
      <c r="U119" s="31"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6"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31"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31">
        <v>117</v>
      </c>
      <c r="Y119" s="31" t="str">
        <f t="shared" si="18"/>
        <v>['Leone XII', 'Motu Proprio', 'I Gloriosi Nostri', 'lxii-mot-ign', '14 novembre 1826', '14/11/1826', '1826/11/14'],</v>
      </c>
      <c r="Z119" s="31" t="str">
        <f t="shared" si="19"/>
        <v>I Gloriosi Nostri (14 novembre 1826) | Leone XII</v>
      </c>
      <c r="AA119" s="31" t="str">
        <f t="shared" si="20"/>
        <v>Motu Proprio I Gloriosi Nostri</v>
      </c>
      <c r="AB119" s="31" t="str">
        <f t="shared" si="21"/>
        <v>Motu Proprio I Gloriosi Nostri</v>
      </c>
      <c r="AC119" s="31" t="str">
        <f t="shared" si="22"/>
        <v>Leone XII, Motu Proprio I Gloriosi Nostri, 14 novembre 1826</v>
      </c>
      <c r="AD119" s="31" t="str">
        <f t="shared" si="23"/>
        <v>1826-11-14T08:00:00.000+02:00</v>
      </c>
      <c r="AE119" s="31" t="str">
        <f t="shared" si="24"/>
        <v>lxii-mot-ign</v>
      </c>
      <c r="AF119" s="31" t="str">
        <f t="shared" si="25"/>
        <v>Leone XII - Motu Proprio - I Gloriosi Nostri</v>
      </c>
    </row>
    <row r="120" spans="2:32" s="31" customFormat="1" x14ac:dyDescent="0.2">
      <c r="B120" s="31">
        <v>252</v>
      </c>
      <c r="C120" s="34" t="s">
        <v>1483</v>
      </c>
      <c r="D120" s="31" t="s">
        <v>723</v>
      </c>
      <c r="E120" s="31" t="s">
        <v>724</v>
      </c>
      <c r="F120" s="31" t="s">
        <v>673</v>
      </c>
      <c r="G120" s="31" t="s">
        <v>672</v>
      </c>
      <c r="H120" s="31" t="str">
        <f t="shared" si="26"/>
        <v>Leone XII</v>
      </c>
      <c r="K120" s="31" t="s">
        <v>825</v>
      </c>
      <c r="L120" s="31" t="str">
        <f t="shared" si="27"/>
        <v>Breve</v>
      </c>
      <c r="M120" s="31" t="s">
        <v>577</v>
      </c>
      <c r="O120" s="31" t="s">
        <v>1225</v>
      </c>
      <c r="P120" s="31" t="s">
        <v>1643</v>
      </c>
      <c r="Q120" s="31" t="s">
        <v>1242</v>
      </c>
      <c r="R120" s="35" t="str">
        <f t="shared" si="16"/>
        <v>12</v>
      </c>
      <c r="S120" s="35"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5">
        <f t="shared" si="17"/>
        <v>1826</v>
      </c>
      <c r="U120" s="31"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6"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31"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31">
        <v>118</v>
      </c>
      <c r="Y120" s="31" t="str">
        <f t="shared" si="18"/>
        <v>['Leone XII', 'Breve', 'Ecclesiarum Omnium', 'lxii-bre-eco', '12 dicembre 1826', '12/12/1826', '1826/12/12'],</v>
      </c>
      <c r="Z120" s="31" t="str">
        <f t="shared" si="19"/>
        <v>Ecclesiarum Omnium (12 dicembre 1826) | Leone XII</v>
      </c>
      <c r="AA120" s="31" t="str">
        <f t="shared" si="20"/>
        <v>Breve Ecclesiarum Omnium</v>
      </c>
      <c r="AB120" s="31" t="str">
        <f t="shared" si="21"/>
        <v>Breve Ecclesiarum Omnium</v>
      </c>
      <c r="AC120" s="31" t="str">
        <f t="shared" si="22"/>
        <v>Leone XII, Breve Ecclesiarum Omnium, 12 dicembre 1826</v>
      </c>
      <c r="AD120" s="31" t="str">
        <f t="shared" si="23"/>
        <v>1826-12-12T08:00:00.000+02:00</v>
      </c>
      <c r="AE120" s="31" t="str">
        <f t="shared" si="24"/>
        <v>lxii-bre-eco</v>
      </c>
      <c r="AF120" s="31" t="str">
        <f t="shared" si="25"/>
        <v>Leone XII - Breve - Ecclesiarum Omnium</v>
      </c>
    </row>
    <row r="121" spans="2:32" s="31" customFormat="1" x14ac:dyDescent="0.2">
      <c r="B121" s="31">
        <v>252</v>
      </c>
      <c r="C121" s="34" t="s">
        <v>1482</v>
      </c>
      <c r="D121" s="31" t="s">
        <v>723</v>
      </c>
      <c r="E121" s="31" t="s">
        <v>724</v>
      </c>
      <c r="F121" s="31" t="s">
        <v>673</v>
      </c>
      <c r="G121" s="31" t="s">
        <v>672</v>
      </c>
      <c r="H121" s="31" t="str">
        <f t="shared" si="26"/>
        <v>Leone XII</v>
      </c>
      <c r="K121" s="31" t="s">
        <v>825</v>
      </c>
      <c r="L121" s="31" t="str">
        <f t="shared" si="27"/>
        <v>Breve</v>
      </c>
      <c r="M121" s="31" t="s">
        <v>577</v>
      </c>
      <c r="O121" s="31" t="s">
        <v>1224</v>
      </c>
      <c r="P121" s="31" t="s">
        <v>1616</v>
      </c>
      <c r="Q121" s="31" t="s">
        <v>1241</v>
      </c>
      <c r="R121" s="35" t="str">
        <f t="shared" si="16"/>
        <v>13</v>
      </c>
      <c r="S121" s="35"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5">
        <f t="shared" si="17"/>
        <v>1827</v>
      </c>
      <c r="U121" s="31"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6"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31"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31">
        <v>119</v>
      </c>
      <c r="Y121" s="31" t="str">
        <f t="shared" si="18"/>
        <v>['Leone XII', 'Breve', 'Quanta Laetitia', 'lxii-bre-qul', '13 febbraio 1827', '13/02/1827', '1827/02/13'],</v>
      </c>
      <c r="Z121" s="31" t="str">
        <f t="shared" si="19"/>
        <v>Quanta Laetitia (13 febbraio 1827) | Leone XII</v>
      </c>
      <c r="AA121" s="31" t="str">
        <f t="shared" si="20"/>
        <v>Breve Quanta Laetitia</v>
      </c>
      <c r="AB121" s="31" t="str">
        <f t="shared" si="21"/>
        <v>Breve Quanta Laetitia</v>
      </c>
      <c r="AC121" s="31" t="str">
        <f t="shared" si="22"/>
        <v>Leone XII, Breve Quanta Laetitia, 13 febbraio 1827</v>
      </c>
      <c r="AD121" s="31" t="str">
        <f t="shared" si="23"/>
        <v>1827-02-13T08:00:00.000+02:00</v>
      </c>
      <c r="AE121" s="31" t="str">
        <f t="shared" si="24"/>
        <v>lxii-bre-qul</v>
      </c>
      <c r="AF121" s="31" t="str">
        <f t="shared" si="25"/>
        <v>Leone XII - Breve - Quanta Laetitia</v>
      </c>
    </row>
    <row r="122" spans="2:32" s="31" customFormat="1" x14ac:dyDescent="0.2">
      <c r="B122" s="31">
        <v>252</v>
      </c>
      <c r="C122" s="34" t="s">
        <v>1481</v>
      </c>
      <c r="D122" s="31" t="s">
        <v>723</v>
      </c>
      <c r="E122" s="31" t="s">
        <v>724</v>
      </c>
      <c r="F122" s="31" t="s">
        <v>673</v>
      </c>
      <c r="G122" s="31" t="s">
        <v>672</v>
      </c>
      <c r="H122" s="31" t="str">
        <f t="shared" si="26"/>
        <v>Leone XII</v>
      </c>
      <c r="K122" s="31" t="s">
        <v>825</v>
      </c>
      <c r="L122" s="31" t="str">
        <f t="shared" si="27"/>
        <v>Breve</v>
      </c>
      <c r="M122" s="31" t="s">
        <v>577</v>
      </c>
      <c r="O122" s="31" t="s">
        <v>1223</v>
      </c>
      <c r="P122" s="31" t="s">
        <v>991</v>
      </c>
      <c r="Q122" s="31" t="s">
        <v>1240</v>
      </c>
      <c r="R122" s="35" t="str">
        <f t="shared" si="16"/>
        <v>20</v>
      </c>
      <c r="S122" s="35"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5">
        <f t="shared" si="17"/>
        <v>1827</v>
      </c>
      <c r="U122" s="31"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6"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31"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31">
        <v>120</v>
      </c>
      <c r="Y122" s="31" t="str">
        <f t="shared" si="18"/>
        <v>['Leone XII', 'Breve', 'Inter Multiplices', 'lxii-bre-inm', '20 marzo 1827', '20/03/1827', '1827/03/20'],</v>
      </c>
      <c r="Z122" s="31" t="str">
        <f t="shared" si="19"/>
        <v>Inter Multiplices (20 marzo 1827) | Leone XII</v>
      </c>
      <c r="AA122" s="31" t="str">
        <f t="shared" si="20"/>
        <v>Breve Inter Multiplices</v>
      </c>
      <c r="AB122" s="31" t="str">
        <f t="shared" si="21"/>
        <v>Breve Inter Multiplices</v>
      </c>
      <c r="AC122" s="31" t="str">
        <f t="shared" si="22"/>
        <v>Leone XII, Breve Inter Multiplices, 20 marzo 1827</v>
      </c>
      <c r="AD122" s="31" t="str">
        <f t="shared" si="23"/>
        <v>1827-03-20T08:00:00.000+02:00</v>
      </c>
      <c r="AE122" s="31" t="str">
        <f t="shared" si="24"/>
        <v>lxii-bre-inm</v>
      </c>
      <c r="AF122" s="31" t="str">
        <f t="shared" si="25"/>
        <v>Leone XII - Breve - Inter Multiplices</v>
      </c>
    </row>
    <row r="123" spans="2:32" s="31" customFormat="1" x14ac:dyDescent="0.2">
      <c r="B123" s="31">
        <v>252</v>
      </c>
      <c r="C123" s="34" t="s">
        <v>1480</v>
      </c>
      <c r="D123" s="31" t="s">
        <v>723</v>
      </c>
      <c r="E123" s="31" t="s">
        <v>724</v>
      </c>
      <c r="F123" s="31" t="s">
        <v>673</v>
      </c>
      <c r="G123" s="31" t="s">
        <v>672</v>
      </c>
      <c r="H123" s="31" t="str">
        <f t="shared" si="26"/>
        <v>Leone XII</v>
      </c>
      <c r="K123" s="31" t="s">
        <v>825</v>
      </c>
      <c r="L123" s="31" t="str">
        <f t="shared" si="27"/>
        <v>Breve</v>
      </c>
      <c r="M123" s="31" t="s">
        <v>577</v>
      </c>
      <c r="O123" s="31" t="s">
        <v>1222</v>
      </c>
      <c r="P123" s="31" t="s">
        <v>1644</v>
      </c>
      <c r="Q123" s="31" t="s">
        <v>1239</v>
      </c>
      <c r="R123" s="35" t="str">
        <f t="shared" si="16"/>
        <v>02</v>
      </c>
      <c r="S123" s="35"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5">
        <f t="shared" si="17"/>
        <v>1827</v>
      </c>
      <c r="U123" s="31"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6"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31"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31">
        <v>121</v>
      </c>
      <c r="Y123" s="31" t="str">
        <f t="shared" si="18"/>
        <v>['Leone XII', 'Breve', 'Fructus Quos', 'lxii-bre-frq', '02 ottobre 1827', '02/10/1827', '1827/10/02'],</v>
      </c>
      <c r="Z123" s="31" t="str">
        <f t="shared" si="19"/>
        <v>Fructus Quos (2 ottobre 1827) | Leone XII</v>
      </c>
      <c r="AA123" s="31" t="str">
        <f t="shared" si="20"/>
        <v>Breve Fructus Quos</v>
      </c>
      <c r="AB123" s="31" t="str">
        <f t="shared" si="21"/>
        <v>Breve Fructus Quos</v>
      </c>
      <c r="AC123" s="31" t="str">
        <f t="shared" si="22"/>
        <v>Leone XII, Breve Fructus Quos, 02 ottobre 1827</v>
      </c>
      <c r="AD123" s="31" t="str">
        <f t="shared" si="23"/>
        <v>1827-10-02T08:00:00.000+02:00</v>
      </c>
      <c r="AE123" s="31" t="str">
        <f t="shared" si="24"/>
        <v>lxii-bre-frq</v>
      </c>
      <c r="AF123" s="31" t="str">
        <f t="shared" si="25"/>
        <v>Leone XII - Breve - Fructus Quos</v>
      </c>
    </row>
    <row r="124" spans="2:32" s="31" customFormat="1" x14ac:dyDescent="0.2">
      <c r="B124" s="31">
        <v>252</v>
      </c>
      <c r="C124" s="34" t="s">
        <v>1479</v>
      </c>
      <c r="D124" s="31" t="s">
        <v>723</v>
      </c>
      <c r="E124" s="31" t="s">
        <v>724</v>
      </c>
      <c r="F124" s="31" t="s">
        <v>673</v>
      </c>
      <c r="G124" s="31" t="s">
        <v>672</v>
      </c>
      <c r="H124" s="31" t="str">
        <f t="shared" si="26"/>
        <v>Leone XII</v>
      </c>
      <c r="K124" s="31" t="s">
        <v>1254</v>
      </c>
      <c r="L124" s="31" t="str">
        <f t="shared" si="27"/>
        <v>Epistola</v>
      </c>
      <c r="M124" s="31" t="s">
        <v>1256</v>
      </c>
      <c r="O124" s="31" t="s">
        <v>1221</v>
      </c>
      <c r="P124" s="31" t="s">
        <v>994</v>
      </c>
      <c r="Q124" s="31" t="s">
        <v>1238</v>
      </c>
      <c r="R124" s="35" t="str">
        <f t="shared" si="16"/>
        <v>22</v>
      </c>
      <c r="S124" s="35"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5">
        <f t="shared" si="17"/>
        <v>1828</v>
      </c>
      <c r="U124" s="31"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6"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31"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31">
        <v>122</v>
      </c>
      <c r="Y124" s="31" t="str">
        <f t="shared" si="18"/>
        <v>['Leone XII', 'Epistola', 'Apostolici Nostri', 'lxii-epi-apn', '22 dicembre 1828', '22/12/1828', '1828/12/22'],</v>
      </c>
      <c r="Z124" s="31" t="str">
        <f t="shared" si="19"/>
        <v>Apostolici Nostri (22 dicembre 1828) | Leone XII</v>
      </c>
      <c r="AA124" s="31" t="str">
        <f t="shared" si="20"/>
        <v>Epistola Apostolici Nostri</v>
      </c>
      <c r="AB124" s="31" t="str">
        <f t="shared" si="21"/>
        <v>Epistola Apostolici Nostri</v>
      </c>
      <c r="AC124" s="31" t="str">
        <f t="shared" si="22"/>
        <v>Leone XII, Epistola Apostolici Nostri, 22 dicembre 1828</v>
      </c>
      <c r="AD124" s="31" t="str">
        <f t="shared" si="23"/>
        <v>1828-12-22T08:00:00.000+02:00</v>
      </c>
      <c r="AE124" s="31" t="str">
        <f t="shared" si="24"/>
        <v>lxii-epi-apn</v>
      </c>
      <c r="AF124" s="31" t="str">
        <f t="shared" si="25"/>
        <v>Leone XII - Epistola - Apostolici Nostri</v>
      </c>
    </row>
    <row r="125" spans="2:32" s="31" customFormat="1" x14ac:dyDescent="0.2">
      <c r="B125" s="31">
        <v>252</v>
      </c>
      <c r="C125" s="34" t="s">
        <v>1478</v>
      </c>
      <c r="D125" s="31" t="s">
        <v>723</v>
      </c>
      <c r="E125" s="31" t="s">
        <v>724</v>
      </c>
      <c r="F125" s="31" t="s">
        <v>673</v>
      </c>
      <c r="G125" s="31" t="s">
        <v>672</v>
      </c>
      <c r="H125" s="31" t="str">
        <f t="shared" si="26"/>
        <v>Leone XII</v>
      </c>
      <c r="K125" s="31" t="s">
        <v>925</v>
      </c>
      <c r="L125" s="31" t="str">
        <f t="shared" si="27"/>
        <v>Chirografo</v>
      </c>
      <c r="M125" s="31" t="s">
        <v>950</v>
      </c>
      <c r="O125" s="31" t="s">
        <v>1220</v>
      </c>
      <c r="P125" s="31" t="s">
        <v>1645</v>
      </c>
      <c r="Q125" s="31" t="s">
        <v>1237</v>
      </c>
      <c r="R125" s="35" t="str">
        <f t="shared" si="16"/>
        <v>06</v>
      </c>
      <c r="S125" s="35"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5">
        <f t="shared" si="17"/>
        <v>1829</v>
      </c>
      <c r="U125" s="31"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6"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31"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31">
        <v>123</v>
      </c>
      <c r="Y125" s="31" t="str">
        <f t="shared" si="18"/>
        <v>['Leone XII', 'Chirografo', 'Quando Spirato', 'lxii-chi-qus', '06 gennaio 1829', '06/01/1829', '1829/01/06'],</v>
      </c>
      <c r="Z125" s="31" t="str">
        <f t="shared" si="19"/>
        <v>Quando Spirato (6 gennaio 1829) | Leone XII</v>
      </c>
      <c r="AA125" s="31" t="str">
        <f t="shared" si="20"/>
        <v>Chirografo Quando Spirato</v>
      </c>
      <c r="AB125" s="31" t="str">
        <f t="shared" si="21"/>
        <v>Chirografo Quando Spirato</v>
      </c>
      <c r="AC125" s="31" t="str">
        <f t="shared" si="22"/>
        <v>Leone XII, Chirografo Quando Spirato, 06 gennaio 1829</v>
      </c>
      <c r="AD125" s="31" t="str">
        <f t="shared" si="23"/>
        <v>1829-01-06T08:00:00.000+02:00</v>
      </c>
      <c r="AE125" s="31" t="str">
        <f t="shared" si="24"/>
        <v>lxii-chi-qus</v>
      </c>
      <c r="AF125" s="31" t="str">
        <f t="shared" si="25"/>
        <v>Leone XII - Chirografo - Quando Spirato</v>
      </c>
    </row>
    <row r="126" spans="2:32" s="31" customFormat="1" x14ac:dyDescent="0.2">
      <c r="B126" s="31">
        <v>253</v>
      </c>
      <c r="C126" s="34" t="s">
        <v>1477</v>
      </c>
      <c r="D126" s="31" t="s">
        <v>715</v>
      </c>
      <c r="E126" s="31" t="s">
        <v>726</v>
      </c>
      <c r="F126" s="31" t="s">
        <v>671</v>
      </c>
      <c r="G126" s="31" t="s">
        <v>670</v>
      </c>
      <c r="H126" s="31" t="str">
        <f t="shared" si="26"/>
        <v>Pio VIII</v>
      </c>
      <c r="K126" s="31" t="s">
        <v>825</v>
      </c>
      <c r="L126" s="31" t="str">
        <f t="shared" si="27"/>
        <v>Breve</v>
      </c>
      <c r="M126" s="31" t="s">
        <v>577</v>
      </c>
      <c r="O126" s="31" t="s">
        <v>271</v>
      </c>
      <c r="P126" s="31" t="s">
        <v>1916</v>
      </c>
      <c r="Q126" s="31" t="s">
        <v>895</v>
      </c>
      <c r="R126" s="35" t="str">
        <f t="shared" si="16"/>
        <v>15</v>
      </c>
      <c r="S126" s="35"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5">
        <f t="shared" si="17"/>
        <v>1829</v>
      </c>
      <c r="U126" s="31"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6"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31"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31">
        <v>124</v>
      </c>
      <c r="Y126" s="31" t="str">
        <f t="shared" si="18"/>
        <v>['Pio VIII', 'Breve', 'Inter multiplices', 'piviii-bre-itm', '15 maggio 1829', '15/05/1829', '1829/05/15'],</v>
      </c>
      <c r="Z126" s="31" t="str">
        <f t="shared" si="19"/>
        <v>Inter multiplices (15 maggio 1829) | Pio VIII</v>
      </c>
      <c r="AA126" s="31" t="str">
        <f t="shared" si="20"/>
        <v>Breve Inter multiplices</v>
      </c>
      <c r="AB126" s="31" t="str">
        <f t="shared" si="21"/>
        <v>Breve Inter multiplices</v>
      </c>
      <c r="AC126" s="31" t="str">
        <f t="shared" si="22"/>
        <v>Pio VIII, Breve Inter multiplices, 15 maggio 1829</v>
      </c>
      <c r="AD126" s="31" t="str">
        <f t="shared" si="23"/>
        <v>1829-05-15T08:00:00.000+02:00</v>
      </c>
      <c r="AE126" s="31" t="str">
        <f t="shared" si="24"/>
        <v>piviii-bre-itm</v>
      </c>
      <c r="AF126" s="31" t="str">
        <f t="shared" si="25"/>
        <v>Pio VIII - Breve - Inter multiplices</v>
      </c>
    </row>
    <row r="127" spans="2:32" s="31" customFormat="1" x14ac:dyDescent="0.2">
      <c r="B127" s="31">
        <v>253</v>
      </c>
      <c r="C127" s="34" t="s">
        <v>1476</v>
      </c>
      <c r="D127" s="31" t="s">
        <v>715</v>
      </c>
      <c r="E127" s="31" t="s">
        <v>726</v>
      </c>
      <c r="F127" s="31" t="s">
        <v>671</v>
      </c>
      <c r="G127" s="31" t="s">
        <v>670</v>
      </c>
      <c r="H127" s="31" t="str">
        <f t="shared" si="26"/>
        <v>Pio VIII</v>
      </c>
      <c r="I127" s="31" t="s">
        <v>603</v>
      </c>
      <c r="J127" s="31" t="s">
        <v>829</v>
      </c>
      <c r="K127" s="31" t="s">
        <v>694</v>
      </c>
      <c r="L127" s="31" t="str">
        <f t="shared" si="27"/>
        <v>Lettera Enciclica</v>
      </c>
      <c r="M127" s="31" t="s">
        <v>579</v>
      </c>
      <c r="O127" s="31" t="s">
        <v>893</v>
      </c>
      <c r="P127" s="31" t="s">
        <v>2953</v>
      </c>
      <c r="Q127" s="31" t="s">
        <v>894</v>
      </c>
      <c r="R127" s="35" t="str">
        <f t="shared" si="16"/>
        <v>24</v>
      </c>
      <c r="S127" s="35"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5">
        <f t="shared" si="17"/>
        <v>1829</v>
      </c>
      <c r="U127" s="31"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6"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31"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31">
        <v>125</v>
      </c>
      <c r="Y127" s="31" t="str">
        <f t="shared" si="18"/>
        <v>['Pio VIII', 'Enciclica', 'Traditi humilitati', 'piviii-enc-trh', '24 maggio 1829', '24/05/1829', '1829/05/24'],</v>
      </c>
      <c r="Z127" s="31" t="str">
        <f t="shared" si="19"/>
        <v>Traditi humilitati (24 maggio 1829) | Pio VIII</v>
      </c>
      <c r="AA127" s="31" t="str">
        <f t="shared" si="20"/>
        <v>Enciclica Traditi humilitati</v>
      </c>
      <c r="AB127" s="31" t="str">
        <f t="shared" si="21"/>
        <v>Enciclica Traditi humilitati</v>
      </c>
      <c r="AC127" s="31" t="str">
        <f t="shared" si="22"/>
        <v>Pio VIII, Lettera Enciclica Traditi humilitati, 24 maggio 1829</v>
      </c>
      <c r="AD127" s="31" t="str">
        <f t="shared" si="23"/>
        <v>1829-05-24T08:00:00.000+02:00</v>
      </c>
      <c r="AE127" s="31" t="str">
        <f t="shared" si="24"/>
        <v>piviii-enc-trh</v>
      </c>
      <c r="AF127" s="31" t="str">
        <f t="shared" si="25"/>
        <v>Pio VIII - Lettera Enciclica - Traditi humilitati</v>
      </c>
    </row>
    <row r="128" spans="2:32" s="31" customFormat="1" x14ac:dyDescent="0.2">
      <c r="B128" s="31">
        <v>253</v>
      </c>
      <c r="C128" s="34" t="s">
        <v>1475</v>
      </c>
      <c r="D128" s="31" t="s">
        <v>715</v>
      </c>
      <c r="E128" s="31" t="s">
        <v>726</v>
      </c>
      <c r="F128" s="31" t="s">
        <v>671</v>
      </c>
      <c r="G128" s="31" t="s">
        <v>670</v>
      </c>
      <c r="H128" s="31" t="str">
        <f t="shared" si="26"/>
        <v>Pio VIII</v>
      </c>
      <c r="K128" s="31" t="s">
        <v>825</v>
      </c>
      <c r="L128" s="31" t="str">
        <f t="shared" si="27"/>
        <v>Breve</v>
      </c>
      <c r="M128" s="31" t="s">
        <v>577</v>
      </c>
      <c r="O128" s="31" t="s">
        <v>891</v>
      </c>
      <c r="P128" s="31" t="s">
        <v>1070</v>
      </c>
      <c r="Q128" s="31" t="s">
        <v>892</v>
      </c>
      <c r="R128" s="35" t="str">
        <f t="shared" si="16"/>
        <v>18</v>
      </c>
      <c r="S128" s="35"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5">
        <f t="shared" si="17"/>
        <v>1829</v>
      </c>
      <c r="U128" s="31"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6"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31"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31">
        <v>126</v>
      </c>
      <c r="Y128" s="31" t="str">
        <f t="shared" si="18"/>
        <v>['Pio VIII', 'Breve', 'In supremi', 'piviii-bre-ins', '18 giugno 1829', '18/06/1829', '1829/06/18'],</v>
      </c>
      <c r="Z128" s="31" t="str">
        <f t="shared" si="19"/>
        <v>In supremi (18 giugno 1829) | Pio VIII</v>
      </c>
      <c r="AA128" s="31" t="str">
        <f t="shared" si="20"/>
        <v>Breve In supremi</v>
      </c>
      <c r="AB128" s="31" t="str">
        <f t="shared" si="21"/>
        <v>Breve In supremi</v>
      </c>
      <c r="AC128" s="31" t="str">
        <f t="shared" si="22"/>
        <v>Pio VIII, Breve In supremi, 18 giugno 1829</v>
      </c>
      <c r="AD128" s="31" t="str">
        <f t="shared" si="23"/>
        <v>1829-06-18T08:00:00.000+02:00</v>
      </c>
      <c r="AE128" s="31" t="str">
        <f t="shared" si="24"/>
        <v>piviii-bre-ins</v>
      </c>
      <c r="AF128" s="31" t="str">
        <f t="shared" si="25"/>
        <v>Pio VIII - Breve - In supremi</v>
      </c>
    </row>
    <row r="129" spans="2:32" s="31" customFormat="1" x14ac:dyDescent="0.2">
      <c r="B129" s="31">
        <v>253</v>
      </c>
      <c r="C129" s="34" t="s">
        <v>1474</v>
      </c>
      <c r="D129" s="31" t="s">
        <v>715</v>
      </c>
      <c r="E129" s="31" t="s">
        <v>726</v>
      </c>
      <c r="F129" s="31" t="s">
        <v>671</v>
      </c>
      <c r="G129" s="31" t="s">
        <v>670</v>
      </c>
      <c r="H129" s="31" t="str">
        <f t="shared" si="26"/>
        <v>Pio VIII</v>
      </c>
      <c r="K129" s="31" t="s">
        <v>825</v>
      </c>
      <c r="L129" s="31" t="str">
        <f t="shared" si="27"/>
        <v>Breve</v>
      </c>
      <c r="M129" s="31" t="s">
        <v>577</v>
      </c>
      <c r="O129" s="31" t="s">
        <v>889</v>
      </c>
      <c r="P129" s="31" t="s">
        <v>1646</v>
      </c>
      <c r="Q129" s="31" t="s">
        <v>890</v>
      </c>
      <c r="R129" s="35" t="str">
        <f t="shared" si="16"/>
        <v>30</v>
      </c>
      <c r="S129" s="35"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5">
        <f t="shared" si="17"/>
        <v>1829</v>
      </c>
      <c r="U129" s="31"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6"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31"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31">
        <v>127</v>
      </c>
      <c r="Y129" s="31" t="str">
        <f t="shared" si="18"/>
        <v>['Pio VIII', 'Breve', 'Literae fraternitatis', 'piviii-bre-lif', '30 giugno 1829', '30/06/1829', '1829/06/30'],</v>
      </c>
      <c r="Z129" s="31" t="str">
        <f t="shared" si="19"/>
        <v>Literae fraternitatis (30 giugno 1829) | Pio VIII</v>
      </c>
      <c r="AA129" s="31" t="str">
        <f t="shared" si="20"/>
        <v>Breve Literae fraternitatis</v>
      </c>
      <c r="AB129" s="31" t="str">
        <f t="shared" si="21"/>
        <v>Breve Literae fraternitatis</v>
      </c>
      <c r="AC129" s="31" t="str">
        <f t="shared" si="22"/>
        <v>Pio VIII, Breve Literae fraternitatis, 30 giugno 1829</v>
      </c>
      <c r="AD129" s="31" t="str">
        <f t="shared" si="23"/>
        <v>1829-06-30T08:00:00.000+02:00</v>
      </c>
      <c r="AE129" s="31" t="str">
        <f t="shared" si="24"/>
        <v>piviii-bre-lif</v>
      </c>
      <c r="AF129" s="31" t="str">
        <f t="shared" si="25"/>
        <v>Pio VIII - Breve - Literae fraternitatis</v>
      </c>
    </row>
    <row r="130" spans="2:32" s="31" customFormat="1" x14ac:dyDescent="0.2">
      <c r="B130" s="31">
        <v>253</v>
      </c>
      <c r="C130" s="34" t="s">
        <v>1473</v>
      </c>
      <c r="D130" s="31" t="s">
        <v>715</v>
      </c>
      <c r="E130" s="31" t="s">
        <v>726</v>
      </c>
      <c r="F130" s="31" t="s">
        <v>671</v>
      </c>
      <c r="G130" s="31" t="s">
        <v>670</v>
      </c>
      <c r="H130" s="31" t="str">
        <f t="shared" ref="H130:H161" si="28">_xlfn.CONCAT(D130 &amp; " " &amp; E130)</f>
        <v>Pio VIII</v>
      </c>
      <c r="K130" s="31" t="s">
        <v>825</v>
      </c>
      <c r="L130" s="31" t="str">
        <f t="shared" ref="L130:L161" si="29">IF(J130&lt;&gt;"",_xlfn.CONCAT(J130 &amp; " " &amp; K130),K130)</f>
        <v>Breve</v>
      </c>
      <c r="M130" s="31" t="s">
        <v>577</v>
      </c>
      <c r="O130" s="31" t="s">
        <v>887</v>
      </c>
      <c r="P130" s="31" t="s">
        <v>565</v>
      </c>
      <c r="Q130" s="31" t="s">
        <v>888</v>
      </c>
      <c r="R130" s="35" t="str">
        <f t="shared" ref="R130:R193" si="30">IF(ISERROR(DAY(Q130)),TEXT((LEFT(Q130,2)),"00"),TEXT(DAY(Q130),"00"))</f>
        <v>07</v>
      </c>
      <c r="S130" s="35"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5">
        <f t="shared" ref="T130:T193" si="31">IF(ISERROR(DAY(Q130)),VALUE(RIGHT(Q130,4)),YEAR(Q130))</f>
        <v>1829</v>
      </c>
      <c r="U130" s="31"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6"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31"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31">
        <v>128</v>
      </c>
      <c r="Y130" s="31" t="str">
        <f t="shared" ref="Y130:Y193" si="32">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31" t="str">
        <f t="shared" ref="Z130:Z193" si="33">_xlfn.CONCAT(O130 &amp; " (" &amp; Q130 &amp; ") | " &amp; D130 &amp; " " &amp; E130)</f>
        <v>Coelestis agricola (7 luglio 1829) | Pio VIII</v>
      </c>
      <c r="AA130" s="31" t="str">
        <f t="shared" ref="AA130:AA193" si="34">_xlfn.CONCAT(K130 &amp; " " &amp; O130)</f>
        <v>Breve Coelestis agricola</v>
      </c>
      <c r="AB130" s="31" t="str">
        <f t="shared" ref="AB130:AB193" si="35">_xlfn.CONCAT(K130 &amp; " " &amp; O130)</f>
        <v>Breve Coelestis agricola</v>
      </c>
      <c r="AC130" s="31" t="str">
        <f t="shared" ref="AC130:AC193" si="36">_xlfn.CONCAT(H130 &amp; ", " &amp; L130 &amp; " " &amp; O130 &amp; ", " &amp; LEFT(U130,2) &amp; " " &amp; TEXT(VALUE(MID(U130,4,2))*29,"mmmm") &amp; " " &amp; RIGHT(U130,4))</f>
        <v>Pio VIII, Breve Coelestis agricola, 07 luglio 1829</v>
      </c>
      <c r="AD130" s="31" t="str">
        <f t="shared" ref="AD130:AD193" si="37">_xlfn.CONCAT(RIGHT(U130,4) &amp; "-" &amp; MID(U130,4,2) &amp; "-" &amp; LEFT(U130,2) &amp; "T08:00:00.000+02:00")</f>
        <v>1829-07-07T08:00:00.000+02:00</v>
      </c>
      <c r="AE130" s="31" t="str">
        <f t="shared" si="24"/>
        <v>piviii-bre-coa</v>
      </c>
      <c r="AF130" s="31" t="str">
        <f t="shared" si="25"/>
        <v>Pio VIII - Breve - Coelestis agricola</v>
      </c>
    </row>
    <row r="131" spans="2:32" s="31" customFormat="1" x14ac:dyDescent="0.2">
      <c r="B131" s="31">
        <v>253</v>
      </c>
      <c r="C131" s="34" t="s">
        <v>1472</v>
      </c>
      <c r="D131" s="31" t="s">
        <v>715</v>
      </c>
      <c r="E131" s="31" t="s">
        <v>726</v>
      </c>
      <c r="F131" s="31" t="s">
        <v>671</v>
      </c>
      <c r="G131" s="31" t="s">
        <v>670</v>
      </c>
      <c r="H131" s="31" t="str">
        <f t="shared" si="28"/>
        <v>Pio VIII</v>
      </c>
      <c r="K131" s="31" t="s">
        <v>825</v>
      </c>
      <c r="L131" s="31" t="str">
        <f t="shared" si="29"/>
        <v>Breve</v>
      </c>
      <c r="M131" s="31" t="s">
        <v>577</v>
      </c>
      <c r="O131" s="31" t="s">
        <v>271</v>
      </c>
      <c r="P131" s="31" t="s">
        <v>1647</v>
      </c>
      <c r="Q131" s="31" t="s">
        <v>886</v>
      </c>
      <c r="R131" s="35" t="str">
        <f t="shared" si="30"/>
        <v>11</v>
      </c>
      <c r="S131" s="35"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5">
        <f t="shared" si="31"/>
        <v>1829</v>
      </c>
      <c r="U131" s="31"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6"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31"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31">
        <v>129</v>
      </c>
      <c r="Y131" s="31" t="str">
        <f t="shared" si="32"/>
        <v>['Pio VIII', 'Breve', 'Inter multiplices', 'piviii-bre-imu', '11 agosto 1829', '11/08/1829', '1829/08/11'],</v>
      </c>
      <c r="Z131" s="31" t="str">
        <f t="shared" si="33"/>
        <v>Inter multiplices (11 agosto 1829) | Pio VIII</v>
      </c>
      <c r="AA131" s="31" t="str">
        <f t="shared" si="34"/>
        <v>Breve Inter multiplices</v>
      </c>
      <c r="AB131" s="31" t="str">
        <f t="shared" si="35"/>
        <v>Breve Inter multiplices</v>
      </c>
      <c r="AC131" s="31" t="str">
        <f t="shared" si="36"/>
        <v>Pio VIII, Breve Inter multiplices, 11 agosto 1829</v>
      </c>
      <c r="AD131" s="31" t="str">
        <f t="shared" si="37"/>
        <v>1829-08-11T08:00:00.000+02:00</v>
      </c>
      <c r="AE131" s="31" t="str">
        <f t="shared" ref="AE131:AE194" si="38">_xlfn.CONCAT(F131 &amp; "-" &amp; M131 &amp; "-" &amp; P131)</f>
        <v>piviii-bre-imu</v>
      </c>
      <c r="AF131" s="31" t="str">
        <f t="shared" ref="AF131:AF194" si="39">_xlfn.CONCAT(H131 &amp; " - " &amp; L131 &amp; " - " &amp; O131)</f>
        <v>Pio VIII - Breve - Inter multiplices</v>
      </c>
    </row>
    <row r="132" spans="2:32" s="31" customFormat="1" x14ac:dyDescent="0.2">
      <c r="B132" s="31">
        <v>253</v>
      </c>
      <c r="C132" s="34" t="s">
        <v>1471</v>
      </c>
      <c r="D132" s="31" t="s">
        <v>715</v>
      </c>
      <c r="E132" s="31" t="s">
        <v>726</v>
      </c>
      <c r="F132" s="31" t="s">
        <v>671</v>
      </c>
      <c r="G132" s="31" t="s">
        <v>670</v>
      </c>
      <c r="H132" s="31" t="str">
        <f t="shared" si="28"/>
        <v>Pio VIII</v>
      </c>
      <c r="K132" s="31" t="s">
        <v>825</v>
      </c>
      <c r="L132" s="31" t="str">
        <f t="shared" si="29"/>
        <v>Breve</v>
      </c>
      <c r="M132" s="31" t="s">
        <v>577</v>
      </c>
      <c r="O132" s="31" t="s">
        <v>271</v>
      </c>
      <c r="P132" s="31" t="s">
        <v>991</v>
      </c>
      <c r="Q132" s="31" t="s">
        <v>885</v>
      </c>
      <c r="R132" s="35" t="str">
        <f t="shared" si="30"/>
        <v>04</v>
      </c>
      <c r="S132" s="35"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5">
        <f t="shared" si="31"/>
        <v>1829</v>
      </c>
      <c r="U132" s="31"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6"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31"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31">
        <v>130</v>
      </c>
      <c r="Y132" s="31" t="str">
        <f t="shared" si="32"/>
        <v>['Pio VIII', 'Breve', 'Inter multiplices', 'piviii-bre-inm', '04 settembre 1829', '04/09/1829', '1829/09/04'],</v>
      </c>
      <c r="Z132" s="31" t="str">
        <f t="shared" si="33"/>
        <v>Inter multiplices (4 settembre 1829) | Pio VIII</v>
      </c>
      <c r="AA132" s="31" t="str">
        <f t="shared" si="34"/>
        <v>Breve Inter multiplices</v>
      </c>
      <c r="AB132" s="31" t="str">
        <f t="shared" si="35"/>
        <v>Breve Inter multiplices</v>
      </c>
      <c r="AC132" s="31" t="str">
        <f t="shared" si="36"/>
        <v>Pio VIII, Breve Inter multiplices, 04 settembre 1829</v>
      </c>
      <c r="AD132" s="31" t="str">
        <f t="shared" si="37"/>
        <v>1829-09-04T08:00:00.000+02:00</v>
      </c>
      <c r="AE132" s="31" t="str">
        <f t="shared" si="38"/>
        <v>piviii-bre-inm</v>
      </c>
      <c r="AF132" s="31" t="str">
        <f t="shared" si="39"/>
        <v>Pio VIII - Breve - Inter multiplices</v>
      </c>
    </row>
    <row r="133" spans="2:32" s="31" customFormat="1" x14ac:dyDescent="0.2">
      <c r="B133" s="31">
        <v>254</v>
      </c>
      <c r="C133" s="34" t="s">
        <v>1409</v>
      </c>
      <c r="D133" s="31" t="s">
        <v>725</v>
      </c>
      <c r="E133" s="31" t="s">
        <v>700</v>
      </c>
      <c r="F133" s="31" t="s">
        <v>679</v>
      </c>
      <c r="G133" s="31" t="s">
        <v>678</v>
      </c>
      <c r="H133" s="31" t="str">
        <f t="shared" si="28"/>
        <v>Gregorio XVI</v>
      </c>
      <c r="K133" s="31" t="s">
        <v>1254</v>
      </c>
      <c r="L133" s="31" t="str">
        <f t="shared" si="29"/>
        <v>Epistola</v>
      </c>
      <c r="M133" s="31" t="s">
        <v>1256</v>
      </c>
      <c r="O133" s="31" t="s">
        <v>1294</v>
      </c>
      <c r="P133" s="31" t="s">
        <v>1650</v>
      </c>
      <c r="Q133" s="31" t="s">
        <v>1350</v>
      </c>
      <c r="R133" s="35" t="str">
        <f t="shared" si="30"/>
        <v>09</v>
      </c>
      <c r="S133" s="35"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5">
        <f t="shared" si="31"/>
        <v>1831</v>
      </c>
      <c r="U133" s="31"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6"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31"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31">
        <v>131</v>
      </c>
      <c r="Y133" s="31" t="str">
        <f t="shared" si="32"/>
        <v>['Gregorio XVI', 'Epistola', 'Chiamati dalla divina', 'grxvi-epi-cdd', '09 febbraio 1831', '09/02/1831', '1831/02/09'],</v>
      </c>
      <c r="Z133" s="31" t="str">
        <f t="shared" si="33"/>
        <v>Chiamati dalla divina (9 febbraio 1831) | Gregorio XVI</v>
      </c>
      <c r="AA133" s="31" t="str">
        <f t="shared" si="34"/>
        <v>Epistola Chiamati dalla divina</v>
      </c>
      <c r="AB133" s="31" t="str">
        <f t="shared" si="35"/>
        <v>Epistola Chiamati dalla divina</v>
      </c>
      <c r="AC133" s="31" t="str">
        <f t="shared" si="36"/>
        <v>Gregorio XVI, Epistola Chiamati dalla divina, 09 febbraio 1831</v>
      </c>
      <c r="AD133" s="31" t="str">
        <f t="shared" si="37"/>
        <v>1831-02-09T08:00:00.000+02:00</v>
      </c>
      <c r="AE133" s="31" t="str">
        <f t="shared" si="38"/>
        <v>grxvi-epi-cdd</v>
      </c>
      <c r="AF133" s="31" t="str">
        <f t="shared" si="39"/>
        <v>Gregorio XVI - Epistola - Chiamati dalla divina</v>
      </c>
    </row>
    <row r="134" spans="2:32" s="31" customFormat="1" x14ac:dyDescent="0.2">
      <c r="B134" s="31">
        <v>254</v>
      </c>
      <c r="C134" s="34" t="s">
        <v>1408</v>
      </c>
      <c r="D134" s="31" t="s">
        <v>725</v>
      </c>
      <c r="E134" s="31" t="s">
        <v>700</v>
      </c>
      <c r="F134" s="31" t="s">
        <v>679</v>
      </c>
      <c r="G134" s="31" t="s">
        <v>678</v>
      </c>
      <c r="H134" s="31" t="str">
        <f t="shared" si="28"/>
        <v>Gregorio XVI</v>
      </c>
      <c r="I134" s="31" t="s">
        <v>603</v>
      </c>
      <c r="J134" s="31" t="s">
        <v>829</v>
      </c>
      <c r="K134" s="31" t="s">
        <v>694</v>
      </c>
      <c r="L134" s="31" t="str">
        <f t="shared" si="29"/>
        <v>Lettera Enciclica</v>
      </c>
      <c r="M134" s="31" t="s">
        <v>579</v>
      </c>
      <c r="O134" s="31" t="s">
        <v>302</v>
      </c>
      <c r="P134" s="31" t="s">
        <v>974</v>
      </c>
      <c r="Q134" s="31" t="s">
        <v>1349</v>
      </c>
      <c r="R134" s="35" t="str">
        <f t="shared" si="30"/>
        <v>05</v>
      </c>
      <c r="S134" s="35"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5">
        <f t="shared" si="31"/>
        <v>1831</v>
      </c>
      <c r="U134" s="31"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6"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31"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31">
        <v>132</v>
      </c>
      <c r="Y134" s="31" t="str">
        <f t="shared" si="32"/>
        <v>['Gregorio XVI', 'Enciclica', 'Quel Dio', 'grxvi-enc-qud', '05 aprile 1831', '05/04/1831', '1831/04/05'],</v>
      </c>
      <c r="Z134" s="31" t="str">
        <f t="shared" si="33"/>
        <v>Quel Dio (5 aprile 1831) | Gregorio XVI</v>
      </c>
      <c r="AA134" s="31" t="str">
        <f t="shared" si="34"/>
        <v>Enciclica Quel Dio</v>
      </c>
      <c r="AB134" s="31" t="str">
        <f t="shared" si="35"/>
        <v>Enciclica Quel Dio</v>
      </c>
      <c r="AC134" s="31" t="str">
        <f t="shared" si="36"/>
        <v>Gregorio XVI, Lettera Enciclica Quel Dio, 05 aprile 1831</v>
      </c>
      <c r="AD134" s="31" t="str">
        <f t="shared" si="37"/>
        <v>1831-04-05T08:00:00.000+02:00</v>
      </c>
      <c r="AE134" s="31" t="str">
        <f t="shared" si="38"/>
        <v>grxvi-enc-qud</v>
      </c>
      <c r="AF134" s="31" t="str">
        <f t="shared" si="39"/>
        <v>Gregorio XVI - Lettera Enciclica - Quel Dio</v>
      </c>
    </row>
    <row r="135" spans="2:32" s="31" customFormat="1" x14ac:dyDescent="0.2">
      <c r="B135" s="31">
        <v>254</v>
      </c>
      <c r="C135" s="34" t="s">
        <v>1407</v>
      </c>
      <c r="D135" s="31" t="s">
        <v>725</v>
      </c>
      <c r="E135" s="31" t="s">
        <v>700</v>
      </c>
      <c r="F135" s="31" t="s">
        <v>679</v>
      </c>
      <c r="G135" s="31" t="s">
        <v>678</v>
      </c>
      <c r="H135" s="31" t="str">
        <f t="shared" si="28"/>
        <v>Gregorio XVI</v>
      </c>
      <c r="I135" s="31" t="s">
        <v>603</v>
      </c>
      <c r="J135" s="31" t="s">
        <v>829</v>
      </c>
      <c r="K135" s="31" t="s">
        <v>694</v>
      </c>
      <c r="L135" s="31" t="str">
        <f t="shared" si="29"/>
        <v>Lettera Enciclica</v>
      </c>
      <c r="M135" s="31" t="s">
        <v>579</v>
      </c>
      <c r="O135" s="31" t="s">
        <v>303</v>
      </c>
      <c r="P135" s="31" t="s">
        <v>975</v>
      </c>
      <c r="Q135" s="31" t="s">
        <v>1348</v>
      </c>
      <c r="R135" s="35" t="str">
        <f t="shared" si="30"/>
        <v>12</v>
      </c>
      <c r="S135" s="35"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5">
        <f t="shared" si="31"/>
        <v>1831</v>
      </c>
      <c r="U135" s="31"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6"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31"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31">
        <v>133</v>
      </c>
      <c r="Y135" s="31" t="str">
        <f t="shared" si="32"/>
        <v>['Gregorio XVI', 'Enciclica', 'Le armi valorose', 'grxvi-enc-lav', '12 luglio 1831', '12/07/1831', '1831/07/12'],</v>
      </c>
      <c r="Z135" s="31" t="str">
        <f t="shared" si="33"/>
        <v>Le armi valorose (12 luglio 1831) | Gregorio XVI</v>
      </c>
      <c r="AA135" s="31" t="str">
        <f t="shared" si="34"/>
        <v>Enciclica Le armi valorose</v>
      </c>
      <c r="AB135" s="31" t="str">
        <f t="shared" si="35"/>
        <v>Enciclica Le armi valorose</v>
      </c>
      <c r="AC135" s="31" t="str">
        <f t="shared" si="36"/>
        <v>Gregorio XVI, Lettera Enciclica Le armi valorose, 12 luglio 1831</v>
      </c>
      <c r="AD135" s="31" t="str">
        <f t="shared" si="37"/>
        <v>1831-07-12T08:00:00.000+02:00</v>
      </c>
      <c r="AE135" s="31" t="str">
        <f t="shared" si="38"/>
        <v>grxvi-enc-lav</v>
      </c>
      <c r="AF135" s="31" t="str">
        <f t="shared" si="39"/>
        <v>Gregorio XVI - Lettera Enciclica - Le armi valorose</v>
      </c>
    </row>
    <row r="136" spans="2:32" s="31" customFormat="1" x14ac:dyDescent="0.2">
      <c r="B136" s="31">
        <v>254</v>
      </c>
      <c r="C136" s="34" t="s">
        <v>1406</v>
      </c>
      <c r="D136" s="31" t="s">
        <v>725</v>
      </c>
      <c r="E136" s="31" t="s">
        <v>700</v>
      </c>
      <c r="F136" s="31" t="s">
        <v>679</v>
      </c>
      <c r="G136" s="31" t="s">
        <v>678</v>
      </c>
      <c r="H136" s="31" t="str">
        <f t="shared" si="28"/>
        <v>Gregorio XVI</v>
      </c>
      <c r="K136" s="31" t="s">
        <v>825</v>
      </c>
      <c r="L136" s="31" t="str">
        <f t="shared" si="29"/>
        <v>Breve</v>
      </c>
      <c r="M136" s="31" t="s">
        <v>577</v>
      </c>
      <c r="O136" s="31" t="s">
        <v>1293</v>
      </c>
      <c r="P136" s="31" t="s">
        <v>1649</v>
      </c>
      <c r="Q136" s="31" t="s">
        <v>1347</v>
      </c>
      <c r="R136" s="35" t="str">
        <f t="shared" si="30"/>
        <v>09</v>
      </c>
      <c r="S136" s="35"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5">
        <f t="shared" si="31"/>
        <v>1831</v>
      </c>
      <c r="U136" s="31"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6"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31"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31">
        <v>134</v>
      </c>
      <c r="Y136" s="31" t="str">
        <f t="shared" si="32"/>
        <v>['Gregorio XVI', 'Breve', 'Ex debito pastoralis', 'grxvi-bre-edp', '09 settembre 1831', '09/09/1831', '1831/09/09'],</v>
      </c>
      <c r="Z136" s="31" t="str">
        <f t="shared" si="33"/>
        <v>Ex debito pastoralis (9 settembre 1831) | Gregorio XVI</v>
      </c>
      <c r="AA136" s="31" t="str">
        <f t="shared" si="34"/>
        <v>Breve Ex debito pastoralis</v>
      </c>
      <c r="AB136" s="31" t="str">
        <f t="shared" si="35"/>
        <v>Breve Ex debito pastoralis</v>
      </c>
      <c r="AC136" s="31" t="str">
        <f t="shared" si="36"/>
        <v>Gregorio XVI, Breve Ex debito pastoralis, 09 settembre 1831</v>
      </c>
      <c r="AD136" s="31" t="str">
        <f t="shared" si="37"/>
        <v>1831-09-09T08:00:00.000+02:00</v>
      </c>
      <c r="AE136" s="31" t="str">
        <f t="shared" si="38"/>
        <v>grxvi-bre-edp</v>
      </c>
      <c r="AF136" s="31" t="str">
        <f t="shared" si="39"/>
        <v>Gregorio XVI - Breve - Ex debito pastoralis</v>
      </c>
    </row>
    <row r="137" spans="2:32" s="31" customFormat="1" x14ac:dyDescent="0.2">
      <c r="B137" s="31">
        <v>254</v>
      </c>
      <c r="C137" s="34" t="s">
        <v>1405</v>
      </c>
      <c r="D137" s="31" t="s">
        <v>725</v>
      </c>
      <c r="E137" s="31" t="s">
        <v>700</v>
      </c>
      <c r="F137" s="31" t="s">
        <v>679</v>
      </c>
      <c r="G137" s="31" t="s">
        <v>678</v>
      </c>
      <c r="H137" s="31" t="str">
        <f t="shared" si="28"/>
        <v>Gregorio XVI</v>
      </c>
      <c r="K137" s="31" t="s">
        <v>825</v>
      </c>
      <c r="L137" s="31" t="str">
        <f t="shared" si="29"/>
        <v>Breve</v>
      </c>
      <c r="M137" s="31" t="s">
        <v>577</v>
      </c>
      <c r="O137" s="31" t="s">
        <v>1292</v>
      </c>
      <c r="P137" s="31" t="s">
        <v>963</v>
      </c>
      <c r="Q137" s="31" t="s">
        <v>1346</v>
      </c>
      <c r="R137" s="35" t="str">
        <f t="shared" si="30"/>
        <v>03</v>
      </c>
      <c r="S137" s="35"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5">
        <f t="shared" si="31"/>
        <v>1832</v>
      </c>
      <c r="U137" s="31"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6"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31"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31">
        <v>135</v>
      </c>
      <c r="Y137" s="31" t="str">
        <f t="shared" si="32"/>
        <v>['Gregorio XVI', 'Breve', 'Inter gravissimas', 'grxvi-bre-ing', '03 febbraio 1832', '03/02/1832', '1832/02/03'],</v>
      </c>
      <c r="Z137" s="31" t="str">
        <f t="shared" si="33"/>
        <v>Inter gravissimas (3 febbraio 1832) | Gregorio XVI</v>
      </c>
      <c r="AA137" s="31" t="str">
        <f t="shared" si="34"/>
        <v>Breve Inter gravissimas</v>
      </c>
      <c r="AB137" s="31" t="str">
        <f t="shared" si="35"/>
        <v>Breve Inter gravissimas</v>
      </c>
      <c r="AC137" s="31" t="str">
        <f t="shared" si="36"/>
        <v>Gregorio XVI, Breve Inter gravissimas, 03 febbraio 1832</v>
      </c>
      <c r="AD137" s="31" t="str">
        <f t="shared" si="37"/>
        <v>1832-02-03T08:00:00.000+02:00</v>
      </c>
      <c r="AE137" s="31" t="str">
        <f t="shared" si="38"/>
        <v>grxvi-bre-ing</v>
      </c>
      <c r="AF137" s="31" t="str">
        <f t="shared" si="39"/>
        <v>Gregorio XVI - Breve - Inter gravissimas</v>
      </c>
    </row>
    <row r="138" spans="2:32" s="31" customFormat="1" x14ac:dyDescent="0.2">
      <c r="B138" s="31">
        <v>254</v>
      </c>
      <c r="C138" s="34" t="s">
        <v>1404</v>
      </c>
      <c r="D138" s="31" t="s">
        <v>725</v>
      </c>
      <c r="E138" s="31" t="s">
        <v>700</v>
      </c>
      <c r="F138" s="31" t="s">
        <v>679</v>
      </c>
      <c r="G138" s="31" t="s">
        <v>678</v>
      </c>
      <c r="H138" s="31" t="str">
        <f t="shared" si="28"/>
        <v>Gregorio XVI</v>
      </c>
      <c r="K138" s="31" t="s">
        <v>825</v>
      </c>
      <c r="L138" s="31" t="str">
        <f t="shared" si="29"/>
        <v>Breve</v>
      </c>
      <c r="M138" s="31" t="s">
        <v>577</v>
      </c>
      <c r="O138" s="31" t="s">
        <v>1291</v>
      </c>
      <c r="P138" s="31" t="s">
        <v>1648</v>
      </c>
      <c r="Q138" s="31" t="s">
        <v>1345</v>
      </c>
      <c r="R138" s="35" t="str">
        <f t="shared" si="30"/>
        <v>27</v>
      </c>
      <c r="S138" s="35"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5">
        <f t="shared" si="31"/>
        <v>1832</v>
      </c>
      <c r="U138" s="31"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6"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31"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31">
        <v>136</v>
      </c>
      <c r="Y138" s="31" t="str">
        <f t="shared" si="32"/>
        <v>['Gregorio XVI', 'Breve', 'Summo iugiter', 'grxvi-bre-sui', '27 maggio 1832', '27/05/1832', '1832/05/27'],</v>
      </c>
      <c r="Z138" s="31" t="str">
        <f t="shared" si="33"/>
        <v>Summo iugiter (27 maggio 1832) | Gregorio XVI</v>
      </c>
      <c r="AA138" s="31" t="str">
        <f t="shared" si="34"/>
        <v>Breve Summo iugiter</v>
      </c>
      <c r="AB138" s="31" t="str">
        <f t="shared" si="35"/>
        <v>Breve Summo iugiter</v>
      </c>
      <c r="AC138" s="31" t="str">
        <f t="shared" si="36"/>
        <v>Gregorio XVI, Breve Summo iugiter, 27 maggio 1832</v>
      </c>
      <c r="AD138" s="31" t="str">
        <f t="shared" si="37"/>
        <v>1832-05-27T08:00:00.000+02:00</v>
      </c>
      <c r="AE138" s="31" t="str">
        <f t="shared" si="38"/>
        <v>grxvi-bre-sui</v>
      </c>
      <c r="AF138" s="31" t="str">
        <f t="shared" si="39"/>
        <v>Gregorio XVI - Breve - Summo iugiter</v>
      </c>
    </row>
    <row r="139" spans="2:32" s="31" customFormat="1" x14ac:dyDescent="0.2">
      <c r="B139" s="31">
        <v>254</v>
      </c>
      <c r="C139" s="34" t="s">
        <v>1403</v>
      </c>
      <c r="D139" s="31" t="s">
        <v>725</v>
      </c>
      <c r="E139" s="31" t="s">
        <v>700</v>
      </c>
      <c r="F139" s="31" t="s">
        <v>679</v>
      </c>
      <c r="G139" s="31" t="s">
        <v>678</v>
      </c>
      <c r="H139" s="31" t="str">
        <f t="shared" si="28"/>
        <v>Gregorio XVI</v>
      </c>
      <c r="I139" s="31" t="s">
        <v>603</v>
      </c>
      <c r="J139" s="31" t="s">
        <v>829</v>
      </c>
      <c r="K139" s="31" t="s">
        <v>694</v>
      </c>
      <c r="L139" s="31" t="str">
        <f t="shared" si="29"/>
        <v>Lettera Enciclica</v>
      </c>
      <c r="M139" s="31" t="s">
        <v>579</v>
      </c>
      <c r="O139" s="31" t="s">
        <v>304</v>
      </c>
      <c r="P139" s="31" t="s">
        <v>955</v>
      </c>
      <c r="Q139" s="31" t="s">
        <v>1344</v>
      </c>
      <c r="R139" s="35" t="str">
        <f t="shared" si="30"/>
        <v>09</v>
      </c>
      <c r="S139" s="35"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5">
        <f t="shared" si="31"/>
        <v>1832</v>
      </c>
      <c r="U139" s="31"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6"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31"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31">
        <v>137</v>
      </c>
      <c r="Y139" s="31" t="str">
        <f t="shared" si="32"/>
        <v>['Gregorio XVI', 'Enciclica', 'Cum primum', 'grxvi-enc-cup', '09 giugno 1832', '09/06/1832', '1832/06/09'],</v>
      </c>
      <c r="Z139" s="31" t="str">
        <f t="shared" si="33"/>
        <v>Cum primum (9 giugno 1832) | Gregorio XVI</v>
      </c>
      <c r="AA139" s="31" t="str">
        <f t="shared" si="34"/>
        <v>Enciclica Cum primum</v>
      </c>
      <c r="AB139" s="31" t="str">
        <f t="shared" si="35"/>
        <v>Enciclica Cum primum</v>
      </c>
      <c r="AC139" s="31" t="str">
        <f t="shared" si="36"/>
        <v>Gregorio XVI, Lettera Enciclica Cum primum, 09 giugno 1832</v>
      </c>
      <c r="AD139" s="31" t="str">
        <f t="shared" si="37"/>
        <v>1832-06-09T08:00:00.000+02:00</v>
      </c>
      <c r="AE139" s="31" t="str">
        <f t="shared" si="38"/>
        <v>grxvi-enc-cup</v>
      </c>
      <c r="AF139" s="31" t="str">
        <f t="shared" si="39"/>
        <v>Gregorio XVI - Lettera Enciclica - Cum primum</v>
      </c>
    </row>
    <row r="140" spans="2:32" s="31" customFormat="1" x14ac:dyDescent="0.2">
      <c r="B140" s="31">
        <v>254</v>
      </c>
      <c r="C140" s="34" t="s">
        <v>1469</v>
      </c>
      <c r="D140" s="31" t="s">
        <v>725</v>
      </c>
      <c r="E140" s="31" t="s">
        <v>700</v>
      </c>
      <c r="F140" s="31" t="s">
        <v>679</v>
      </c>
      <c r="G140" s="31" t="s">
        <v>678</v>
      </c>
      <c r="H140" s="31" t="str">
        <f t="shared" si="28"/>
        <v>Gregorio XVI</v>
      </c>
      <c r="K140" s="31" t="s">
        <v>925</v>
      </c>
      <c r="L140" s="31" t="str">
        <f t="shared" si="29"/>
        <v>Chirografo</v>
      </c>
      <c r="M140" s="31" t="s">
        <v>950</v>
      </c>
      <c r="O140" s="31" t="s">
        <v>1343</v>
      </c>
      <c r="P140" s="31" t="s">
        <v>1684</v>
      </c>
      <c r="Q140" s="31" t="s">
        <v>1344</v>
      </c>
      <c r="R140" s="35" t="str">
        <f t="shared" si="30"/>
        <v>09</v>
      </c>
      <c r="S140" s="35"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5">
        <f t="shared" si="31"/>
        <v>1832</v>
      </c>
      <c r="U140" s="31"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6"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31"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31">
        <v>138</v>
      </c>
      <c r="Y140" s="31" t="str">
        <f t="shared" si="32"/>
        <v>['Gregorio XVI', 'Chirografo', 'Ci è stato', 'grxvi-chi-ces', '09 giugno 1832', '09/06/1832', '1832/06/09'],</v>
      </c>
      <c r="Z140" s="31" t="str">
        <f t="shared" si="33"/>
        <v>Ci è stato (9 giugno 1832) | Gregorio XVI</v>
      </c>
      <c r="AA140" s="31" t="str">
        <f t="shared" si="34"/>
        <v>Chirografo Ci è stato</v>
      </c>
      <c r="AB140" s="31" t="str">
        <f t="shared" si="35"/>
        <v>Chirografo Ci è stato</v>
      </c>
      <c r="AC140" s="31" t="str">
        <f t="shared" si="36"/>
        <v>Gregorio XVI, Chirografo Ci è stato, 09 giugno 1832</v>
      </c>
      <c r="AD140" s="31" t="str">
        <f t="shared" si="37"/>
        <v>1832-06-09T08:00:00.000+02:00</v>
      </c>
      <c r="AE140" s="31" t="str">
        <f t="shared" si="38"/>
        <v>grxvi-chi-ces</v>
      </c>
      <c r="AF140" s="31" t="str">
        <f t="shared" si="39"/>
        <v>Gregorio XVI - Chirografo - Ci è stato</v>
      </c>
    </row>
    <row r="141" spans="2:32" s="31" customFormat="1" x14ac:dyDescent="0.2">
      <c r="B141" s="31">
        <v>254</v>
      </c>
      <c r="C141" s="34" t="s">
        <v>1468</v>
      </c>
      <c r="D141" s="31" t="s">
        <v>725</v>
      </c>
      <c r="E141" s="31" t="s">
        <v>700</v>
      </c>
      <c r="F141" s="31" t="s">
        <v>679</v>
      </c>
      <c r="G141" s="31" t="s">
        <v>678</v>
      </c>
      <c r="H141" s="31" t="str">
        <f t="shared" si="28"/>
        <v>Gregorio XVI</v>
      </c>
      <c r="K141" s="31" t="s">
        <v>825</v>
      </c>
      <c r="L141" s="31" t="str">
        <f t="shared" si="29"/>
        <v>Breve</v>
      </c>
      <c r="M141" s="31" t="s">
        <v>577</v>
      </c>
      <c r="O141" s="31" t="s">
        <v>1342</v>
      </c>
      <c r="P141" s="31" t="s">
        <v>1054</v>
      </c>
      <c r="Q141" s="31" t="s">
        <v>1397</v>
      </c>
      <c r="R141" s="35" t="str">
        <f t="shared" si="30"/>
        <v>03</v>
      </c>
      <c r="S141" s="35"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5">
        <f t="shared" si="31"/>
        <v>1832</v>
      </c>
      <c r="U141" s="31"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6"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31"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31">
        <v>139</v>
      </c>
      <c r="Y141" s="31" t="str">
        <f t="shared" si="32"/>
        <v>['Gregorio XVI', 'Breve', 'Pastorale Officium', 'grxvi-bre-pao', '03 luglio 1832', '03/07/1832', '1832/07/03'],</v>
      </c>
      <c r="Z141" s="31" t="str">
        <f t="shared" si="33"/>
        <v>Pastorale Officium (3 luglio 1832) | Gregorio XVI</v>
      </c>
      <c r="AA141" s="31" t="str">
        <f t="shared" si="34"/>
        <v>Breve Pastorale Officium</v>
      </c>
      <c r="AB141" s="31" t="str">
        <f t="shared" si="35"/>
        <v>Breve Pastorale Officium</v>
      </c>
      <c r="AC141" s="31" t="str">
        <f t="shared" si="36"/>
        <v>Gregorio XVI, Breve Pastorale Officium, 03 luglio 1832</v>
      </c>
      <c r="AD141" s="31" t="str">
        <f t="shared" si="37"/>
        <v>1832-07-03T08:00:00.000+02:00</v>
      </c>
      <c r="AE141" s="31" t="str">
        <f t="shared" si="38"/>
        <v>grxvi-bre-pao</v>
      </c>
      <c r="AF141" s="31" t="str">
        <f t="shared" si="39"/>
        <v>Gregorio XVI - Breve - Pastorale Officium</v>
      </c>
    </row>
    <row r="142" spans="2:32" s="31" customFormat="1" x14ac:dyDescent="0.2">
      <c r="B142" s="31">
        <v>254</v>
      </c>
      <c r="C142" s="34" t="s">
        <v>1467</v>
      </c>
      <c r="D142" s="31" t="s">
        <v>725</v>
      </c>
      <c r="E142" s="31" t="s">
        <v>700</v>
      </c>
      <c r="F142" s="31" t="s">
        <v>679</v>
      </c>
      <c r="G142" s="31" t="s">
        <v>678</v>
      </c>
      <c r="H142" s="31" t="str">
        <f t="shared" si="28"/>
        <v>Gregorio XVI</v>
      </c>
      <c r="I142" s="31" t="s">
        <v>603</v>
      </c>
      <c r="J142" s="31" t="s">
        <v>829</v>
      </c>
      <c r="K142" s="31" t="s">
        <v>694</v>
      </c>
      <c r="L142" s="31" t="str">
        <f t="shared" si="29"/>
        <v>Lettera Enciclica</v>
      </c>
      <c r="M142" s="31" t="s">
        <v>579</v>
      </c>
      <c r="O142" s="31" t="s">
        <v>305</v>
      </c>
      <c r="P142" s="31" t="s">
        <v>977</v>
      </c>
      <c r="Q142" s="31" t="s">
        <v>1396</v>
      </c>
      <c r="R142" s="35" t="str">
        <f t="shared" si="30"/>
        <v>15</v>
      </c>
      <c r="S142" s="35"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5">
        <f t="shared" si="31"/>
        <v>1832</v>
      </c>
      <c r="U142" s="31"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6"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31"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31">
        <v>140</v>
      </c>
      <c r="Y142" s="31" t="str">
        <f t="shared" si="32"/>
        <v>['Gregorio XVI', 'Enciclica', 'Mirari vos', 'grxvi-enc-miv', '15 agosto 1832', '15/08/1832', '1832/08/15'],</v>
      </c>
      <c r="Z142" s="31" t="str">
        <f t="shared" si="33"/>
        <v>Mirari vos (15 agosto 1832) | Gregorio XVI</v>
      </c>
      <c r="AA142" s="31" t="str">
        <f t="shared" si="34"/>
        <v>Enciclica Mirari vos</v>
      </c>
      <c r="AB142" s="31" t="str">
        <f t="shared" si="35"/>
        <v>Enciclica Mirari vos</v>
      </c>
      <c r="AC142" s="31" t="str">
        <f t="shared" si="36"/>
        <v>Gregorio XVI, Lettera Enciclica Mirari vos, 15 agosto 1832</v>
      </c>
      <c r="AD142" s="31" t="str">
        <f t="shared" si="37"/>
        <v>1832-08-15T08:00:00.000+02:00</v>
      </c>
      <c r="AE142" s="31" t="str">
        <f t="shared" si="38"/>
        <v>grxvi-enc-miv</v>
      </c>
      <c r="AF142" s="31" t="str">
        <f t="shared" si="39"/>
        <v>Gregorio XVI - Lettera Enciclica - Mirari vos</v>
      </c>
    </row>
    <row r="143" spans="2:32" s="31" customFormat="1" x14ac:dyDescent="0.2">
      <c r="B143" s="31">
        <v>254</v>
      </c>
      <c r="C143" s="34" t="s">
        <v>1466</v>
      </c>
      <c r="D143" s="31" t="s">
        <v>725</v>
      </c>
      <c r="E143" s="31" t="s">
        <v>700</v>
      </c>
      <c r="F143" s="31" t="s">
        <v>679</v>
      </c>
      <c r="G143" s="31" t="s">
        <v>678</v>
      </c>
      <c r="H143" s="31" t="str">
        <f t="shared" si="28"/>
        <v>Gregorio XVI</v>
      </c>
      <c r="K143" s="31" t="s">
        <v>825</v>
      </c>
      <c r="L143" s="31" t="str">
        <f t="shared" si="29"/>
        <v>Breve</v>
      </c>
      <c r="M143" s="31" t="s">
        <v>577</v>
      </c>
      <c r="O143" s="31" t="s">
        <v>1341</v>
      </c>
      <c r="P143" s="31" t="s">
        <v>1683</v>
      </c>
      <c r="Q143" s="31" t="s">
        <v>1395</v>
      </c>
      <c r="R143" s="35" t="str">
        <f t="shared" si="30"/>
        <v>02</v>
      </c>
      <c r="S143" s="35"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5">
        <f t="shared" si="31"/>
        <v>1832</v>
      </c>
      <c r="U143" s="31"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6"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31"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31">
        <v>141</v>
      </c>
      <c r="Y143" s="31" t="str">
        <f t="shared" si="32"/>
        <v>['Gregorio XVI', 'Breve', 'Plura post', 'grxvi-bre-plp', '02 dicembre 1832', '02/12/1832', '1832/12/02'],</v>
      </c>
      <c r="Z143" s="31" t="str">
        <f t="shared" si="33"/>
        <v>Plura post (2 dicembre 1832) | Gregorio XVI</v>
      </c>
      <c r="AA143" s="31" t="str">
        <f t="shared" si="34"/>
        <v>Breve Plura post</v>
      </c>
      <c r="AB143" s="31" t="str">
        <f t="shared" si="35"/>
        <v>Breve Plura post</v>
      </c>
      <c r="AC143" s="31" t="str">
        <f t="shared" si="36"/>
        <v>Gregorio XVI, Breve Plura post, 02 dicembre 1832</v>
      </c>
      <c r="AD143" s="31" t="str">
        <f t="shared" si="37"/>
        <v>1832-12-02T08:00:00.000+02:00</v>
      </c>
      <c r="AE143" s="31" t="str">
        <f t="shared" si="38"/>
        <v>grxvi-bre-plp</v>
      </c>
      <c r="AF143" s="31" t="str">
        <f t="shared" si="39"/>
        <v>Gregorio XVI - Breve - Plura post</v>
      </c>
    </row>
    <row r="144" spans="2:32" s="31" customFormat="1" x14ac:dyDescent="0.2">
      <c r="B144" s="31">
        <v>254</v>
      </c>
      <c r="C144" s="34" t="s">
        <v>1465</v>
      </c>
      <c r="D144" s="31" t="s">
        <v>725</v>
      </c>
      <c r="E144" s="31" t="s">
        <v>700</v>
      </c>
      <c r="F144" s="31" t="s">
        <v>679</v>
      </c>
      <c r="G144" s="31" t="s">
        <v>678</v>
      </c>
      <c r="H144" s="31" t="str">
        <f t="shared" si="28"/>
        <v>Gregorio XVI</v>
      </c>
      <c r="K144" s="31" t="s">
        <v>925</v>
      </c>
      <c r="L144" s="31" t="str">
        <f t="shared" si="29"/>
        <v>Chirografo</v>
      </c>
      <c r="M144" s="31" t="s">
        <v>950</v>
      </c>
      <c r="O144" s="31" t="s">
        <v>1340</v>
      </c>
      <c r="P144" s="31" t="s">
        <v>1682</v>
      </c>
      <c r="Q144" s="31" t="s">
        <v>1394</v>
      </c>
      <c r="R144" s="35" t="str">
        <f t="shared" si="30"/>
        <v>20</v>
      </c>
      <c r="S144" s="35"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5">
        <f t="shared" si="31"/>
        <v>1833</v>
      </c>
      <c r="U144" s="31"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6"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31"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31">
        <v>142</v>
      </c>
      <c r="Y144" s="31" t="str">
        <f t="shared" si="32"/>
        <v>['Gregorio XVI', 'Chirografo', 'Avendoci ella', 'grxvi-chi-ave', '20 febbraio 1833', '20/02/1833', '1833/02/20'],</v>
      </c>
      <c r="Z144" s="31" t="str">
        <f t="shared" si="33"/>
        <v>Avendoci ella (20 febbraio 1833) | Gregorio XVI</v>
      </c>
      <c r="AA144" s="31" t="str">
        <f t="shared" si="34"/>
        <v>Chirografo Avendoci ella</v>
      </c>
      <c r="AB144" s="31" t="str">
        <f t="shared" si="35"/>
        <v>Chirografo Avendoci ella</v>
      </c>
      <c r="AC144" s="31" t="str">
        <f t="shared" si="36"/>
        <v>Gregorio XVI, Chirografo Avendoci ella, 20 febbraio 1833</v>
      </c>
      <c r="AD144" s="31" t="str">
        <f t="shared" si="37"/>
        <v>1833-02-20T08:00:00.000+02:00</v>
      </c>
      <c r="AE144" s="31" t="str">
        <f t="shared" si="38"/>
        <v>grxvi-chi-ave</v>
      </c>
      <c r="AF144" s="31" t="str">
        <f t="shared" si="39"/>
        <v>Gregorio XVI - Chirografo - Avendoci ella</v>
      </c>
    </row>
    <row r="145" spans="2:32" s="31" customFormat="1" x14ac:dyDescent="0.2">
      <c r="B145" s="31">
        <v>254</v>
      </c>
      <c r="C145" s="34" t="s">
        <v>1464</v>
      </c>
      <c r="D145" s="31" t="s">
        <v>725</v>
      </c>
      <c r="E145" s="31" t="s">
        <v>700</v>
      </c>
      <c r="F145" s="31" t="s">
        <v>679</v>
      </c>
      <c r="G145" s="31" t="s">
        <v>678</v>
      </c>
      <c r="H145" s="31" t="str">
        <f t="shared" si="28"/>
        <v>Gregorio XVI</v>
      </c>
      <c r="K145" s="31" t="s">
        <v>825</v>
      </c>
      <c r="L145" s="31" t="str">
        <f t="shared" si="29"/>
        <v>Breve</v>
      </c>
      <c r="M145" s="31" t="s">
        <v>577</v>
      </c>
      <c r="O145" s="31" t="s">
        <v>1339</v>
      </c>
      <c r="P145" s="31" t="s">
        <v>640</v>
      </c>
      <c r="Q145" s="31" t="s">
        <v>1393</v>
      </c>
      <c r="R145" s="35" t="str">
        <f t="shared" si="30"/>
        <v>04</v>
      </c>
      <c r="S145" s="35"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5">
        <f t="shared" si="31"/>
        <v>1833</v>
      </c>
      <c r="U145" s="31"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6"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31"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31">
        <v>143</v>
      </c>
      <c r="Y145" s="31" t="str">
        <f t="shared" si="32"/>
        <v>['Gregorio XVI', 'Breve', 'Quo graviora', 'grxvi-bre-qug', '04 ottobre 1833', '04/10/1833', '1833/10/04'],</v>
      </c>
      <c r="Z145" s="31" t="str">
        <f t="shared" si="33"/>
        <v>Quo graviora (4 ottobre 1833) | Gregorio XVI</v>
      </c>
      <c r="AA145" s="31" t="str">
        <f t="shared" si="34"/>
        <v>Breve Quo graviora</v>
      </c>
      <c r="AB145" s="31" t="str">
        <f t="shared" si="35"/>
        <v>Breve Quo graviora</v>
      </c>
      <c r="AC145" s="31" t="str">
        <f t="shared" si="36"/>
        <v>Gregorio XVI, Breve Quo graviora, 04 ottobre 1833</v>
      </c>
      <c r="AD145" s="31" t="str">
        <f t="shared" si="37"/>
        <v>1833-10-04T08:00:00.000+02:00</v>
      </c>
      <c r="AE145" s="31" t="str">
        <f t="shared" si="38"/>
        <v>grxvi-bre-qug</v>
      </c>
      <c r="AF145" s="31" t="str">
        <f t="shared" si="39"/>
        <v>Gregorio XVI - Breve - Quo graviora</v>
      </c>
    </row>
    <row r="146" spans="2:32" s="31" customFormat="1" x14ac:dyDescent="0.2">
      <c r="B146" s="31">
        <v>254</v>
      </c>
      <c r="C146" s="34" t="s">
        <v>1463</v>
      </c>
      <c r="D146" s="31" t="s">
        <v>725</v>
      </c>
      <c r="E146" s="31" t="s">
        <v>700</v>
      </c>
      <c r="F146" s="31" t="s">
        <v>679</v>
      </c>
      <c r="G146" s="31" t="s">
        <v>678</v>
      </c>
      <c r="H146" s="31" t="str">
        <f t="shared" si="28"/>
        <v>Gregorio XVI</v>
      </c>
      <c r="K146" s="31" t="s">
        <v>1254</v>
      </c>
      <c r="L146" s="31" t="str">
        <f t="shared" si="29"/>
        <v>Epistola</v>
      </c>
      <c r="M146" s="31" t="s">
        <v>1256</v>
      </c>
      <c r="O146" s="31" t="s">
        <v>1338</v>
      </c>
      <c r="P146" s="31" t="s">
        <v>1681</v>
      </c>
      <c r="Q146" s="31" t="s">
        <v>1392</v>
      </c>
      <c r="R146" s="35" t="str">
        <f t="shared" si="30"/>
        <v>05</v>
      </c>
      <c r="S146" s="35"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5">
        <f t="shared" si="31"/>
        <v>1833</v>
      </c>
      <c r="U146" s="31"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6"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31"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31">
        <v>144</v>
      </c>
      <c r="Y146" s="31" t="str">
        <f t="shared" si="32"/>
        <v>['Gregorio XVI', 'Epistola', 'Litteras accepimus', 'grxvi-epi-lia', '05 ottobre 1833', '05/10/1833', '1833/10/05'],</v>
      </c>
      <c r="Z146" s="31" t="str">
        <f t="shared" si="33"/>
        <v>Litteras accepimus (5 ottobre 1833) | Gregorio XVI</v>
      </c>
      <c r="AA146" s="31" t="str">
        <f t="shared" si="34"/>
        <v>Epistola Litteras accepimus</v>
      </c>
      <c r="AB146" s="31" t="str">
        <f t="shared" si="35"/>
        <v>Epistola Litteras accepimus</v>
      </c>
      <c r="AC146" s="31" t="str">
        <f t="shared" si="36"/>
        <v>Gregorio XVI, Epistola Litteras accepimus, 05 ottobre 1833</v>
      </c>
      <c r="AD146" s="31" t="str">
        <f t="shared" si="37"/>
        <v>1833-10-05T08:00:00.000+02:00</v>
      </c>
      <c r="AE146" s="31" t="str">
        <f t="shared" si="38"/>
        <v>grxvi-epi-lia</v>
      </c>
      <c r="AF146" s="31" t="str">
        <f t="shared" si="39"/>
        <v>Gregorio XVI - Epistola - Litteras accepimus</v>
      </c>
    </row>
    <row r="147" spans="2:32" s="31" customFormat="1" x14ac:dyDescent="0.2">
      <c r="B147" s="31">
        <v>254</v>
      </c>
      <c r="C147" s="34" t="s">
        <v>1462</v>
      </c>
      <c r="D147" s="31" t="s">
        <v>725</v>
      </c>
      <c r="E147" s="31" t="s">
        <v>700</v>
      </c>
      <c r="F147" s="31" t="s">
        <v>679</v>
      </c>
      <c r="G147" s="31" t="s">
        <v>678</v>
      </c>
      <c r="H147" s="31" t="str">
        <f t="shared" si="28"/>
        <v>Gregorio XVI</v>
      </c>
      <c r="K147" s="31" t="s">
        <v>825</v>
      </c>
      <c r="L147" s="31" t="str">
        <f t="shared" si="29"/>
        <v>Breve</v>
      </c>
      <c r="M147" s="31" t="s">
        <v>577</v>
      </c>
      <c r="O147" s="31" t="s">
        <v>1337</v>
      </c>
      <c r="P147" s="31" t="s">
        <v>1616</v>
      </c>
      <c r="Q147" s="31" t="s">
        <v>1391</v>
      </c>
      <c r="R147" s="35" t="str">
        <f t="shared" si="30"/>
        <v>29</v>
      </c>
      <c r="S147" s="35"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5">
        <f t="shared" si="31"/>
        <v>1833</v>
      </c>
      <c r="U147" s="31"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6"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31"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31">
        <v>145</v>
      </c>
      <c r="Y147" s="31" t="str">
        <f t="shared" si="32"/>
        <v>['Gregorio XVI', 'Breve', 'Quod litteris', 'grxvi-bre-qul', '29 novembre 1833', '29/11/1833', '1833/11/29'],</v>
      </c>
      <c r="Z147" s="31" t="str">
        <f t="shared" si="33"/>
        <v>Quod litteris (29 novembre 1833) | Gregorio XVI</v>
      </c>
      <c r="AA147" s="31" t="str">
        <f t="shared" si="34"/>
        <v>Breve Quod litteris</v>
      </c>
      <c r="AB147" s="31" t="str">
        <f t="shared" si="35"/>
        <v>Breve Quod litteris</v>
      </c>
      <c r="AC147" s="31" t="str">
        <f t="shared" si="36"/>
        <v>Gregorio XVI, Breve Quod litteris, 29 novembre 1833</v>
      </c>
      <c r="AD147" s="31" t="str">
        <f t="shared" si="37"/>
        <v>1833-11-29T08:00:00.000+02:00</v>
      </c>
      <c r="AE147" s="31" t="str">
        <f t="shared" si="38"/>
        <v>grxvi-bre-qul</v>
      </c>
      <c r="AF147" s="31" t="str">
        <f t="shared" si="39"/>
        <v>Gregorio XVI - Breve - Quod litteris</v>
      </c>
    </row>
    <row r="148" spans="2:32" s="31" customFormat="1" x14ac:dyDescent="0.2">
      <c r="B148" s="31">
        <v>254</v>
      </c>
      <c r="C148" s="34" t="s">
        <v>1461</v>
      </c>
      <c r="D148" s="31" t="s">
        <v>725</v>
      </c>
      <c r="E148" s="31" t="s">
        <v>700</v>
      </c>
      <c r="F148" s="31" t="s">
        <v>679</v>
      </c>
      <c r="G148" s="31" t="s">
        <v>678</v>
      </c>
      <c r="H148" s="31" t="str">
        <f t="shared" si="28"/>
        <v>Gregorio XVI</v>
      </c>
      <c r="K148" s="31" t="s">
        <v>825</v>
      </c>
      <c r="L148" s="31" t="str">
        <f t="shared" si="29"/>
        <v>Breve</v>
      </c>
      <c r="M148" s="31" t="s">
        <v>577</v>
      </c>
      <c r="O148" s="31" t="s">
        <v>1336</v>
      </c>
      <c r="P148" s="31" t="s">
        <v>1680</v>
      </c>
      <c r="Q148" s="31" t="s">
        <v>1390</v>
      </c>
      <c r="R148" s="35" t="str">
        <f t="shared" si="30"/>
        <v>13</v>
      </c>
      <c r="S148" s="35"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5">
        <f t="shared" si="31"/>
        <v>1833</v>
      </c>
      <c r="U148" s="31"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6"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31"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31">
        <v>146</v>
      </c>
      <c r="Y148" s="31" t="str">
        <f t="shared" si="32"/>
        <v>['Gregorio XVI', 'Breve', 'Maiori certo', 'grxvi-bre-mac', '13 dicembre 1833', '13/12/1833', '1833/12/13'],</v>
      </c>
      <c r="Z148" s="31" t="str">
        <f t="shared" si="33"/>
        <v>Maiori certo (13 dicembre 1833) | Gregorio XVI</v>
      </c>
      <c r="AA148" s="31" t="str">
        <f t="shared" si="34"/>
        <v>Breve Maiori certo</v>
      </c>
      <c r="AB148" s="31" t="str">
        <f t="shared" si="35"/>
        <v>Breve Maiori certo</v>
      </c>
      <c r="AC148" s="31" t="str">
        <f t="shared" si="36"/>
        <v>Gregorio XVI, Breve Maiori certo, 13 dicembre 1833</v>
      </c>
      <c r="AD148" s="31" t="str">
        <f t="shared" si="37"/>
        <v>1833-12-13T08:00:00.000+02:00</v>
      </c>
      <c r="AE148" s="31" t="str">
        <f t="shared" si="38"/>
        <v>grxvi-bre-mac</v>
      </c>
      <c r="AF148" s="31" t="str">
        <f t="shared" si="39"/>
        <v>Gregorio XVI - Breve - Maiori certo</v>
      </c>
    </row>
    <row r="149" spans="2:32" s="31" customFormat="1" x14ac:dyDescent="0.2">
      <c r="B149" s="31">
        <v>254</v>
      </c>
      <c r="C149" s="34" t="s">
        <v>1458</v>
      </c>
      <c r="D149" s="31" t="s">
        <v>725</v>
      </c>
      <c r="E149" s="31" t="s">
        <v>700</v>
      </c>
      <c r="F149" s="31" t="s">
        <v>679</v>
      </c>
      <c r="G149" s="31" t="s">
        <v>678</v>
      </c>
      <c r="H149" s="31" t="str">
        <f t="shared" si="28"/>
        <v>Gregorio XVI</v>
      </c>
      <c r="K149" s="31" t="s">
        <v>825</v>
      </c>
      <c r="L149" s="31" t="str">
        <f t="shared" si="29"/>
        <v>Breve</v>
      </c>
      <c r="M149" s="31" t="s">
        <v>577</v>
      </c>
      <c r="O149" s="31" t="s">
        <v>1333</v>
      </c>
      <c r="P149" s="31" t="s">
        <v>1678</v>
      </c>
      <c r="Q149" s="31" t="s">
        <v>1389</v>
      </c>
      <c r="R149" s="35" t="str">
        <f t="shared" si="30"/>
        <v>28</v>
      </c>
      <c r="S149" s="35"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5">
        <f t="shared" si="31"/>
        <v>1833</v>
      </c>
      <c r="U149" s="31"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6"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31"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31">
        <v>147</v>
      </c>
      <c r="Y149" s="31" t="str">
        <f t="shared" si="32"/>
        <v>['Gregorio XVI', 'Breve', 'Editam nuper', 'grxvi-bre-edn', '28 dicembre 1833', '28/12/1833', '1833/12/28'],</v>
      </c>
      <c r="Z149" s="31" t="str">
        <f t="shared" si="33"/>
        <v>Editam nuper (28 dicembre 1833) | Gregorio XVI</v>
      </c>
      <c r="AA149" s="31" t="str">
        <f t="shared" si="34"/>
        <v>Breve Editam nuper</v>
      </c>
      <c r="AB149" s="31" t="str">
        <f t="shared" si="35"/>
        <v>Breve Editam nuper</v>
      </c>
      <c r="AC149" s="31" t="str">
        <f t="shared" si="36"/>
        <v>Gregorio XVI, Breve Editam nuper, 28 dicembre 1833</v>
      </c>
      <c r="AD149" s="31" t="str">
        <f t="shared" si="37"/>
        <v>1833-12-28T08:00:00.000+02:00</v>
      </c>
      <c r="AE149" s="31" t="str">
        <f t="shared" si="38"/>
        <v>grxvi-bre-edn</v>
      </c>
      <c r="AF149" s="31" t="str">
        <f t="shared" si="39"/>
        <v>Gregorio XVI - Breve - Editam nuper</v>
      </c>
    </row>
    <row r="150" spans="2:32" s="31" customFormat="1" x14ac:dyDescent="0.2">
      <c r="B150" s="31">
        <v>254</v>
      </c>
      <c r="C150" s="34" t="s">
        <v>1459</v>
      </c>
      <c r="D150" s="31" t="s">
        <v>725</v>
      </c>
      <c r="E150" s="31" t="s">
        <v>700</v>
      </c>
      <c r="F150" s="31" t="s">
        <v>679</v>
      </c>
      <c r="G150" s="31" t="s">
        <v>678</v>
      </c>
      <c r="H150" s="31" t="str">
        <f t="shared" si="28"/>
        <v>Gregorio XVI</v>
      </c>
      <c r="K150" s="31" t="s">
        <v>825</v>
      </c>
      <c r="L150" s="31" t="str">
        <f t="shared" si="29"/>
        <v>Breve</v>
      </c>
      <c r="M150" s="31" t="s">
        <v>577</v>
      </c>
      <c r="O150" s="31" t="s">
        <v>1334</v>
      </c>
      <c r="P150" s="31" t="s">
        <v>2954</v>
      </c>
      <c r="Q150" s="31" t="s">
        <v>1389</v>
      </c>
      <c r="R150" s="35" t="str">
        <f t="shared" si="30"/>
        <v>28</v>
      </c>
      <c r="S150" s="35"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5">
        <f t="shared" si="31"/>
        <v>1833</v>
      </c>
      <c r="U150" s="31"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6"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31"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31">
        <v>148</v>
      </c>
      <c r="Y150" s="31" t="str">
        <f t="shared" si="32"/>
        <v>['Gregorio XVI', 'Breve', 'Superabundavimus', 'grxvi-bre-sub', '28 dicembre 1833', '28/12/1833', '1833/12/28'],</v>
      </c>
      <c r="Z150" s="31" t="str">
        <f t="shared" si="33"/>
        <v>Superabundavimus (28 dicembre 1833) | Gregorio XVI</v>
      </c>
      <c r="AA150" s="31" t="str">
        <f t="shared" si="34"/>
        <v>Breve Superabundavimus</v>
      </c>
      <c r="AB150" s="31" t="str">
        <f t="shared" si="35"/>
        <v>Breve Superabundavimus</v>
      </c>
      <c r="AC150" s="31" t="str">
        <f t="shared" si="36"/>
        <v>Gregorio XVI, Breve Superabundavimus, 28 dicembre 1833</v>
      </c>
      <c r="AD150" s="31" t="str">
        <f t="shared" si="37"/>
        <v>1833-12-28T08:00:00.000+02:00</v>
      </c>
      <c r="AE150" s="31" t="str">
        <f t="shared" si="38"/>
        <v>grxvi-bre-sub</v>
      </c>
      <c r="AF150" s="31" t="str">
        <f t="shared" si="39"/>
        <v>Gregorio XVI - Breve - Superabundavimus</v>
      </c>
    </row>
    <row r="151" spans="2:32" s="31" customFormat="1" x14ac:dyDescent="0.2">
      <c r="B151" s="31">
        <v>254</v>
      </c>
      <c r="C151" s="34" t="s">
        <v>1460</v>
      </c>
      <c r="D151" s="31" t="s">
        <v>725</v>
      </c>
      <c r="E151" s="31" t="s">
        <v>700</v>
      </c>
      <c r="F151" s="31" t="s">
        <v>679</v>
      </c>
      <c r="G151" s="31" t="s">
        <v>678</v>
      </c>
      <c r="H151" s="31" t="str">
        <f t="shared" si="28"/>
        <v>Gregorio XVI</v>
      </c>
      <c r="K151" s="31" t="s">
        <v>1254</v>
      </c>
      <c r="L151" s="31" t="str">
        <f t="shared" si="29"/>
        <v>Epistola</v>
      </c>
      <c r="M151" s="31" t="s">
        <v>1256</v>
      </c>
      <c r="O151" s="31" t="s">
        <v>1335</v>
      </c>
      <c r="P151" s="31" t="s">
        <v>1679</v>
      </c>
      <c r="Q151" s="31" t="s">
        <v>1389</v>
      </c>
      <c r="R151" s="35" t="str">
        <f t="shared" si="30"/>
        <v>28</v>
      </c>
      <c r="S151" s="35"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5">
        <f t="shared" si="31"/>
        <v>1833</v>
      </c>
      <c r="U151" s="31"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6"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31"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31">
        <v>149</v>
      </c>
      <c r="Y151" s="31" t="str">
        <f t="shared" si="32"/>
        <v>['Gregorio XVI', 'Epistola', 'Quod de tua', 'grxvi-epi-qdt', '28 dicembre 1833', '28/12/1833', '1833/12/28'],</v>
      </c>
      <c r="Z151" s="31" t="str">
        <f t="shared" si="33"/>
        <v>Quod de tua (28 dicembre 1833) | Gregorio XVI</v>
      </c>
      <c r="AA151" s="31" t="str">
        <f t="shared" si="34"/>
        <v>Epistola Quod de tua</v>
      </c>
      <c r="AB151" s="31" t="str">
        <f t="shared" si="35"/>
        <v>Epistola Quod de tua</v>
      </c>
      <c r="AC151" s="31" t="str">
        <f t="shared" si="36"/>
        <v>Gregorio XVI, Epistola Quod de tua, 28 dicembre 1833</v>
      </c>
      <c r="AD151" s="31" t="str">
        <f t="shared" si="37"/>
        <v>1833-12-28T08:00:00.000+02:00</v>
      </c>
      <c r="AE151" s="31" t="str">
        <f t="shared" si="38"/>
        <v>grxvi-epi-qdt</v>
      </c>
      <c r="AF151" s="31" t="str">
        <f t="shared" si="39"/>
        <v>Gregorio XVI - Epistola - Quod de tua</v>
      </c>
    </row>
    <row r="152" spans="2:32" s="31" customFormat="1" x14ac:dyDescent="0.2">
      <c r="B152" s="31">
        <v>254</v>
      </c>
      <c r="C152" s="34" t="s">
        <v>1457</v>
      </c>
      <c r="D152" s="31" t="s">
        <v>725</v>
      </c>
      <c r="E152" s="31" t="s">
        <v>700</v>
      </c>
      <c r="F152" s="31" t="s">
        <v>679</v>
      </c>
      <c r="G152" s="31" t="s">
        <v>678</v>
      </c>
      <c r="H152" s="31" t="str">
        <f t="shared" si="28"/>
        <v>Gregorio XVI</v>
      </c>
      <c r="K152" s="31" t="s">
        <v>824</v>
      </c>
      <c r="L152" s="31" t="str">
        <f t="shared" si="29"/>
        <v>Bolla</v>
      </c>
      <c r="M152" s="31" t="s">
        <v>564</v>
      </c>
      <c r="O152" s="31" t="s">
        <v>863</v>
      </c>
      <c r="P152" s="31" t="s">
        <v>1010</v>
      </c>
      <c r="Q152" s="31" t="s">
        <v>1388</v>
      </c>
      <c r="R152" s="35" t="str">
        <f t="shared" si="30"/>
        <v>17</v>
      </c>
      <c r="S152" s="35"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5">
        <f t="shared" si="31"/>
        <v>1834</v>
      </c>
      <c r="U152" s="31"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6"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31"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31">
        <v>150</v>
      </c>
      <c r="Y152" s="31" t="str">
        <f t="shared" si="32"/>
        <v>['Gregorio XVI', 'Bolla', 'Benedictus Deus', 'grxvi-bol-bed', '17 giugno 1834', '17/06/1834', '1834/06/17'],</v>
      </c>
      <c r="Z152" s="31" t="str">
        <f t="shared" si="33"/>
        <v>Benedictus Deus (17 giugno 1834) | Gregorio XVI</v>
      </c>
      <c r="AA152" s="31" t="str">
        <f t="shared" si="34"/>
        <v>Bolla Benedictus Deus</v>
      </c>
      <c r="AB152" s="31" t="str">
        <f t="shared" si="35"/>
        <v>Bolla Benedictus Deus</v>
      </c>
      <c r="AC152" s="31" t="str">
        <f t="shared" si="36"/>
        <v>Gregorio XVI, Bolla Benedictus Deus, 17 giugno 1834</v>
      </c>
      <c r="AD152" s="31" t="str">
        <f t="shared" si="37"/>
        <v>1834-06-17T08:00:00.000+02:00</v>
      </c>
      <c r="AE152" s="31" t="str">
        <f t="shared" si="38"/>
        <v>grxvi-bol-bed</v>
      </c>
      <c r="AF152" s="31" t="str">
        <f t="shared" si="39"/>
        <v>Gregorio XVI - Bolla - Benedictus Deus</v>
      </c>
    </row>
    <row r="153" spans="2:32" s="31" customFormat="1" x14ac:dyDescent="0.2">
      <c r="B153" s="31">
        <v>254</v>
      </c>
      <c r="C153" s="34" t="s">
        <v>1456</v>
      </c>
      <c r="D153" s="31" t="s">
        <v>725</v>
      </c>
      <c r="E153" s="31" t="s">
        <v>700</v>
      </c>
      <c r="F153" s="31" t="s">
        <v>679</v>
      </c>
      <c r="G153" s="31" t="s">
        <v>678</v>
      </c>
      <c r="H153" s="31" t="str">
        <f t="shared" si="28"/>
        <v>Gregorio XVI</v>
      </c>
      <c r="I153" s="31" t="s">
        <v>603</v>
      </c>
      <c r="J153" s="31" t="s">
        <v>829</v>
      </c>
      <c r="K153" s="31" t="s">
        <v>694</v>
      </c>
      <c r="L153" s="31" t="str">
        <f t="shared" si="29"/>
        <v>Lettera Enciclica</v>
      </c>
      <c r="M153" s="31" t="s">
        <v>579</v>
      </c>
      <c r="O153" s="31" t="s">
        <v>306</v>
      </c>
      <c r="P153" s="31" t="s">
        <v>978</v>
      </c>
      <c r="Q153" s="31" t="s">
        <v>1387</v>
      </c>
      <c r="R153" s="35" t="str">
        <f t="shared" si="30"/>
        <v>25</v>
      </c>
      <c r="S153" s="35"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5">
        <f t="shared" si="31"/>
        <v>1834</v>
      </c>
      <c r="U153" s="31"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6"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31"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31">
        <v>151</v>
      </c>
      <c r="Y153" s="31" t="str">
        <f t="shared" si="32"/>
        <v>['Gregorio XVI', 'Enciclica', 'Singulari nos', 'grxvi-enc-sin', '25 giugno 1834', '25/06/1834', '1834/06/25'],</v>
      </c>
      <c r="Z153" s="31" t="str">
        <f t="shared" si="33"/>
        <v>Singulari nos (25 giugno 1834) | Gregorio XVI</v>
      </c>
      <c r="AA153" s="31" t="str">
        <f t="shared" si="34"/>
        <v>Enciclica Singulari nos</v>
      </c>
      <c r="AB153" s="31" t="str">
        <f t="shared" si="35"/>
        <v>Enciclica Singulari nos</v>
      </c>
      <c r="AC153" s="31" t="str">
        <f t="shared" si="36"/>
        <v>Gregorio XVI, Lettera Enciclica Singulari nos, 25 giugno 1834</v>
      </c>
      <c r="AD153" s="31" t="str">
        <f t="shared" si="37"/>
        <v>1834-06-25T08:00:00.000+02:00</v>
      </c>
      <c r="AE153" s="31" t="str">
        <f t="shared" si="38"/>
        <v>grxvi-enc-sin</v>
      </c>
      <c r="AF153" s="31" t="str">
        <f t="shared" si="39"/>
        <v>Gregorio XVI - Lettera Enciclica - Singulari nos</v>
      </c>
    </row>
    <row r="154" spans="2:32" s="31" customFormat="1" x14ac:dyDescent="0.2">
      <c r="B154" s="31">
        <v>254</v>
      </c>
      <c r="C154" s="34" t="s">
        <v>1455</v>
      </c>
      <c r="D154" s="31" t="s">
        <v>725</v>
      </c>
      <c r="E154" s="31" t="s">
        <v>700</v>
      </c>
      <c r="F154" s="31" t="s">
        <v>679</v>
      </c>
      <c r="G154" s="31" t="s">
        <v>678</v>
      </c>
      <c r="H154" s="31" t="str">
        <f t="shared" si="28"/>
        <v>Gregorio XVI</v>
      </c>
      <c r="K154" s="31" t="s">
        <v>908</v>
      </c>
      <c r="L154" s="31" t="str">
        <f t="shared" si="29"/>
        <v>Allocuzione</v>
      </c>
      <c r="M154" s="31" t="s">
        <v>948</v>
      </c>
      <c r="O154" s="31" t="s">
        <v>1332</v>
      </c>
      <c r="P154" s="31" t="s">
        <v>1677</v>
      </c>
      <c r="Q154" s="31" t="s">
        <v>1401</v>
      </c>
      <c r="R154" s="35" t="str">
        <f t="shared" si="30"/>
        <v>01</v>
      </c>
      <c r="S154" s="35"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5">
        <f t="shared" si="31"/>
        <v>1834</v>
      </c>
      <c r="U154" s="31"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6"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31"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31">
        <v>152</v>
      </c>
      <c r="Y154" s="31" t="str">
        <f t="shared" si="32"/>
        <v>['Gregorio XVI', 'Allocuzione', 'Cum pro pastorali', 'grxvi-all-cpp', '01 agosto 1834', '01/08/1834', '1834/08/01'],</v>
      </c>
      <c r="Z154" s="31" t="str">
        <f t="shared" si="33"/>
        <v>Cum pro pastorali (1 agosto 1834) | Gregorio XVI</v>
      </c>
      <c r="AA154" s="31" t="str">
        <f t="shared" si="34"/>
        <v>Allocuzione Cum pro pastorali</v>
      </c>
      <c r="AB154" s="31" t="str">
        <f t="shared" si="35"/>
        <v>Allocuzione Cum pro pastorali</v>
      </c>
      <c r="AC154" s="31" t="str">
        <f t="shared" si="36"/>
        <v>Gregorio XVI, Allocuzione Cum pro pastorali, 01 agosto 1834</v>
      </c>
      <c r="AD154" s="31" t="str">
        <f t="shared" si="37"/>
        <v>1834-08-01T08:00:00.000+02:00</v>
      </c>
      <c r="AE154" s="31" t="str">
        <f t="shared" si="38"/>
        <v>grxvi-all-cpp</v>
      </c>
      <c r="AF154" s="31" t="str">
        <f t="shared" si="39"/>
        <v>Gregorio XVI - Allocuzione - Cum pro pastorali</v>
      </c>
    </row>
    <row r="155" spans="2:32" s="31" customFormat="1" x14ac:dyDescent="0.2">
      <c r="B155" s="31">
        <v>254</v>
      </c>
      <c r="C155" s="34" t="s">
        <v>1454</v>
      </c>
      <c r="D155" s="31" t="s">
        <v>725</v>
      </c>
      <c r="E155" s="31" t="s">
        <v>700</v>
      </c>
      <c r="F155" s="31" t="s">
        <v>679</v>
      </c>
      <c r="G155" s="31" t="s">
        <v>678</v>
      </c>
      <c r="H155" s="31" t="str">
        <f t="shared" si="28"/>
        <v>Gregorio XVI</v>
      </c>
      <c r="K155" s="31" t="s">
        <v>925</v>
      </c>
      <c r="L155" s="31" t="str">
        <f t="shared" si="29"/>
        <v>Chirografo</v>
      </c>
      <c r="M155" s="31" t="s">
        <v>950</v>
      </c>
      <c r="O155" s="31" t="s">
        <v>1331</v>
      </c>
      <c r="P155" s="31" t="s">
        <v>1676</v>
      </c>
      <c r="Q155" s="31" t="s">
        <v>1386</v>
      </c>
      <c r="R155" s="35" t="str">
        <f t="shared" si="30"/>
        <v>06</v>
      </c>
      <c r="S155" s="35"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5">
        <f t="shared" si="31"/>
        <v>1834</v>
      </c>
      <c r="U155" s="31"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6"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31"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31">
        <v>153</v>
      </c>
      <c r="Y155" s="31" t="str">
        <f t="shared" si="32"/>
        <v>['Gregorio XVI', 'Chirografo', 'L'evidente diminuzione', 'grxvi-chi-led', '06 agosto 1834', '06/08/1834', '1834/08/06'],</v>
      </c>
      <c r="Z155" s="31" t="str">
        <f t="shared" si="33"/>
        <v>L'evidente diminuzione (6 agosto 1834) | Gregorio XVI</v>
      </c>
      <c r="AA155" s="31" t="str">
        <f t="shared" si="34"/>
        <v>Chirografo L'evidente diminuzione</v>
      </c>
      <c r="AB155" s="31" t="str">
        <f t="shared" si="35"/>
        <v>Chirografo L'evidente diminuzione</v>
      </c>
      <c r="AC155" s="31" t="str">
        <f t="shared" si="36"/>
        <v>Gregorio XVI, Chirografo L'evidente diminuzione, 06 agosto 1834</v>
      </c>
      <c r="AD155" s="31" t="str">
        <f t="shared" si="37"/>
        <v>1834-08-06T08:00:00.000+02:00</v>
      </c>
      <c r="AE155" s="31" t="str">
        <f t="shared" si="38"/>
        <v>grxvi-chi-led</v>
      </c>
      <c r="AF155" s="31" t="str">
        <f t="shared" si="39"/>
        <v>Gregorio XVI - Chirografo - L'evidente diminuzione</v>
      </c>
    </row>
    <row r="156" spans="2:32" s="31" customFormat="1" x14ac:dyDescent="0.2">
      <c r="B156" s="31">
        <v>254</v>
      </c>
      <c r="C156" s="34" t="s">
        <v>1453</v>
      </c>
      <c r="D156" s="31" t="s">
        <v>725</v>
      </c>
      <c r="E156" s="31" t="s">
        <v>700</v>
      </c>
      <c r="F156" s="31" t="s">
        <v>679</v>
      </c>
      <c r="G156" s="31" t="s">
        <v>678</v>
      </c>
      <c r="H156" s="31" t="str">
        <f t="shared" si="28"/>
        <v>Gregorio XVI</v>
      </c>
      <c r="K156" s="31" t="s">
        <v>825</v>
      </c>
      <c r="L156" s="31" t="str">
        <f t="shared" si="29"/>
        <v>Breve</v>
      </c>
      <c r="M156" s="31" t="s">
        <v>577</v>
      </c>
      <c r="O156" s="31" t="s">
        <v>1330</v>
      </c>
      <c r="P156" s="31" t="s">
        <v>1675</v>
      </c>
      <c r="Q156" s="31" t="s">
        <v>1385</v>
      </c>
      <c r="R156" s="35" t="str">
        <f t="shared" si="30"/>
        <v>23</v>
      </c>
      <c r="S156" s="35"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5">
        <f t="shared" si="31"/>
        <v>1835</v>
      </c>
      <c r="U156" s="31"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6"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31"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31">
        <v>154</v>
      </c>
      <c r="Y156" s="31" t="str">
        <f t="shared" si="32"/>
        <v>['Gregorio XVI', 'Breve', 'Perlatae dudum', 'grxvi-bre-ped', '23 aprile 1835', '23/04/1835', '1835/04/23'],</v>
      </c>
      <c r="Z156" s="31" t="str">
        <f t="shared" si="33"/>
        <v>Perlatae dudum (23 aprile 1835) | Gregorio XVI</v>
      </c>
      <c r="AA156" s="31" t="str">
        <f t="shared" si="34"/>
        <v>Breve Perlatae dudum</v>
      </c>
      <c r="AB156" s="31" t="str">
        <f t="shared" si="35"/>
        <v>Breve Perlatae dudum</v>
      </c>
      <c r="AC156" s="31" t="str">
        <f t="shared" si="36"/>
        <v>Gregorio XVI, Breve Perlatae dudum, 23 aprile 1835</v>
      </c>
      <c r="AD156" s="31" t="str">
        <f t="shared" si="37"/>
        <v>1835-04-23T08:00:00.000+02:00</v>
      </c>
      <c r="AE156" s="31" t="str">
        <f t="shared" si="38"/>
        <v>grxvi-bre-ped</v>
      </c>
      <c r="AF156" s="31" t="str">
        <f t="shared" si="39"/>
        <v>Gregorio XVI - Breve - Perlatae dudum</v>
      </c>
    </row>
    <row r="157" spans="2:32" s="31" customFormat="1" x14ac:dyDescent="0.2">
      <c r="B157" s="31">
        <v>254</v>
      </c>
      <c r="C157" s="34" t="s">
        <v>1452</v>
      </c>
      <c r="D157" s="31" t="s">
        <v>725</v>
      </c>
      <c r="E157" s="31" t="s">
        <v>700</v>
      </c>
      <c r="F157" s="31" t="s">
        <v>679</v>
      </c>
      <c r="G157" s="31" t="s">
        <v>678</v>
      </c>
      <c r="H157" s="31" t="str">
        <f t="shared" si="28"/>
        <v>Gregorio XVI</v>
      </c>
      <c r="I157" s="31" t="s">
        <v>603</v>
      </c>
      <c r="J157" s="31" t="s">
        <v>829</v>
      </c>
      <c r="K157" s="31" t="s">
        <v>694</v>
      </c>
      <c r="L157" s="31" t="str">
        <f t="shared" si="29"/>
        <v>Lettera Enciclica</v>
      </c>
      <c r="M157" s="31" t="s">
        <v>579</v>
      </c>
      <c r="O157" s="31" t="s">
        <v>307</v>
      </c>
      <c r="P157" s="31" t="s">
        <v>979</v>
      </c>
      <c r="Q157" s="31" t="s">
        <v>1384</v>
      </c>
      <c r="R157" s="35" t="str">
        <f t="shared" si="30"/>
        <v>17</v>
      </c>
      <c r="S157" s="35"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5">
        <f t="shared" si="31"/>
        <v>1835</v>
      </c>
      <c r="U157" s="31"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6"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31"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31">
        <v>155</v>
      </c>
      <c r="Y157" s="31" t="str">
        <f t="shared" si="32"/>
        <v>['Gregorio XVI', 'Enciclica', 'Commissum divinitus', 'grxvi-enc-cod', '17 maggio 1835', '17/05/1835', '1835/05/17'],</v>
      </c>
      <c r="Z157" s="31" t="str">
        <f t="shared" si="33"/>
        <v>Commissum divinitus (17 maggio 1835) | Gregorio XVI</v>
      </c>
      <c r="AA157" s="31" t="str">
        <f t="shared" si="34"/>
        <v>Enciclica Commissum divinitus</v>
      </c>
      <c r="AB157" s="31" t="str">
        <f t="shared" si="35"/>
        <v>Enciclica Commissum divinitus</v>
      </c>
      <c r="AC157" s="31" t="str">
        <f t="shared" si="36"/>
        <v>Gregorio XVI, Lettera Enciclica Commissum divinitus, 17 maggio 1835</v>
      </c>
      <c r="AD157" s="31" t="str">
        <f t="shared" si="37"/>
        <v>1835-05-17T08:00:00.000+02:00</v>
      </c>
      <c r="AE157" s="31" t="str">
        <f t="shared" si="38"/>
        <v>grxvi-enc-cod</v>
      </c>
      <c r="AF157" s="31" t="str">
        <f t="shared" si="39"/>
        <v>Gregorio XVI - Lettera Enciclica - Commissum divinitus</v>
      </c>
    </row>
    <row r="158" spans="2:32" s="31" customFormat="1" x14ac:dyDescent="0.2">
      <c r="B158" s="31">
        <v>254</v>
      </c>
      <c r="C158" s="34" t="s">
        <v>1451</v>
      </c>
      <c r="D158" s="31" t="s">
        <v>725</v>
      </c>
      <c r="E158" s="31" t="s">
        <v>700</v>
      </c>
      <c r="F158" s="31" t="s">
        <v>679</v>
      </c>
      <c r="G158" s="31" t="s">
        <v>678</v>
      </c>
      <c r="H158" s="31" t="str">
        <f t="shared" si="28"/>
        <v>Gregorio XVI</v>
      </c>
      <c r="K158" s="31" t="s">
        <v>825</v>
      </c>
      <c r="L158" s="31" t="str">
        <f t="shared" si="29"/>
        <v>Breve</v>
      </c>
      <c r="M158" s="31" t="s">
        <v>577</v>
      </c>
      <c r="O158" s="31" t="s">
        <v>1329</v>
      </c>
      <c r="P158" s="31" t="s">
        <v>1674</v>
      </c>
      <c r="Q158" s="31" t="s">
        <v>1383</v>
      </c>
      <c r="R158" s="35" t="str">
        <f t="shared" si="30"/>
        <v>03</v>
      </c>
      <c r="S158" s="35"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5">
        <f t="shared" si="31"/>
        <v>1835</v>
      </c>
      <c r="U158" s="31"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6"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31"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31">
        <v>156</v>
      </c>
      <c r="Y158" s="31" t="str">
        <f t="shared" si="32"/>
        <v>['Gregorio XVI', 'Breve', 'Melchitarum catholicorum', 'grxvi-bre-mec', '03 giugno 1835', '03/06/1835', '1835/06/03'],</v>
      </c>
      <c r="Z158" s="31" t="str">
        <f t="shared" si="33"/>
        <v>Melchitarum catholicorum (3 giugno 1835) | Gregorio XVI</v>
      </c>
      <c r="AA158" s="31" t="str">
        <f t="shared" si="34"/>
        <v>Breve Melchitarum catholicorum</v>
      </c>
      <c r="AB158" s="31" t="str">
        <f t="shared" si="35"/>
        <v>Breve Melchitarum catholicorum</v>
      </c>
      <c r="AC158" s="31" t="str">
        <f t="shared" si="36"/>
        <v>Gregorio XVI, Breve Melchitarum catholicorum, 03 giugno 1835</v>
      </c>
      <c r="AD158" s="31" t="str">
        <f t="shared" si="37"/>
        <v>1835-06-03T08:00:00.000+02:00</v>
      </c>
      <c r="AE158" s="31" t="str">
        <f t="shared" si="38"/>
        <v>grxvi-bre-mec</v>
      </c>
      <c r="AF158" s="31" t="str">
        <f t="shared" si="39"/>
        <v>Gregorio XVI - Breve - Melchitarum catholicorum</v>
      </c>
    </row>
    <row r="159" spans="2:32" s="31" customFormat="1" x14ac:dyDescent="0.2">
      <c r="B159" s="31">
        <v>254</v>
      </c>
      <c r="C159" s="34" t="s">
        <v>1450</v>
      </c>
      <c r="D159" s="31" t="s">
        <v>725</v>
      </c>
      <c r="E159" s="31" t="s">
        <v>700</v>
      </c>
      <c r="F159" s="31" t="s">
        <v>679</v>
      </c>
      <c r="G159" s="31" t="s">
        <v>678</v>
      </c>
      <c r="H159" s="31" t="str">
        <f t="shared" si="28"/>
        <v>Gregorio XVI</v>
      </c>
      <c r="K159" s="31" t="s">
        <v>825</v>
      </c>
      <c r="L159" s="31" t="str">
        <f t="shared" si="29"/>
        <v>Breve</v>
      </c>
      <c r="M159" s="31" t="s">
        <v>577</v>
      </c>
      <c r="O159" s="31" t="s">
        <v>1328</v>
      </c>
      <c r="P159" s="31" t="s">
        <v>1673</v>
      </c>
      <c r="Q159" s="31" t="s">
        <v>1382</v>
      </c>
      <c r="R159" s="35" t="str">
        <f t="shared" si="30"/>
        <v>26</v>
      </c>
      <c r="S159" s="35"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5">
        <f t="shared" si="31"/>
        <v>1835</v>
      </c>
      <c r="U159" s="31"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6"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31"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31">
        <v>157</v>
      </c>
      <c r="Y159" s="31" t="str">
        <f t="shared" si="32"/>
        <v>['Gregorio XVI', 'Breve', 'Dum acerbissimas', 'grxvi-bre-dua', '26 settembre 1835', '26/09/1835', '1835/09/26'],</v>
      </c>
      <c r="Z159" s="31" t="str">
        <f t="shared" si="33"/>
        <v>Dum acerbissimas (26 settembre 1835) | Gregorio XVI</v>
      </c>
      <c r="AA159" s="31" t="str">
        <f t="shared" si="34"/>
        <v>Breve Dum acerbissimas</v>
      </c>
      <c r="AB159" s="31" t="str">
        <f t="shared" si="35"/>
        <v>Breve Dum acerbissimas</v>
      </c>
      <c r="AC159" s="31" t="str">
        <f t="shared" si="36"/>
        <v>Gregorio XVI, Breve Dum acerbissimas, 26 settembre 1835</v>
      </c>
      <c r="AD159" s="31" t="str">
        <f t="shared" si="37"/>
        <v>1835-09-26T08:00:00.000+02:00</v>
      </c>
      <c r="AE159" s="31" t="str">
        <f t="shared" si="38"/>
        <v>grxvi-bre-dua</v>
      </c>
      <c r="AF159" s="31" t="str">
        <f t="shared" si="39"/>
        <v>Gregorio XVI - Breve - Dum acerbissimas</v>
      </c>
    </row>
    <row r="160" spans="2:32" s="31" customFormat="1" x14ac:dyDescent="0.2">
      <c r="B160" s="31">
        <v>254</v>
      </c>
      <c r="C160" s="34" t="s">
        <v>1449</v>
      </c>
      <c r="D160" s="31" t="s">
        <v>725</v>
      </c>
      <c r="E160" s="31" t="s">
        <v>700</v>
      </c>
      <c r="F160" s="31" t="s">
        <v>679</v>
      </c>
      <c r="G160" s="31" t="s">
        <v>678</v>
      </c>
      <c r="H160" s="31" t="str">
        <f t="shared" si="28"/>
        <v>Gregorio XVI</v>
      </c>
      <c r="K160" s="31" t="s">
        <v>908</v>
      </c>
      <c r="L160" s="31" t="str">
        <f t="shared" si="29"/>
        <v>Allocuzione</v>
      </c>
      <c r="M160" s="31" t="s">
        <v>948</v>
      </c>
      <c r="O160" s="31" t="s">
        <v>1327</v>
      </c>
      <c r="P160" s="31" t="s">
        <v>1672</v>
      </c>
      <c r="Q160" s="31" t="s">
        <v>1400</v>
      </c>
      <c r="R160" s="35" t="str">
        <f t="shared" si="30"/>
        <v>01</v>
      </c>
      <c r="S160" s="35"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5">
        <f t="shared" si="31"/>
        <v>1836</v>
      </c>
      <c r="U160" s="31"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6"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31"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31">
        <v>158</v>
      </c>
      <c r="Y160" s="31" t="str">
        <f t="shared" si="32"/>
        <v>['Gregorio XVI', 'Allocuzione', 'Sextus iam', 'grxvi-all-sei', '01 febbraio 1836', '01/02/1836', '1836/02/01'],</v>
      </c>
      <c r="Z160" s="31" t="str">
        <f t="shared" si="33"/>
        <v>Sextus iam (1 febbraio 1836) | Gregorio XVI</v>
      </c>
      <c r="AA160" s="31" t="str">
        <f t="shared" si="34"/>
        <v>Allocuzione Sextus iam</v>
      </c>
      <c r="AB160" s="31" t="str">
        <f t="shared" si="35"/>
        <v>Allocuzione Sextus iam</v>
      </c>
      <c r="AC160" s="31" t="str">
        <f t="shared" si="36"/>
        <v>Gregorio XVI, Allocuzione Sextus iam, 01 febbraio 1836</v>
      </c>
      <c r="AD160" s="31" t="str">
        <f t="shared" si="37"/>
        <v>1836-02-01T08:00:00.000+02:00</v>
      </c>
      <c r="AE160" s="31" t="str">
        <f t="shared" si="38"/>
        <v>grxvi-all-sei</v>
      </c>
      <c r="AF160" s="31" t="str">
        <f t="shared" si="39"/>
        <v>Gregorio XVI - Allocuzione - Sextus iam</v>
      </c>
    </row>
    <row r="161" spans="2:34" s="31" customFormat="1" x14ac:dyDescent="0.2">
      <c r="B161" s="31">
        <v>254</v>
      </c>
      <c r="C161" s="34" t="s">
        <v>1448</v>
      </c>
      <c r="D161" s="31" t="s">
        <v>725</v>
      </c>
      <c r="E161" s="31" t="s">
        <v>700</v>
      </c>
      <c r="F161" s="31" t="s">
        <v>679</v>
      </c>
      <c r="G161" s="31" t="s">
        <v>678</v>
      </c>
      <c r="H161" s="31" t="str">
        <f t="shared" si="28"/>
        <v>Gregorio XVI</v>
      </c>
      <c r="K161" s="31" t="s">
        <v>825</v>
      </c>
      <c r="L161" s="31" t="str">
        <f t="shared" si="29"/>
        <v>Breve</v>
      </c>
      <c r="M161" s="31" t="s">
        <v>577</v>
      </c>
      <c r="O161" s="31" t="s">
        <v>1326</v>
      </c>
      <c r="P161" s="31" t="s">
        <v>1671</v>
      </c>
      <c r="Q161" s="31" t="s">
        <v>1381</v>
      </c>
      <c r="R161" s="35" t="str">
        <f t="shared" si="30"/>
        <v>17</v>
      </c>
      <c r="S161" s="35"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5">
        <f t="shared" si="31"/>
        <v>1836</v>
      </c>
      <c r="U161" s="31"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6"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31"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31">
        <v>159</v>
      </c>
      <c r="Y161" s="31" t="str">
        <f t="shared" si="32"/>
        <v>['Gregorio XVI', 'Breve', 'Ad beatissimi', 'grxvi-bre-adb', '17 luglio 1836', '17/07/1836', '1836/07/17'],</v>
      </c>
      <c r="Z161" s="31" t="str">
        <f t="shared" si="33"/>
        <v>Ad beatissimi (17 luglio 1836) | Gregorio XVI</v>
      </c>
      <c r="AA161" s="31" t="str">
        <f t="shared" si="34"/>
        <v>Breve Ad beatissimi</v>
      </c>
      <c r="AB161" s="31" t="str">
        <f t="shared" si="35"/>
        <v>Breve Ad beatissimi</v>
      </c>
      <c r="AC161" s="31" t="str">
        <f t="shared" si="36"/>
        <v>Gregorio XVI, Breve Ad beatissimi, 17 luglio 1836</v>
      </c>
      <c r="AD161" s="31" t="str">
        <f t="shared" si="37"/>
        <v>1836-07-17T08:00:00.000+02:00</v>
      </c>
      <c r="AE161" s="31" t="str">
        <f t="shared" si="38"/>
        <v>grxvi-bre-adb</v>
      </c>
      <c r="AF161" s="31" t="str">
        <f t="shared" si="39"/>
        <v>Gregorio XVI - Breve - Ad beatissimi</v>
      </c>
    </row>
    <row r="162" spans="2:34" s="31" customFormat="1" x14ac:dyDescent="0.2">
      <c r="B162" s="31">
        <v>254</v>
      </c>
      <c r="C162" s="34" t="s">
        <v>1447</v>
      </c>
      <c r="D162" s="31" t="s">
        <v>725</v>
      </c>
      <c r="E162" s="31" t="s">
        <v>700</v>
      </c>
      <c r="F162" s="31" t="s">
        <v>679</v>
      </c>
      <c r="G162" s="31" t="s">
        <v>678</v>
      </c>
      <c r="H162" s="31" t="str">
        <f t="shared" ref="H162:H193" si="40">_xlfn.CONCAT(D162 &amp; " " &amp; E162)</f>
        <v>Gregorio XVI</v>
      </c>
      <c r="K162" s="31" t="s">
        <v>1254</v>
      </c>
      <c r="L162" s="31" t="str">
        <f t="shared" ref="L162:L193" si="41">IF(J162&lt;&gt;"",_xlfn.CONCAT(J162 &amp; " " &amp; K162),K162)</f>
        <v>Epistola</v>
      </c>
      <c r="M162" s="31" t="s">
        <v>1256</v>
      </c>
      <c r="O162" s="31" t="s">
        <v>1325</v>
      </c>
      <c r="P162" s="31" t="s">
        <v>1670</v>
      </c>
      <c r="Q162" s="31" t="s">
        <v>1380</v>
      </c>
      <c r="R162" s="35" t="str">
        <f t="shared" si="30"/>
        <v>22</v>
      </c>
      <c r="S162" s="35"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5">
        <f t="shared" si="31"/>
        <v>1836</v>
      </c>
      <c r="U162" s="31"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6"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31"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31">
        <v>160</v>
      </c>
      <c r="Y162" s="31" t="str">
        <f t="shared" si="32"/>
        <v>['Gregorio XVI', 'Epistola', 'La moltiplicità', 'grxvi-epi-lam', '22 novembre 1836', '22/11/1836', '1836/11/22'],</v>
      </c>
      <c r="Z162" s="31" t="str">
        <f t="shared" si="33"/>
        <v>La moltiplicità (22 novembre 1836) | Gregorio XVI</v>
      </c>
      <c r="AA162" s="31" t="str">
        <f t="shared" si="34"/>
        <v>Epistola La moltiplicità</v>
      </c>
      <c r="AB162" s="31" t="str">
        <f t="shared" si="35"/>
        <v>Epistola La moltiplicità</v>
      </c>
      <c r="AC162" s="31" t="str">
        <f t="shared" si="36"/>
        <v>Gregorio XVI, Epistola La moltiplicità, 22 novembre 1836</v>
      </c>
      <c r="AD162" s="31" t="str">
        <f t="shared" si="37"/>
        <v>1836-11-22T08:00:00.000+02:00</v>
      </c>
      <c r="AE162" s="31" t="str">
        <f t="shared" si="38"/>
        <v>grxvi-epi-lam</v>
      </c>
      <c r="AF162" s="31" t="str">
        <f t="shared" si="39"/>
        <v>Gregorio XVI - Epistola - La moltiplicità</v>
      </c>
    </row>
    <row r="163" spans="2:34" s="31" customFormat="1" x14ac:dyDescent="0.2">
      <c r="B163" s="31">
        <v>254</v>
      </c>
      <c r="C163" s="34" t="s">
        <v>1446</v>
      </c>
      <c r="D163" s="31" t="s">
        <v>725</v>
      </c>
      <c r="E163" s="31" t="s">
        <v>700</v>
      </c>
      <c r="F163" s="31" t="s">
        <v>679</v>
      </c>
      <c r="G163" s="31" t="s">
        <v>678</v>
      </c>
      <c r="H163" s="31" t="str">
        <f t="shared" si="40"/>
        <v>Gregorio XVI</v>
      </c>
      <c r="K163" s="31" t="s">
        <v>825</v>
      </c>
      <c r="L163" s="31" t="str">
        <f t="shared" si="41"/>
        <v>Breve</v>
      </c>
      <c r="M163" s="31" t="s">
        <v>577</v>
      </c>
      <c r="O163" s="31" t="s">
        <v>1323</v>
      </c>
      <c r="P163" s="31" t="s">
        <v>1669</v>
      </c>
      <c r="Q163" s="31" t="s">
        <v>1379</v>
      </c>
      <c r="R163" s="35" t="str">
        <f t="shared" si="30"/>
        <v>21</v>
      </c>
      <c r="S163" s="35"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5">
        <f t="shared" si="31"/>
        <v>1837</v>
      </c>
      <c r="U163" s="31"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6"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31"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31">
        <v>161</v>
      </c>
      <c r="Y163" s="31" t="str">
        <f t="shared" si="32"/>
        <v>['Gregorio XVI', 'Breve', 'Universi dominici', 'grxvi-bre-udo', '21 febbraio 1837', '21/02/1837', '1837/02/21'],</v>
      </c>
      <c r="Z163" s="31" t="str">
        <f t="shared" si="33"/>
        <v>Universi dominici (21 febbraio 1837) | Gregorio XVI</v>
      </c>
      <c r="AA163" s="31" t="str">
        <f t="shared" si="34"/>
        <v>Breve Universi dominici</v>
      </c>
      <c r="AB163" s="31" t="str">
        <f t="shared" si="35"/>
        <v>Breve Universi dominici</v>
      </c>
      <c r="AC163" s="31" t="str">
        <f t="shared" si="36"/>
        <v>Gregorio XVI, Breve Universi dominici, 21 febbraio 1837</v>
      </c>
      <c r="AD163" s="31" t="str">
        <f t="shared" si="37"/>
        <v>1837-02-21T08:00:00.000+02:00</v>
      </c>
      <c r="AE163" s="31" t="str">
        <f t="shared" si="38"/>
        <v>grxvi-bre-udo</v>
      </c>
      <c r="AF163" s="31" t="str">
        <f t="shared" si="39"/>
        <v>Gregorio XVI - Breve - Universi dominici</v>
      </c>
    </row>
    <row r="164" spans="2:34" s="31" customFormat="1" x14ac:dyDescent="0.2">
      <c r="B164" s="31">
        <v>254</v>
      </c>
      <c r="C164" s="34" t="s">
        <v>1444</v>
      </c>
      <c r="D164" s="31" t="s">
        <v>725</v>
      </c>
      <c r="E164" s="31" t="s">
        <v>700</v>
      </c>
      <c r="F164" s="31" t="s">
        <v>679</v>
      </c>
      <c r="G164" s="31" t="s">
        <v>678</v>
      </c>
      <c r="H164" s="31" t="str">
        <f t="shared" si="40"/>
        <v>Gregorio XVI</v>
      </c>
      <c r="K164" s="31" t="s">
        <v>825</v>
      </c>
      <c r="L164" s="31" t="str">
        <f t="shared" si="41"/>
        <v>Breve</v>
      </c>
      <c r="M164" s="31" t="s">
        <v>577</v>
      </c>
      <c r="O164" s="31" t="s">
        <v>1323</v>
      </c>
      <c r="P164" s="31" t="s">
        <v>1667</v>
      </c>
      <c r="Q164" s="31" t="s">
        <v>1378</v>
      </c>
      <c r="R164" s="35" t="str">
        <f t="shared" si="30"/>
        <v>28</v>
      </c>
      <c r="S164" s="35"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5">
        <f t="shared" si="31"/>
        <v>1837</v>
      </c>
      <c r="U164" s="31"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6"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31"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31">
        <v>162</v>
      </c>
      <c r="Y164" s="31" t="str">
        <f t="shared" si="32"/>
        <v>['Gregorio XVI', 'Breve', 'Universi dominici', 'grxvi-bre-und', '28 luglio 1837', '28/07/1837', '1837/07/28'],</v>
      </c>
      <c r="Z164" s="31" t="str">
        <f t="shared" si="33"/>
        <v>Universi dominici (28 luglio 1837) | Gregorio XVI</v>
      </c>
      <c r="AA164" s="31" t="str">
        <f t="shared" si="34"/>
        <v>Breve Universi dominici</v>
      </c>
      <c r="AB164" s="31" t="str">
        <f t="shared" si="35"/>
        <v>Breve Universi dominici</v>
      </c>
      <c r="AC164" s="31" t="str">
        <f t="shared" si="36"/>
        <v>Gregorio XVI, Breve Universi dominici, 28 luglio 1837</v>
      </c>
      <c r="AD164" s="31" t="str">
        <f t="shared" si="37"/>
        <v>1837-07-28T08:00:00.000+02:00</v>
      </c>
      <c r="AE164" s="31" t="str">
        <f t="shared" si="38"/>
        <v>grxvi-bre-und</v>
      </c>
      <c r="AF164" s="31" t="str">
        <f t="shared" si="39"/>
        <v>Gregorio XVI - Breve - Universi dominici</v>
      </c>
    </row>
    <row r="165" spans="2:34" s="31" customFormat="1" x14ac:dyDescent="0.2">
      <c r="B165" s="31">
        <v>254</v>
      </c>
      <c r="C165" s="34" t="s">
        <v>1445</v>
      </c>
      <c r="D165" s="31" t="s">
        <v>725</v>
      </c>
      <c r="E165" s="31" t="s">
        <v>700</v>
      </c>
      <c r="F165" s="31" t="s">
        <v>679</v>
      </c>
      <c r="G165" s="31" t="s">
        <v>678</v>
      </c>
      <c r="H165" s="31" t="str">
        <f t="shared" si="40"/>
        <v>Gregorio XVI</v>
      </c>
      <c r="K165" s="31" t="s">
        <v>825</v>
      </c>
      <c r="L165" s="31" t="str">
        <f t="shared" si="41"/>
        <v>Breve</v>
      </c>
      <c r="M165" s="31" t="s">
        <v>577</v>
      </c>
      <c r="O165" s="31" t="s">
        <v>1324</v>
      </c>
      <c r="P165" s="31" t="s">
        <v>1668</v>
      </c>
      <c r="Q165" s="31" t="s">
        <v>1378</v>
      </c>
      <c r="R165" s="35" t="str">
        <f t="shared" si="30"/>
        <v>28</v>
      </c>
      <c r="S165" s="35"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5">
        <f t="shared" si="31"/>
        <v>1837</v>
      </c>
      <c r="U165" s="31"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6"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31"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31">
        <v>163</v>
      </c>
      <c r="Y165" s="31" t="str">
        <f t="shared" si="32"/>
        <v>['Gregorio XVI', 'Breve', 'Universi Dominici Nashville', 'grxvi-bre-udn', '28 luglio 1837', '28/07/1837', '1837/07/28'],</v>
      </c>
      <c r="Z165" s="31" t="str">
        <f t="shared" si="33"/>
        <v>Universi Dominici Nashville (28 luglio 1837) | Gregorio XVI</v>
      </c>
      <c r="AA165" s="31" t="str">
        <f t="shared" si="34"/>
        <v>Breve Universi Dominici Nashville</v>
      </c>
      <c r="AB165" s="31" t="str">
        <f t="shared" si="35"/>
        <v>Breve Universi Dominici Nashville</v>
      </c>
      <c r="AC165" s="31" t="str">
        <f t="shared" si="36"/>
        <v>Gregorio XVI, Breve Universi Dominici Nashville, 28 luglio 1837</v>
      </c>
      <c r="AD165" s="31" t="str">
        <f t="shared" si="37"/>
        <v>1837-07-28T08:00:00.000+02:00</v>
      </c>
      <c r="AE165" s="31" t="str">
        <f t="shared" si="38"/>
        <v>grxvi-bre-udn</v>
      </c>
      <c r="AF165" s="31" t="str">
        <f t="shared" si="39"/>
        <v>Gregorio XVI - Breve - Universi Dominici Nashville</v>
      </c>
    </row>
    <row r="166" spans="2:34" s="31" customFormat="1" x14ac:dyDescent="0.2">
      <c r="B166" s="31">
        <v>254</v>
      </c>
      <c r="C166" s="34" t="s">
        <v>1443</v>
      </c>
      <c r="D166" s="31" t="s">
        <v>725</v>
      </c>
      <c r="E166" s="31" t="s">
        <v>700</v>
      </c>
      <c r="F166" s="31" t="s">
        <v>679</v>
      </c>
      <c r="G166" s="31" t="s">
        <v>678</v>
      </c>
      <c r="H166" s="31" t="str">
        <f t="shared" si="40"/>
        <v>Gregorio XVI</v>
      </c>
      <c r="K166" s="31" t="s">
        <v>908</v>
      </c>
      <c r="L166" s="31" t="str">
        <f t="shared" si="41"/>
        <v>Allocuzione</v>
      </c>
      <c r="M166" s="31" t="s">
        <v>948</v>
      </c>
      <c r="O166" s="31" t="s">
        <v>1322</v>
      </c>
      <c r="P166" s="31" t="s">
        <v>1666</v>
      </c>
      <c r="Q166" s="31" t="s">
        <v>1377</v>
      </c>
      <c r="R166" s="35" t="str">
        <f t="shared" si="30"/>
        <v>10</v>
      </c>
      <c r="S166" s="35"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5">
        <f t="shared" si="31"/>
        <v>1837</v>
      </c>
      <c r="U166" s="31"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6"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31"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31">
        <v>164</v>
      </c>
      <c r="Y166" s="31" t="str">
        <f t="shared" si="32"/>
        <v>['Gregorio XVI', 'Allocuzione', 'Dum intima', 'grxvi-all-dui', '10 dicembre 1837', '10/12/1837', '1837/12/10'],</v>
      </c>
      <c r="Z166" s="31" t="str">
        <f t="shared" si="33"/>
        <v>Dum intima (10 dicembre 1837) | Gregorio XVI</v>
      </c>
      <c r="AA166" s="31" t="str">
        <f t="shared" si="34"/>
        <v>Allocuzione Dum intima</v>
      </c>
      <c r="AB166" s="31" t="str">
        <f t="shared" si="35"/>
        <v>Allocuzione Dum intima</v>
      </c>
      <c r="AC166" s="31" t="str">
        <f t="shared" si="36"/>
        <v>Gregorio XVI, Allocuzione Dum intima, 10 dicembre 1837</v>
      </c>
      <c r="AD166" s="31" t="str">
        <f t="shared" si="37"/>
        <v>1837-12-10T08:00:00.000+02:00</v>
      </c>
      <c r="AE166" s="31" t="str">
        <f t="shared" si="38"/>
        <v>grxvi-all-dui</v>
      </c>
      <c r="AF166" s="31" t="str">
        <f t="shared" si="39"/>
        <v>Gregorio XVI - Allocuzione - Dum intima</v>
      </c>
    </row>
    <row r="167" spans="2:34" s="31" customFormat="1" x14ac:dyDescent="0.2">
      <c r="B167" s="31">
        <v>254</v>
      </c>
      <c r="C167" s="34" t="s">
        <v>1439</v>
      </c>
      <c r="D167" s="31" t="s">
        <v>725</v>
      </c>
      <c r="E167" s="31" t="s">
        <v>700</v>
      </c>
      <c r="F167" s="31" t="s">
        <v>679</v>
      </c>
      <c r="G167" s="31" t="s">
        <v>678</v>
      </c>
      <c r="H167" s="31" t="str">
        <f t="shared" si="40"/>
        <v>Gregorio XVI</v>
      </c>
      <c r="K167" s="31" t="s">
        <v>825</v>
      </c>
      <c r="L167" s="31" t="str">
        <f t="shared" si="41"/>
        <v>Breve</v>
      </c>
      <c r="M167" s="31" t="s">
        <v>577</v>
      </c>
      <c r="O167" s="31" t="s">
        <v>1313</v>
      </c>
      <c r="P167" s="31" t="s">
        <v>1659</v>
      </c>
      <c r="Q167" s="31" t="s">
        <v>1376</v>
      </c>
      <c r="R167" s="35" t="str">
        <f t="shared" si="30"/>
        <v>14</v>
      </c>
      <c r="S167" s="35"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5">
        <f t="shared" si="31"/>
        <v>1838</v>
      </c>
      <c r="U167" s="31"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6"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31"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31">
        <v>165</v>
      </c>
      <c r="Y167" s="31" t="str">
        <f t="shared" si="32"/>
        <v>['Gregorio XVI', 'Breve', 'Pastorale officium', 'grxvi-bre-pof', '14 agosto 1838', '14/08/1838', '1838/08/14'],</v>
      </c>
      <c r="Z167" s="31" t="str">
        <f t="shared" si="33"/>
        <v>Pastorale officium (14 agosto 1838) | Gregorio XVI</v>
      </c>
      <c r="AA167" s="31" t="str">
        <f t="shared" si="34"/>
        <v>Breve Pastorale officium</v>
      </c>
      <c r="AB167" s="31" t="str">
        <f t="shared" si="35"/>
        <v>Breve Pastorale officium</v>
      </c>
      <c r="AC167" s="31" t="str">
        <f t="shared" si="36"/>
        <v>Gregorio XVI, Breve Pastorale officium, 14 agosto 1838</v>
      </c>
      <c r="AD167" s="31" t="str">
        <f t="shared" si="37"/>
        <v>1838-08-14T08:00:00.000+02:00</v>
      </c>
      <c r="AE167" s="31" t="str">
        <f t="shared" si="38"/>
        <v>grxvi-bre-pof</v>
      </c>
      <c r="AF167" s="31" t="str">
        <f t="shared" si="39"/>
        <v>Gregorio XVI - Breve - Pastorale officium</v>
      </c>
    </row>
    <row r="168" spans="2:34" s="31" customFormat="1" x14ac:dyDescent="0.2">
      <c r="B168" s="31">
        <v>254</v>
      </c>
      <c r="C168" s="34" t="s">
        <v>1440</v>
      </c>
      <c r="D168" s="31" t="s">
        <v>725</v>
      </c>
      <c r="E168" s="31" t="s">
        <v>700</v>
      </c>
      <c r="F168" s="31" t="s">
        <v>679</v>
      </c>
      <c r="G168" s="31" t="s">
        <v>678</v>
      </c>
      <c r="H168" s="31" t="str">
        <f t="shared" si="40"/>
        <v>Gregorio XVI</v>
      </c>
      <c r="K168" s="31" t="s">
        <v>825</v>
      </c>
      <c r="L168" s="31" t="str">
        <f t="shared" si="41"/>
        <v>Breve</v>
      </c>
      <c r="M168" s="31" t="s">
        <v>577</v>
      </c>
      <c r="O168" s="31" t="s">
        <v>1293</v>
      </c>
      <c r="P168" s="31" t="s">
        <v>2956</v>
      </c>
      <c r="Q168" s="31" t="s">
        <v>1376</v>
      </c>
      <c r="R168" s="35" t="str">
        <f t="shared" si="30"/>
        <v>14</v>
      </c>
      <c r="S168" s="35"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5">
        <f t="shared" si="31"/>
        <v>1838</v>
      </c>
      <c r="U168" s="31"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6"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31"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31">
        <v>166</v>
      </c>
      <c r="Y168" s="31" t="str">
        <f t="shared" si="32"/>
        <v>['Gregorio XVI', 'Breve', 'Ex debito pastoralis', 'grxvi-bre-dep', '14 agosto 1838', '14/08/1838', '1838/08/14'],</v>
      </c>
      <c r="Z168" s="31" t="str">
        <f t="shared" si="33"/>
        <v>Ex debito pastoralis (14 agosto 1838) | Gregorio XVI</v>
      </c>
      <c r="AA168" s="31" t="str">
        <f t="shared" si="34"/>
        <v>Breve Ex debito pastoralis</v>
      </c>
      <c r="AB168" s="31" t="str">
        <f t="shared" si="35"/>
        <v>Breve Ex debito pastoralis</v>
      </c>
      <c r="AC168" s="31" t="str">
        <f t="shared" si="36"/>
        <v>Gregorio XVI, Breve Ex debito pastoralis, 14 agosto 1838</v>
      </c>
      <c r="AD168" s="31" t="str">
        <f t="shared" si="37"/>
        <v>1838-08-14T08:00:00.000+02:00</v>
      </c>
      <c r="AE168" s="31" t="str">
        <f t="shared" si="38"/>
        <v>grxvi-bre-dep</v>
      </c>
      <c r="AF168" s="31" t="str">
        <f t="shared" si="39"/>
        <v>Gregorio XVI - Breve - Ex debito pastoralis</v>
      </c>
    </row>
    <row r="169" spans="2:34" s="31" customFormat="1" x14ac:dyDescent="0.2">
      <c r="B169" s="31">
        <v>254</v>
      </c>
      <c r="C169" s="34" t="s">
        <v>1441</v>
      </c>
      <c r="D169" s="31" t="s">
        <v>725</v>
      </c>
      <c r="E169" s="31" t="s">
        <v>700</v>
      </c>
      <c r="F169" s="31" t="s">
        <v>679</v>
      </c>
      <c r="G169" s="31" t="s">
        <v>678</v>
      </c>
      <c r="H169" s="31" t="str">
        <f t="shared" si="40"/>
        <v>Gregorio XVI</v>
      </c>
      <c r="K169" s="31" t="s">
        <v>825</v>
      </c>
      <c r="L169" s="31" t="str">
        <f t="shared" si="41"/>
        <v>Breve</v>
      </c>
      <c r="M169" s="31" t="s">
        <v>577</v>
      </c>
      <c r="O169" s="31" t="s">
        <v>1320</v>
      </c>
      <c r="P169" s="31" t="s">
        <v>1664</v>
      </c>
      <c r="Q169" s="31" t="s">
        <v>1376</v>
      </c>
      <c r="R169" s="35" t="str">
        <f t="shared" si="30"/>
        <v>14</v>
      </c>
      <c r="S169" s="35"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5">
        <f t="shared" si="31"/>
        <v>1838</v>
      </c>
      <c r="U169" s="31"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6"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31"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31">
        <v>167</v>
      </c>
      <c r="Y169" s="31" t="str">
        <f t="shared" si="32"/>
        <v>['Gregorio XVI', 'Breve', 'Ex debito pastoralis Leao Tung', 'grxvi-bre-dpl', '14 agosto 1838', '14/08/1838', '1838/08/14'],</v>
      </c>
      <c r="Z169" s="31" t="str">
        <f t="shared" si="33"/>
        <v>Ex debito pastoralis Leao Tung (14 agosto 1838) | Gregorio XVI</v>
      </c>
      <c r="AA169" s="31" t="str">
        <f t="shared" si="34"/>
        <v>Breve Ex debito pastoralis Leao Tung</v>
      </c>
      <c r="AB169" s="31" t="str">
        <f t="shared" si="35"/>
        <v>Breve Ex debito pastoralis Leao Tung</v>
      </c>
      <c r="AC169" s="31" t="str">
        <f t="shared" si="36"/>
        <v>Gregorio XVI, Breve Ex debito pastoralis Leao Tung, 14 agosto 1838</v>
      </c>
      <c r="AD169" s="31" t="str">
        <f t="shared" si="37"/>
        <v>1838-08-14T08:00:00.000+02:00</v>
      </c>
      <c r="AE169" s="31" t="str">
        <f t="shared" si="38"/>
        <v>grxvi-bre-dpl</v>
      </c>
      <c r="AF169" s="31" t="str">
        <f t="shared" si="39"/>
        <v>Gregorio XVI - Breve - Ex debito pastoralis Leao Tung</v>
      </c>
    </row>
    <row r="170" spans="2:34" s="31" customFormat="1" x14ac:dyDescent="0.2">
      <c r="B170" s="31">
        <v>254</v>
      </c>
      <c r="C170" s="34" t="s">
        <v>1442</v>
      </c>
      <c r="D170" s="31" t="s">
        <v>725</v>
      </c>
      <c r="E170" s="31" t="s">
        <v>700</v>
      </c>
      <c r="F170" s="31" t="s">
        <v>679</v>
      </c>
      <c r="G170" s="31" t="s">
        <v>678</v>
      </c>
      <c r="H170" s="31" t="str">
        <f t="shared" si="40"/>
        <v>Gregorio XVI</v>
      </c>
      <c r="K170" s="31" t="s">
        <v>825</v>
      </c>
      <c r="L170" s="31" t="str">
        <f t="shared" si="41"/>
        <v>Breve</v>
      </c>
      <c r="M170" s="31" t="s">
        <v>577</v>
      </c>
      <c r="O170" s="31" t="s">
        <v>1321</v>
      </c>
      <c r="P170" s="31" t="s">
        <v>1665</v>
      </c>
      <c r="Q170" s="31" t="s">
        <v>1376</v>
      </c>
      <c r="R170" s="35" t="str">
        <f t="shared" si="30"/>
        <v>14</v>
      </c>
      <c r="S170" s="35"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5">
        <f t="shared" si="31"/>
        <v>1838</v>
      </c>
      <c r="U170" s="31"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6"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31"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31">
        <v>168</v>
      </c>
      <c r="Y170" s="31" t="str">
        <f t="shared" si="32"/>
        <v>['Gregorio XVI', 'Breve', 'Ex debito pastoralis China', 'grxvi-bre-dpc', '14 agosto 1838', '14/08/1838', '1838/08/14'],</v>
      </c>
      <c r="Z170" s="31" t="str">
        <f t="shared" si="33"/>
        <v>Ex debito pastoralis China (14 agosto 1838) | Gregorio XVI</v>
      </c>
      <c r="AA170" s="31" t="str">
        <f t="shared" si="34"/>
        <v>Breve Ex debito pastoralis China</v>
      </c>
      <c r="AB170" s="31" t="str">
        <f t="shared" si="35"/>
        <v>Breve Ex debito pastoralis China</v>
      </c>
      <c r="AC170" s="31" t="str">
        <f t="shared" si="36"/>
        <v>Gregorio XVI, Breve Ex debito pastoralis China, 14 agosto 1838</v>
      </c>
      <c r="AD170" s="31" t="str">
        <f t="shared" si="37"/>
        <v>1838-08-14T08:00:00.000+02:00</v>
      </c>
      <c r="AE170" s="31" t="str">
        <f t="shared" si="38"/>
        <v>grxvi-bre-dpc</v>
      </c>
      <c r="AF170" s="31" t="str">
        <f t="shared" si="39"/>
        <v>Gregorio XVI - Breve - Ex debito pastoralis China</v>
      </c>
    </row>
    <row r="171" spans="2:34" s="31" customFormat="1" x14ac:dyDescent="0.2">
      <c r="B171" s="31">
        <v>254</v>
      </c>
      <c r="C171" s="34" t="s">
        <v>1438</v>
      </c>
      <c r="D171" s="31" t="s">
        <v>725</v>
      </c>
      <c r="E171" s="31" t="s">
        <v>700</v>
      </c>
      <c r="F171" s="31" t="s">
        <v>679</v>
      </c>
      <c r="G171" s="31" t="s">
        <v>678</v>
      </c>
      <c r="H171" s="31" t="str">
        <f t="shared" si="40"/>
        <v>Gregorio XVI</v>
      </c>
      <c r="K171" s="31" t="s">
        <v>1254</v>
      </c>
      <c r="L171" s="31" t="str">
        <f t="shared" si="41"/>
        <v>Epistola</v>
      </c>
      <c r="M171" s="31" t="s">
        <v>1256</v>
      </c>
      <c r="O171" s="31" t="s">
        <v>1319</v>
      </c>
      <c r="P171" s="31" t="s">
        <v>1663</v>
      </c>
      <c r="Q171" s="31" t="s">
        <v>1375</v>
      </c>
      <c r="R171" s="35" t="str">
        <f t="shared" si="30"/>
        <v>18</v>
      </c>
      <c r="S171" s="35"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5">
        <f t="shared" si="31"/>
        <v>1838</v>
      </c>
      <c r="U171" s="31"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6"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31"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31">
        <v>169</v>
      </c>
      <c r="Y171" s="31" t="str">
        <f t="shared" si="32"/>
        <v>['Gregorio XVI', 'Epistola', 'Hanno sempre', 'grxvi-epi-has', '18 settembre 1838', '18/09/1838', '1838/09/18'],</v>
      </c>
      <c r="Z171" s="31" t="str">
        <f t="shared" si="33"/>
        <v>Hanno sempre (18 settembre 1838) | Gregorio XVI</v>
      </c>
      <c r="AA171" s="31" t="str">
        <f t="shared" si="34"/>
        <v>Epistola Hanno sempre</v>
      </c>
      <c r="AB171" s="31" t="str">
        <f t="shared" si="35"/>
        <v>Epistola Hanno sempre</v>
      </c>
      <c r="AC171" s="31" t="str">
        <f t="shared" si="36"/>
        <v>Gregorio XVI, Epistola Hanno sempre, 18 settembre 1838</v>
      </c>
      <c r="AD171" s="31" t="str">
        <f t="shared" si="37"/>
        <v>1838-09-18T08:00:00.000+02:00</v>
      </c>
      <c r="AE171" s="31" t="str">
        <f t="shared" si="38"/>
        <v>grxvi-epi-has</v>
      </c>
      <c r="AF171" s="31" t="str">
        <f t="shared" si="39"/>
        <v>Gregorio XVI - Epistola - Hanno sempre</v>
      </c>
    </row>
    <row r="172" spans="2:34" s="31" customFormat="1" x14ac:dyDescent="0.2">
      <c r="B172" s="31">
        <v>254</v>
      </c>
      <c r="C172" s="34" t="s">
        <v>1437</v>
      </c>
      <c r="D172" s="31" t="s">
        <v>725</v>
      </c>
      <c r="E172" s="31" t="s">
        <v>700</v>
      </c>
      <c r="F172" s="31" t="s">
        <v>679</v>
      </c>
      <c r="G172" s="31" t="s">
        <v>678</v>
      </c>
      <c r="H172" s="31" t="str">
        <f t="shared" si="40"/>
        <v>Gregorio XVI</v>
      </c>
      <c r="K172" s="31" t="s">
        <v>825</v>
      </c>
      <c r="L172" s="31" t="str">
        <f t="shared" si="41"/>
        <v>Breve</v>
      </c>
      <c r="M172" s="31" t="s">
        <v>577</v>
      </c>
      <c r="O172" s="31" t="s">
        <v>1318</v>
      </c>
      <c r="P172" s="31" t="s">
        <v>1000</v>
      </c>
      <c r="Q172" s="31" t="s">
        <v>1374</v>
      </c>
      <c r="R172" s="35" t="str">
        <f t="shared" si="30"/>
        <v>04</v>
      </c>
      <c r="S172" s="35"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5">
        <f t="shared" si="31"/>
        <v>1839</v>
      </c>
      <c r="U172" s="31"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6"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31"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31">
        <v>170</v>
      </c>
      <c r="Y172" s="31" t="str">
        <f t="shared" si="32"/>
        <v>['Gregorio XVI', 'Breve', 'Quae nuncia', 'grxvi-bre-qun', '04 agosto 1839', '04/08/1839', '1839/08/04'],</v>
      </c>
      <c r="Z172" s="31" t="str">
        <f t="shared" si="33"/>
        <v>Quae nuncia (4 agosto 1839) | Gregorio XVI</v>
      </c>
      <c r="AA172" s="31" t="str">
        <f t="shared" si="34"/>
        <v>Breve Quae nuncia</v>
      </c>
      <c r="AB172" s="31" t="str">
        <f t="shared" si="35"/>
        <v>Breve Quae nuncia</v>
      </c>
      <c r="AC172" s="31" t="str">
        <f t="shared" si="36"/>
        <v>Gregorio XVI, Breve Quae nuncia, 04 agosto 1839</v>
      </c>
      <c r="AD172" s="31" t="str">
        <f t="shared" si="37"/>
        <v>1839-08-04T08:00:00.000+02:00</v>
      </c>
      <c r="AE172" s="31" t="str">
        <f t="shared" si="38"/>
        <v>grxvi-bre-qun</v>
      </c>
      <c r="AF172" s="31" t="str">
        <f t="shared" si="39"/>
        <v>Gregorio XVI - Breve - Quae nuncia</v>
      </c>
    </row>
    <row r="173" spans="2:34" s="31" customFormat="1" x14ac:dyDescent="0.2">
      <c r="B173" s="31">
        <v>254</v>
      </c>
      <c r="C173" s="34" t="s">
        <v>1436</v>
      </c>
      <c r="D173" s="31" t="s">
        <v>725</v>
      </c>
      <c r="E173" s="31" t="s">
        <v>700</v>
      </c>
      <c r="F173" s="31" t="s">
        <v>679</v>
      </c>
      <c r="G173" s="31" t="s">
        <v>678</v>
      </c>
      <c r="H173" s="31" t="str">
        <f t="shared" si="40"/>
        <v>Gregorio XVI</v>
      </c>
      <c r="K173" s="31" t="s">
        <v>1254</v>
      </c>
      <c r="L173" s="31" t="str">
        <f t="shared" si="41"/>
        <v>Epistola</v>
      </c>
      <c r="M173" s="31" t="s">
        <v>1256</v>
      </c>
      <c r="O173" s="31" t="s">
        <v>1317</v>
      </c>
      <c r="P173" s="31" t="s">
        <v>1662</v>
      </c>
      <c r="Q173" s="31" t="s">
        <v>1373</v>
      </c>
      <c r="R173" s="35" t="str">
        <f t="shared" si="30"/>
        <v>30</v>
      </c>
      <c r="S173" s="35"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5">
        <f t="shared" si="31"/>
        <v>1839</v>
      </c>
      <c r="U173" s="31"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6"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31"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31">
        <v>171</v>
      </c>
      <c r="Y173" s="31" t="str">
        <f t="shared" si="32"/>
        <v>['Gregorio XVI', 'Epistola', 'Dolorem quo', 'grxvi-epi-doq', '30 novembre 1839', '30/11/1839', '1839/11/30'],</v>
      </c>
      <c r="Z173" s="31" t="str">
        <f t="shared" si="33"/>
        <v>Dolorem quo (30 novembre 1839) | Gregorio XVI</v>
      </c>
      <c r="AA173" s="31" t="str">
        <f t="shared" si="34"/>
        <v>Epistola Dolorem quo</v>
      </c>
      <c r="AB173" s="31" t="str">
        <f t="shared" si="35"/>
        <v>Epistola Dolorem quo</v>
      </c>
      <c r="AC173" s="31" t="str">
        <f t="shared" si="36"/>
        <v>Gregorio XVI, Epistola Dolorem quo, 30 novembre 1839</v>
      </c>
      <c r="AD173" s="31" t="str">
        <f t="shared" si="37"/>
        <v>1839-11-30T08:00:00.000+02:00</v>
      </c>
      <c r="AE173" s="31" t="str">
        <f t="shared" si="38"/>
        <v>grxvi-epi-doq</v>
      </c>
      <c r="AF173" s="31" t="str">
        <f t="shared" si="39"/>
        <v>Gregorio XVI - Epistola - Dolorem quo</v>
      </c>
    </row>
    <row r="174" spans="2:34" s="31" customFormat="1" x14ac:dyDescent="0.2">
      <c r="B174" s="31">
        <v>254</v>
      </c>
      <c r="C174" s="34" t="s">
        <v>1434</v>
      </c>
      <c r="D174" s="31" t="s">
        <v>725</v>
      </c>
      <c r="E174" s="31" t="s">
        <v>700</v>
      </c>
      <c r="F174" s="31" t="s">
        <v>679</v>
      </c>
      <c r="G174" s="31" t="s">
        <v>678</v>
      </c>
      <c r="H174" s="31" t="str">
        <f t="shared" si="40"/>
        <v>Gregorio XVI</v>
      </c>
      <c r="K174" s="31" t="s">
        <v>825</v>
      </c>
      <c r="L174" s="31" t="str">
        <f t="shared" si="41"/>
        <v>Breve</v>
      </c>
      <c r="M174" s="31" t="s">
        <v>577</v>
      </c>
      <c r="O174" s="31" t="s">
        <v>1315</v>
      </c>
      <c r="P174" s="31" t="s">
        <v>1661</v>
      </c>
      <c r="Q174" s="31" t="s">
        <v>1372</v>
      </c>
      <c r="R174" s="35" t="str">
        <f t="shared" si="30"/>
        <v>03</v>
      </c>
      <c r="S174" s="35"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5">
        <f t="shared" si="31"/>
        <v>1839</v>
      </c>
      <c r="U174" s="31"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6"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31"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31">
        <v>172</v>
      </c>
      <c r="Y174" s="31" t="str">
        <f t="shared" si="32"/>
        <v>['Gregorio XVI', 'Breve', 'In supremo apostolatus fastigio', 'grxvi-bre-isa', '03 dicembre 1839', '03/12/1839', '1839/12/03'],</v>
      </c>
      <c r="Z174" s="31" t="str">
        <f t="shared" si="33"/>
        <v>In supremo apostolatus fastigio (3 dicembre 1839) | Gregorio XVI</v>
      </c>
      <c r="AA174" s="31" t="str">
        <f t="shared" si="34"/>
        <v>Breve In supremo apostolatus fastigio</v>
      </c>
      <c r="AB174" s="31" t="str">
        <f t="shared" si="35"/>
        <v>Breve In supremo apostolatus fastigio</v>
      </c>
      <c r="AC174" s="31" t="str">
        <f t="shared" si="36"/>
        <v>Gregorio XVI, Breve In supremo apostolatus fastigio, 03 dicembre 1839</v>
      </c>
      <c r="AD174" s="31" t="str">
        <f t="shared" si="37"/>
        <v>1839-12-03T08:00:00.000+02:00</v>
      </c>
      <c r="AE174" s="31" t="str">
        <f t="shared" si="38"/>
        <v>grxvi-bre-isa</v>
      </c>
      <c r="AF174" s="31" t="str">
        <f t="shared" si="39"/>
        <v>Gregorio XVI - Breve - In supremo apostolatus fastigio</v>
      </c>
      <c r="AH174" s="31">
        <f>LEN(C174)</f>
        <v>116</v>
      </c>
    </row>
    <row r="175" spans="2:34" s="31" customFormat="1" x14ac:dyDescent="0.2">
      <c r="B175" s="31">
        <v>254</v>
      </c>
      <c r="C175" s="34" t="s">
        <v>1435</v>
      </c>
      <c r="D175" s="31" t="s">
        <v>725</v>
      </c>
      <c r="E175" s="31" t="s">
        <v>700</v>
      </c>
      <c r="F175" s="31" t="s">
        <v>679</v>
      </c>
      <c r="G175" s="31" t="s">
        <v>678</v>
      </c>
      <c r="H175" s="31" t="str">
        <f t="shared" si="40"/>
        <v>Gregorio XVI</v>
      </c>
      <c r="K175" s="31" t="s">
        <v>825</v>
      </c>
      <c r="L175" s="31" t="str">
        <f t="shared" si="41"/>
        <v>Breve</v>
      </c>
      <c r="M175" s="31" t="s">
        <v>577</v>
      </c>
      <c r="O175" s="31" t="s">
        <v>1316</v>
      </c>
      <c r="P175" s="31" t="s">
        <v>1070</v>
      </c>
      <c r="Q175" s="31" t="s">
        <v>1372</v>
      </c>
      <c r="R175" s="35" t="str">
        <f t="shared" si="30"/>
        <v>03</v>
      </c>
      <c r="S175" s="35"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5">
        <f t="shared" si="31"/>
        <v>1839</v>
      </c>
      <c r="U175" s="31"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6"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31"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31">
        <v>173</v>
      </c>
      <c r="Y175" s="31" t="str">
        <f t="shared" si="32"/>
        <v>['Gregorio XVI', 'Breve', 'In supremo', 'grxvi-bre-ins', '03 dicembre 1839', '03/12/1839', '1839/12/03'],</v>
      </c>
      <c r="Z175" s="31" t="str">
        <f t="shared" si="33"/>
        <v>In supremo (3 dicembre 1839) | Gregorio XVI</v>
      </c>
      <c r="AA175" s="31" t="str">
        <f t="shared" si="34"/>
        <v>Breve In supremo</v>
      </c>
      <c r="AB175" s="31" t="str">
        <f t="shared" si="35"/>
        <v>Breve In supremo</v>
      </c>
      <c r="AC175" s="31" t="str">
        <f t="shared" si="36"/>
        <v>Gregorio XVI, Breve In supremo, 03 dicembre 1839</v>
      </c>
      <c r="AD175" s="31" t="str">
        <f t="shared" si="37"/>
        <v>1839-12-03T08:00:00.000+02:00</v>
      </c>
      <c r="AE175" s="31" t="str">
        <f t="shared" si="38"/>
        <v>grxvi-bre-ins</v>
      </c>
      <c r="AF175" s="31" t="str">
        <f t="shared" si="39"/>
        <v>Gregorio XVI - Breve - In supremo</v>
      </c>
    </row>
    <row r="176" spans="2:34" s="31" customFormat="1" x14ac:dyDescent="0.2">
      <c r="B176" s="31">
        <v>254</v>
      </c>
      <c r="C176" s="34" t="s">
        <v>1433</v>
      </c>
      <c r="D176" s="31" t="s">
        <v>725</v>
      </c>
      <c r="E176" s="31" t="s">
        <v>700</v>
      </c>
      <c r="F176" s="31" t="s">
        <v>679</v>
      </c>
      <c r="G176" s="31" t="s">
        <v>678</v>
      </c>
      <c r="H176" s="31" t="str">
        <f t="shared" si="40"/>
        <v>Gregorio XVI</v>
      </c>
      <c r="K176" s="31" t="s">
        <v>908</v>
      </c>
      <c r="L176" s="31" t="str">
        <f t="shared" si="41"/>
        <v>Allocuzione</v>
      </c>
      <c r="M176" s="31" t="s">
        <v>948</v>
      </c>
      <c r="O176" s="31" t="s">
        <v>1314</v>
      </c>
      <c r="P176" s="31" t="s">
        <v>1660</v>
      </c>
      <c r="Q176" s="31" t="s">
        <v>1371</v>
      </c>
      <c r="R176" s="35" t="str">
        <f t="shared" si="30"/>
        <v>27</v>
      </c>
      <c r="S176" s="35"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5">
        <f t="shared" si="31"/>
        <v>1840</v>
      </c>
      <c r="U176" s="31"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6"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31"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31">
        <v>174</v>
      </c>
      <c r="Y176" s="31" t="str">
        <f t="shared" si="32"/>
        <v>['Gregorio XVI', 'Allocuzione', 'Afflictas in tunquino', 'grxvi-all-ait', '27 aprile 1840', '27/04/1840', '1840/04/27'],</v>
      </c>
      <c r="Z176" s="31" t="str">
        <f t="shared" si="33"/>
        <v>Afflictas in tunquino (27 aprile 1840) | Gregorio XVI</v>
      </c>
      <c r="AA176" s="31" t="str">
        <f t="shared" si="34"/>
        <v>Allocuzione Afflictas in tunquino</v>
      </c>
      <c r="AB176" s="31" t="str">
        <f t="shared" si="35"/>
        <v>Allocuzione Afflictas in tunquino</v>
      </c>
      <c r="AC176" s="31" t="str">
        <f t="shared" si="36"/>
        <v>Gregorio XVI, Allocuzione Afflictas in tunquino, 27 aprile 1840</v>
      </c>
      <c r="AD176" s="31" t="str">
        <f t="shared" si="37"/>
        <v>1840-04-27T08:00:00.000+02:00</v>
      </c>
      <c r="AE176" s="31" t="str">
        <f t="shared" si="38"/>
        <v>grxvi-all-ait</v>
      </c>
      <c r="AF176" s="31" t="str">
        <f t="shared" si="39"/>
        <v>Gregorio XVI - Allocuzione - Afflictas in tunquino</v>
      </c>
    </row>
    <row r="177" spans="2:32" s="31" customFormat="1" x14ac:dyDescent="0.2">
      <c r="B177" s="31">
        <v>254</v>
      </c>
      <c r="C177" s="34" t="s">
        <v>1432</v>
      </c>
      <c r="D177" s="31" t="s">
        <v>725</v>
      </c>
      <c r="E177" s="31" t="s">
        <v>700</v>
      </c>
      <c r="F177" s="31" t="s">
        <v>679</v>
      </c>
      <c r="G177" s="31" t="s">
        <v>678</v>
      </c>
      <c r="H177" s="31" t="str">
        <f t="shared" si="40"/>
        <v>Gregorio XVI</v>
      </c>
      <c r="K177" s="31" t="s">
        <v>825</v>
      </c>
      <c r="L177" s="31" t="str">
        <f t="shared" si="41"/>
        <v>Breve</v>
      </c>
      <c r="M177" s="31" t="s">
        <v>577</v>
      </c>
      <c r="O177" s="31" t="s">
        <v>1313</v>
      </c>
      <c r="P177" s="31" t="s">
        <v>2955</v>
      </c>
      <c r="Q177" s="31" t="s">
        <v>1370</v>
      </c>
      <c r="R177" s="35" t="str">
        <f t="shared" si="30"/>
        <v>24</v>
      </c>
      <c r="S177" s="35"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5">
        <f t="shared" si="31"/>
        <v>1840</v>
      </c>
      <c r="U177" s="31"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6"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31"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31">
        <v>175</v>
      </c>
      <c r="Y177" s="31" t="str">
        <f t="shared" si="32"/>
        <v>['Gregorio XVI', 'Breve', 'Pastorale officium', 'grxvi-bre-pso', '24 luglio 1840', '24/07/1840', '1840/07/24'],</v>
      </c>
      <c r="Z177" s="31" t="str">
        <f t="shared" si="33"/>
        <v>Pastorale officium (24 luglio 1840) | Gregorio XVI</v>
      </c>
      <c r="AA177" s="31" t="str">
        <f t="shared" si="34"/>
        <v>Breve Pastorale officium</v>
      </c>
      <c r="AB177" s="31" t="str">
        <f t="shared" si="35"/>
        <v>Breve Pastorale officium</v>
      </c>
      <c r="AC177" s="31" t="str">
        <f t="shared" si="36"/>
        <v>Gregorio XVI, Breve Pastorale officium, 24 luglio 1840</v>
      </c>
      <c r="AD177" s="31" t="str">
        <f t="shared" si="37"/>
        <v>1840-07-24T08:00:00.000+02:00</v>
      </c>
      <c r="AE177" s="31" t="str">
        <f t="shared" si="38"/>
        <v>grxvi-bre-pso</v>
      </c>
      <c r="AF177" s="31" t="str">
        <f t="shared" si="39"/>
        <v>Gregorio XVI - Breve - Pastorale officium</v>
      </c>
    </row>
    <row r="178" spans="2:32" s="31" customFormat="1" x14ac:dyDescent="0.2">
      <c r="B178" s="31">
        <v>254</v>
      </c>
      <c r="C178" s="34" t="s">
        <v>1431</v>
      </c>
      <c r="D178" s="31" t="s">
        <v>725</v>
      </c>
      <c r="E178" s="31" t="s">
        <v>700</v>
      </c>
      <c r="F178" s="31" t="s">
        <v>679</v>
      </c>
      <c r="G178" s="31" t="s">
        <v>678</v>
      </c>
      <c r="H178" s="31" t="str">
        <f t="shared" si="40"/>
        <v>Gregorio XVI</v>
      </c>
      <c r="K178" s="31" t="s">
        <v>825</v>
      </c>
      <c r="L178" s="31" t="str">
        <f t="shared" si="41"/>
        <v>Breve</v>
      </c>
      <c r="M178" s="31" t="s">
        <v>577</v>
      </c>
      <c r="O178" s="31" t="s">
        <v>1312</v>
      </c>
      <c r="P178" s="31" t="s">
        <v>982</v>
      </c>
      <c r="Q178" s="31" t="s">
        <v>1369</v>
      </c>
      <c r="R178" s="35" t="str">
        <f t="shared" si="30"/>
        <v>18</v>
      </c>
      <c r="S178" s="35"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5">
        <f t="shared" si="31"/>
        <v>1840</v>
      </c>
      <c r="U178" s="31"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6"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31"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31">
        <v>176</v>
      </c>
      <c r="Y178" s="31" t="str">
        <f t="shared" si="32"/>
        <v>['Gregorio XVI', 'Breve', 'Probe nostis', 'grxvi-bre-prn', '18 settembre 1840', '18/09/1840', '1840/09/18'],</v>
      </c>
      <c r="Z178" s="31" t="str">
        <f t="shared" si="33"/>
        <v>Probe nostis (18 settembre 1840) | Gregorio XVI</v>
      </c>
      <c r="AA178" s="31" t="str">
        <f t="shared" si="34"/>
        <v>Breve Probe nostis</v>
      </c>
      <c r="AB178" s="31" t="str">
        <f t="shared" si="35"/>
        <v>Breve Probe nostis</v>
      </c>
      <c r="AC178" s="31" t="str">
        <f t="shared" si="36"/>
        <v>Gregorio XVI, Breve Probe nostis, 18 settembre 1840</v>
      </c>
      <c r="AD178" s="31" t="str">
        <f t="shared" si="37"/>
        <v>1840-09-18T08:00:00.000+02:00</v>
      </c>
      <c r="AE178" s="31" t="str">
        <f t="shared" si="38"/>
        <v>grxvi-bre-prn</v>
      </c>
      <c r="AF178" s="31" t="str">
        <f t="shared" si="39"/>
        <v>Gregorio XVI - Breve - Probe nostis</v>
      </c>
    </row>
    <row r="179" spans="2:32" s="31" customFormat="1" x14ac:dyDescent="0.2">
      <c r="B179" s="31">
        <v>254</v>
      </c>
      <c r="C179" s="34" t="s">
        <v>1430</v>
      </c>
      <c r="D179" s="31" t="s">
        <v>725</v>
      </c>
      <c r="E179" s="31" t="s">
        <v>700</v>
      </c>
      <c r="F179" s="31" t="s">
        <v>679</v>
      </c>
      <c r="G179" s="31" t="s">
        <v>678</v>
      </c>
      <c r="H179" s="31" t="str">
        <f t="shared" si="40"/>
        <v>Gregorio XVI</v>
      </c>
      <c r="I179" s="31" t="s">
        <v>603</v>
      </c>
      <c r="J179" s="31" t="s">
        <v>829</v>
      </c>
      <c r="K179" s="31" t="s">
        <v>694</v>
      </c>
      <c r="L179" s="31" t="str">
        <f t="shared" si="41"/>
        <v>Lettera Enciclica</v>
      </c>
      <c r="M179" s="31" t="s">
        <v>579</v>
      </c>
      <c r="O179" s="31" t="s">
        <v>308</v>
      </c>
      <c r="P179" s="31" t="s">
        <v>980</v>
      </c>
      <c r="Q179" s="31" t="s">
        <v>1368</v>
      </c>
      <c r="R179" s="35" t="str">
        <f t="shared" si="30"/>
        <v>21</v>
      </c>
      <c r="S179" s="35"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5">
        <f t="shared" si="31"/>
        <v>1840</v>
      </c>
      <c r="U179" s="31"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6"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31"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31">
        <v>177</v>
      </c>
      <c r="Y179" s="31" t="str">
        <f t="shared" si="32"/>
        <v>['Gregorio XVI', 'Enciclica', 'Augustissimam beatissimi', 'grxvi-enc-aub', '21 dicembre 1840', '21/12/1840', '1840/12/21'],</v>
      </c>
      <c r="Z179" s="31" t="str">
        <f t="shared" si="33"/>
        <v>Augustissimam beatissimi (21 dicembre 1840) | Gregorio XVI</v>
      </c>
      <c r="AA179" s="31" t="str">
        <f t="shared" si="34"/>
        <v>Enciclica Augustissimam beatissimi</v>
      </c>
      <c r="AB179" s="31" t="str">
        <f t="shared" si="35"/>
        <v>Enciclica Augustissimam beatissimi</v>
      </c>
      <c r="AC179" s="31" t="str">
        <f t="shared" si="36"/>
        <v>Gregorio XVI, Lettera Enciclica Augustissimam beatissimi, 21 dicembre 1840</v>
      </c>
      <c r="AD179" s="31" t="str">
        <f t="shared" si="37"/>
        <v>1840-12-21T08:00:00.000+02:00</v>
      </c>
      <c r="AE179" s="31" t="str">
        <f t="shared" si="38"/>
        <v>grxvi-enc-aub</v>
      </c>
      <c r="AF179" s="31" t="str">
        <f t="shared" si="39"/>
        <v>Gregorio XVI - Lettera Enciclica - Augustissimam beatissimi</v>
      </c>
    </row>
    <row r="180" spans="2:32" s="31" customFormat="1" x14ac:dyDescent="0.2">
      <c r="B180" s="31">
        <v>254</v>
      </c>
      <c r="C180" s="34" t="s">
        <v>1429</v>
      </c>
      <c r="D180" s="31" t="s">
        <v>725</v>
      </c>
      <c r="E180" s="31" t="s">
        <v>700</v>
      </c>
      <c r="F180" s="31" t="s">
        <v>679</v>
      </c>
      <c r="G180" s="31" t="s">
        <v>678</v>
      </c>
      <c r="H180" s="31" t="str">
        <f t="shared" si="40"/>
        <v>Gregorio XVI</v>
      </c>
      <c r="K180" s="31" t="s">
        <v>825</v>
      </c>
      <c r="L180" s="31" t="str">
        <f t="shared" si="41"/>
        <v>Breve</v>
      </c>
      <c r="M180" s="31" t="s">
        <v>577</v>
      </c>
      <c r="O180" s="31" t="s">
        <v>1311</v>
      </c>
      <c r="P180" s="31" t="s">
        <v>1658</v>
      </c>
      <c r="Q180" s="31" t="s">
        <v>1367</v>
      </c>
      <c r="R180" s="35" t="str">
        <f t="shared" si="30"/>
        <v>26</v>
      </c>
      <c r="S180" s="35"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5">
        <f t="shared" si="31"/>
        <v>1841</v>
      </c>
      <c r="U180" s="31"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6"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31"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31">
        <v>178</v>
      </c>
      <c r="Y180" s="31" t="str">
        <f t="shared" si="32"/>
        <v>['Gregorio XVI', 'Breve', 'De Cochinchinae', 'grxvi-bre-dec', '26 febbraio 1841', '26/02/1841', '1841/02/26'],</v>
      </c>
      <c r="Z180" s="31" t="str">
        <f t="shared" si="33"/>
        <v>De Cochinchinae (26 febbraio 1841) | Gregorio XVI</v>
      </c>
      <c r="AA180" s="31" t="str">
        <f t="shared" si="34"/>
        <v>Breve De Cochinchinae</v>
      </c>
      <c r="AB180" s="31" t="str">
        <f t="shared" si="35"/>
        <v>Breve De Cochinchinae</v>
      </c>
      <c r="AC180" s="31" t="str">
        <f t="shared" si="36"/>
        <v>Gregorio XVI, Breve De Cochinchinae, 26 febbraio 1841</v>
      </c>
      <c r="AD180" s="31" t="str">
        <f t="shared" si="37"/>
        <v>1841-02-26T08:00:00.000+02:00</v>
      </c>
      <c r="AE180" s="31" t="str">
        <f t="shared" si="38"/>
        <v>grxvi-bre-dec</v>
      </c>
      <c r="AF180" s="31" t="str">
        <f t="shared" si="39"/>
        <v>Gregorio XVI - Breve - De Cochinchinae</v>
      </c>
    </row>
    <row r="181" spans="2:32" s="31" customFormat="1" x14ac:dyDescent="0.2">
      <c r="B181" s="31">
        <v>254</v>
      </c>
      <c r="C181" s="34" t="s">
        <v>1428</v>
      </c>
      <c r="D181" s="31" t="s">
        <v>725</v>
      </c>
      <c r="E181" s="31" t="s">
        <v>700</v>
      </c>
      <c r="F181" s="31" t="s">
        <v>679</v>
      </c>
      <c r="G181" s="31" t="s">
        <v>678</v>
      </c>
      <c r="H181" s="31" t="str">
        <f t="shared" si="40"/>
        <v>Gregorio XVI</v>
      </c>
      <c r="K181" s="31" t="s">
        <v>908</v>
      </c>
      <c r="L181" s="31" t="str">
        <f t="shared" si="41"/>
        <v>Allocuzione</v>
      </c>
      <c r="M181" s="31" t="s">
        <v>948</v>
      </c>
      <c r="O181" s="31" t="s">
        <v>1310</v>
      </c>
      <c r="P181" s="31" t="s">
        <v>1657</v>
      </c>
      <c r="Q181" s="31" t="s">
        <v>1399</v>
      </c>
      <c r="R181" s="35" t="str">
        <f t="shared" si="30"/>
        <v>01</v>
      </c>
      <c r="S181" s="35"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5">
        <f t="shared" si="31"/>
        <v>1841</v>
      </c>
      <c r="U181" s="31"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6"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31"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31">
        <v>179</v>
      </c>
      <c r="Y181" s="31" t="str">
        <f t="shared" si="32"/>
        <v>['Gregorio XVI', 'Allocuzione', 'Afflictas in Hispania', 'grxvi-all-aih', '01 marzo 1841', '01/03/1841', '1841/03/01'],</v>
      </c>
      <c r="Z181" s="31" t="str">
        <f t="shared" si="33"/>
        <v>Afflictas in Hispania (1 marzo 1841) | Gregorio XVI</v>
      </c>
      <c r="AA181" s="31" t="str">
        <f t="shared" si="34"/>
        <v>Allocuzione Afflictas in Hispania</v>
      </c>
      <c r="AB181" s="31" t="str">
        <f t="shared" si="35"/>
        <v>Allocuzione Afflictas in Hispania</v>
      </c>
      <c r="AC181" s="31" t="str">
        <f t="shared" si="36"/>
        <v>Gregorio XVI, Allocuzione Afflictas in Hispania, 01 marzo 1841</v>
      </c>
      <c r="AD181" s="31" t="str">
        <f t="shared" si="37"/>
        <v>1841-03-01T08:00:00.000+02:00</v>
      </c>
      <c r="AE181" s="31" t="str">
        <f t="shared" si="38"/>
        <v>grxvi-all-aih</v>
      </c>
      <c r="AF181" s="31" t="str">
        <f t="shared" si="39"/>
        <v>Gregorio XVI - Allocuzione - Afflictas in Hispania</v>
      </c>
    </row>
    <row r="182" spans="2:32" s="31" customFormat="1" x14ac:dyDescent="0.2">
      <c r="B182" s="31">
        <v>254</v>
      </c>
      <c r="C182" s="34" t="s">
        <v>1427</v>
      </c>
      <c r="D182" s="31" t="s">
        <v>725</v>
      </c>
      <c r="E182" s="31" t="s">
        <v>700</v>
      </c>
      <c r="F182" s="31" t="s">
        <v>679</v>
      </c>
      <c r="G182" s="31" t="s">
        <v>678</v>
      </c>
      <c r="H182" s="31" t="str">
        <f t="shared" si="40"/>
        <v>Gregorio XVI</v>
      </c>
      <c r="K182" s="31" t="s">
        <v>825</v>
      </c>
      <c r="L182" s="31" t="str">
        <f t="shared" si="41"/>
        <v>Breve</v>
      </c>
      <c r="M182" s="31" t="s">
        <v>577</v>
      </c>
      <c r="O182" s="31" t="s">
        <v>1309</v>
      </c>
      <c r="P182" s="31" t="s">
        <v>1656</v>
      </c>
      <c r="Q182" s="31" t="s">
        <v>1366</v>
      </c>
      <c r="R182" s="35" t="str">
        <f t="shared" si="30"/>
        <v>30</v>
      </c>
      <c r="S182" s="35"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5">
        <f t="shared" si="31"/>
        <v>1841</v>
      </c>
      <c r="U182" s="31"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6"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31"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31">
        <v>180</v>
      </c>
      <c r="Y182" s="31" t="str">
        <f t="shared" si="32"/>
        <v>['Gregorio XVI', 'Breve', 'Quas vestro', 'grxvi-bre-quv', '30 aprile 1841', '30/04/1841', '1841/04/30'],</v>
      </c>
      <c r="Z182" s="31" t="str">
        <f t="shared" si="33"/>
        <v>Quas vestro (30 aprile 1841) | Gregorio XVI</v>
      </c>
      <c r="AA182" s="31" t="str">
        <f t="shared" si="34"/>
        <v>Breve Quas vestro</v>
      </c>
      <c r="AB182" s="31" t="str">
        <f t="shared" si="35"/>
        <v>Breve Quas vestro</v>
      </c>
      <c r="AC182" s="31" t="str">
        <f t="shared" si="36"/>
        <v>Gregorio XVI, Breve Quas vestro, 30 aprile 1841</v>
      </c>
      <c r="AD182" s="31" t="str">
        <f t="shared" si="37"/>
        <v>1841-04-30T08:00:00.000+02:00</v>
      </c>
      <c r="AE182" s="31" t="str">
        <f t="shared" si="38"/>
        <v>grxvi-bre-quv</v>
      </c>
      <c r="AF182" s="31" t="str">
        <f t="shared" si="39"/>
        <v>Gregorio XVI - Breve - Quas vestro</v>
      </c>
    </row>
    <row r="183" spans="2:32" s="31" customFormat="1" x14ac:dyDescent="0.2">
      <c r="B183" s="31">
        <v>254</v>
      </c>
      <c r="C183" s="34" t="s">
        <v>1426</v>
      </c>
      <c r="D183" s="31" t="s">
        <v>725</v>
      </c>
      <c r="E183" s="31" t="s">
        <v>700</v>
      </c>
      <c r="F183" s="31" t="s">
        <v>679</v>
      </c>
      <c r="G183" s="31" t="s">
        <v>678</v>
      </c>
      <c r="H183" s="31" t="str">
        <f t="shared" si="40"/>
        <v>Gregorio XVI</v>
      </c>
      <c r="K183" s="31" t="s">
        <v>1254</v>
      </c>
      <c r="L183" s="31" t="str">
        <f t="shared" si="41"/>
        <v>Epistola</v>
      </c>
      <c r="M183" s="31" t="s">
        <v>1256</v>
      </c>
      <c r="O183" s="31" t="s">
        <v>1308</v>
      </c>
      <c r="P183" s="31" t="s">
        <v>1655</v>
      </c>
      <c r="Q183" s="31" t="s">
        <v>1365</v>
      </c>
      <c r="R183" s="35" t="str">
        <f t="shared" si="30"/>
        <v>04</v>
      </c>
      <c r="S183" s="35"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5">
        <f t="shared" si="31"/>
        <v>1841</v>
      </c>
      <c r="U183" s="31"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6"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31"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31">
        <v>181</v>
      </c>
      <c r="Y183" s="31" t="str">
        <f t="shared" si="32"/>
        <v>['Gregorio XVI', 'Epistola', 'Ex litteris', 'grxvi-epi-exl', '04 maggio 1841', '04/05/1841', '1841/05/04'],</v>
      </c>
      <c r="Z183" s="31" t="str">
        <f t="shared" si="33"/>
        <v>Ex litteris (4 maggio 1841) | Gregorio XVI</v>
      </c>
      <c r="AA183" s="31" t="str">
        <f t="shared" si="34"/>
        <v>Epistola Ex litteris</v>
      </c>
      <c r="AB183" s="31" t="str">
        <f t="shared" si="35"/>
        <v>Epistola Ex litteris</v>
      </c>
      <c r="AC183" s="31" t="str">
        <f t="shared" si="36"/>
        <v>Gregorio XVI, Epistola Ex litteris, 04 maggio 1841</v>
      </c>
      <c r="AD183" s="31" t="str">
        <f t="shared" si="37"/>
        <v>1841-05-04T08:00:00.000+02:00</v>
      </c>
      <c r="AE183" s="31" t="str">
        <f t="shared" si="38"/>
        <v>grxvi-epi-exl</v>
      </c>
      <c r="AF183" s="31" t="str">
        <f t="shared" si="39"/>
        <v>Gregorio XVI - Epistola - Ex litteris</v>
      </c>
    </row>
    <row r="184" spans="2:32" s="31" customFormat="1" x14ac:dyDescent="0.2">
      <c r="B184" s="31">
        <v>254</v>
      </c>
      <c r="C184" s="34" t="s">
        <v>1424</v>
      </c>
      <c r="D184" s="31" t="s">
        <v>725</v>
      </c>
      <c r="E184" s="31" t="s">
        <v>700</v>
      </c>
      <c r="F184" s="31" t="s">
        <v>679</v>
      </c>
      <c r="G184" s="31" t="s">
        <v>678</v>
      </c>
      <c r="H184" s="31" t="str">
        <f t="shared" si="40"/>
        <v>Gregorio XVI</v>
      </c>
      <c r="K184" s="31" t="s">
        <v>1254</v>
      </c>
      <c r="L184" s="31" t="str">
        <f t="shared" si="41"/>
        <v>Epistola</v>
      </c>
      <c r="M184" s="31" t="s">
        <v>1256</v>
      </c>
      <c r="O184" s="31" t="s">
        <v>1306</v>
      </c>
      <c r="P184" s="31" t="s">
        <v>624</v>
      </c>
      <c r="Q184" s="31" t="s">
        <v>1364</v>
      </c>
      <c r="R184" s="35" t="str">
        <f t="shared" si="30"/>
        <v>29</v>
      </c>
      <c r="S184" s="35"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5">
        <f t="shared" si="31"/>
        <v>1841</v>
      </c>
      <c r="U184" s="31"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6"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31"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31">
        <v>182</v>
      </c>
      <c r="Y184" s="31" t="str">
        <f t="shared" si="32"/>
        <v>['Gregorio XVI', 'Epistola', 'In consistorio', 'grxvi-epi-inc', '29 agosto 1841', '29/08/1841', '1841/08/29'],</v>
      </c>
      <c r="Z184" s="31" t="str">
        <f t="shared" si="33"/>
        <v>In consistorio (29 agosto 1841) | Gregorio XVI</v>
      </c>
      <c r="AA184" s="31" t="str">
        <f t="shared" si="34"/>
        <v>Epistola In consistorio</v>
      </c>
      <c r="AB184" s="31" t="str">
        <f t="shared" si="35"/>
        <v>Epistola In consistorio</v>
      </c>
      <c r="AC184" s="31" t="str">
        <f t="shared" si="36"/>
        <v>Gregorio XVI, Epistola In consistorio, 29 agosto 1841</v>
      </c>
      <c r="AD184" s="31" t="str">
        <f t="shared" si="37"/>
        <v>1841-08-29T08:00:00.000+02:00</v>
      </c>
      <c r="AE184" s="31" t="str">
        <f t="shared" si="38"/>
        <v>grxvi-epi-inc</v>
      </c>
      <c r="AF184" s="31" t="str">
        <f t="shared" si="39"/>
        <v>Gregorio XVI - Epistola - In consistorio</v>
      </c>
    </row>
    <row r="185" spans="2:32" s="31" customFormat="1" x14ac:dyDescent="0.2">
      <c r="B185" s="31">
        <v>254</v>
      </c>
      <c r="C185" s="34" t="s">
        <v>1425</v>
      </c>
      <c r="D185" s="31" t="s">
        <v>725</v>
      </c>
      <c r="E185" s="31" t="s">
        <v>700</v>
      </c>
      <c r="F185" s="31" t="s">
        <v>679</v>
      </c>
      <c r="G185" s="31" t="s">
        <v>678</v>
      </c>
      <c r="H185" s="31" t="str">
        <f t="shared" si="40"/>
        <v>Gregorio XVI</v>
      </c>
      <c r="K185" s="31" t="s">
        <v>1254</v>
      </c>
      <c r="L185" s="31" t="str">
        <f t="shared" si="41"/>
        <v>Epistola</v>
      </c>
      <c r="M185" s="31" t="s">
        <v>1256</v>
      </c>
      <c r="O185" s="31" t="s">
        <v>1307</v>
      </c>
      <c r="P185" s="31" t="s">
        <v>1654</v>
      </c>
      <c r="Q185" s="31" t="s">
        <v>1364</v>
      </c>
      <c r="R185" s="35" t="str">
        <f t="shared" si="30"/>
        <v>29</v>
      </c>
      <c r="S185" s="35"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5">
        <f t="shared" si="31"/>
        <v>1841</v>
      </c>
      <c r="U185" s="31"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6"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31"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31">
        <v>183</v>
      </c>
      <c r="Y185" s="31" t="str">
        <f t="shared" si="32"/>
        <v>['Gregorio XVI', 'Epistola', 'È lungo tempo', 'grxvi-epi-elt', '29 agosto 1841', '29/08/1841', '1841/08/29'],</v>
      </c>
      <c r="Z185" s="31" t="str">
        <f t="shared" si="33"/>
        <v>È lungo tempo (29 agosto 1841) | Gregorio XVI</v>
      </c>
      <c r="AA185" s="31" t="str">
        <f t="shared" si="34"/>
        <v>Epistola È lungo tempo</v>
      </c>
      <c r="AB185" s="31" t="str">
        <f t="shared" si="35"/>
        <v>Epistola È lungo tempo</v>
      </c>
      <c r="AC185" s="31" t="str">
        <f t="shared" si="36"/>
        <v>Gregorio XVI, Epistola È lungo tempo, 29 agosto 1841</v>
      </c>
      <c r="AD185" s="31" t="str">
        <f t="shared" si="37"/>
        <v>1841-08-29T08:00:00.000+02:00</v>
      </c>
      <c r="AE185" s="31" t="str">
        <f t="shared" si="38"/>
        <v>grxvi-epi-elt</v>
      </c>
      <c r="AF185" s="31" t="str">
        <f t="shared" si="39"/>
        <v>Gregorio XVI - Epistola - È lungo tempo</v>
      </c>
    </row>
    <row r="186" spans="2:32" s="31" customFormat="1" x14ac:dyDescent="0.2">
      <c r="B186" s="31">
        <v>254</v>
      </c>
      <c r="C186" s="34" t="s">
        <v>1423</v>
      </c>
      <c r="D186" s="31" t="s">
        <v>725</v>
      </c>
      <c r="E186" s="31" t="s">
        <v>700</v>
      </c>
      <c r="F186" s="31" t="s">
        <v>679</v>
      </c>
      <c r="G186" s="31" t="s">
        <v>678</v>
      </c>
      <c r="H186" s="31" t="str">
        <f t="shared" si="40"/>
        <v>Gregorio XVI</v>
      </c>
      <c r="K186" s="31" t="s">
        <v>825</v>
      </c>
      <c r="L186" s="31" t="str">
        <f t="shared" si="41"/>
        <v>Breve</v>
      </c>
      <c r="M186" s="31" t="s">
        <v>577</v>
      </c>
      <c r="O186" s="31" t="s">
        <v>1305</v>
      </c>
      <c r="P186" s="31" t="s">
        <v>1065</v>
      </c>
      <c r="Q186" s="31" t="s">
        <v>1363</v>
      </c>
      <c r="R186" s="35" t="str">
        <f t="shared" si="30"/>
        <v>22</v>
      </c>
      <c r="S186" s="35"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5">
        <f t="shared" si="31"/>
        <v>1842</v>
      </c>
      <c r="U186" s="31"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6"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31"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31">
        <v>184</v>
      </c>
      <c r="Y186" s="31" t="str">
        <f t="shared" si="32"/>
        <v>['Gregorio XVI', 'Breve', 'Catholicae religionis', 'grxvi-bre-car', '22 febbraio 1842', '22/02/1842', '1842/02/22'],</v>
      </c>
      <c r="Z186" s="31" t="str">
        <f t="shared" si="33"/>
        <v>Catholicae religionis (22 febbraio 1842) | Gregorio XVI</v>
      </c>
      <c r="AA186" s="31" t="str">
        <f t="shared" si="34"/>
        <v>Breve Catholicae religionis</v>
      </c>
      <c r="AB186" s="31" t="str">
        <f t="shared" si="35"/>
        <v>Breve Catholicae religionis</v>
      </c>
      <c r="AC186" s="31" t="str">
        <f t="shared" si="36"/>
        <v>Gregorio XVI, Breve Catholicae religionis, 22 febbraio 1842</v>
      </c>
      <c r="AD186" s="31" t="str">
        <f t="shared" si="37"/>
        <v>1842-02-22T08:00:00.000+02:00</v>
      </c>
      <c r="AE186" s="31" t="str">
        <f t="shared" si="38"/>
        <v>grxvi-bre-car</v>
      </c>
      <c r="AF186" s="31" t="str">
        <f t="shared" si="39"/>
        <v>Gregorio XVI - Breve - Catholicae religionis</v>
      </c>
    </row>
    <row r="187" spans="2:32" s="31" customFormat="1" x14ac:dyDescent="0.2">
      <c r="B187" s="31">
        <v>254</v>
      </c>
      <c r="C187" s="34" t="s">
        <v>1422</v>
      </c>
      <c r="D187" s="31" t="s">
        <v>725</v>
      </c>
      <c r="E187" s="31" t="s">
        <v>700</v>
      </c>
      <c r="F187" s="31" t="s">
        <v>679</v>
      </c>
      <c r="G187" s="31" t="s">
        <v>678</v>
      </c>
      <c r="H187" s="31" t="str">
        <f t="shared" si="40"/>
        <v>Gregorio XVI</v>
      </c>
      <c r="I187" s="31" t="s">
        <v>603</v>
      </c>
      <c r="J187" s="31" t="s">
        <v>829</v>
      </c>
      <c r="K187" s="31" t="s">
        <v>694</v>
      </c>
      <c r="L187" s="31" t="str">
        <f t="shared" si="41"/>
        <v>Lettera Enciclica</v>
      </c>
      <c r="M187" s="31" t="s">
        <v>579</v>
      </c>
      <c r="O187" s="31" t="s">
        <v>309</v>
      </c>
      <c r="P187" s="31" t="s">
        <v>981</v>
      </c>
      <c r="Q187" s="31" t="s">
        <v>1398</v>
      </c>
      <c r="R187" s="35" t="str">
        <f t="shared" si="30"/>
        <v>01</v>
      </c>
      <c r="S187" s="35"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5">
        <f t="shared" si="31"/>
        <v>1842</v>
      </c>
      <c r="U187" s="31"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6"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31"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31">
        <v>185</v>
      </c>
      <c r="Y187" s="31" t="str">
        <f t="shared" si="32"/>
        <v>['Gregorio XVI', 'Enciclica', 'Inter ea', 'grxvi-enc-ine', '01 aprile 1842', '01/04/1842', '1842/04/01'],</v>
      </c>
      <c r="Z187" s="31" t="str">
        <f t="shared" si="33"/>
        <v>Inter ea (1 aprile 1842) | Gregorio XVI</v>
      </c>
      <c r="AA187" s="31" t="str">
        <f t="shared" si="34"/>
        <v>Enciclica Inter ea</v>
      </c>
      <c r="AB187" s="31" t="str">
        <f t="shared" si="35"/>
        <v>Enciclica Inter ea</v>
      </c>
      <c r="AC187" s="31" t="str">
        <f t="shared" si="36"/>
        <v>Gregorio XVI, Lettera Enciclica Inter ea, 01 aprile 1842</v>
      </c>
      <c r="AD187" s="31" t="str">
        <f t="shared" si="37"/>
        <v>1842-04-01T08:00:00.000+02:00</v>
      </c>
      <c r="AE187" s="31" t="str">
        <f t="shared" si="38"/>
        <v>grxvi-enc-ine</v>
      </c>
      <c r="AF187" s="31" t="str">
        <f t="shared" si="39"/>
        <v>Gregorio XVI - Lettera Enciclica - Inter ea</v>
      </c>
    </row>
    <row r="188" spans="2:32" s="31" customFormat="1" x14ac:dyDescent="0.2">
      <c r="B188" s="31">
        <v>254</v>
      </c>
      <c r="C188" s="34" t="s">
        <v>1421</v>
      </c>
      <c r="D188" s="31" t="s">
        <v>725</v>
      </c>
      <c r="E188" s="31" t="s">
        <v>700</v>
      </c>
      <c r="F188" s="31" t="s">
        <v>679</v>
      </c>
      <c r="G188" s="31" t="s">
        <v>678</v>
      </c>
      <c r="H188" s="31" t="str">
        <f t="shared" si="40"/>
        <v>Gregorio XVI</v>
      </c>
      <c r="K188" s="31" t="s">
        <v>908</v>
      </c>
      <c r="L188" s="31" t="str">
        <f t="shared" si="41"/>
        <v>Allocuzione</v>
      </c>
      <c r="M188" s="31" t="s">
        <v>948</v>
      </c>
      <c r="O188" s="31" t="s">
        <v>1304</v>
      </c>
      <c r="P188" s="31" t="s">
        <v>1653</v>
      </c>
      <c r="Q188" s="31" t="s">
        <v>1362</v>
      </c>
      <c r="R188" s="35" t="str">
        <f t="shared" si="30"/>
        <v>22</v>
      </c>
      <c r="S188" s="35"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5">
        <f t="shared" si="31"/>
        <v>1842</v>
      </c>
      <c r="U188" s="31"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6"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31"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31">
        <v>186</v>
      </c>
      <c r="Y188" s="31" t="str">
        <f t="shared" si="32"/>
        <v>['Gregorio XVI', 'Allocuzione', 'Haerentem diu', 'grxvi-all-had', '22 luglio 1842', '22/07/1842', '1842/07/22'],</v>
      </c>
      <c r="Z188" s="31" t="str">
        <f t="shared" si="33"/>
        <v>Haerentem diu (22 luglio 1842) | Gregorio XVI</v>
      </c>
      <c r="AA188" s="31" t="str">
        <f t="shared" si="34"/>
        <v>Allocuzione Haerentem diu</v>
      </c>
      <c r="AB188" s="31" t="str">
        <f t="shared" si="35"/>
        <v>Allocuzione Haerentem diu</v>
      </c>
      <c r="AC188" s="31" t="str">
        <f t="shared" si="36"/>
        <v>Gregorio XVI, Allocuzione Haerentem diu, 22 luglio 1842</v>
      </c>
      <c r="AD188" s="31" t="str">
        <f t="shared" si="37"/>
        <v>1842-07-22T08:00:00.000+02:00</v>
      </c>
      <c r="AE188" s="31" t="str">
        <f t="shared" si="38"/>
        <v>grxvi-all-had</v>
      </c>
      <c r="AF188" s="31" t="str">
        <f t="shared" si="39"/>
        <v>Gregorio XVI - Allocuzione - Haerentem diu</v>
      </c>
    </row>
    <row r="189" spans="2:32" s="31" customFormat="1" x14ac:dyDescent="0.2">
      <c r="B189" s="31">
        <v>254</v>
      </c>
      <c r="C189" s="34" t="s">
        <v>1420</v>
      </c>
      <c r="D189" s="31" t="s">
        <v>725</v>
      </c>
      <c r="E189" s="31" t="s">
        <v>700</v>
      </c>
      <c r="F189" s="31" t="s">
        <v>679</v>
      </c>
      <c r="G189" s="31" t="s">
        <v>678</v>
      </c>
      <c r="H189" s="31" t="str">
        <f t="shared" si="40"/>
        <v>Gregorio XVI</v>
      </c>
      <c r="K189" s="31" t="s">
        <v>825</v>
      </c>
      <c r="L189" s="31" t="str">
        <f t="shared" si="41"/>
        <v>Breve</v>
      </c>
      <c r="M189" s="31" t="s">
        <v>577</v>
      </c>
      <c r="O189" s="31" t="s">
        <v>1303</v>
      </c>
      <c r="P189" s="31" t="s">
        <v>1652</v>
      </c>
      <c r="Q189" s="31" t="s">
        <v>1361</v>
      </c>
      <c r="R189" s="35" t="str">
        <f t="shared" si="30"/>
        <v>20</v>
      </c>
      <c r="S189" s="35"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5">
        <f t="shared" si="31"/>
        <v>1842</v>
      </c>
      <c r="U189" s="31"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6"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31"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31">
        <v>187</v>
      </c>
      <c r="Y189" s="31" t="str">
        <f t="shared" si="32"/>
        <v>['Gregorio XVI', 'Breve', 'Apostolici ministerii', 'grxvi-bre-apm', '20 settembre 1842', '20/09/1842', '1842/09/20'],</v>
      </c>
      <c r="Z189" s="31" t="str">
        <f t="shared" si="33"/>
        <v>Apostolici ministerii (20 settembre 1842) | Gregorio XVI</v>
      </c>
      <c r="AA189" s="31" t="str">
        <f t="shared" si="34"/>
        <v>Breve Apostolici ministerii</v>
      </c>
      <c r="AB189" s="31" t="str">
        <f t="shared" si="35"/>
        <v>Breve Apostolici ministerii</v>
      </c>
      <c r="AC189" s="31" t="str">
        <f t="shared" si="36"/>
        <v>Gregorio XVI, Breve Apostolici ministerii, 20 settembre 1842</v>
      </c>
      <c r="AD189" s="31" t="str">
        <f t="shared" si="37"/>
        <v>1842-09-20T08:00:00.000+02:00</v>
      </c>
      <c r="AE189" s="31" t="str">
        <f t="shared" si="38"/>
        <v>grxvi-bre-apm</v>
      </c>
      <c r="AF189" s="31" t="str">
        <f t="shared" si="39"/>
        <v>Gregorio XVI - Breve - Apostolici ministerii</v>
      </c>
    </row>
    <row r="190" spans="2:32" s="31" customFormat="1" x14ac:dyDescent="0.2">
      <c r="B190" s="31">
        <v>254</v>
      </c>
      <c r="C190" s="34" t="s">
        <v>1419</v>
      </c>
      <c r="D190" s="31" t="s">
        <v>725</v>
      </c>
      <c r="E190" s="31" t="s">
        <v>700</v>
      </c>
      <c r="F190" s="31" t="s">
        <v>679</v>
      </c>
      <c r="G190" s="31" t="s">
        <v>678</v>
      </c>
      <c r="H190" s="31" t="str">
        <f t="shared" si="40"/>
        <v>Gregorio XVI</v>
      </c>
      <c r="K190" s="31" t="s">
        <v>825</v>
      </c>
      <c r="L190" s="31" t="str">
        <f t="shared" si="41"/>
        <v>Breve</v>
      </c>
      <c r="M190" s="31" t="s">
        <v>577</v>
      </c>
      <c r="O190" s="31" t="s">
        <v>1302</v>
      </c>
      <c r="P190" s="31" t="s">
        <v>991</v>
      </c>
      <c r="Q190" s="31" t="s">
        <v>1360</v>
      </c>
      <c r="R190" s="35" t="str">
        <f t="shared" si="30"/>
        <v>05</v>
      </c>
      <c r="S190" s="35"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5">
        <f t="shared" si="31"/>
        <v>1843</v>
      </c>
      <c r="U190" s="31"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6"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31"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31">
        <v>188</v>
      </c>
      <c r="Y190" s="31" t="str">
        <f t="shared" si="32"/>
        <v>['Gregorio XVI', 'Breve', 'Inter maximas', 'grxvi-bre-inm', '05 agosto 1843', '05/08/1843', '1843/08/05'],</v>
      </c>
      <c r="Z190" s="31" t="str">
        <f t="shared" si="33"/>
        <v>Inter maximas (5 agosto 1843) | Gregorio XVI</v>
      </c>
      <c r="AA190" s="31" t="str">
        <f t="shared" si="34"/>
        <v>Breve Inter maximas</v>
      </c>
      <c r="AB190" s="31" t="str">
        <f t="shared" si="35"/>
        <v>Breve Inter maximas</v>
      </c>
      <c r="AC190" s="31" t="str">
        <f t="shared" si="36"/>
        <v>Gregorio XVI, Breve Inter maximas, 05 agosto 1843</v>
      </c>
      <c r="AD190" s="31" t="str">
        <f t="shared" si="37"/>
        <v>1843-08-05T08:00:00.000+02:00</v>
      </c>
      <c r="AE190" s="31" t="str">
        <f t="shared" si="38"/>
        <v>grxvi-bre-inm</v>
      </c>
      <c r="AF190" s="31" t="str">
        <f t="shared" si="39"/>
        <v>Gregorio XVI - Breve - Inter maximas</v>
      </c>
    </row>
    <row r="191" spans="2:32" s="31" customFormat="1" x14ac:dyDescent="0.2">
      <c r="B191" s="31">
        <v>254</v>
      </c>
      <c r="C191" s="34" t="s">
        <v>1418</v>
      </c>
      <c r="D191" s="31" t="s">
        <v>725</v>
      </c>
      <c r="E191" s="31" t="s">
        <v>700</v>
      </c>
      <c r="F191" s="31" t="s">
        <v>679</v>
      </c>
      <c r="G191" s="31" t="s">
        <v>678</v>
      </c>
      <c r="H191" s="31" t="str">
        <f t="shared" si="40"/>
        <v>Gregorio XVI</v>
      </c>
      <c r="K191" s="31" t="s">
        <v>1254</v>
      </c>
      <c r="L191" s="31" t="str">
        <f t="shared" si="41"/>
        <v>Epistola</v>
      </c>
      <c r="M191" s="31" t="s">
        <v>1256</v>
      </c>
      <c r="O191" s="31" t="s">
        <v>1301</v>
      </c>
      <c r="P191" s="31" t="s">
        <v>1651</v>
      </c>
      <c r="Q191" s="31" t="s">
        <v>1359</v>
      </c>
      <c r="R191" s="35" t="str">
        <f t="shared" si="30"/>
        <v>31</v>
      </c>
      <c r="S191" s="35"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5">
        <f t="shared" si="31"/>
        <v>1843</v>
      </c>
      <c r="U191" s="31"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6"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31"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31">
        <v>189</v>
      </c>
      <c r="Y191" s="31" t="str">
        <f t="shared" si="32"/>
        <v>['Gregorio XVI', 'Epistola', 'Ad gravissimas', 'grxvi-epi-adg', '31 agosto 1843', '31/08/1843', '1843/08/31'],</v>
      </c>
      <c r="Z191" s="31" t="str">
        <f t="shared" si="33"/>
        <v>Ad gravissimas (31 agosto 1843) | Gregorio XVI</v>
      </c>
      <c r="AA191" s="31" t="str">
        <f t="shared" si="34"/>
        <v>Epistola Ad gravissimas</v>
      </c>
      <c r="AB191" s="31" t="str">
        <f t="shared" si="35"/>
        <v>Epistola Ad gravissimas</v>
      </c>
      <c r="AC191" s="31" t="str">
        <f t="shared" si="36"/>
        <v>Gregorio XVI, Epistola Ad gravissimas, 31 agosto 1843</v>
      </c>
      <c r="AD191" s="31" t="str">
        <f t="shared" si="37"/>
        <v>1843-08-31T08:00:00.000+02:00</v>
      </c>
      <c r="AE191" s="31" t="str">
        <f t="shared" si="38"/>
        <v>grxvi-epi-adg</v>
      </c>
      <c r="AF191" s="31" t="str">
        <f t="shared" si="39"/>
        <v>Gregorio XVI - Epistola - Ad gravissimas</v>
      </c>
    </row>
    <row r="192" spans="2:32" s="31" customFormat="1" x14ac:dyDescent="0.2">
      <c r="B192" s="31">
        <v>254</v>
      </c>
      <c r="C192" s="34" t="s">
        <v>1417</v>
      </c>
      <c r="D192" s="31" t="s">
        <v>725</v>
      </c>
      <c r="E192" s="31" t="s">
        <v>700</v>
      </c>
      <c r="F192" s="31" t="s">
        <v>679</v>
      </c>
      <c r="G192" s="31" t="s">
        <v>678</v>
      </c>
      <c r="H192" s="31" t="str">
        <f t="shared" si="40"/>
        <v>Gregorio XVI</v>
      </c>
      <c r="K192" s="31" t="s">
        <v>1254</v>
      </c>
      <c r="L192" s="31" t="str">
        <f t="shared" si="41"/>
        <v>Epistola</v>
      </c>
      <c r="M192" s="31" t="s">
        <v>1256</v>
      </c>
      <c r="O192" s="31" t="s">
        <v>1300</v>
      </c>
      <c r="P192" s="31" t="s">
        <v>1009</v>
      </c>
      <c r="Q192" s="31" t="s">
        <v>1358</v>
      </c>
      <c r="R192" s="35" t="str">
        <f t="shared" si="30"/>
        <v>08</v>
      </c>
      <c r="S192" s="35"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5">
        <f t="shared" si="31"/>
        <v>1843</v>
      </c>
      <c r="U192" s="31"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6"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31"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31">
        <v>190</v>
      </c>
      <c r="Y192" s="31" t="str">
        <f t="shared" si="32"/>
        <v>['Gregorio XVI', 'Epistola', 'Ubi novam', 'grxvi-epi-ubn', '08 novembre 1843', '08/11/1843', '1843/11/08'],</v>
      </c>
      <c r="Z192" s="31" t="str">
        <f t="shared" si="33"/>
        <v>Ubi novam (8 novembre 1843) | Gregorio XVI</v>
      </c>
      <c r="AA192" s="31" t="str">
        <f t="shared" si="34"/>
        <v>Epistola Ubi novam</v>
      </c>
      <c r="AB192" s="31" t="str">
        <f t="shared" si="35"/>
        <v>Epistola Ubi novam</v>
      </c>
      <c r="AC192" s="31" t="str">
        <f t="shared" si="36"/>
        <v>Gregorio XVI, Epistola Ubi novam, 08 novembre 1843</v>
      </c>
      <c r="AD192" s="31" t="str">
        <f t="shared" si="37"/>
        <v>1843-11-08T08:00:00.000+02:00</v>
      </c>
      <c r="AE192" s="31" t="str">
        <f t="shared" si="38"/>
        <v>grxvi-epi-ubn</v>
      </c>
      <c r="AF192" s="31" t="str">
        <f t="shared" si="39"/>
        <v>Gregorio XVI - Epistola - Ubi novam</v>
      </c>
    </row>
    <row r="193" spans="2:32" s="31" customFormat="1" x14ac:dyDescent="0.2">
      <c r="B193" s="31">
        <v>254</v>
      </c>
      <c r="C193" s="34" t="s">
        <v>1416</v>
      </c>
      <c r="D193" s="31" t="s">
        <v>725</v>
      </c>
      <c r="E193" s="31" t="s">
        <v>700</v>
      </c>
      <c r="F193" s="31" t="s">
        <v>679</v>
      </c>
      <c r="G193" s="31" t="s">
        <v>678</v>
      </c>
      <c r="H193" s="31" t="str">
        <f t="shared" si="40"/>
        <v>Gregorio XVI</v>
      </c>
      <c r="K193" s="31" t="s">
        <v>1254</v>
      </c>
      <c r="L193" s="31" t="str">
        <f t="shared" si="41"/>
        <v>Epistola</v>
      </c>
      <c r="M193" s="31" t="s">
        <v>1256</v>
      </c>
      <c r="O193" s="31" t="s">
        <v>1299</v>
      </c>
      <c r="P193" s="31" t="s">
        <v>1613</v>
      </c>
      <c r="Q193" s="31" t="s">
        <v>1357</v>
      </c>
      <c r="R193" s="35" t="str">
        <f t="shared" si="30"/>
        <v>31</v>
      </c>
      <c r="S193" s="35"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5">
        <f t="shared" si="31"/>
        <v>1844</v>
      </c>
      <c r="U193" s="31"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6"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31"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31">
        <v>191</v>
      </c>
      <c r="Y193" s="31" t="str">
        <f t="shared" si="32"/>
        <v>['Gregorio XVI', 'Epistola', 'Cum maxima', 'grxvi-epi-cum', '31 marzo 1844', '31/03/1844', '1844/03/31'],</v>
      </c>
      <c r="Z193" s="31" t="str">
        <f t="shared" si="33"/>
        <v>Cum maxima (31 marzo 1844) | Gregorio XVI</v>
      </c>
      <c r="AA193" s="31" t="str">
        <f t="shared" si="34"/>
        <v>Epistola Cum maxima</v>
      </c>
      <c r="AB193" s="31" t="str">
        <f t="shared" si="35"/>
        <v>Epistola Cum maxima</v>
      </c>
      <c r="AC193" s="31" t="str">
        <f t="shared" si="36"/>
        <v>Gregorio XVI, Epistola Cum maxima, 31 marzo 1844</v>
      </c>
      <c r="AD193" s="31" t="str">
        <f t="shared" si="37"/>
        <v>1844-03-31T08:00:00.000+02:00</v>
      </c>
      <c r="AE193" s="31" t="str">
        <f t="shared" si="38"/>
        <v>grxvi-epi-cum</v>
      </c>
      <c r="AF193" s="31" t="str">
        <f t="shared" si="39"/>
        <v>Gregorio XVI - Epistola - Cum maxima</v>
      </c>
    </row>
    <row r="194" spans="2:32" s="31" customFormat="1" x14ac:dyDescent="0.2">
      <c r="B194" s="31">
        <v>254</v>
      </c>
      <c r="C194" s="34" t="s">
        <v>1415</v>
      </c>
      <c r="D194" s="31" t="s">
        <v>725</v>
      </c>
      <c r="E194" s="31" t="s">
        <v>700</v>
      </c>
      <c r="F194" s="31" t="s">
        <v>679</v>
      </c>
      <c r="G194" s="31" t="s">
        <v>678</v>
      </c>
      <c r="H194" s="31" t="str">
        <f t="shared" ref="H194:H200" si="42">_xlfn.CONCAT(D194 &amp; " " &amp; E194)</f>
        <v>Gregorio XVI</v>
      </c>
      <c r="I194" s="31" t="s">
        <v>603</v>
      </c>
      <c r="J194" s="31" t="s">
        <v>829</v>
      </c>
      <c r="K194" s="31" t="s">
        <v>694</v>
      </c>
      <c r="L194" s="31" t="str">
        <f t="shared" ref="L194:L257" si="43">IF(J194&lt;&gt;"",_xlfn.CONCAT(J194 &amp; " " &amp; K194),K194)</f>
        <v>Lettera Enciclica</v>
      </c>
      <c r="M194" s="31" t="s">
        <v>579</v>
      </c>
      <c r="O194" s="31" t="s">
        <v>1298</v>
      </c>
      <c r="P194" s="31" t="s">
        <v>1402</v>
      </c>
      <c r="Q194" s="31" t="s">
        <v>1356</v>
      </c>
      <c r="R194" s="35" t="str">
        <f t="shared" ref="R194:R257" si="44">IF(ISERROR(DAY(Q194)),TEXT((LEFT(Q194,2)),"00"),TEXT(DAY(Q194),"00"))</f>
        <v>08</v>
      </c>
      <c r="S194" s="35"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5">
        <f t="shared" ref="T194:T257" si="45">IF(ISERROR(DAY(Q194)),VALUE(RIGHT(Q194,4)),YEAR(Q194))</f>
        <v>1844</v>
      </c>
      <c r="U194" s="31"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6"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31"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31">
        <v>192</v>
      </c>
      <c r="Y194" s="31" t="str">
        <f t="shared" ref="Y194:Y257" si="46">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31" t="str">
        <f t="shared" ref="Z194:Z257" si="47">_xlfn.CONCAT(O194 &amp; " (" &amp; Q194 &amp; ") | " &amp; D194 &amp; " " &amp; E194)</f>
        <v>Inter praecipuas machinationes (8 maggio 1844) | Gregorio XVI</v>
      </c>
      <c r="AA194" s="31" t="str">
        <f t="shared" ref="AA194:AA257" si="48">_xlfn.CONCAT(K194 &amp; " " &amp; O194)</f>
        <v>Enciclica Inter praecipuas machinationes</v>
      </c>
      <c r="AB194" s="31" t="str">
        <f t="shared" ref="AB194:AB257" si="49">_xlfn.CONCAT(K194 &amp; " " &amp; O194)</f>
        <v>Enciclica Inter praecipuas machinationes</v>
      </c>
      <c r="AC194" s="31" t="str">
        <f t="shared" ref="AC194:AC257" si="50">_xlfn.CONCAT(H194 &amp; ", " &amp; L194 &amp; " " &amp; O194 &amp; ", " &amp; LEFT(U194,2) &amp; " " &amp; TEXT(VALUE(MID(U194,4,2))*29,"mmmm") &amp; " " &amp; RIGHT(U194,4))</f>
        <v>Gregorio XVI, Lettera Enciclica Inter praecipuas machinationes, 08 maggio 1844</v>
      </c>
      <c r="AD194" s="31" t="str">
        <f t="shared" ref="AD194:AD257" si="51">_xlfn.CONCAT(RIGHT(U194,4) &amp; "-" &amp; MID(U194,4,2) &amp; "-" &amp; LEFT(U194,2) &amp; "T08:00:00.000+02:00")</f>
        <v>1844-05-08T08:00:00.000+02:00</v>
      </c>
      <c r="AE194" s="31" t="str">
        <f t="shared" si="38"/>
        <v>grxvi-enc-ipm</v>
      </c>
      <c r="AF194" s="31" t="str">
        <f t="shared" si="39"/>
        <v>Gregorio XVI - Lettera Enciclica - Inter praecipuas machinationes</v>
      </c>
    </row>
    <row r="195" spans="2:32" s="31" customFormat="1" x14ac:dyDescent="0.2">
      <c r="B195" s="31">
        <v>254</v>
      </c>
      <c r="C195" s="34" t="s">
        <v>1414</v>
      </c>
      <c r="D195" s="31" t="s">
        <v>725</v>
      </c>
      <c r="E195" s="31" t="s">
        <v>700</v>
      </c>
      <c r="F195" s="31" t="s">
        <v>679</v>
      </c>
      <c r="G195" s="31" t="s">
        <v>678</v>
      </c>
      <c r="H195" s="31" t="str">
        <f t="shared" si="42"/>
        <v>Gregorio XVI</v>
      </c>
      <c r="K195" s="31" t="s">
        <v>1254</v>
      </c>
      <c r="L195" s="31" t="str">
        <f t="shared" si="43"/>
        <v>Epistola</v>
      </c>
      <c r="M195" s="31" t="s">
        <v>1256</v>
      </c>
      <c r="O195" s="31" t="s">
        <v>1297</v>
      </c>
      <c r="P195" s="31" t="s">
        <v>1290</v>
      </c>
      <c r="Q195" s="31" t="s">
        <v>1355</v>
      </c>
      <c r="R195" s="35" t="str">
        <f t="shared" si="44"/>
        <v>23</v>
      </c>
      <c r="S195" s="35"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5">
        <f t="shared" si="45"/>
        <v>1845</v>
      </c>
      <c r="U195" s="31"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6"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31"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31">
        <v>193</v>
      </c>
      <c r="Y195" s="31" t="str">
        <f t="shared" si="46"/>
        <v>['Gregorio XVI', 'Epistola', 'Summa quidem', 'grxvi-epi-suq', '23 aprile 1845', '23/04/1845', '1845/04/23'],</v>
      </c>
      <c r="Z195" s="31" t="str">
        <f t="shared" si="47"/>
        <v>Summa quidem (23 aprile 1845) | Gregorio XVI</v>
      </c>
      <c r="AA195" s="31" t="str">
        <f t="shared" si="48"/>
        <v>Epistola Summa quidem</v>
      </c>
      <c r="AB195" s="31" t="str">
        <f t="shared" si="49"/>
        <v>Epistola Summa quidem</v>
      </c>
      <c r="AC195" s="31" t="str">
        <f t="shared" si="50"/>
        <v>Gregorio XVI, Epistola Summa quidem, 23 aprile 1845</v>
      </c>
      <c r="AD195" s="31" t="str">
        <f t="shared" si="51"/>
        <v>1845-04-23T08:00:00.000+02:00</v>
      </c>
      <c r="AE195" s="31" t="str">
        <f t="shared" ref="AE195:AE258" si="52">_xlfn.CONCAT(F195 &amp; "-" &amp; M195 &amp; "-" &amp; P195)</f>
        <v>grxvi-epi-suq</v>
      </c>
      <c r="AF195" s="31" t="str">
        <f t="shared" ref="AF195:AF258" si="53">_xlfn.CONCAT(H195 &amp; " - " &amp; L195 &amp; " - " &amp; O195)</f>
        <v>Gregorio XVI - Epistola - Summa quidem</v>
      </c>
    </row>
    <row r="196" spans="2:32" s="31" customFormat="1" x14ac:dyDescent="0.2">
      <c r="B196" s="31">
        <v>254</v>
      </c>
      <c r="C196" s="34" t="s">
        <v>1413</v>
      </c>
      <c r="D196" s="31" t="s">
        <v>725</v>
      </c>
      <c r="E196" s="31" t="s">
        <v>700</v>
      </c>
      <c r="F196" s="31" t="s">
        <v>679</v>
      </c>
      <c r="G196" s="31" t="s">
        <v>678</v>
      </c>
      <c r="H196" s="31" t="str">
        <f t="shared" si="42"/>
        <v>Gregorio XVI</v>
      </c>
      <c r="K196" s="31" t="s">
        <v>1254</v>
      </c>
      <c r="L196" s="31" t="str">
        <f t="shared" si="43"/>
        <v>Epistola</v>
      </c>
      <c r="M196" s="31" t="s">
        <v>1256</v>
      </c>
      <c r="O196" s="31" t="s">
        <v>1296</v>
      </c>
      <c r="P196" s="31" t="s">
        <v>1609</v>
      </c>
      <c r="Q196" s="31" t="s">
        <v>1354</v>
      </c>
      <c r="R196" s="35" t="str">
        <f t="shared" si="44"/>
        <v>27</v>
      </c>
      <c r="S196" s="35"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5">
        <f t="shared" si="45"/>
        <v>1845</v>
      </c>
      <c r="U196" s="31"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6"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31"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31">
        <v>194</v>
      </c>
      <c r="Y196" s="31" t="str">
        <f t="shared" si="46"/>
        <v>['Gregorio XVI', 'Epistola', 'Maximis angustiis', 'grxvi-epi-maa', '27 aprile 1845', '27/04/1845', '1845/04/27'],</v>
      </c>
      <c r="Z196" s="31" t="str">
        <f t="shared" si="47"/>
        <v>Maximis angustiis (27 aprile 1845) | Gregorio XVI</v>
      </c>
      <c r="AA196" s="31" t="str">
        <f t="shared" si="48"/>
        <v>Epistola Maximis angustiis</v>
      </c>
      <c r="AB196" s="31" t="str">
        <f t="shared" si="49"/>
        <v>Epistola Maximis angustiis</v>
      </c>
      <c r="AC196" s="31" t="str">
        <f t="shared" si="50"/>
        <v>Gregorio XVI, Epistola Maximis angustiis, 27 aprile 1845</v>
      </c>
      <c r="AD196" s="31" t="str">
        <f t="shared" si="51"/>
        <v>1845-04-27T08:00:00.000+02:00</v>
      </c>
      <c r="AE196" s="31" t="str">
        <f t="shared" si="52"/>
        <v>grxvi-epi-maa</v>
      </c>
      <c r="AF196" s="31" t="str">
        <f t="shared" si="53"/>
        <v>Gregorio XVI - Epistola - Maximis angustiis</v>
      </c>
    </row>
    <row r="197" spans="2:32" s="31" customFormat="1" x14ac:dyDescent="0.2">
      <c r="B197" s="31">
        <v>254</v>
      </c>
      <c r="C197" s="34" t="s">
        <v>1412</v>
      </c>
      <c r="D197" s="31" t="s">
        <v>725</v>
      </c>
      <c r="E197" s="31" t="s">
        <v>700</v>
      </c>
      <c r="F197" s="31" t="s">
        <v>679</v>
      </c>
      <c r="G197" s="31" t="s">
        <v>678</v>
      </c>
      <c r="H197" s="31" t="str">
        <f t="shared" si="42"/>
        <v>Gregorio XVI</v>
      </c>
      <c r="K197" s="31" t="s">
        <v>1254</v>
      </c>
      <c r="L197" s="31" t="str">
        <f t="shared" si="43"/>
        <v>Epistola</v>
      </c>
      <c r="M197" s="31" t="s">
        <v>1256</v>
      </c>
      <c r="O197" s="31" t="s">
        <v>1295</v>
      </c>
      <c r="P197" s="31" t="s">
        <v>1646</v>
      </c>
      <c r="Q197" s="31" t="s">
        <v>1353</v>
      </c>
      <c r="R197" s="35" t="str">
        <f t="shared" si="44"/>
        <v>28</v>
      </c>
      <c r="S197" s="35"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5">
        <f t="shared" si="45"/>
        <v>1845</v>
      </c>
      <c r="U197" s="31"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6"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31"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31">
        <v>195</v>
      </c>
      <c r="Y197" s="31" t="str">
        <f t="shared" si="46"/>
        <v>['Gregorio XVI', 'Epistola', 'Libentissime fraternitas', 'grxvi-epi-lif', '28 maggio 1845', '28/05/1845', '1845/05/28'],</v>
      </c>
      <c r="Z197" s="31" t="str">
        <f t="shared" si="47"/>
        <v>Libentissime fraternitas (28 maggio 1845) | Gregorio XVI</v>
      </c>
      <c r="AA197" s="31" t="str">
        <f t="shared" si="48"/>
        <v>Epistola Libentissime fraternitas</v>
      </c>
      <c r="AB197" s="31" t="str">
        <f t="shared" si="49"/>
        <v>Epistola Libentissime fraternitas</v>
      </c>
      <c r="AC197" s="31" t="str">
        <f t="shared" si="50"/>
        <v>Gregorio XVI, Epistola Libentissime fraternitas, 28 maggio 1845</v>
      </c>
      <c r="AD197" s="31" t="str">
        <f t="shared" si="51"/>
        <v>1845-05-28T08:00:00.000+02:00</v>
      </c>
      <c r="AE197" s="31" t="str">
        <f t="shared" si="52"/>
        <v>grxvi-epi-lif</v>
      </c>
      <c r="AF197" s="31" t="str">
        <f t="shared" si="53"/>
        <v>Gregorio XVI - Epistola - Libentissime fraternitas</v>
      </c>
    </row>
    <row r="198" spans="2:32" s="31" customFormat="1" x14ac:dyDescent="0.2">
      <c r="B198" s="31">
        <v>254</v>
      </c>
      <c r="C198" s="34" t="s">
        <v>1411</v>
      </c>
      <c r="D198" s="31" t="s">
        <v>725</v>
      </c>
      <c r="E198" s="31" t="s">
        <v>700</v>
      </c>
      <c r="F198" s="31" t="s">
        <v>679</v>
      </c>
      <c r="G198" s="31" t="s">
        <v>678</v>
      </c>
      <c r="H198" s="31" t="str">
        <f t="shared" si="42"/>
        <v>Gregorio XVI</v>
      </c>
      <c r="K198" s="31" t="s">
        <v>1254</v>
      </c>
      <c r="L198" s="31" t="str">
        <f t="shared" si="43"/>
        <v>Epistola</v>
      </c>
      <c r="M198" s="31" t="s">
        <v>1256</v>
      </c>
      <c r="O198" s="31" t="s">
        <v>1292</v>
      </c>
      <c r="P198" s="31" t="s">
        <v>963</v>
      </c>
      <c r="Q198" s="31" t="s">
        <v>1352</v>
      </c>
      <c r="R198" s="35" t="str">
        <f t="shared" si="44"/>
        <v>28</v>
      </c>
      <c r="S198" s="35"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5">
        <f t="shared" si="45"/>
        <v>1845</v>
      </c>
      <c r="U198" s="31"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6"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31"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31">
        <v>196</v>
      </c>
      <c r="Y198" s="31" t="str">
        <f t="shared" si="46"/>
        <v>['Gregorio XVI', 'Epistola', 'Inter gravissimas', 'grxvi-epi-ing', '28 giugno 1845', '28/06/1845', '1845/06/28'],</v>
      </c>
      <c r="Z198" s="31" t="str">
        <f t="shared" si="47"/>
        <v>Inter gravissimas (28 giugno 1845) | Gregorio XVI</v>
      </c>
      <c r="AA198" s="31" t="str">
        <f t="shared" si="48"/>
        <v>Epistola Inter gravissimas</v>
      </c>
      <c r="AB198" s="31" t="str">
        <f t="shared" si="49"/>
        <v>Epistola Inter gravissimas</v>
      </c>
      <c r="AC198" s="31" t="str">
        <f t="shared" si="50"/>
        <v>Gregorio XVI, Epistola Inter gravissimas, 28 giugno 1845</v>
      </c>
      <c r="AD198" s="31" t="str">
        <f t="shared" si="51"/>
        <v>1845-06-28T08:00:00.000+02:00</v>
      </c>
      <c r="AE198" s="31" t="str">
        <f t="shared" si="52"/>
        <v>grxvi-epi-ing</v>
      </c>
      <c r="AF198" s="31" t="str">
        <f t="shared" si="53"/>
        <v>Gregorio XVI - Epistola - Inter gravissimas</v>
      </c>
    </row>
    <row r="199" spans="2:32" s="31" customFormat="1" x14ac:dyDescent="0.2">
      <c r="B199" s="31">
        <v>254</v>
      </c>
      <c r="C199" s="34" t="s">
        <v>1410</v>
      </c>
      <c r="D199" s="31" t="s">
        <v>725</v>
      </c>
      <c r="E199" s="31" t="s">
        <v>700</v>
      </c>
      <c r="F199" s="31" t="s">
        <v>679</v>
      </c>
      <c r="G199" s="31" t="s">
        <v>678</v>
      </c>
      <c r="H199" s="31" t="str">
        <f t="shared" si="42"/>
        <v>Gregorio XVI</v>
      </c>
      <c r="K199" s="31" t="s">
        <v>825</v>
      </c>
      <c r="L199" s="31" t="str">
        <f t="shared" si="43"/>
        <v>Breve</v>
      </c>
      <c r="M199" s="31" t="s">
        <v>577</v>
      </c>
      <c r="O199" s="31" t="s">
        <v>1293</v>
      </c>
      <c r="P199" s="31" t="s">
        <v>2957</v>
      </c>
      <c r="Q199" s="31" t="s">
        <v>1351</v>
      </c>
      <c r="R199" s="35" t="str">
        <f t="shared" si="44"/>
        <v>27</v>
      </c>
      <c r="S199" s="35"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5">
        <f t="shared" si="45"/>
        <v>1846</v>
      </c>
      <c r="U199" s="31"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6"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31"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31">
        <v>197</v>
      </c>
      <c r="Y199" s="31" t="str">
        <f t="shared" si="46"/>
        <v>['Gregorio XVI', 'Breve', 'Ex debito pastoralis', 'grxvi-bre-dpa', '27 marzo 1846', '27/03/1846', '1846/03/27'],</v>
      </c>
      <c r="Z199" s="31" t="str">
        <f t="shared" si="47"/>
        <v>Ex debito pastoralis (27 marzo 1846) | Gregorio XVI</v>
      </c>
      <c r="AA199" s="31" t="str">
        <f t="shared" si="48"/>
        <v>Breve Ex debito pastoralis</v>
      </c>
      <c r="AB199" s="31" t="str">
        <f t="shared" si="49"/>
        <v>Breve Ex debito pastoralis</v>
      </c>
      <c r="AC199" s="31" t="str">
        <f t="shared" si="50"/>
        <v>Gregorio XVI, Breve Ex debito pastoralis, 27 marzo 1846</v>
      </c>
      <c r="AD199" s="31" t="str">
        <f t="shared" si="51"/>
        <v>1846-03-27T08:00:00.000+02:00</v>
      </c>
      <c r="AE199" s="31" t="str">
        <f t="shared" si="52"/>
        <v>grxvi-bre-dpa</v>
      </c>
      <c r="AF199" s="31" t="str">
        <f t="shared" si="53"/>
        <v>Gregorio XVI - Breve - Ex debito pastoralis</v>
      </c>
    </row>
    <row r="200" spans="2:32" s="31" customFormat="1" x14ac:dyDescent="0.2">
      <c r="B200" s="31">
        <v>255</v>
      </c>
      <c r="C200" s="34" t="s">
        <v>1873</v>
      </c>
      <c r="D200" s="31" t="s">
        <v>715</v>
      </c>
      <c r="E200" s="31" t="s">
        <v>736</v>
      </c>
      <c r="F200" s="31" t="s">
        <v>668</v>
      </c>
      <c r="G200" s="31" t="s">
        <v>669</v>
      </c>
      <c r="H200" s="31" t="str">
        <f t="shared" si="42"/>
        <v>Pio IX</v>
      </c>
      <c r="K200" s="31" t="s">
        <v>825</v>
      </c>
      <c r="L200" s="31" t="str">
        <f t="shared" si="43"/>
        <v>Breve</v>
      </c>
      <c r="M200" s="31" t="s">
        <v>577</v>
      </c>
      <c r="O200" s="31" t="s">
        <v>37</v>
      </c>
      <c r="P200" s="31" t="s">
        <v>601</v>
      </c>
      <c r="Q200" s="31" t="s">
        <v>1874</v>
      </c>
      <c r="R200" s="35" t="str">
        <f t="shared" si="44"/>
        <v>16</v>
      </c>
      <c r="S200" s="35"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5">
        <f t="shared" si="45"/>
        <v>1877</v>
      </c>
      <c r="U200" s="31"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6"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31"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31">
        <v>198</v>
      </c>
      <c r="Y200" s="31" t="str">
        <f t="shared" si="46"/>
        <v>['Pio IX', 'Breve', 'Dives in misericordia', 'piix-bre-dim', '16 novembre 1877', '16/11/1877', '1877/11/16'],</v>
      </c>
      <c r="Z200" s="31" t="str">
        <f t="shared" si="47"/>
        <v>Dives in misericordia (16 novembre 1877) | Pio IX</v>
      </c>
      <c r="AA200" s="31" t="str">
        <f t="shared" si="48"/>
        <v>Breve Dives in misericordia</v>
      </c>
      <c r="AB200" s="31" t="str">
        <f t="shared" si="49"/>
        <v>Breve Dives in misericordia</v>
      </c>
      <c r="AC200" s="31" t="str">
        <f t="shared" si="50"/>
        <v>Pio IX, Breve Dives in misericordia, 16 novembre 1877</v>
      </c>
      <c r="AD200" s="31" t="str">
        <f t="shared" si="51"/>
        <v>1877-11-16T08:00:00.000+02:00</v>
      </c>
      <c r="AE200" s="31" t="str">
        <f t="shared" si="52"/>
        <v>piix-bre-dim</v>
      </c>
      <c r="AF200" s="31" t="str">
        <f t="shared" si="53"/>
        <v>Pio IX - Breve - Dives in misericordia</v>
      </c>
    </row>
    <row r="201" spans="2:32" s="31" customFormat="1" x14ac:dyDescent="0.2">
      <c r="B201" s="31">
        <v>255</v>
      </c>
      <c r="C201" s="34" t="s">
        <v>1871</v>
      </c>
      <c r="D201" s="31" t="s">
        <v>715</v>
      </c>
      <c r="E201" s="31" t="s">
        <v>736</v>
      </c>
      <c r="F201" s="31" t="s">
        <v>668</v>
      </c>
      <c r="G201" s="31" t="s">
        <v>669</v>
      </c>
      <c r="H201" s="31" t="str">
        <f t="shared" ref="H201:H264" si="54">_xlfn.CONCAT(D201 &amp; " " &amp; E201)</f>
        <v>Pio IX</v>
      </c>
      <c r="I201" s="31" t="s">
        <v>603</v>
      </c>
      <c r="J201" s="31" t="s">
        <v>829</v>
      </c>
      <c r="K201" s="31" t="s">
        <v>694</v>
      </c>
      <c r="L201" s="31" t="str">
        <f t="shared" si="43"/>
        <v>Lettera Enciclica</v>
      </c>
      <c r="M201" s="31" t="s">
        <v>579</v>
      </c>
      <c r="O201" s="31" t="s">
        <v>1872</v>
      </c>
      <c r="P201" s="31" t="s">
        <v>1019</v>
      </c>
      <c r="Q201" s="31" t="s">
        <v>1893</v>
      </c>
      <c r="R201" s="35" t="str">
        <f t="shared" si="44"/>
        <v>01</v>
      </c>
      <c r="S201" s="35"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5">
        <f t="shared" si="45"/>
        <v>1876</v>
      </c>
      <c r="U201" s="31"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6"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31"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31">
        <v>199</v>
      </c>
      <c r="Y201" s="31" t="str">
        <f t="shared" si="46"/>
        <v>['Pio IX', 'Enciclica', 'Quae in Patriarchatu', 'piix-enc-qip', '01 settembre 1876', '01/09/1876', '1876/09/01'],</v>
      </c>
      <c r="Z201" s="31" t="str">
        <f t="shared" si="47"/>
        <v>Quae in Patriarchatu (1 settembre 1876) | Pio IX</v>
      </c>
      <c r="AA201" s="31" t="str">
        <f t="shared" si="48"/>
        <v>Enciclica Quae in Patriarchatu</v>
      </c>
      <c r="AB201" s="31" t="str">
        <f t="shared" si="49"/>
        <v>Enciclica Quae in Patriarchatu</v>
      </c>
      <c r="AC201" s="31" t="str">
        <f t="shared" si="50"/>
        <v>Pio IX, Lettera Enciclica Quae in Patriarchatu, 01 settembre 1876</v>
      </c>
      <c r="AD201" s="31" t="str">
        <f t="shared" si="51"/>
        <v>1876-09-01T08:00:00.000+02:00</v>
      </c>
      <c r="AE201" s="31" t="str">
        <f t="shared" si="52"/>
        <v>piix-enc-qip</v>
      </c>
      <c r="AF201" s="31" t="str">
        <f t="shared" si="53"/>
        <v>Pio IX - Lettera Enciclica - Quae in Patriarchatu</v>
      </c>
    </row>
    <row r="202" spans="2:32" s="31" customFormat="1" x14ac:dyDescent="0.2">
      <c r="B202" s="31">
        <v>255</v>
      </c>
      <c r="C202" s="34" t="s">
        <v>1869</v>
      </c>
      <c r="D202" s="31" t="s">
        <v>715</v>
      </c>
      <c r="E202" s="31" t="s">
        <v>736</v>
      </c>
      <c r="F202" s="31" t="s">
        <v>668</v>
      </c>
      <c r="G202" s="31" t="s">
        <v>669</v>
      </c>
      <c r="H202" s="31" t="str">
        <f t="shared" si="54"/>
        <v>Pio IX</v>
      </c>
      <c r="K202" s="31" t="s">
        <v>830</v>
      </c>
      <c r="L202" s="31" t="str">
        <f t="shared" si="43"/>
        <v>Lettera Apostolica</v>
      </c>
      <c r="M202" s="31" t="s">
        <v>569</v>
      </c>
      <c r="O202" s="31" t="s">
        <v>298</v>
      </c>
      <c r="P202" s="31" t="s">
        <v>1017</v>
      </c>
      <c r="Q202" s="31" t="s">
        <v>1870</v>
      </c>
      <c r="R202" s="35" t="str">
        <f t="shared" si="44"/>
        <v>23</v>
      </c>
      <c r="S202" s="35"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5">
        <f t="shared" si="45"/>
        <v>1875</v>
      </c>
      <c r="U202" s="31"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6"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31"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31">
        <v>200</v>
      </c>
      <c r="Y202" s="31" t="str">
        <f t="shared" si="46"/>
        <v>['Pio IX', 'Lettera Apostolica', 'Graves ac diuturnae', 'piix-lea-gad', '23 marzo 1875', '23/03/1875', '1875/03/23'],</v>
      </c>
      <c r="Z202" s="31" t="str">
        <f t="shared" si="47"/>
        <v>Graves ac diuturnae (23 marzo 1875) | Pio IX</v>
      </c>
      <c r="AA202" s="31" t="str">
        <f t="shared" si="48"/>
        <v>Lettera Apostolica Graves ac diuturnae</v>
      </c>
      <c r="AB202" s="31" t="str">
        <f t="shared" si="49"/>
        <v>Lettera Apostolica Graves ac diuturnae</v>
      </c>
      <c r="AC202" s="31" t="str">
        <f t="shared" si="50"/>
        <v>Pio IX, Lettera Apostolica Graves ac diuturnae, 23 marzo 1875</v>
      </c>
      <c r="AD202" s="31" t="str">
        <f t="shared" si="51"/>
        <v>1875-03-23T08:00:00.000+02:00</v>
      </c>
      <c r="AE202" s="31" t="str">
        <f t="shared" si="52"/>
        <v>piix-lea-gad</v>
      </c>
      <c r="AF202" s="31" t="str">
        <f t="shared" si="53"/>
        <v>Pio IX - Lettera Apostolica - Graves ac diuturnae</v>
      </c>
    </row>
    <row r="203" spans="2:32" s="31" customFormat="1" x14ac:dyDescent="0.2">
      <c r="B203" s="31">
        <v>255</v>
      </c>
      <c r="C203" s="34" t="s">
        <v>1867</v>
      </c>
      <c r="D203" s="31" t="s">
        <v>715</v>
      </c>
      <c r="E203" s="31" t="s">
        <v>736</v>
      </c>
      <c r="F203" s="31" t="s">
        <v>668</v>
      </c>
      <c r="G203" s="31" t="s">
        <v>669</v>
      </c>
      <c r="H203" s="31" t="str">
        <f t="shared" si="54"/>
        <v>Pio IX</v>
      </c>
      <c r="I203" s="31" t="s">
        <v>603</v>
      </c>
      <c r="J203" s="31" t="s">
        <v>829</v>
      </c>
      <c r="K203" s="31" t="s">
        <v>694</v>
      </c>
      <c r="L203" s="31" t="str">
        <f t="shared" si="43"/>
        <v>Lettera Enciclica</v>
      </c>
      <c r="M203" s="31" t="s">
        <v>579</v>
      </c>
      <c r="O203" s="31" t="s">
        <v>297</v>
      </c>
      <c r="P203" s="31" t="s">
        <v>1687</v>
      </c>
      <c r="Q203" s="31" t="s">
        <v>1868</v>
      </c>
      <c r="R203" s="35" t="str">
        <f t="shared" si="44"/>
        <v>05</v>
      </c>
      <c r="S203" s="35"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5">
        <f t="shared" si="45"/>
        <v>1875</v>
      </c>
      <c r="U203" s="31"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6"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31"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31">
        <v>201</v>
      </c>
      <c r="Y203" s="31" t="str">
        <f t="shared" si="46"/>
        <v>['Pio IX', 'Enciclica', 'Quod nunquam', 'piix-enc-qnu', '05 febbraio 1875', '05/02/1875', '1875/02/05'],</v>
      </c>
      <c r="Z203" s="31" t="str">
        <f t="shared" si="47"/>
        <v>Quod nunquam (5 febbraio 1875) | Pio IX</v>
      </c>
      <c r="AA203" s="31" t="str">
        <f t="shared" si="48"/>
        <v>Enciclica Quod nunquam</v>
      </c>
      <c r="AB203" s="31" t="str">
        <f t="shared" si="49"/>
        <v>Enciclica Quod nunquam</v>
      </c>
      <c r="AC203" s="31" t="str">
        <f t="shared" si="50"/>
        <v>Pio IX, Lettera Enciclica Quod nunquam, 05 febbraio 1875</v>
      </c>
      <c r="AD203" s="31" t="str">
        <f t="shared" si="51"/>
        <v>1875-02-05T08:00:00.000+02:00</v>
      </c>
      <c r="AE203" s="31" t="str">
        <f t="shared" si="52"/>
        <v>piix-enc-qnu</v>
      </c>
      <c r="AF203" s="31" t="str">
        <f t="shared" si="53"/>
        <v>Pio IX - Lettera Enciclica - Quod nunquam</v>
      </c>
    </row>
    <row r="204" spans="2:32" s="31" customFormat="1" x14ac:dyDescent="0.2">
      <c r="B204" s="31">
        <v>255</v>
      </c>
      <c r="C204" s="34" t="s">
        <v>1864</v>
      </c>
      <c r="D204" s="31" t="s">
        <v>715</v>
      </c>
      <c r="E204" s="31" t="s">
        <v>736</v>
      </c>
      <c r="F204" s="31" t="s">
        <v>668</v>
      </c>
      <c r="G204" s="31" t="s">
        <v>669</v>
      </c>
      <c r="H204" s="31" t="str">
        <f t="shared" si="54"/>
        <v>Pio IX</v>
      </c>
      <c r="I204" s="31" t="s">
        <v>603</v>
      </c>
      <c r="J204" s="31" t="s">
        <v>829</v>
      </c>
      <c r="K204" s="31" t="s">
        <v>694</v>
      </c>
      <c r="L204" s="31" t="str">
        <f t="shared" si="43"/>
        <v>Lettera Enciclica</v>
      </c>
      <c r="M204" s="31" t="s">
        <v>579</v>
      </c>
      <c r="O204" s="31" t="s">
        <v>1866</v>
      </c>
      <c r="P204" s="31" t="s">
        <v>1016</v>
      </c>
      <c r="Q204" s="31" t="s">
        <v>1865</v>
      </c>
      <c r="R204" s="35" t="str">
        <f t="shared" si="44"/>
        <v>24</v>
      </c>
      <c r="S204" s="35"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5">
        <f t="shared" si="45"/>
        <v>1874</v>
      </c>
      <c r="U204" s="31"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6"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31"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31">
        <v>202</v>
      </c>
      <c r="Y204" s="31" t="str">
        <f t="shared" si="46"/>
        <v>['Pio IX', 'Enciclica', 'Gravibus Ecclesiae', 'piix-enc-gre', '24 dicembre 1874', '24/12/1874', '1874/12/24'],</v>
      </c>
      <c r="Z204" s="31" t="str">
        <f t="shared" si="47"/>
        <v>Gravibus Ecclesiae (24 dicembre 1874) | Pio IX</v>
      </c>
      <c r="AA204" s="31" t="str">
        <f t="shared" si="48"/>
        <v>Enciclica Gravibus Ecclesiae</v>
      </c>
      <c r="AB204" s="31" t="str">
        <f t="shared" si="49"/>
        <v>Enciclica Gravibus Ecclesiae</v>
      </c>
      <c r="AC204" s="31" t="str">
        <f t="shared" si="50"/>
        <v>Pio IX, Lettera Enciclica Gravibus Ecclesiae, 24 dicembre 1874</v>
      </c>
      <c r="AD204" s="31" t="str">
        <f t="shared" si="51"/>
        <v>1874-12-24T08:00:00.000+02:00</v>
      </c>
      <c r="AE204" s="31" t="str">
        <f t="shared" si="52"/>
        <v>piix-enc-gre</v>
      </c>
      <c r="AF204" s="31" t="str">
        <f t="shared" si="53"/>
        <v>Pio IX - Lettera Enciclica - Gravibus Ecclesiae</v>
      </c>
    </row>
    <row r="205" spans="2:32" s="31" customFormat="1" x14ac:dyDescent="0.2">
      <c r="B205" s="31">
        <v>255</v>
      </c>
      <c r="C205" s="34" t="s">
        <v>1863</v>
      </c>
      <c r="D205" s="31" t="s">
        <v>715</v>
      </c>
      <c r="E205" s="31" t="s">
        <v>736</v>
      </c>
      <c r="F205" s="31" t="s">
        <v>668</v>
      </c>
      <c r="G205" s="31" t="s">
        <v>669</v>
      </c>
      <c r="H205" s="31" t="str">
        <f t="shared" si="54"/>
        <v>Pio IX</v>
      </c>
      <c r="I205" s="31" t="s">
        <v>603</v>
      </c>
      <c r="J205" s="31" t="s">
        <v>829</v>
      </c>
      <c r="K205" s="31" t="s">
        <v>694</v>
      </c>
      <c r="L205" s="31" t="str">
        <f t="shared" si="43"/>
        <v>Lettera Enciclica</v>
      </c>
      <c r="M205" s="31" t="s">
        <v>579</v>
      </c>
      <c r="O205" s="31" t="s">
        <v>295</v>
      </c>
      <c r="P205" s="31" t="s">
        <v>1015</v>
      </c>
      <c r="Q205" s="31" t="s">
        <v>1875</v>
      </c>
      <c r="R205" s="35" t="str">
        <f t="shared" si="44"/>
        <v>13</v>
      </c>
      <c r="S205" s="35"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5">
        <f t="shared" si="45"/>
        <v>1874</v>
      </c>
      <c r="U205" s="31"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6"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31"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31">
        <v>203</v>
      </c>
      <c r="Y205" s="31" t="str">
        <f t="shared" si="46"/>
        <v>['Pio IX', 'Enciclica', 'Omnem sollicitudinem', 'piix-enc-oms', '13 maggio 1874', '13/05/1874', '1874/05/13'],</v>
      </c>
      <c r="Z205" s="31" t="str">
        <f t="shared" si="47"/>
        <v>Omnem sollicitudinem (13 maggio 1874) | Pio IX</v>
      </c>
      <c r="AA205" s="31" t="str">
        <f t="shared" si="48"/>
        <v>Enciclica Omnem sollicitudinem</v>
      </c>
      <c r="AB205" s="31" t="str">
        <f t="shared" si="49"/>
        <v>Enciclica Omnem sollicitudinem</v>
      </c>
      <c r="AC205" s="31" t="str">
        <f t="shared" si="50"/>
        <v>Pio IX, Lettera Enciclica Omnem sollicitudinem, 13 maggio 1874</v>
      </c>
      <c r="AD205" s="31" t="str">
        <f t="shared" si="51"/>
        <v>1874-05-13T08:00:00.000+02:00</v>
      </c>
      <c r="AE205" s="31" t="str">
        <f t="shared" si="52"/>
        <v>piix-enc-oms</v>
      </c>
      <c r="AF205" s="31" t="str">
        <f t="shared" si="53"/>
        <v>Pio IX - Lettera Enciclica - Omnem sollicitudinem</v>
      </c>
    </row>
    <row r="206" spans="2:32" s="31" customFormat="1" x14ac:dyDescent="0.2">
      <c r="B206" s="31">
        <v>255</v>
      </c>
      <c r="C206" s="34" t="s">
        <v>1861</v>
      </c>
      <c r="D206" s="31" t="s">
        <v>715</v>
      </c>
      <c r="E206" s="31" t="s">
        <v>736</v>
      </c>
      <c r="F206" s="31" t="s">
        <v>668</v>
      </c>
      <c r="G206" s="31" t="s">
        <v>669</v>
      </c>
      <c r="H206" s="31" t="str">
        <f t="shared" si="54"/>
        <v>Pio IX</v>
      </c>
      <c r="I206" s="31" t="s">
        <v>603</v>
      </c>
      <c r="J206" s="31" t="s">
        <v>829</v>
      </c>
      <c r="K206" s="31" t="s">
        <v>694</v>
      </c>
      <c r="L206" s="31" t="str">
        <f t="shared" si="43"/>
        <v>Lettera Enciclica</v>
      </c>
      <c r="M206" s="31" t="s">
        <v>579</v>
      </c>
      <c r="O206" s="31" t="s">
        <v>1862</v>
      </c>
      <c r="P206" s="31" t="s">
        <v>1014</v>
      </c>
      <c r="Q206" s="31" t="s">
        <v>1876</v>
      </c>
      <c r="R206" s="35" t="str">
        <f t="shared" si="44"/>
        <v>07</v>
      </c>
      <c r="S206" s="35"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5">
        <f t="shared" si="45"/>
        <v>1874</v>
      </c>
      <c r="U206" s="31"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6"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31"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31">
        <v>204</v>
      </c>
      <c r="Y206" s="31" t="str">
        <f t="shared" si="46"/>
        <v>['Pio IX', 'Enciclica', 'Vix dum a Nobis', 'piix-enc-vdn', '07 marzo 1874', '07/03/1874', '1874/03/07'],</v>
      </c>
      <c r="Z206" s="31" t="str">
        <f t="shared" si="47"/>
        <v>Vix dum a Nobis (7 marzo 1874) | Pio IX</v>
      </c>
      <c r="AA206" s="31" t="str">
        <f t="shared" si="48"/>
        <v>Enciclica Vix dum a Nobis</v>
      </c>
      <c r="AB206" s="31" t="str">
        <f t="shared" si="49"/>
        <v>Enciclica Vix dum a Nobis</v>
      </c>
      <c r="AC206" s="31" t="str">
        <f t="shared" si="50"/>
        <v>Pio IX, Lettera Enciclica Vix dum a Nobis, 07 marzo 1874</v>
      </c>
      <c r="AD206" s="31" t="str">
        <f t="shared" si="51"/>
        <v>1874-03-07T08:00:00.000+02:00</v>
      </c>
      <c r="AE206" s="31" t="str">
        <f t="shared" si="52"/>
        <v>piix-enc-vdn</v>
      </c>
      <c r="AF206" s="31" t="str">
        <f t="shared" si="53"/>
        <v>Pio IX - Lettera Enciclica - Vix dum a Nobis</v>
      </c>
    </row>
    <row r="207" spans="2:32" s="31" customFormat="1" x14ac:dyDescent="0.2">
      <c r="B207" s="31">
        <v>255</v>
      </c>
      <c r="C207" s="34" t="s">
        <v>1858</v>
      </c>
      <c r="D207" s="31" t="s">
        <v>715</v>
      </c>
      <c r="E207" s="31" t="s">
        <v>736</v>
      </c>
      <c r="F207" s="31" t="s">
        <v>668</v>
      </c>
      <c r="G207" s="31" t="s">
        <v>669</v>
      </c>
      <c r="H207" s="31" t="str">
        <f t="shared" si="54"/>
        <v>Pio IX</v>
      </c>
      <c r="I207" s="31" t="s">
        <v>603</v>
      </c>
      <c r="J207" s="31" t="s">
        <v>829</v>
      </c>
      <c r="K207" s="31" t="s">
        <v>694</v>
      </c>
      <c r="L207" s="31" t="str">
        <f t="shared" si="43"/>
        <v>Lettera Enciclica</v>
      </c>
      <c r="M207" s="31" t="s">
        <v>579</v>
      </c>
      <c r="O207" s="31" t="s">
        <v>1860</v>
      </c>
      <c r="P207" s="31" t="s">
        <v>1897</v>
      </c>
      <c r="Q207" s="31" t="s">
        <v>1859</v>
      </c>
      <c r="R207" s="35" t="str">
        <f t="shared" si="44"/>
        <v>27</v>
      </c>
      <c r="S207" s="35"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5">
        <f t="shared" si="45"/>
        <v>1873</v>
      </c>
      <c r="U207" s="31"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6"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31"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31">
        <v>205</v>
      </c>
      <c r="Y207" s="31" t="str">
        <f t="shared" si="46"/>
        <v>['Pio IX', 'Enciclica', 'In magnis illis', 'piix-enc-imi', '27 dicembre 1873', '27/12/1873', '1873/12/27'],</v>
      </c>
      <c r="Z207" s="31" t="str">
        <f t="shared" si="47"/>
        <v>In magnis illis (27 dicembre 1873) | Pio IX</v>
      </c>
      <c r="AA207" s="31" t="str">
        <f t="shared" si="48"/>
        <v>Enciclica In magnis illis</v>
      </c>
      <c r="AB207" s="31" t="str">
        <f t="shared" si="49"/>
        <v>Enciclica In magnis illis</v>
      </c>
      <c r="AC207" s="31" t="str">
        <f t="shared" si="50"/>
        <v>Pio IX, Lettera Enciclica In magnis illis, 27 dicembre 1873</v>
      </c>
      <c r="AD207" s="31" t="str">
        <f t="shared" si="51"/>
        <v>1873-12-27T08:00:00.000+02:00</v>
      </c>
      <c r="AE207" s="31" t="str">
        <f t="shared" si="52"/>
        <v>piix-enc-imi</v>
      </c>
      <c r="AF207" s="31" t="str">
        <f t="shared" si="53"/>
        <v>Pio IX - Lettera Enciclica - In magnis illis</v>
      </c>
    </row>
    <row r="208" spans="2:32" s="31" customFormat="1" x14ac:dyDescent="0.2">
      <c r="B208" s="31">
        <v>255</v>
      </c>
      <c r="C208" s="34" t="s">
        <v>1855</v>
      </c>
      <c r="D208" s="31" t="s">
        <v>715</v>
      </c>
      <c r="E208" s="31" t="s">
        <v>736</v>
      </c>
      <c r="F208" s="31" t="s">
        <v>668</v>
      </c>
      <c r="G208" s="31" t="s">
        <v>669</v>
      </c>
      <c r="H208" s="31" t="str">
        <f t="shared" si="54"/>
        <v>Pio IX</v>
      </c>
      <c r="I208" s="31" t="s">
        <v>603</v>
      </c>
      <c r="J208" s="31" t="s">
        <v>829</v>
      </c>
      <c r="K208" s="31" t="s">
        <v>694</v>
      </c>
      <c r="L208" s="31" t="str">
        <f t="shared" si="43"/>
        <v>Lettera Enciclica</v>
      </c>
      <c r="M208" s="31" t="s">
        <v>579</v>
      </c>
      <c r="O208" s="31" t="s">
        <v>1857</v>
      </c>
      <c r="P208" s="31" t="s">
        <v>615</v>
      </c>
      <c r="Q208" s="31" t="s">
        <v>1856</v>
      </c>
      <c r="R208" s="35" t="str">
        <f t="shared" si="44"/>
        <v>21</v>
      </c>
      <c r="S208" s="35"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5">
        <f t="shared" si="45"/>
        <v>1873</v>
      </c>
      <c r="U208" s="31"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6"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31"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31">
        <v>206</v>
      </c>
      <c r="Y208" s="31" t="str">
        <f t="shared" si="46"/>
        <v>['Pio IX', 'Enciclica', 'Etsi multa', 'piix-enc-etm', '21 novembre 1873', '21/11/1873', '1873/11/21'],</v>
      </c>
      <c r="Z208" s="31" t="str">
        <f t="shared" si="47"/>
        <v>Etsi multa (21 novembre 1873) | Pio IX</v>
      </c>
      <c r="AA208" s="31" t="str">
        <f t="shared" si="48"/>
        <v>Enciclica Etsi multa</v>
      </c>
      <c r="AB208" s="31" t="str">
        <f t="shared" si="49"/>
        <v>Enciclica Etsi multa</v>
      </c>
      <c r="AC208" s="31" t="str">
        <f t="shared" si="50"/>
        <v>Pio IX, Lettera Enciclica Etsi multa, 21 novembre 1873</v>
      </c>
      <c r="AD208" s="31" t="str">
        <f t="shared" si="51"/>
        <v>1873-11-21T08:00:00.000+02:00</v>
      </c>
      <c r="AE208" s="31" t="str">
        <f t="shared" si="52"/>
        <v>piix-enc-etm</v>
      </c>
      <c r="AF208" s="31" t="str">
        <f t="shared" si="53"/>
        <v>Pio IX - Lettera Enciclica - Etsi multa</v>
      </c>
    </row>
    <row r="209" spans="2:32" s="31" customFormat="1" x14ac:dyDescent="0.2">
      <c r="B209" s="31">
        <v>255</v>
      </c>
      <c r="C209" s="34" t="s">
        <v>1853</v>
      </c>
      <c r="D209" s="31" t="s">
        <v>715</v>
      </c>
      <c r="E209" s="31" t="s">
        <v>736</v>
      </c>
      <c r="F209" s="31" t="s">
        <v>668</v>
      </c>
      <c r="G209" s="31" t="s">
        <v>669</v>
      </c>
      <c r="H209" s="31" t="str">
        <f t="shared" si="54"/>
        <v>Pio IX</v>
      </c>
      <c r="I209" s="31" t="s">
        <v>603</v>
      </c>
      <c r="J209" s="31" t="s">
        <v>829</v>
      </c>
      <c r="K209" s="31" t="s">
        <v>694</v>
      </c>
      <c r="L209" s="31" t="str">
        <f t="shared" si="43"/>
        <v>Lettera Enciclica</v>
      </c>
      <c r="M209" s="31" t="s">
        <v>579</v>
      </c>
      <c r="O209" s="31" t="s">
        <v>1854</v>
      </c>
      <c r="P209" s="31" t="s">
        <v>1645</v>
      </c>
      <c r="Q209" s="31" t="s">
        <v>1877</v>
      </c>
      <c r="R209" s="35" t="str">
        <f t="shared" si="44"/>
        <v>06</v>
      </c>
      <c r="S209" s="35"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5">
        <f t="shared" si="45"/>
        <v>1873</v>
      </c>
      <c r="U209" s="31"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6"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31"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31">
        <v>207</v>
      </c>
      <c r="Y209" s="31" t="str">
        <f t="shared" si="46"/>
        <v>['Pio IX', 'Enciclica', 'Quartus supra', 'piix-enc-qus', '06 gennaio 1873', '06/01/1873', '1873/01/06'],</v>
      </c>
      <c r="Z209" s="31" t="str">
        <f t="shared" si="47"/>
        <v>Quartus supra (6 gennaio 1873) | Pio IX</v>
      </c>
      <c r="AA209" s="31" t="str">
        <f t="shared" si="48"/>
        <v>Enciclica Quartus supra</v>
      </c>
      <c r="AB209" s="31" t="str">
        <f t="shared" si="49"/>
        <v>Enciclica Quartus supra</v>
      </c>
      <c r="AC209" s="31" t="str">
        <f t="shared" si="50"/>
        <v>Pio IX, Lettera Enciclica Quartus supra, 06 gennaio 1873</v>
      </c>
      <c r="AD209" s="31" t="str">
        <f t="shared" si="51"/>
        <v>1873-01-06T08:00:00.000+02:00</v>
      </c>
      <c r="AE209" s="31" t="str">
        <f t="shared" si="52"/>
        <v>piix-enc-qus</v>
      </c>
      <c r="AF209" s="31" t="str">
        <f t="shared" si="53"/>
        <v>Pio IX - Lettera Enciclica - Quartus supra</v>
      </c>
    </row>
    <row r="210" spans="2:32" s="31" customFormat="1" x14ac:dyDescent="0.2">
      <c r="B210" s="31">
        <v>255</v>
      </c>
      <c r="C210" s="34" t="s">
        <v>1850</v>
      </c>
      <c r="D210" s="31" t="s">
        <v>715</v>
      </c>
      <c r="E210" s="31" t="s">
        <v>736</v>
      </c>
      <c r="F210" s="31" t="s">
        <v>668</v>
      </c>
      <c r="G210" s="31" t="s">
        <v>669</v>
      </c>
      <c r="H210" s="31" t="str">
        <f t="shared" si="54"/>
        <v>Pio IX</v>
      </c>
      <c r="K210" s="31" t="s">
        <v>1254</v>
      </c>
      <c r="L210" s="31" t="str">
        <f t="shared" si="43"/>
        <v>Epistola</v>
      </c>
      <c r="M210" s="31" t="s">
        <v>1256</v>
      </c>
      <c r="O210" s="31" t="s">
        <v>1852</v>
      </c>
      <c r="P210" s="31" t="s">
        <v>1898</v>
      </c>
      <c r="Q210" s="31" t="s">
        <v>1851</v>
      </c>
      <c r="R210" s="35" t="str">
        <f t="shared" si="44"/>
        <v>16</v>
      </c>
      <c r="S210" s="35"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5">
        <f t="shared" si="45"/>
        <v>1872</v>
      </c>
      <c r="U210" s="31"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6"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31"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31">
        <v>208</v>
      </c>
      <c r="Y210" s="31" t="str">
        <f t="shared" si="46"/>
        <v>['Pio IX', 'Epistola', 'In luctuosissimis', 'piix-epi-inl', '16 giugno 1872', '16/06/1872', '1872/06/16'],</v>
      </c>
      <c r="Z210" s="31" t="str">
        <f t="shared" si="47"/>
        <v>In luctuosissimis (16 giugno 1872) | Pio IX</v>
      </c>
      <c r="AA210" s="31" t="str">
        <f t="shared" si="48"/>
        <v>Epistola In luctuosissimis</v>
      </c>
      <c r="AB210" s="31" t="str">
        <f t="shared" si="49"/>
        <v>Epistola In luctuosissimis</v>
      </c>
      <c r="AC210" s="31" t="str">
        <f t="shared" si="50"/>
        <v>Pio IX, Epistola In luctuosissimis, 16 giugno 1872</v>
      </c>
      <c r="AD210" s="31" t="str">
        <f t="shared" si="51"/>
        <v>1872-06-16T08:00:00.000+02:00</v>
      </c>
      <c r="AE210" s="31" t="str">
        <f t="shared" si="52"/>
        <v>piix-epi-inl</v>
      </c>
      <c r="AF210" s="31" t="str">
        <f t="shared" si="53"/>
        <v>Pio IX - Epistola - In luctuosissimis</v>
      </c>
    </row>
    <row r="211" spans="2:32" s="31" customFormat="1" x14ac:dyDescent="0.2">
      <c r="B211" s="31">
        <v>255</v>
      </c>
      <c r="C211" s="34" t="s">
        <v>1847</v>
      </c>
      <c r="D211" s="31" t="s">
        <v>715</v>
      </c>
      <c r="E211" s="31" t="s">
        <v>736</v>
      </c>
      <c r="F211" s="31" t="s">
        <v>668</v>
      </c>
      <c r="G211" s="31" t="s">
        <v>669</v>
      </c>
      <c r="H211" s="31" t="str">
        <f t="shared" si="54"/>
        <v>Pio IX</v>
      </c>
      <c r="K211" s="31" t="s">
        <v>908</v>
      </c>
      <c r="L211" s="31" t="str">
        <f t="shared" si="43"/>
        <v>Allocuzione</v>
      </c>
      <c r="M211" s="31" t="s">
        <v>948</v>
      </c>
      <c r="O211" s="31" t="s">
        <v>1849</v>
      </c>
      <c r="P211" s="31" t="s">
        <v>1899</v>
      </c>
      <c r="Q211" s="31" t="s">
        <v>1848</v>
      </c>
      <c r="R211" s="35" t="str">
        <f t="shared" si="44"/>
        <v>27</v>
      </c>
      <c r="S211" s="35"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5">
        <f t="shared" si="45"/>
        <v>1871</v>
      </c>
      <c r="U211" s="31"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6"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31"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31">
        <v>209</v>
      </c>
      <c r="Y211" s="31" t="str">
        <f t="shared" si="46"/>
        <v>['Pio IX', 'Allocuzione', 'Ordinem vestrum', 'piix-all-orv', '27 ottobre 1871', '27/10/1871', '1871/10/27'],</v>
      </c>
      <c r="Z211" s="31" t="str">
        <f t="shared" si="47"/>
        <v>Ordinem vestrum (27 ottobre 1871) | Pio IX</v>
      </c>
      <c r="AA211" s="31" t="str">
        <f t="shared" si="48"/>
        <v>Allocuzione Ordinem vestrum</v>
      </c>
      <c r="AB211" s="31" t="str">
        <f t="shared" si="49"/>
        <v>Allocuzione Ordinem vestrum</v>
      </c>
      <c r="AC211" s="31" t="str">
        <f t="shared" si="50"/>
        <v>Pio IX, Allocuzione Ordinem vestrum, 27 ottobre 1871</v>
      </c>
      <c r="AD211" s="31" t="str">
        <f t="shared" si="51"/>
        <v>1871-10-27T08:00:00.000+02:00</v>
      </c>
      <c r="AE211" s="31" t="str">
        <f t="shared" si="52"/>
        <v>piix-all-orv</v>
      </c>
      <c r="AF211" s="31" t="str">
        <f t="shared" si="53"/>
        <v>Pio IX - Allocuzione - Ordinem vestrum</v>
      </c>
    </row>
    <row r="212" spans="2:32" s="31" customFormat="1" x14ac:dyDescent="0.2">
      <c r="B212" s="31">
        <v>255</v>
      </c>
      <c r="C212" s="34" t="s">
        <v>1845</v>
      </c>
      <c r="D212" s="31" t="s">
        <v>715</v>
      </c>
      <c r="E212" s="31" t="s">
        <v>736</v>
      </c>
      <c r="F212" s="31" t="s">
        <v>668</v>
      </c>
      <c r="G212" s="31" t="s">
        <v>669</v>
      </c>
      <c r="H212" s="31" t="str">
        <f t="shared" si="54"/>
        <v>Pio IX</v>
      </c>
      <c r="I212" s="31" t="s">
        <v>603</v>
      </c>
      <c r="J212" s="31" t="s">
        <v>829</v>
      </c>
      <c r="K212" s="31" t="s">
        <v>694</v>
      </c>
      <c r="L212" s="31" t="str">
        <f t="shared" si="43"/>
        <v>Lettera Enciclica</v>
      </c>
      <c r="M212" s="31" t="s">
        <v>579</v>
      </c>
      <c r="O212" s="31" t="s">
        <v>1846</v>
      </c>
      <c r="P212" s="31" t="s">
        <v>1011</v>
      </c>
      <c r="Q212" s="31" t="s">
        <v>1878</v>
      </c>
      <c r="R212" s="35" t="str">
        <f t="shared" si="44"/>
        <v>05</v>
      </c>
      <c r="S212" s="35"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5">
        <f t="shared" si="45"/>
        <v>1871</v>
      </c>
      <c r="U212" s="31"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6"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31"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31">
        <v>210</v>
      </c>
      <c r="Y212" s="31" t="str">
        <f t="shared" si="46"/>
        <v>['Pio IX', 'Enciclica', 'Saepe, venerabiles', 'piix-enc-sav', '05 agosto 1871', '05/08/1871', '1871/08/05'],</v>
      </c>
      <c r="Z212" s="31" t="str">
        <f t="shared" si="47"/>
        <v>Saepe, venerabiles (5 agosto 1871) | Pio IX</v>
      </c>
      <c r="AA212" s="31" t="str">
        <f t="shared" si="48"/>
        <v>Enciclica Saepe, venerabiles</v>
      </c>
      <c r="AB212" s="31" t="str">
        <f t="shared" si="49"/>
        <v>Enciclica Saepe, venerabiles</v>
      </c>
      <c r="AC212" s="31" t="str">
        <f t="shared" si="50"/>
        <v>Pio IX, Lettera Enciclica Saepe, venerabiles, 05 agosto 1871</v>
      </c>
      <c r="AD212" s="31" t="str">
        <f t="shared" si="51"/>
        <v>1871-08-05T08:00:00.000+02:00</v>
      </c>
      <c r="AE212" s="31" t="str">
        <f t="shared" si="52"/>
        <v>piix-enc-sav</v>
      </c>
      <c r="AF212" s="31" t="str">
        <f t="shared" si="53"/>
        <v>Pio IX - Lettera Enciclica - Saepe, venerabiles</v>
      </c>
    </row>
    <row r="213" spans="2:32" s="31" customFormat="1" x14ac:dyDescent="0.2">
      <c r="B213" s="31">
        <v>255</v>
      </c>
      <c r="C213" s="34" t="s">
        <v>1843</v>
      </c>
      <c r="D213" s="31" t="s">
        <v>715</v>
      </c>
      <c r="E213" s="31" t="s">
        <v>736</v>
      </c>
      <c r="F213" s="31" t="s">
        <v>668</v>
      </c>
      <c r="G213" s="31" t="s">
        <v>669</v>
      </c>
      <c r="H213" s="31" t="str">
        <f t="shared" si="54"/>
        <v>Pio IX</v>
      </c>
      <c r="I213" s="31" t="s">
        <v>603</v>
      </c>
      <c r="J213" s="31" t="s">
        <v>829</v>
      </c>
      <c r="K213" s="31" t="s">
        <v>694</v>
      </c>
      <c r="L213" s="31" t="str">
        <f t="shared" si="43"/>
        <v>Lettera Enciclica</v>
      </c>
      <c r="M213" s="31" t="s">
        <v>579</v>
      </c>
      <c r="O213" s="31" t="s">
        <v>290</v>
      </c>
      <c r="P213" s="31" t="s">
        <v>1010</v>
      </c>
      <c r="Q213" s="31" t="s">
        <v>1844</v>
      </c>
      <c r="R213" s="35" t="str">
        <f t="shared" si="44"/>
        <v>04</v>
      </c>
      <c r="S213" s="35"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5">
        <f t="shared" si="45"/>
        <v>1871</v>
      </c>
      <c r="U213" s="31"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6"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31"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31">
        <v>211</v>
      </c>
      <c r="Y213" s="31" t="str">
        <f t="shared" si="46"/>
        <v>['Pio IX', 'Enciclica', 'Beneficia Dei', 'piix-enc-bed', '04 giugno 1871', '04/06/1871', '1871/06/04'],</v>
      </c>
      <c r="Z213" s="31" t="str">
        <f t="shared" si="47"/>
        <v>Beneficia Dei (4 giugno 1871) | Pio IX</v>
      </c>
      <c r="AA213" s="31" t="str">
        <f t="shared" si="48"/>
        <v>Enciclica Beneficia Dei</v>
      </c>
      <c r="AB213" s="31" t="str">
        <f t="shared" si="49"/>
        <v>Enciclica Beneficia Dei</v>
      </c>
      <c r="AC213" s="31" t="str">
        <f t="shared" si="50"/>
        <v>Pio IX, Lettera Enciclica Beneficia Dei, 04 giugno 1871</v>
      </c>
      <c r="AD213" s="31" t="str">
        <f t="shared" si="51"/>
        <v>1871-06-04T08:00:00.000+02:00</v>
      </c>
      <c r="AE213" s="31" t="str">
        <f t="shared" si="52"/>
        <v>piix-enc-bed</v>
      </c>
      <c r="AF213" s="31" t="str">
        <f t="shared" si="53"/>
        <v>Pio IX - Lettera Enciclica - Beneficia Dei</v>
      </c>
    </row>
    <row r="214" spans="2:32" s="31" customFormat="1" x14ac:dyDescent="0.2">
      <c r="B214" s="31">
        <v>255</v>
      </c>
      <c r="C214" s="34" t="s">
        <v>1841</v>
      </c>
      <c r="D214" s="31" t="s">
        <v>715</v>
      </c>
      <c r="E214" s="31" t="s">
        <v>736</v>
      </c>
      <c r="F214" s="31" t="s">
        <v>668</v>
      </c>
      <c r="G214" s="31" t="s">
        <v>669</v>
      </c>
      <c r="H214" s="31" t="str">
        <f t="shared" si="54"/>
        <v>Pio IX</v>
      </c>
      <c r="I214" s="31" t="s">
        <v>603</v>
      </c>
      <c r="J214" s="31" t="s">
        <v>829</v>
      </c>
      <c r="K214" s="31" t="s">
        <v>694</v>
      </c>
      <c r="L214" s="31" t="str">
        <f t="shared" si="43"/>
        <v>Lettera Enciclica</v>
      </c>
      <c r="M214" s="31" t="s">
        <v>579</v>
      </c>
      <c r="O214" s="31" t="s">
        <v>1842</v>
      </c>
      <c r="P214" s="31" t="s">
        <v>1009</v>
      </c>
      <c r="Q214" s="31" t="s">
        <v>1879</v>
      </c>
      <c r="R214" s="35" t="str">
        <f t="shared" si="44"/>
        <v>15</v>
      </c>
      <c r="S214" s="35"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5">
        <f t="shared" si="45"/>
        <v>1871</v>
      </c>
      <c r="U214" s="31"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6"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31"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31">
        <v>212</v>
      </c>
      <c r="Y214" s="31" t="str">
        <f t="shared" si="46"/>
        <v>['Pio IX', 'Enciclica', 'Ubi Nos', 'piix-enc-ubn', '15 maggio 1871', '15/05/1871', '1871/05/15'],</v>
      </c>
      <c r="Z214" s="31" t="str">
        <f t="shared" si="47"/>
        <v>Ubi Nos (15 maggio 1871) | Pio IX</v>
      </c>
      <c r="AA214" s="31" t="str">
        <f t="shared" si="48"/>
        <v>Enciclica Ubi Nos</v>
      </c>
      <c r="AB214" s="31" t="str">
        <f t="shared" si="49"/>
        <v>Enciclica Ubi Nos</v>
      </c>
      <c r="AC214" s="31" t="str">
        <f t="shared" si="50"/>
        <v>Pio IX, Lettera Enciclica Ubi Nos, 15 maggio 1871</v>
      </c>
      <c r="AD214" s="31" t="str">
        <f t="shared" si="51"/>
        <v>1871-05-15T08:00:00.000+02:00</v>
      </c>
      <c r="AE214" s="31" t="str">
        <f t="shared" si="52"/>
        <v>piix-enc-ubn</v>
      </c>
      <c r="AF214" s="31" t="str">
        <f t="shared" si="53"/>
        <v>Pio IX - Lettera Enciclica - Ubi Nos</v>
      </c>
    </row>
    <row r="215" spans="2:32" s="31" customFormat="1" x14ac:dyDescent="0.2">
      <c r="B215" s="31">
        <v>255</v>
      </c>
      <c r="C215" s="34" t="s">
        <v>1839</v>
      </c>
      <c r="D215" s="31" t="s">
        <v>715</v>
      </c>
      <c r="E215" s="31" t="s">
        <v>736</v>
      </c>
      <c r="F215" s="31" t="s">
        <v>668</v>
      </c>
      <c r="G215" s="31" t="s">
        <v>669</v>
      </c>
      <c r="H215" s="31" t="str">
        <f t="shared" si="54"/>
        <v>Pio IX</v>
      </c>
      <c r="I215" s="31" t="s">
        <v>603</v>
      </c>
      <c r="J215" s="31" t="s">
        <v>829</v>
      </c>
      <c r="K215" s="31" t="s">
        <v>694</v>
      </c>
      <c r="L215" s="31" t="str">
        <f t="shared" si="43"/>
        <v>Lettera Enciclica</v>
      </c>
      <c r="M215" s="31" t="s">
        <v>579</v>
      </c>
      <c r="O215" s="31" t="s">
        <v>1840</v>
      </c>
      <c r="P215" s="31" t="s">
        <v>1923</v>
      </c>
      <c r="Q215" s="31" t="s">
        <v>1880</v>
      </c>
      <c r="R215" s="35" t="str">
        <f t="shared" si="44"/>
        <v>11</v>
      </c>
      <c r="S215" s="35"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5">
        <f t="shared" si="45"/>
        <v>1871</v>
      </c>
      <c r="U215" s="31"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6"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31"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31">
        <v>213</v>
      </c>
      <c r="Y215" s="31" t="str">
        <f t="shared" si="46"/>
        <v>['Pio IX', 'Enciclica', 'Ubi prima', 'piix-enc-uip', '11 marzo 1871', '11/03/1871', '1871/03/11'],</v>
      </c>
      <c r="Z215" s="31" t="str">
        <f t="shared" si="47"/>
        <v>Ubi prima (11 marzo 1871) | Pio IX</v>
      </c>
      <c r="AA215" s="31" t="str">
        <f t="shared" si="48"/>
        <v>Enciclica Ubi prima</v>
      </c>
      <c r="AB215" s="31" t="str">
        <f t="shared" si="49"/>
        <v>Enciclica Ubi prima</v>
      </c>
      <c r="AC215" s="31" t="str">
        <f t="shared" si="50"/>
        <v>Pio IX, Lettera Enciclica Ubi prima, 11 marzo 1871</v>
      </c>
      <c r="AD215" s="31" t="str">
        <f t="shared" si="51"/>
        <v>1871-03-11T08:00:00.000+02:00</v>
      </c>
      <c r="AE215" s="31" t="str">
        <f t="shared" si="52"/>
        <v>piix-enc-uip</v>
      </c>
      <c r="AF215" s="31" t="str">
        <f t="shared" si="53"/>
        <v>Pio IX - Lettera Enciclica - Ubi prima</v>
      </c>
    </row>
    <row r="216" spans="2:32" s="31" customFormat="1" x14ac:dyDescent="0.2">
      <c r="B216" s="31">
        <v>255</v>
      </c>
      <c r="C216" s="34" t="s">
        <v>1836</v>
      </c>
      <c r="D216" s="31" t="s">
        <v>715</v>
      </c>
      <c r="E216" s="31" t="s">
        <v>736</v>
      </c>
      <c r="F216" s="31" t="s">
        <v>668</v>
      </c>
      <c r="G216" s="31" t="s">
        <v>669</v>
      </c>
      <c r="H216" s="31" t="str">
        <f t="shared" si="54"/>
        <v>Pio IX</v>
      </c>
      <c r="K216" s="31" t="s">
        <v>1254</v>
      </c>
      <c r="L216" s="31" t="str">
        <f t="shared" si="43"/>
        <v>Epistola</v>
      </c>
      <c r="M216" s="31" t="s">
        <v>1256</v>
      </c>
      <c r="O216" s="31" t="s">
        <v>1838</v>
      </c>
      <c r="P216" s="31" t="s">
        <v>1900</v>
      </c>
      <c r="Q216" s="31" t="s">
        <v>1837</v>
      </c>
      <c r="R216" s="35" t="str">
        <f t="shared" si="44"/>
        <v>02</v>
      </c>
      <c r="S216" s="35"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5">
        <f t="shared" si="45"/>
        <v>1871</v>
      </c>
      <c r="U216" s="31"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6"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31"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31">
        <v>214</v>
      </c>
      <c r="Y216" s="31" t="str">
        <f t="shared" si="46"/>
        <v>['Pio IX', 'Epistola', 'Ecclesia Dei', 'piix-epi-ecd', '02 marzo 1871', '02/03/1871', '1871/03/02'],</v>
      </c>
      <c r="Z216" s="31" t="str">
        <f t="shared" si="47"/>
        <v>Ecclesia Dei (2 marzo 1871) | Pio IX</v>
      </c>
      <c r="AA216" s="31" t="str">
        <f t="shared" si="48"/>
        <v>Epistola Ecclesia Dei</v>
      </c>
      <c r="AB216" s="31" t="str">
        <f t="shared" si="49"/>
        <v>Epistola Ecclesia Dei</v>
      </c>
      <c r="AC216" s="31" t="str">
        <f t="shared" si="50"/>
        <v>Pio IX, Epistola Ecclesia Dei, 02 marzo 1871</v>
      </c>
      <c r="AD216" s="31" t="str">
        <f t="shared" si="51"/>
        <v>1871-03-02T08:00:00.000+02:00</v>
      </c>
      <c r="AE216" s="31" t="str">
        <f t="shared" si="52"/>
        <v>piix-epi-ecd</v>
      </c>
      <c r="AF216" s="31" t="str">
        <f t="shared" si="53"/>
        <v>Pio IX - Epistola - Ecclesia Dei</v>
      </c>
    </row>
    <row r="217" spans="2:32" s="31" customFormat="1" x14ac:dyDescent="0.2">
      <c r="B217" s="31">
        <v>255</v>
      </c>
      <c r="C217" s="34" t="s">
        <v>1835</v>
      </c>
      <c r="D217" s="31" t="s">
        <v>715</v>
      </c>
      <c r="E217" s="31" t="s">
        <v>736</v>
      </c>
      <c r="F217" s="31" t="s">
        <v>668</v>
      </c>
      <c r="G217" s="31" t="s">
        <v>669</v>
      </c>
      <c r="H217" s="31" t="str">
        <f t="shared" si="54"/>
        <v>Pio IX</v>
      </c>
      <c r="I217" s="31" t="s">
        <v>603</v>
      </c>
      <c r="J217" s="31" t="s">
        <v>829</v>
      </c>
      <c r="K217" s="31" t="s">
        <v>694</v>
      </c>
      <c r="L217" s="31" t="str">
        <f t="shared" si="43"/>
        <v>Lettera Enciclica</v>
      </c>
      <c r="M217" s="31" t="s">
        <v>579</v>
      </c>
      <c r="O217" s="31" t="s">
        <v>288</v>
      </c>
      <c r="P217" s="31" t="s">
        <v>1008</v>
      </c>
      <c r="Q217" s="31" t="s">
        <v>1894</v>
      </c>
      <c r="R217" s="35" t="str">
        <f t="shared" si="44"/>
        <v>01</v>
      </c>
      <c r="S217" s="35"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5">
        <f t="shared" si="45"/>
        <v>1870</v>
      </c>
      <c r="U217" s="31"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6"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31"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31">
        <v>215</v>
      </c>
      <c r="Y217" s="31" t="str">
        <f t="shared" si="46"/>
        <v>['Pio IX', 'Enciclica', 'Respicientes ea', 'piix-enc-ree', '01 novembre 1870', '01/11/1870', '1870/11/01'],</v>
      </c>
      <c r="Z217" s="31" t="str">
        <f t="shared" si="47"/>
        <v>Respicientes ea (1 novembre 1870) | Pio IX</v>
      </c>
      <c r="AA217" s="31" t="str">
        <f t="shared" si="48"/>
        <v>Enciclica Respicientes ea</v>
      </c>
      <c r="AB217" s="31" t="str">
        <f t="shared" si="49"/>
        <v>Enciclica Respicientes ea</v>
      </c>
      <c r="AC217" s="31" t="str">
        <f t="shared" si="50"/>
        <v>Pio IX, Lettera Enciclica Respicientes ea, 01 novembre 1870</v>
      </c>
      <c r="AD217" s="31" t="str">
        <f t="shared" si="51"/>
        <v>1870-11-01T08:00:00.000+02:00</v>
      </c>
      <c r="AE217" s="31" t="str">
        <f t="shared" si="52"/>
        <v>piix-enc-ree</v>
      </c>
      <c r="AF217" s="31" t="str">
        <f t="shared" si="53"/>
        <v>Pio IX - Lettera Enciclica - Respicientes ea</v>
      </c>
    </row>
    <row r="218" spans="2:32" s="31" customFormat="1" x14ac:dyDescent="0.2">
      <c r="B218" s="31">
        <v>255</v>
      </c>
      <c r="C218" s="34" t="s">
        <v>1832</v>
      </c>
      <c r="D218" s="31" t="s">
        <v>715</v>
      </c>
      <c r="E218" s="31" t="s">
        <v>736</v>
      </c>
      <c r="F218" s="31" t="s">
        <v>668</v>
      </c>
      <c r="G218" s="31" t="s">
        <v>669</v>
      </c>
      <c r="H218" s="31" t="str">
        <f t="shared" si="54"/>
        <v>Pio IX</v>
      </c>
      <c r="K218" s="31" t="s">
        <v>1829</v>
      </c>
      <c r="L218" s="31" t="str">
        <f t="shared" si="43"/>
        <v>Costituzione dogmatica</v>
      </c>
      <c r="M218" s="31" t="s">
        <v>979</v>
      </c>
      <c r="O218" s="31" t="s">
        <v>1834</v>
      </c>
      <c r="P218" s="31" t="s">
        <v>1901</v>
      </c>
      <c r="Q218" s="31" t="s">
        <v>1833</v>
      </c>
      <c r="R218" s="35" t="str">
        <f t="shared" si="44"/>
        <v>18</v>
      </c>
      <c r="S218" s="35"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5">
        <f t="shared" si="45"/>
        <v>1870</v>
      </c>
      <c r="U218" s="31"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6"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31"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31">
        <v>216</v>
      </c>
      <c r="Y218" s="31" t="str">
        <f t="shared" si="46"/>
        <v>['Pio IX', 'Costituzione dogmatica', 'Pastor Aeternus', 'piix-cod-pae', '18 luglio 1870', '18/07/1870', '1870/07/18'],</v>
      </c>
      <c r="Z218" s="31" t="str">
        <f t="shared" si="47"/>
        <v>Pastor Aeternus (18 luglio 1870) | Pio IX</v>
      </c>
      <c r="AA218" s="31" t="str">
        <f t="shared" si="48"/>
        <v>Costituzione dogmatica Pastor Aeternus</v>
      </c>
      <c r="AB218" s="31" t="str">
        <f t="shared" si="49"/>
        <v>Costituzione dogmatica Pastor Aeternus</v>
      </c>
      <c r="AC218" s="31" t="str">
        <f t="shared" si="50"/>
        <v>Pio IX, Costituzione dogmatica Pastor Aeternus, 18 luglio 1870</v>
      </c>
      <c r="AD218" s="31" t="str">
        <f t="shared" si="51"/>
        <v>1870-07-18T08:00:00.000+02:00</v>
      </c>
      <c r="AE218" s="31" t="str">
        <f t="shared" si="52"/>
        <v>piix-cod-pae</v>
      </c>
      <c r="AF218" s="31" t="str">
        <f t="shared" si="53"/>
        <v>Pio IX - Costituzione dogmatica - Pastor Aeternus</v>
      </c>
    </row>
    <row r="219" spans="2:32" s="31" customFormat="1" x14ac:dyDescent="0.2">
      <c r="B219" s="31">
        <v>255</v>
      </c>
      <c r="C219" s="34" t="s">
        <v>1830</v>
      </c>
      <c r="D219" s="31" t="s">
        <v>715</v>
      </c>
      <c r="E219" s="31" t="s">
        <v>736</v>
      </c>
      <c r="F219" s="31" t="s">
        <v>668</v>
      </c>
      <c r="G219" s="31" t="s">
        <v>669</v>
      </c>
      <c r="H219" s="31" t="str">
        <f t="shared" si="54"/>
        <v>Pio IX</v>
      </c>
      <c r="I219" s="31" t="s">
        <v>603</v>
      </c>
      <c r="J219" s="31" t="s">
        <v>829</v>
      </c>
      <c r="K219" s="31" t="s">
        <v>694</v>
      </c>
      <c r="L219" s="31" t="str">
        <f t="shared" si="43"/>
        <v>Lettera Enciclica</v>
      </c>
      <c r="M219" s="31" t="s">
        <v>579</v>
      </c>
      <c r="O219" s="31" t="s">
        <v>1831</v>
      </c>
      <c r="P219" s="31" t="s">
        <v>1902</v>
      </c>
      <c r="Q219" s="31" t="s">
        <v>1881</v>
      </c>
      <c r="R219" s="35" t="str">
        <f t="shared" si="44"/>
        <v>20</v>
      </c>
      <c r="S219" s="35"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5">
        <f t="shared" si="45"/>
        <v>1870</v>
      </c>
      <c r="U219" s="31"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6"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31"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31">
        <v>217</v>
      </c>
      <c r="Y219" s="31" t="str">
        <f t="shared" si="46"/>
        <v>['Pio IX', 'Enciclica', 'Quo impensiore', 'piix-enc-qui', '20 maggio 1870', '20/05/1870', '1870/05/20'],</v>
      </c>
      <c r="Z219" s="31" t="str">
        <f t="shared" si="47"/>
        <v>Quo impensiore (20 maggio 1870) | Pio IX</v>
      </c>
      <c r="AA219" s="31" t="str">
        <f t="shared" si="48"/>
        <v>Enciclica Quo impensiore</v>
      </c>
      <c r="AB219" s="31" t="str">
        <f t="shared" si="49"/>
        <v>Enciclica Quo impensiore</v>
      </c>
      <c r="AC219" s="31" t="str">
        <f t="shared" si="50"/>
        <v>Pio IX, Lettera Enciclica Quo impensiore, 20 maggio 1870</v>
      </c>
      <c r="AD219" s="31" t="str">
        <f t="shared" si="51"/>
        <v>1870-05-20T08:00:00.000+02:00</v>
      </c>
      <c r="AE219" s="31" t="str">
        <f t="shared" si="52"/>
        <v>piix-enc-qui</v>
      </c>
      <c r="AF219" s="31" t="str">
        <f t="shared" si="53"/>
        <v>Pio IX - Lettera Enciclica - Quo impensiore</v>
      </c>
    </row>
    <row r="220" spans="2:32" s="31" customFormat="1" x14ac:dyDescent="0.2">
      <c r="B220" s="31">
        <v>255</v>
      </c>
      <c r="C220" s="34" t="s">
        <v>1826</v>
      </c>
      <c r="D220" s="31" t="s">
        <v>715</v>
      </c>
      <c r="E220" s="31" t="s">
        <v>736</v>
      </c>
      <c r="F220" s="31" t="s">
        <v>668</v>
      </c>
      <c r="G220" s="31" t="s">
        <v>669</v>
      </c>
      <c r="H220" s="31" t="str">
        <f t="shared" si="54"/>
        <v>Pio IX</v>
      </c>
      <c r="K220" s="31" t="s">
        <v>1829</v>
      </c>
      <c r="L220" s="31" t="str">
        <f t="shared" si="43"/>
        <v>Costituzione dogmatica</v>
      </c>
      <c r="M220" s="31" t="s">
        <v>979</v>
      </c>
      <c r="O220" s="31" t="s">
        <v>1828</v>
      </c>
      <c r="P220" s="31" t="s">
        <v>1903</v>
      </c>
      <c r="Q220" s="31" t="s">
        <v>1827</v>
      </c>
      <c r="R220" s="35" t="str">
        <f t="shared" si="44"/>
        <v>24</v>
      </c>
      <c r="S220" s="35"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5">
        <f t="shared" si="45"/>
        <v>1870</v>
      </c>
      <c r="U220" s="31"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6"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31"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31">
        <v>218</v>
      </c>
      <c r="Y220" s="31" t="str">
        <f t="shared" si="46"/>
        <v>['Pio IX', 'Costituzione dogmatica', 'Dei Filius', 'piix-cod-def', '24 aprile 1870', '24/04/1870', '1870/04/24'],</v>
      </c>
      <c r="Z220" s="31" t="str">
        <f t="shared" si="47"/>
        <v>Dei Filius (24 aprile 1870) | Pio IX</v>
      </c>
      <c r="AA220" s="31" t="str">
        <f t="shared" si="48"/>
        <v>Costituzione dogmatica Dei Filius</v>
      </c>
      <c r="AB220" s="31" t="str">
        <f t="shared" si="49"/>
        <v>Costituzione dogmatica Dei Filius</v>
      </c>
      <c r="AC220" s="31" t="str">
        <f t="shared" si="50"/>
        <v>Pio IX, Costituzione dogmatica Dei Filius, 24 aprile 1870</v>
      </c>
      <c r="AD220" s="31" t="str">
        <f t="shared" si="51"/>
        <v>1870-04-24T08:00:00.000+02:00</v>
      </c>
      <c r="AE220" s="31" t="str">
        <f t="shared" si="52"/>
        <v>piix-cod-def</v>
      </c>
      <c r="AF220" s="31" t="str">
        <f t="shared" si="53"/>
        <v>Pio IX - Costituzione dogmatica - Dei Filius</v>
      </c>
    </row>
    <row r="221" spans="2:32" s="31" customFormat="1" x14ac:dyDescent="0.2">
      <c r="B221" s="31">
        <v>255</v>
      </c>
      <c r="C221" s="34" t="s">
        <v>1824</v>
      </c>
      <c r="D221" s="31" t="s">
        <v>715</v>
      </c>
      <c r="E221" s="31" t="s">
        <v>736</v>
      </c>
      <c r="F221" s="31" t="s">
        <v>668</v>
      </c>
      <c r="G221" s="31" t="s">
        <v>669</v>
      </c>
      <c r="H221" s="31" t="str">
        <f t="shared" si="54"/>
        <v>Pio IX</v>
      </c>
      <c r="K221" s="31" t="s">
        <v>825</v>
      </c>
      <c r="L221" s="31" t="str">
        <f t="shared" si="43"/>
        <v>Breve</v>
      </c>
      <c r="M221" s="31" t="s">
        <v>577</v>
      </c>
      <c r="O221" s="31" t="s">
        <v>1303</v>
      </c>
      <c r="P221" s="31" t="s">
        <v>1652</v>
      </c>
      <c r="Q221" s="31" t="s">
        <v>1825</v>
      </c>
      <c r="R221" s="35" t="str">
        <f t="shared" si="44"/>
        <v>05</v>
      </c>
      <c r="S221" s="35"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5">
        <f t="shared" si="45"/>
        <v>1870</v>
      </c>
      <c r="U221" s="31"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6"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31"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31">
        <v>219</v>
      </c>
      <c r="Y221" s="31" t="str">
        <f t="shared" si="46"/>
        <v>['Pio IX', 'Breve', 'Apostolici ministerii', 'piix-bre-apm', '05 aprile 1870', '05/04/1870', '1870/04/05'],</v>
      </c>
      <c r="Z221" s="31" t="str">
        <f t="shared" si="47"/>
        <v>Apostolici ministerii (5 aprile 1870) | Pio IX</v>
      </c>
      <c r="AA221" s="31" t="str">
        <f t="shared" si="48"/>
        <v>Breve Apostolici ministerii</v>
      </c>
      <c r="AB221" s="31" t="str">
        <f t="shared" si="49"/>
        <v>Breve Apostolici ministerii</v>
      </c>
      <c r="AC221" s="31" t="str">
        <f t="shared" si="50"/>
        <v>Pio IX, Breve Apostolici ministerii, 05 aprile 1870</v>
      </c>
      <c r="AD221" s="31" t="str">
        <f t="shared" si="51"/>
        <v>1870-04-05T08:00:00.000+02:00</v>
      </c>
      <c r="AE221" s="31" t="str">
        <f t="shared" si="52"/>
        <v>piix-bre-apm</v>
      </c>
      <c r="AF221" s="31" t="str">
        <f t="shared" si="53"/>
        <v>Pio IX - Breve - Apostolici ministerii</v>
      </c>
    </row>
    <row r="222" spans="2:32" s="31" customFormat="1" x14ac:dyDescent="0.2">
      <c r="B222" s="31">
        <v>255</v>
      </c>
      <c r="C222" s="34" t="s">
        <v>1822</v>
      </c>
      <c r="D222" s="31" t="s">
        <v>715</v>
      </c>
      <c r="E222" s="31" t="s">
        <v>736</v>
      </c>
      <c r="F222" s="31" t="s">
        <v>668</v>
      </c>
      <c r="G222" s="31" t="s">
        <v>669</v>
      </c>
      <c r="H222" s="31" t="str">
        <f t="shared" si="54"/>
        <v>Pio IX</v>
      </c>
      <c r="K222" s="31" t="s">
        <v>824</v>
      </c>
      <c r="L222" s="31" t="str">
        <f t="shared" si="43"/>
        <v>Bolla</v>
      </c>
      <c r="M222" s="31" t="s">
        <v>564</v>
      </c>
      <c r="O222" s="31" t="s">
        <v>1801</v>
      </c>
      <c r="P222" s="31" t="s">
        <v>1904</v>
      </c>
      <c r="Q222" s="31" t="s">
        <v>1823</v>
      </c>
      <c r="R222" s="35" t="str">
        <f t="shared" si="44"/>
        <v>23</v>
      </c>
      <c r="S222" s="35"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5">
        <f t="shared" si="45"/>
        <v>1870</v>
      </c>
      <c r="U222" s="31"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6"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31"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31">
        <v>220</v>
      </c>
      <c r="Y222" s="31" t="str">
        <f t="shared" si="46"/>
        <v>['Pio IX', 'Bolla', 'Multiplices inter', 'piix-bol-mui', '23 marzo 1870', '23/03/1870', '1870/03/23'],</v>
      </c>
      <c r="Z222" s="31" t="str">
        <f t="shared" si="47"/>
        <v>Multiplices inter (23 marzo 1870) | Pio IX</v>
      </c>
      <c r="AA222" s="31" t="str">
        <f t="shared" si="48"/>
        <v>Bolla Multiplices inter</v>
      </c>
      <c r="AB222" s="31" t="str">
        <f t="shared" si="49"/>
        <v>Bolla Multiplices inter</v>
      </c>
      <c r="AC222" s="31" t="str">
        <f t="shared" si="50"/>
        <v>Pio IX, Bolla Multiplices inter, 23 marzo 1870</v>
      </c>
      <c r="AD222" s="31" t="str">
        <f t="shared" si="51"/>
        <v>1870-03-23T08:00:00.000+02:00</v>
      </c>
      <c r="AE222" s="31" t="str">
        <f t="shared" si="52"/>
        <v>piix-bol-mui</v>
      </c>
      <c r="AF222" s="31" t="str">
        <f t="shared" si="53"/>
        <v>Pio IX - Bolla - Multiplices inter</v>
      </c>
    </row>
    <row r="223" spans="2:32" s="31" customFormat="1" x14ac:dyDescent="0.2">
      <c r="B223" s="31">
        <v>255</v>
      </c>
      <c r="C223" s="34" t="s">
        <v>1819</v>
      </c>
      <c r="D223" s="31" t="s">
        <v>715</v>
      </c>
      <c r="E223" s="31" t="s">
        <v>736</v>
      </c>
      <c r="F223" s="31" t="s">
        <v>668</v>
      </c>
      <c r="G223" s="31" t="s">
        <v>669</v>
      </c>
      <c r="H223" s="31" t="str">
        <f t="shared" si="54"/>
        <v>Pio IX</v>
      </c>
      <c r="K223" s="31" t="s">
        <v>830</v>
      </c>
      <c r="L223" s="31" t="str">
        <f t="shared" si="43"/>
        <v>Lettera Apostolica</v>
      </c>
      <c r="M223" s="31" t="s">
        <v>569</v>
      </c>
      <c r="O223" s="31" t="s">
        <v>1821</v>
      </c>
      <c r="P223" s="31" t="s">
        <v>1905</v>
      </c>
      <c r="Q223" s="31" t="s">
        <v>1820</v>
      </c>
      <c r="R223" s="35" t="str">
        <f t="shared" si="44"/>
        <v>24</v>
      </c>
      <c r="S223" s="35"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5">
        <f t="shared" si="45"/>
        <v>1870</v>
      </c>
      <c r="U223" s="31"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6"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31"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31">
        <v>221</v>
      </c>
      <c r="Y223" s="31" t="str">
        <f t="shared" si="46"/>
        <v>['Pio IX', 'Lettera Apostolica', 'Non sine gravissimo', 'piix-lea-nsg', '24 febbraio 1870', '24/02/1870', '1870/02/24'],</v>
      </c>
      <c r="Z223" s="31" t="str">
        <f t="shared" si="47"/>
        <v>Non sine gravissimo (24 febbraio 1870) | Pio IX</v>
      </c>
      <c r="AA223" s="31" t="str">
        <f t="shared" si="48"/>
        <v>Lettera Apostolica Non sine gravissimo</v>
      </c>
      <c r="AB223" s="31" t="str">
        <f t="shared" si="49"/>
        <v>Lettera Apostolica Non sine gravissimo</v>
      </c>
      <c r="AC223" s="31" t="str">
        <f t="shared" si="50"/>
        <v>Pio IX, Lettera Apostolica Non sine gravissimo, 24 febbraio 1870</v>
      </c>
      <c r="AD223" s="31" t="str">
        <f t="shared" si="51"/>
        <v>1870-02-24T08:00:00.000+02:00</v>
      </c>
      <c r="AE223" s="31" t="str">
        <f t="shared" si="52"/>
        <v>piix-lea-nsg</v>
      </c>
      <c r="AF223" s="31" t="str">
        <f t="shared" si="53"/>
        <v>Pio IX - Lettera Apostolica - Non sine gravissimo</v>
      </c>
    </row>
    <row r="224" spans="2:32" s="31" customFormat="1" x14ac:dyDescent="0.2">
      <c r="B224" s="31">
        <v>255</v>
      </c>
      <c r="C224" s="34" t="s">
        <v>1818</v>
      </c>
      <c r="D224" s="31" t="s">
        <v>715</v>
      </c>
      <c r="E224" s="31" t="s">
        <v>736</v>
      </c>
      <c r="F224" s="31" t="s">
        <v>668</v>
      </c>
      <c r="G224" s="31" t="s">
        <v>669</v>
      </c>
      <c r="H224" s="31" t="str">
        <f t="shared" si="54"/>
        <v>Pio IX</v>
      </c>
      <c r="K224" s="31" t="s">
        <v>830</v>
      </c>
      <c r="L224" s="31" t="str">
        <f t="shared" si="43"/>
        <v>Lettera Apostolica</v>
      </c>
      <c r="M224" s="31" t="s">
        <v>569</v>
      </c>
      <c r="O224" s="31" t="s">
        <v>2958</v>
      </c>
      <c r="P224" s="31" t="s">
        <v>2959</v>
      </c>
      <c r="Q224" s="31" t="s">
        <v>1882</v>
      </c>
      <c r="R224" s="35" t="str">
        <f t="shared" si="44"/>
        <v>23</v>
      </c>
      <c r="S224" s="35"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5">
        <f t="shared" si="45"/>
        <v>1870</v>
      </c>
      <c r="U224" s="31"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6"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31"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31">
        <v>222</v>
      </c>
      <c r="Y224" s="31" t="str">
        <f t="shared" si="46"/>
        <v>['Pio IX', 'Lettera Apostolica', 'Religiosas regularium', 'piix-lea-rer', '23 febbraio 1870', '23/02/1870', '1870/02/23'],</v>
      </c>
      <c r="Z224" s="31" t="str">
        <f t="shared" si="47"/>
        <v>Religiosas regularium (23 febbraio 1870) | Pio IX</v>
      </c>
      <c r="AA224" s="31" t="str">
        <f t="shared" si="48"/>
        <v>Lettera Apostolica Religiosas regularium</v>
      </c>
      <c r="AB224" s="31" t="str">
        <f t="shared" si="49"/>
        <v>Lettera Apostolica Religiosas regularium</v>
      </c>
      <c r="AC224" s="31" t="str">
        <f t="shared" si="50"/>
        <v>Pio IX, Lettera Apostolica Religiosas regularium, 23 febbraio 1870</v>
      </c>
      <c r="AD224" s="31" t="str">
        <f t="shared" si="51"/>
        <v>1870-02-23T08:00:00.000+02:00</v>
      </c>
      <c r="AE224" s="31" t="str">
        <f t="shared" si="52"/>
        <v>piix-lea-rer</v>
      </c>
      <c r="AF224" s="31" t="str">
        <f t="shared" si="53"/>
        <v>Pio IX - Lettera Apostolica - Religiosas regularium</v>
      </c>
    </row>
    <row r="225" spans="2:32" s="31" customFormat="1" x14ac:dyDescent="0.2">
      <c r="B225" s="31">
        <v>255</v>
      </c>
      <c r="C225" s="34" t="s">
        <v>1815</v>
      </c>
      <c r="D225" s="31" t="s">
        <v>715</v>
      </c>
      <c r="E225" s="31" t="s">
        <v>736</v>
      </c>
      <c r="F225" s="31" t="s">
        <v>668</v>
      </c>
      <c r="G225" s="31" t="s">
        <v>669</v>
      </c>
      <c r="H225" s="31" t="str">
        <f t="shared" si="54"/>
        <v>Pio IX</v>
      </c>
      <c r="I225" s="31" t="s">
        <v>603</v>
      </c>
      <c r="J225" s="31" t="s">
        <v>829</v>
      </c>
      <c r="K225" s="31" t="s">
        <v>694</v>
      </c>
      <c r="L225" s="31" t="str">
        <f t="shared" si="43"/>
        <v>Lettera Enciclica</v>
      </c>
      <c r="M225" s="31" t="s">
        <v>579</v>
      </c>
      <c r="O225" s="31" t="s">
        <v>1817</v>
      </c>
      <c r="P225" s="31" t="s">
        <v>1906</v>
      </c>
      <c r="Q225" s="31" t="s">
        <v>1816</v>
      </c>
      <c r="R225" s="35" t="str">
        <f t="shared" si="44"/>
        <v>13</v>
      </c>
      <c r="S225" s="35"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5">
        <f t="shared" si="45"/>
        <v>1868</v>
      </c>
      <c r="U225" s="31"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6"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31"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31">
        <v>223</v>
      </c>
      <c r="Y225" s="31" t="str">
        <f t="shared" si="46"/>
        <v>['Pio IX', 'Enciclica', 'Iam vos omnes', 'piix-enc-ivo', '13 settembre 1868', '13/09/1868', '1868/09/13'],</v>
      </c>
      <c r="Z225" s="31" t="str">
        <f t="shared" si="47"/>
        <v>Iam vos omnes (13 settembre 1868) | Pio IX</v>
      </c>
      <c r="AA225" s="31" t="str">
        <f t="shared" si="48"/>
        <v>Enciclica Iam vos omnes</v>
      </c>
      <c r="AB225" s="31" t="str">
        <f t="shared" si="49"/>
        <v>Enciclica Iam vos omnes</v>
      </c>
      <c r="AC225" s="31" t="str">
        <f t="shared" si="50"/>
        <v>Pio IX, Lettera Enciclica Iam vos omnes, 13 settembre 1868</v>
      </c>
      <c r="AD225" s="31" t="str">
        <f t="shared" si="51"/>
        <v>1868-09-13T08:00:00.000+02:00</v>
      </c>
      <c r="AE225" s="31" t="str">
        <f t="shared" si="52"/>
        <v>piix-enc-ivo</v>
      </c>
      <c r="AF225" s="31" t="str">
        <f t="shared" si="53"/>
        <v>Pio IX - Lettera Enciclica - Iam vos omnes</v>
      </c>
    </row>
    <row r="226" spans="2:32" s="31" customFormat="1" x14ac:dyDescent="0.2">
      <c r="B226" s="31">
        <v>255</v>
      </c>
      <c r="C226" s="34" t="s">
        <v>1812</v>
      </c>
      <c r="D226" s="31" t="s">
        <v>715</v>
      </c>
      <c r="E226" s="31" t="s">
        <v>736</v>
      </c>
      <c r="F226" s="31" t="s">
        <v>668</v>
      </c>
      <c r="G226" s="31" t="s">
        <v>669</v>
      </c>
      <c r="H226" s="31" t="str">
        <f t="shared" si="54"/>
        <v>Pio IX</v>
      </c>
      <c r="I226" s="31" t="s">
        <v>603</v>
      </c>
      <c r="J226" s="31" t="s">
        <v>829</v>
      </c>
      <c r="K226" s="31" t="s">
        <v>694</v>
      </c>
      <c r="L226" s="31" t="str">
        <f t="shared" si="43"/>
        <v>Lettera Enciclica</v>
      </c>
      <c r="M226" s="31" t="s">
        <v>579</v>
      </c>
      <c r="O226" s="31" t="s">
        <v>1814</v>
      </c>
      <c r="P226" s="31" t="s">
        <v>1023</v>
      </c>
      <c r="Q226" s="31" t="s">
        <v>1813</v>
      </c>
      <c r="R226" s="35" t="str">
        <f t="shared" si="44"/>
        <v>08</v>
      </c>
      <c r="S226" s="35"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5">
        <f t="shared" si="45"/>
        <v>1868</v>
      </c>
      <c r="U226" s="31"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6"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31"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31">
        <v>224</v>
      </c>
      <c r="Y226" s="31" t="str">
        <f t="shared" si="46"/>
        <v>['Pio IX', 'Enciclica', 'Arcano divinae', 'piix-enc-ard', '08 settembre 1868', '08/09/1868', '1868/09/08'],</v>
      </c>
      <c r="Z226" s="31" t="str">
        <f t="shared" si="47"/>
        <v>Arcano divinae (8 settembre 1868) | Pio IX</v>
      </c>
      <c r="AA226" s="31" t="str">
        <f t="shared" si="48"/>
        <v>Enciclica Arcano divinae</v>
      </c>
      <c r="AB226" s="31" t="str">
        <f t="shared" si="49"/>
        <v>Enciclica Arcano divinae</v>
      </c>
      <c r="AC226" s="31" t="str">
        <f t="shared" si="50"/>
        <v>Pio IX, Lettera Enciclica Arcano divinae, 08 settembre 1868</v>
      </c>
      <c r="AD226" s="31" t="str">
        <f t="shared" si="51"/>
        <v>1868-09-08T08:00:00.000+02:00</v>
      </c>
      <c r="AE226" s="31" t="str">
        <f t="shared" si="52"/>
        <v>piix-enc-ard</v>
      </c>
      <c r="AF226" s="31" t="str">
        <f t="shared" si="53"/>
        <v>Pio IX - Lettera Enciclica - Arcano divinae</v>
      </c>
    </row>
    <row r="227" spans="2:32" s="31" customFormat="1" x14ac:dyDescent="0.2">
      <c r="B227" s="31">
        <v>255</v>
      </c>
      <c r="C227" s="34" t="s">
        <v>1810</v>
      </c>
      <c r="D227" s="31" t="s">
        <v>715</v>
      </c>
      <c r="E227" s="31" t="s">
        <v>736</v>
      </c>
      <c r="F227" s="31" t="s">
        <v>668</v>
      </c>
      <c r="G227" s="31" t="s">
        <v>669</v>
      </c>
      <c r="H227" s="31" t="str">
        <f t="shared" si="54"/>
        <v>Pio IX</v>
      </c>
      <c r="K227" s="31" t="s">
        <v>824</v>
      </c>
      <c r="L227" s="31" t="str">
        <f t="shared" si="43"/>
        <v>Bolla</v>
      </c>
      <c r="M227" s="31" t="s">
        <v>564</v>
      </c>
      <c r="O227" s="31" t="s">
        <v>175</v>
      </c>
      <c r="P227" s="31" t="s">
        <v>1022</v>
      </c>
      <c r="Q227" s="31" t="s">
        <v>1811</v>
      </c>
      <c r="R227" s="35" t="str">
        <f t="shared" si="44"/>
        <v>29</v>
      </c>
      <c r="S227" s="35"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5">
        <f t="shared" si="45"/>
        <v>1868</v>
      </c>
      <c r="U227" s="31"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6"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31"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31">
        <v>225</v>
      </c>
      <c r="Y227" s="31" t="str">
        <f t="shared" si="46"/>
        <v>['Pio IX', 'Bolla', 'Aeterni Patris', 'piix-bol-aep', '29 giugno 1868', '29/06/1868', '1868/06/29'],</v>
      </c>
      <c r="Z227" s="31" t="str">
        <f t="shared" si="47"/>
        <v>Aeterni Patris (29 giugno 1868) | Pio IX</v>
      </c>
      <c r="AA227" s="31" t="str">
        <f t="shared" si="48"/>
        <v>Bolla Aeterni Patris</v>
      </c>
      <c r="AB227" s="31" t="str">
        <f t="shared" si="49"/>
        <v>Bolla Aeterni Patris</v>
      </c>
      <c r="AC227" s="31" t="str">
        <f t="shared" si="50"/>
        <v>Pio IX, Bolla Aeterni Patris, 29 giugno 1868</v>
      </c>
      <c r="AD227" s="31" t="str">
        <f t="shared" si="51"/>
        <v>1868-06-29T08:00:00.000+02:00</v>
      </c>
      <c r="AE227" s="31" t="str">
        <f t="shared" si="52"/>
        <v>piix-bol-aep</v>
      </c>
      <c r="AF227" s="31" t="str">
        <f t="shared" si="53"/>
        <v>Pio IX - Bolla - Aeterni Patris</v>
      </c>
    </row>
    <row r="228" spans="2:32" s="31" customFormat="1" x14ac:dyDescent="0.2">
      <c r="B228" s="31">
        <v>255</v>
      </c>
      <c r="C228" s="34" t="s">
        <v>1807</v>
      </c>
      <c r="D228" s="31" t="s">
        <v>715</v>
      </c>
      <c r="E228" s="31" t="s">
        <v>736</v>
      </c>
      <c r="F228" s="31" t="s">
        <v>668</v>
      </c>
      <c r="G228" s="31" t="s">
        <v>669</v>
      </c>
      <c r="H228" s="31" t="str">
        <f t="shared" si="54"/>
        <v>Pio IX</v>
      </c>
      <c r="K228" s="31" t="s">
        <v>825</v>
      </c>
      <c r="L228" s="31" t="str">
        <f t="shared" si="43"/>
        <v>Breve</v>
      </c>
      <c r="M228" s="31" t="s">
        <v>577</v>
      </c>
      <c r="O228" s="31" t="s">
        <v>1809</v>
      </c>
      <c r="P228" s="31" t="s">
        <v>1907</v>
      </c>
      <c r="Q228" s="31" t="s">
        <v>1808</v>
      </c>
      <c r="R228" s="35" t="str">
        <f t="shared" si="44"/>
        <v>14</v>
      </c>
      <c r="S228" s="35"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5">
        <f t="shared" si="45"/>
        <v>1867</v>
      </c>
      <c r="U228" s="31"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6"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31"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31">
        <v>226</v>
      </c>
      <c r="Y228" s="31" t="str">
        <f t="shared" si="46"/>
        <v>['Pio IX', 'Breve', 'Ex quo infensissimi', 'piix-bre-eqi', '14 novembre 1867', '14/11/1867', '1867/11/14'],</v>
      </c>
      <c r="Z228" s="31" t="str">
        <f t="shared" si="47"/>
        <v>Ex quo infensissimi (14 novembre 1867) | Pio IX</v>
      </c>
      <c r="AA228" s="31" t="str">
        <f t="shared" si="48"/>
        <v>Breve Ex quo infensissimi</v>
      </c>
      <c r="AB228" s="31" t="str">
        <f t="shared" si="49"/>
        <v>Breve Ex quo infensissimi</v>
      </c>
      <c r="AC228" s="31" t="str">
        <f t="shared" si="50"/>
        <v>Pio IX, Breve Ex quo infensissimi, 14 novembre 1867</v>
      </c>
      <c r="AD228" s="31" t="str">
        <f t="shared" si="51"/>
        <v>1867-11-14T08:00:00.000+02:00</v>
      </c>
      <c r="AE228" s="31" t="str">
        <f t="shared" si="52"/>
        <v>piix-bre-eqi</v>
      </c>
      <c r="AF228" s="31" t="str">
        <f t="shared" si="53"/>
        <v>Pio IX - Breve - Ex quo infensissimi</v>
      </c>
    </row>
    <row r="229" spans="2:32" s="31" customFormat="1" x14ac:dyDescent="0.2">
      <c r="B229" s="31">
        <v>255</v>
      </c>
      <c r="C229" s="34" t="s">
        <v>1805</v>
      </c>
      <c r="D229" s="31" t="s">
        <v>715</v>
      </c>
      <c r="E229" s="31" t="s">
        <v>736</v>
      </c>
      <c r="F229" s="31" t="s">
        <v>668</v>
      </c>
      <c r="G229" s="31" t="s">
        <v>669</v>
      </c>
      <c r="H229" s="31" t="str">
        <f t="shared" si="54"/>
        <v>Pio IX</v>
      </c>
      <c r="I229" s="31" t="s">
        <v>603</v>
      </c>
      <c r="J229" s="31" t="s">
        <v>829</v>
      </c>
      <c r="K229" s="31" t="s">
        <v>694</v>
      </c>
      <c r="L229" s="31" t="str">
        <f t="shared" si="43"/>
        <v>Lettera Enciclica</v>
      </c>
      <c r="M229" s="31" t="s">
        <v>579</v>
      </c>
      <c r="O229" s="31" t="s">
        <v>287</v>
      </c>
      <c r="P229" s="31" t="s">
        <v>1007</v>
      </c>
      <c r="Q229" s="31" t="s">
        <v>1806</v>
      </c>
      <c r="R229" s="35" t="str">
        <f t="shared" si="44"/>
        <v>17</v>
      </c>
      <c r="S229" s="35"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5">
        <f t="shared" si="45"/>
        <v>1867</v>
      </c>
      <c r="U229" s="31"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6"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31"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31">
        <v>227</v>
      </c>
      <c r="Y229" s="31" t="str">
        <f t="shared" si="46"/>
        <v>['Pio IX', 'Enciclica', 'Levate', 'piix-enc-lev', '17 ottobre 1867', '17/10/1867', '1867/10/17'],</v>
      </c>
      <c r="Z229" s="31" t="str">
        <f t="shared" si="47"/>
        <v>Levate (17 Ottobre 1867) | Pio IX</v>
      </c>
      <c r="AA229" s="31" t="str">
        <f t="shared" si="48"/>
        <v>Enciclica Levate</v>
      </c>
      <c r="AB229" s="31" t="str">
        <f t="shared" si="49"/>
        <v>Enciclica Levate</v>
      </c>
      <c r="AC229" s="31" t="str">
        <f t="shared" si="50"/>
        <v>Pio IX, Lettera Enciclica Levate, 17 ottobre 1867</v>
      </c>
      <c r="AD229" s="31" t="str">
        <f t="shared" si="51"/>
        <v>1867-10-17T08:00:00.000+02:00</v>
      </c>
      <c r="AE229" s="31" t="str">
        <f t="shared" si="52"/>
        <v>piix-enc-lev</v>
      </c>
      <c r="AF229" s="31" t="str">
        <f t="shared" si="53"/>
        <v>Pio IX - Lettera Enciclica - Levate</v>
      </c>
    </row>
    <row r="230" spans="2:32" s="31" customFormat="1" x14ac:dyDescent="0.2">
      <c r="B230" s="31">
        <v>255</v>
      </c>
      <c r="C230" s="34" t="s">
        <v>1802</v>
      </c>
      <c r="D230" s="31" t="s">
        <v>715</v>
      </c>
      <c r="E230" s="31" t="s">
        <v>736</v>
      </c>
      <c r="F230" s="31" t="s">
        <v>668</v>
      </c>
      <c r="G230" s="31" t="s">
        <v>669</v>
      </c>
      <c r="H230" s="31" t="str">
        <f t="shared" si="54"/>
        <v>Pio IX</v>
      </c>
      <c r="K230" s="31" t="s">
        <v>1254</v>
      </c>
      <c r="L230" s="31" t="str">
        <f t="shared" si="43"/>
        <v>Epistola</v>
      </c>
      <c r="M230" s="31" t="s">
        <v>1256</v>
      </c>
      <c r="O230" s="31" t="s">
        <v>1804</v>
      </c>
      <c r="P230" s="31" t="s">
        <v>1633</v>
      </c>
      <c r="Q230" s="31" t="s">
        <v>1803</v>
      </c>
      <c r="R230" s="35" t="str">
        <f t="shared" si="44"/>
        <v>30</v>
      </c>
      <c r="S230" s="35"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5">
        <f t="shared" si="45"/>
        <v>1865</v>
      </c>
      <c r="U230" s="31"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6"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31"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31">
        <v>228</v>
      </c>
      <c r="Y230" s="31" t="str">
        <f t="shared" si="46"/>
        <v>['Pio IX', 'Epistola', 'Meridionali Americae', 'piix-epi-mea', '30 settembre 1865', '30/09/1865', '1865/09/30'],</v>
      </c>
      <c r="Z230" s="31" t="str">
        <f t="shared" si="47"/>
        <v>Meridionali Americae (30 settembre 1865) | Pio IX</v>
      </c>
      <c r="AA230" s="31" t="str">
        <f t="shared" si="48"/>
        <v>Epistola Meridionali Americae</v>
      </c>
      <c r="AB230" s="31" t="str">
        <f t="shared" si="49"/>
        <v>Epistola Meridionali Americae</v>
      </c>
      <c r="AC230" s="31" t="str">
        <f t="shared" si="50"/>
        <v>Pio IX, Epistola Meridionali Americae, 30 settembre 1865</v>
      </c>
      <c r="AD230" s="31" t="str">
        <f t="shared" si="51"/>
        <v>1865-09-30T08:00:00.000+02:00</v>
      </c>
      <c r="AE230" s="31" t="str">
        <f t="shared" si="52"/>
        <v>piix-epi-mea</v>
      </c>
      <c r="AF230" s="31" t="str">
        <f t="shared" si="53"/>
        <v>Pio IX - Epistola - Meridionali Americae</v>
      </c>
    </row>
    <row r="231" spans="2:32" s="31" customFormat="1" x14ac:dyDescent="0.2">
      <c r="B231" s="31">
        <v>255</v>
      </c>
      <c r="C231" s="34" t="s">
        <v>1799</v>
      </c>
      <c r="D231" s="31" t="s">
        <v>715</v>
      </c>
      <c r="E231" s="31" t="s">
        <v>736</v>
      </c>
      <c r="F231" s="31" t="s">
        <v>668</v>
      </c>
      <c r="G231" s="31" t="s">
        <v>669</v>
      </c>
      <c r="H231" s="31" t="str">
        <f t="shared" si="54"/>
        <v>Pio IX</v>
      </c>
      <c r="K231" s="31" t="s">
        <v>908</v>
      </c>
      <c r="L231" s="31" t="str">
        <f t="shared" si="43"/>
        <v>Allocuzione</v>
      </c>
      <c r="M231" s="31" t="s">
        <v>948</v>
      </c>
      <c r="O231" s="31" t="s">
        <v>1801</v>
      </c>
      <c r="P231" s="31" t="s">
        <v>1904</v>
      </c>
      <c r="Q231" s="31" t="s">
        <v>1800</v>
      </c>
      <c r="R231" s="35" t="str">
        <f t="shared" si="44"/>
        <v>25</v>
      </c>
      <c r="S231" s="35"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5">
        <f t="shared" si="45"/>
        <v>1865</v>
      </c>
      <c r="U231" s="31"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6"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31"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31">
        <v>229</v>
      </c>
      <c r="Y231" s="31" t="str">
        <f t="shared" si="46"/>
        <v>['Pio IX', 'Allocuzione', 'Multiplices inter', 'piix-all-mui', '25 settembre 1865', '25/09/1865', '1865/09/25'],</v>
      </c>
      <c r="Z231" s="31" t="str">
        <f t="shared" si="47"/>
        <v>Multiplices inter (25 settembre 1865) | Pio IX</v>
      </c>
      <c r="AA231" s="31" t="str">
        <f t="shared" si="48"/>
        <v>Allocuzione Multiplices inter</v>
      </c>
      <c r="AB231" s="31" t="str">
        <f t="shared" si="49"/>
        <v>Allocuzione Multiplices inter</v>
      </c>
      <c r="AC231" s="31" t="str">
        <f t="shared" si="50"/>
        <v>Pio IX, Allocuzione Multiplices inter, 25 settembre 1865</v>
      </c>
      <c r="AD231" s="31" t="str">
        <f t="shared" si="51"/>
        <v>1865-09-25T08:00:00.000+02:00</v>
      </c>
      <c r="AE231" s="31" t="str">
        <f t="shared" si="52"/>
        <v>piix-all-mui</v>
      </c>
      <c r="AF231" s="31" t="str">
        <f t="shared" si="53"/>
        <v>Pio IX - Allocuzione - Multiplices inter</v>
      </c>
    </row>
    <row r="232" spans="2:32" s="31" customFormat="1" x14ac:dyDescent="0.2">
      <c r="B232" s="31">
        <v>255</v>
      </c>
      <c r="C232" s="34" t="s">
        <v>1798</v>
      </c>
      <c r="D232" s="31" t="s">
        <v>715</v>
      </c>
      <c r="E232" s="31" t="s">
        <v>736</v>
      </c>
      <c r="F232" s="31" t="s">
        <v>668</v>
      </c>
      <c r="G232" s="31" t="s">
        <v>669</v>
      </c>
      <c r="H232" s="31" t="str">
        <f t="shared" si="54"/>
        <v>Pio IX</v>
      </c>
      <c r="I232" s="31" t="s">
        <v>603</v>
      </c>
      <c r="J232" s="31" t="s">
        <v>829</v>
      </c>
      <c r="K232" s="31" t="s">
        <v>694</v>
      </c>
      <c r="L232" s="31" t="str">
        <f t="shared" si="43"/>
        <v>Lettera Enciclica</v>
      </c>
      <c r="M232" s="31" t="s">
        <v>579</v>
      </c>
      <c r="O232" s="31" t="s">
        <v>286</v>
      </c>
      <c r="P232" s="31" t="s">
        <v>1908</v>
      </c>
      <c r="Q232" s="31" t="s">
        <v>1883</v>
      </c>
      <c r="R232" s="35" t="str">
        <f t="shared" si="44"/>
        <v>08</v>
      </c>
      <c r="S232" s="35"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5">
        <f t="shared" si="45"/>
        <v>1864</v>
      </c>
      <c r="U232" s="31"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6"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31"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31">
        <v>230</v>
      </c>
      <c r="Y232" s="31" t="str">
        <f t="shared" si="46"/>
        <v>['Pio IX', 'Enciclica', 'Quanta cura', 'piix-enc-qcu', '08 dicembre 1864', '08/12/1864', '1864/12/08'],</v>
      </c>
      <c r="Z232" s="31" t="str">
        <f t="shared" si="47"/>
        <v>Quanta cura (8 dicembre 1864) | Pio IX</v>
      </c>
      <c r="AA232" s="31" t="str">
        <f t="shared" si="48"/>
        <v>Enciclica Quanta cura</v>
      </c>
      <c r="AB232" s="31" t="str">
        <f t="shared" si="49"/>
        <v>Enciclica Quanta cura</v>
      </c>
      <c r="AC232" s="31" t="str">
        <f t="shared" si="50"/>
        <v>Pio IX, Lettera Enciclica Quanta cura, 08 dicembre 1864</v>
      </c>
      <c r="AD232" s="31" t="str">
        <f t="shared" si="51"/>
        <v>1864-12-08T08:00:00.000+02:00</v>
      </c>
      <c r="AE232" s="31" t="str">
        <f t="shared" si="52"/>
        <v>piix-enc-qcu</v>
      </c>
      <c r="AF232" s="31" t="str">
        <f t="shared" si="53"/>
        <v>Pio IX - Lettera Enciclica - Quanta cura</v>
      </c>
    </row>
    <row r="233" spans="2:32" s="31" customFormat="1" x14ac:dyDescent="0.2">
      <c r="B233" s="31">
        <v>255</v>
      </c>
      <c r="C233" s="34" t="s">
        <v>1797</v>
      </c>
      <c r="D233" s="31" t="s">
        <v>715</v>
      </c>
      <c r="E233" s="31" t="s">
        <v>736</v>
      </c>
      <c r="F233" s="31" t="s">
        <v>668</v>
      </c>
      <c r="G233" s="31" t="s">
        <v>669</v>
      </c>
      <c r="H233" s="31" t="str">
        <f t="shared" si="54"/>
        <v>Pio IX</v>
      </c>
      <c r="I233" s="31" t="s">
        <v>603</v>
      </c>
      <c r="J233" s="31" t="s">
        <v>829</v>
      </c>
      <c r="K233" s="31" t="s">
        <v>694</v>
      </c>
      <c r="L233" s="31" t="str">
        <f t="shared" si="43"/>
        <v>Lettera Enciclica</v>
      </c>
      <c r="M233" s="31" t="s">
        <v>579</v>
      </c>
      <c r="O233" s="31" t="s">
        <v>285</v>
      </c>
      <c r="P233" s="31" t="s">
        <v>1006</v>
      </c>
      <c r="Q233" s="31" t="s">
        <v>1891</v>
      </c>
      <c r="R233" s="35" t="str">
        <f t="shared" si="44"/>
        <v>18</v>
      </c>
      <c r="S233" s="35"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5">
        <f t="shared" si="45"/>
        <v>1864</v>
      </c>
      <c r="U233" s="31"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6"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31"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31">
        <v>231</v>
      </c>
      <c r="Y233" s="31" t="str">
        <f t="shared" si="46"/>
        <v>['Pio IX', 'Enciclica', 'Maximae quidem', 'piix-enc-maq', '18 agosto 1864', '18/08/1864', '1864/08/18'],</v>
      </c>
      <c r="Z233" s="31" t="str">
        <f t="shared" si="47"/>
        <v>Maximae quidem (18 agosto 1864) | Pio IX</v>
      </c>
      <c r="AA233" s="31" t="str">
        <f t="shared" si="48"/>
        <v>Enciclica Maximae quidem</v>
      </c>
      <c r="AB233" s="31" t="str">
        <f t="shared" si="49"/>
        <v>Enciclica Maximae quidem</v>
      </c>
      <c r="AC233" s="31" t="str">
        <f t="shared" si="50"/>
        <v>Pio IX, Lettera Enciclica Maximae quidem, 18 agosto 1864</v>
      </c>
      <c r="AD233" s="31" t="str">
        <f t="shared" si="51"/>
        <v>1864-08-18T08:00:00.000+02:00</v>
      </c>
      <c r="AE233" s="31" t="str">
        <f t="shared" si="52"/>
        <v>piix-enc-maq</v>
      </c>
      <c r="AF233" s="31" t="str">
        <f t="shared" si="53"/>
        <v>Pio IX - Lettera Enciclica - Maximae quidem</v>
      </c>
    </row>
    <row r="234" spans="2:32" s="31" customFormat="1" x14ac:dyDescent="0.2">
      <c r="B234" s="31">
        <v>255</v>
      </c>
      <c r="C234" s="34" t="s">
        <v>1796</v>
      </c>
      <c r="D234" s="31" t="s">
        <v>715</v>
      </c>
      <c r="E234" s="31" t="s">
        <v>736</v>
      </c>
      <c r="F234" s="31" t="s">
        <v>668</v>
      </c>
      <c r="G234" s="31" t="s">
        <v>669</v>
      </c>
      <c r="H234" s="31" t="str">
        <f t="shared" si="54"/>
        <v>Pio IX</v>
      </c>
      <c r="I234" s="31" t="s">
        <v>603</v>
      </c>
      <c r="J234" s="31" t="s">
        <v>829</v>
      </c>
      <c r="K234" s="31" t="s">
        <v>694</v>
      </c>
      <c r="L234" s="31" t="str">
        <f t="shared" si="43"/>
        <v>Lettera Enciclica</v>
      </c>
      <c r="M234" s="31" t="s">
        <v>579</v>
      </c>
      <c r="O234" s="31" t="s">
        <v>284</v>
      </c>
      <c r="P234" s="31" t="s">
        <v>1005</v>
      </c>
      <c r="Q234" s="31" t="s">
        <v>1892</v>
      </c>
      <c r="R234" s="35" t="str">
        <f t="shared" si="44"/>
        <v>30</v>
      </c>
      <c r="S234" s="35"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5">
        <f t="shared" si="45"/>
        <v>1864</v>
      </c>
      <c r="U234" s="31"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6"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31"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31">
        <v>232</v>
      </c>
      <c r="Y234" s="31" t="str">
        <f t="shared" si="46"/>
        <v>['Pio IX', 'Enciclica', 'Ubi urbaniano', 'piix-enc-ubu', '30 luglio 1864', '30/07/1864', '1864/07/30'],</v>
      </c>
      <c r="Z234" s="31" t="str">
        <f t="shared" si="47"/>
        <v>Ubi urbaniano (30 luglio 1864) | Pio IX</v>
      </c>
      <c r="AA234" s="31" t="str">
        <f t="shared" si="48"/>
        <v>Enciclica Ubi urbaniano</v>
      </c>
      <c r="AB234" s="31" t="str">
        <f t="shared" si="49"/>
        <v>Enciclica Ubi urbaniano</v>
      </c>
      <c r="AC234" s="31" t="str">
        <f t="shared" si="50"/>
        <v>Pio IX, Lettera Enciclica Ubi urbaniano, 30 luglio 1864</v>
      </c>
      <c r="AD234" s="31" t="str">
        <f t="shared" si="51"/>
        <v>1864-07-30T08:00:00.000+02:00</v>
      </c>
      <c r="AE234" s="31" t="str">
        <f t="shared" si="52"/>
        <v>piix-enc-ubu</v>
      </c>
      <c r="AF234" s="31" t="str">
        <f t="shared" si="53"/>
        <v>Pio IX - Lettera Enciclica - Ubi urbaniano</v>
      </c>
    </row>
    <row r="235" spans="2:32" s="31" customFormat="1" x14ac:dyDescent="0.2">
      <c r="B235" s="31">
        <v>255</v>
      </c>
      <c r="C235" s="34" t="s">
        <v>1793</v>
      </c>
      <c r="D235" s="31" t="s">
        <v>715</v>
      </c>
      <c r="E235" s="31" t="s">
        <v>736</v>
      </c>
      <c r="F235" s="31" t="s">
        <v>668</v>
      </c>
      <c r="G235" s="31" t="s">
        <v>669</v>
      </c>
      <c r="H235" s="31" t="str">
        <f t="shared" si="54"/>
        <v>Pio IX</v>
      </c>
      <c r="K235" s="31" t="s">
        <v>825</v>
      </c>
      <c r="L235" s="31" t="str">
        <f t="shared" si="43"/>
        <v>Breve</v>
      </c>
      <c r="M235" s="31" t="s">
        <v>577</v>
      </c>
      <c r="O235" s="31" t="s">
        <v>1795</v>
      </c>
      <c r="P235" s="31" t="s">
        <v>1909</v>
      </c>
      <c r="Q235" s="31" t="s">
        <v>1794</v>
      </c>
      <c r="R235" s="35" t="str">
        <f t="shared" si="44"/>
        <v>28</v>
      </c>
      <c r="S235" s="35"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5">
        <f t="shared" si="45"/>
        <v>1864</v>
      </c>
      <c r="U235" s="31"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6"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31"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31">
        <v>233</v>
      </c>
      <c r="Y235" s="31" t="str">
        <f t="shared" si="46"/>
        <v>['Pio IX', 'Breve', 'Multis gravissimis', 'piix-bre-mug', '28 gennaio 1864', '28/01/1864', '1864/01/28'],</v>
      </c>
      <c r="Z235" s="31" t="str">
        <f t="shared" si="47"/>
        <v>Multis gravissimis (28 gennaio 1864) | Pio IX</v>
      </c>
      <c r="AA235" s="31" t="str">
        <f t="shared" si="48"/>
        <v>Breve Multis gravissimis</v>
      </c>
      <c r="AB235" s="31" t="str">
        <f t="shared" si="49"/>
        <v>Breve Multis gravissimis</v>
      </c>
      <c r="AC235" s="31" t="str">
        <f t="shared" si="50"/>
        <v>Pio IX, Breve Multis gravissimis, 28 gennaio 1864</v>
      </c>
      <c r="AD235" s="31" t="str">
        <f t="shared" si="51"/>
        <v>1864-01-28T08:00:00.000+02:00</v>
      </c>
      <c r="AE235" s="31" t="str">
        <f t="shared" si="52"/>
        <v>piix-bre-mug</v>
      </c>
      <c r="AF235" s="31" t="str">
        <f t="shared" si="53"/>
        <v>Pio IX - Breve - Multis gravissimis</v>
      </c>
    </row>
    <row r="236" spans="2:32" s="31" customFormat="1" x14ac:dyDescent="0.2">
      <c r="B236" s="31">
        <v>255</v>
      </c>
      <c r="C236" s="34" t="s">
        <v>1791</v>
      </c>
      <c r="D236" s="31" t="s">
        <v>715</v>
      </c>
      <c r="E236" s="31" t="s">
        <v>736</v>
      </c>
      <c r="F236" s="31" t="s">
        <v>668</v>
      </c>
      <c r="G236" s="31" t="s">
        <v>669</v>
      </c>
      <c r="H236" s="31" t="str">
        <f t="shared" si="54"/>
        <v>Pio IX</v>
      </c>
      <c r="K236" s="31" t="s">
        <v>1254</v>
      </c>
      <c r="L236" s="31" t="str">
        <f t="shared" si="43"/>
        <v>Epistola</v>
      </c>
      <c r="M236" s="31" t="s">
        <v>1256</v>
      </c>
      <c r="O236" s="31" t="s">
        <v>1792</v>
      </c>
      <c r="P236" s="31" t="s">
        <v>1688</v>
      </c>
      <c r="Q236" s="31" t="s">
        <v>1884</v>
      </c>
      <c r="R236" s="35" t="str">
        <f t="shared" si="44"/>
        <v>21</v>
      </c>
      <c r="S236" s="35"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5">
        <f t="shared" si="45"/>
        <v>1863</v>
      </c>
      <c r="U236" s="31"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6"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31"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31">
        <v>234</v>
      </c>
      <c r="Y236" s="31" t="str">
        <f t="shared" si="46"/>
        <v>['Pio IX', 'Epistola', 'Tuas libenter', 'piix-epi-tul', '21 dicembre 1863', '21/12/1863', '1863/12/21'],</v>
      </c>
      <c r="Z236" s="31" t="str">
        <f t="shared" si="47"/>
        <v>Tuas libenter (21 dicembre 1863) | Pio IX</v>
      </c>
      <c r="AA236" s="31" t="str">
        <f t="shared" si="48"/>
        <v>Epistola Tuas libenter</v>
      </c>
      <c r="AB236" s="31" t="str">
        <f t="shared" si="49"/>
        <v>Epistola Tuas libenter</v>
      </c>
      <c r="AC236" s="31" t="str">
        <f t="shared" si="50"/>
        <v>Pio IX, Epistola Tuas libenter, 21 dicembre 1863</v>
      </c>
      <c r="AD236" s="31" t="str">
        <f t="shared" si="51"/>
        <v>1863-12-21T08:00:00.000+02:00</v>
      </c>
      <c r="AE236" s="31" t="str">
        <f t="shared" si="52"/>
        <v>piix-epi-tul</v>
      </c>
      <c r="AF236" s="31" t="str">
        <f t="shared" si="53"/>
        <v>Pio IX - Epistola - Tuas libenter</v>
      </c>
    </row>
    <row r="237" spans="2:32" s="31" customFormat="1" x14ac:dyDescent="0.2">
      <c r="B237" s="31">
        <v>255</v>
      </c>
      <c r="C237" s="34" t="s">
        <v>1789</v>
      </c>
      <c r="D237" s="31" t="s">
        <v>715</v>
      </c>
      <c r="E237" s="31" t="s">
        <v>736</v>
      </c>
      <c r="F237" s="31" t="s">
        <v>668</v>
      </c>
      <c r="G237" s="31" t="s">
        <v>669</v>
      </c>
      <c r="H237" s="31" t="str">
        <f t="shared" si="54"/>
        <v>Pio IX</v>
      </c>
      <c r="I237" s="31" t="s">
        <v>603</v>
      </c>
      <c r="J237" s="31" t="s">
        <v>829</v>
      </c>
      <c r="K237" s="31" t="s">
        <v>694</v>
      </c>
      <c r="L237" s="31" t="str">
        <f t="shared" si="43"/>
        <v>Lettera Enciclica</v>
      </c>
      <c r="M237" s="31" t="s">
        <v>579</v>
      </c>
      <c r="O237" s="31" t="s">
        <v>283</v>
      </c>
      <c r="P237" s="31" t="s">
        <v>1004</v>
      </c>
      <c r="Q237" s="31" t="s">
        <v>1790</v>
      </c>
      <c r="R237" s="35" t="str">
        <f t="shared" si="44"/>
        <v>17</v>
      </c>
      <c r="S237" s="35"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5">
        <f t="shared" si="45"/>
        <v>1863</v>
      </c>
      <c r="U237" s="31"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6"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31"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31">
        <v>235</v>
      </c>
      <c r="Y237" s="31" t="str">
        <f t="shared" si="46"/>
        <v>['Pio IX', 'Enciclica', 'Incredibili afflictamur', 'piix-enc-ina', '17 settembre 1863', '17/09/1863', '1863/09/17'],</v>
      </c>
      <c r="Z237" s="31" t="str">
        <f t="shared" si="47"/>
        <v>Incredibili afflictamur (17 settembre 1863) | Pio IX</v>
      </c>
      <c r="AA237" s="31" t="str">
        <f t="shared" si="48"/>
        <v>Enciclica Incredibili afflictamur</v>
      </c>
      <c r="AB237" s="31" t="str">
        <f t="shared" si="49"/>
        <v>Enciclica Incredibili afflictamur</v>
      </c>
      <c r="AC237" s="31" t="str">
        <f t="shared" si="50"/>
        <v>Pio IX, Lettera Enciclica Incredibili afflictamur, 17 settembre 1863</v>
      </c>
      <c r="AD237" s="31" t="str">
        <f t="shared" si="51"/>
        <v>1863-09-17T08:00:00.000+02:00</v>
      </c>
      <c r="AE237" s="31" t="str">
        <f t="shared" si="52"/>
        <v>piix-enc-ina</v>
      </c>
      <c r="AF237" s="31" t="str">
        <f t="shared" si="53"/>
        <v>Pio IX - Lettera Enciclica - Incredibili afflictamur</v>
      </c>
    </row>
    <row r="238" spans="2:32" s="31" customFormat="1" x14ac:dyDescent="0.2">
      <c r="B238" s="31">
        <v>255</v>
      </c>
      <c r="C238" s="34" t="s">
        <v>1788</v>
      </c>
      <c r="D238" s="31" t="s">
        <v>715</v>
      </c>
      <c r="E238" s="31" t="s">
        <v>736</v>
      </c>
      <c r="F238" s="31" t="s">
        <v>668</v>
      </c>
      <c r="G238" s="31" t="s">
        <v>669</v>
      </c>
      <c r="H238" s="31" t="str">
        <f t="shared" si="54"/>
        <v>Pio IX</v>
      </c>
      <c r="I238" s="31" t="s">
        <v>603</v>
      </c>
      <c r="J238" s="31" t="s">
        <v>829</v>
      </c>
      <c r="K238" s="31" t="s">
        <v>694</v>
      </c>
      <c r="L238" s="31" t="str">
        <f t="shared" si="43"/>
        <v>Lettera Enciclica</v>
      </c>
      <c r="M238" s="31" t="s">
        <v>579</v>
      </c>
      <c r="O238" s="31" t="s">
        <v>282</v>
      </c>
      <c r="P238" s="31" t="s">
        <v>1003</v>
      </c>
      <c r="Q238" s="31" t="s">
        <v>1885</v>
      </c>
      <c r="R238" s="35" t="str">
        <f t="shared" si="44"/>
        <v>10</v>
      </c>
      <c r="S238" s="35"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5">
        <f t="shared" si="45"/>
        <v>1863</v>
      </c>
      <c r="U238" s="31"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6"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31"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31">
        <v>236</v>
      </c>
      <c r="Y238" s="31" t="str">
        <f t="shared" si="46"/>
        <v>['Pio IX', 'Enciclica', 'Quanto conficiamur', 'piix-enc-quc', '10 agosto 1863', '10/08/1863', '1863/08/10'],</v>
      </c>
      <c r="Z238" s="31" t="str">
        <f t="shared" si="47"/>
        <v>Quanto conficiamur (10 agosto 1863) | Pio IX</v>
      </c>
      <c r="AA238" s="31" t="str">
        <f t="shared" si="48"/>
        <v>Enciclica Quanto conficiamur</v>
      </c>
      <c r="AB238" s="31" t="str">
        <f t="shared" si="49"/>
        <v>Enciclica Quanto conficiamur</v>
      </c>
      <c r="AC238" s="31" t="str">
        <f t="shared" si="50"/>
        <v>Pio IX, Lettera Enciclica Quanto conficiamur, 10 agosto 1863</v>
      </c>
      <c r="AD238" s="31" t="str">
        <f t="shared" si="51"/>
        <v>1863-08-10T08:00:00.000+02:00</v>
      </c>
      <c r="AE238" s="31" t="str">
        <f t="shared" si="52"/>
        <v>piix-enc-quc</v>
      </c>
      <c r="AF238" s="31" t="str">
        <f t="shared" si="53"/>
        <v>Pio IX - Lettera Enciclica - Quanto conficiamur</v>
      </c>
    </row>
    <row r="239" spans="2:32" s="31" customFormat="1" x14ac:dyDescent="0.2">
      <c r="B239" s="31">
        <v>255</v>
      </c>
      <c r="C239" s="34" t="s">
        <v>1785</v>
      </c>
      <c r="D239" s="31" t="s">
        <v>715</v>
      </c>
      <c r="E239" s="31" t="s">
        <v>736</v>
      </c>
      <c r="F239" s="31" t="s">
        <v>668</v>
      </c>
      <c r="G239" s="31" t="s">
        <v>669</v>
      </c>
      <c r="H239" s="31" t="str">
        <f t="shared" si="54"/>
        <v>Pio IX</v>
      </c>
      <c r="K239" s="31" t="s">
        <v>908</v>
      </c>
      <c r="L239" s="31" t="str">
        <f t="shared" si="43"/>
        <v>Allocuzione</v>
      </c>
      <c r="M239" s="31" t="s">
        <v>948</v>
      </c>
      <c r="O239" s="31" t="s">
        <v>1787</v>
      </c>
      <c r="P239" s="31" t="s">
        <v>1006</v>
      </c>
      <c r="Q239" s="31" t="s">
        <v>1786</v>
      </c>
      <c r="R239" s="35" t="str">
        <f t="shared" si="44"/>
        <v>09</v>
      </c>
      <c r="S239" s="35"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5">
        <f t="shared" si="45"/>
        <v>1862</v>
      </c>
      <c r="U239" s="31"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6"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31"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31">
        <v>237</v>
      </c>
      <c r="Y239" s="31" t="str">
        <f t="shared" si="46"/>
        <v>['Pio IX', 'Allocuzione', 'Maxima quidem', 'piix-all-maq', '09 giugno 1862', '09/06/1862', '1862/06/09'],</v>
      </c>
      <c r="Z239" s="31" t="str">
        <f t="shared" si="47"/>
        <v>Maxima quidem (9 giugno 1862) | Pio IX</v>
      </c>
      <c r="AA239" s="31" t="str">
        <f t="shared" si="48"/>
        <v>Allocuzione Maxima quidem</v>
      </c>
      <c r="AB239" s="31" t="str">
        <f t="shared" si="49"/>
        <v>Allocuzione Maxima quidem</v>
      </c>
      <c r="AC239" s="31" t="str">
        <f t="shared" si="50"/>
        <v>Pio IX, Allocuzione Maxima quidem, 09 giugno 1862</v>
      </c>
      <c r="AD239" s="31" t="str">
        <f t="shared" si="51"/>
        <v>1862-06-09T08:00:00.000+02:00</v>
      </c>
      <c r="AE239" s="31" t="str">
        <f t="shared" si="52"/>
        <v>piix-all-maq</v>
      </c>
      <c r="AF239" s="31" t="str">
        <f t="shared" si="53"/>
        <v>Pio IX - Allocuzione - Maxima quidem</v>
      </c>
    </row>
    <row r="240" spans="2:32" s="31" customFormat="1" x14ac:dyDescent="0.2">
      <c r="B240" s="31">
        <v>255</v>
      </c>
      <c r="C240" s="34" t="s">
        <v>1782</v>
      </c>
      <c r="D240" s="31" t="s">
        <v>715</v>
      </c>
      <c r="E240" s="31" t="s">
        <v>736</v>
      </c>
      <c r="F240" s="31" t="s">
        <v>668</v>
      </c>
      <c r="G240" s="31" t="s">
        <v>669</v>
      </c>
      <c r="H240" s="31" t="str">
        <f t="shared" si="54"/>
        <v>Pio IX</v>
      </c>
      <c r="I240" s="31" t="s">
        <v>603</v>
      </c>
      <c r="J240" s="31" t="s">
        <v>829</v>
      </c>
      <c r="K240" s="31" t="s">
        <v>694</v>
      </c>
      <c r="L240" s="31" t="str">
        <f t="shared" si="43"/>
        <v>Lettera Enciclica</v>
      </c>
      <c r="M240" s="31" t="s">
        <v>579</v>
      </c>
      <c r="O240" s="31" t="s">
        <v>1784</v>
      </c>
      <c r="P240" s="31" t="s">
        <v>1911</v>
      </c>
      <c r="Q240" s="31" t="s">
        <v>1783</v>
      </c>
      <c r="R240" s="35" t="str">
        <f t="shared" si="44"/>
        <v>08</v>
      </c>
      <c r="S240" s="35"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5">
        <f t="shared" si="45"/>
        <v>1862</v>
      </c>
      <c r="U240" s="31"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6"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31"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31">
        <v>238</v>
      </c>
      <c r="Y240" s="31" t="str">
        <f t="shared" si="46"/>
        <v>['Pio IX', 'Enciclica', 'Amantissimus humani', 'piix-enc-amh', '08 aprile 1862', '08/04/1862', '1862/04/08'],</v>
      </c>
      <c r="Z240" s="31" t="str">
        <f t="shared" si="47"/>
        <v>Amantissimus humani (8 aprile 1862) | Pio IX</v>
      </c>
      <c r="AA240" s="31" t="str">
        <f t="shared" si="48"/>
        <v>Enciclica Amantissimus humani</v>
      </c>
      <c r="AB240" s="31" t="str">
        <f t="shared" si="49"/>
        <v>Enciclica Amantissimus humani</v>
      </c>
      <c r="AC240" s="31" t="str">
        <f t="shared" si="50"/>
        <v>Pio IX, Lettera Enciclica Amantissimus humani, 08 aprile 1862</v>
      </c>
      <c r="AD240" s="31" t="str">
        <f t="shared" si="51"/>
        <v>1862-04-08T08:00:00.000+02:00</v>
      </c>
      <c r="AE240" s="31" t="str">
        <f t="shared" si="52"/>
        <v>piix-enc-amh</v>
      </c>
      <c r="AF240" s="31" t="str">
        <f t="shared" si="53"/>
        <v>Pio IX - Lettera Enciclica - Amantissimus humani</v>
      </c>
    </row>
    <row r="241" spans="2:32" s="31" customFormat="1" x14ac:dyDescent="0.2">
      <c r="B241" s="31">
        <v>255</v>
      </c>
      <c r="C241" s="34" t="s">
        <v>1779</v>
      </c>
      <c r="D241" s="31" t="s">
        <v>715</v>
      </c>
      <c r="E241" s="31" t="s">
        <v>736</v>
      </c>
      <c r="F241" s="31" t="s">
        <v>668</v>
      </c>
      <c r="G241" s="31" t="s">
        <v>669</v>
      </c>
      <c r="H241" s="31" t="str">
        <f t="shared" si="54"/>
        <v>Pio IX</v>
      </c>
      <c r="K241" s="31" t="s">
        <v>908</v>
      </c>
      <c r="L241" s="31" t="str">
        <f t="shared" si="43"/>
        <v>Allocuzione</v>
      </c>
      <c r="M241" s="31" t="s">
        <v>948</v>
      </c>
      <c r="O241" s="31" t="s">
        <v>1781</v>
      </c>
      <c r="P241" s="31" t="s">
        <v>1912</v>
      </c>
      <c r="Q241" s="31" t="s">
        <v>1780</v>
      </c>
      <c r="R241" s="35" t="str">
        <f t="shared" si="44"/>
        <v>18</v>
      </c>
      <c r="S241" s="35"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5">
        <f t="shared" si="45"/>
        <v>1861</v>
      </c>
      <c r="U241" s="31"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6"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31"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31">
        <v>239</v>
      </c>
      <c r="Y241" s="31" t="str">
        <f t="shared" si="46"/>
        <v>['Pio IX', 'Allocuzione', 'Iamdudum cernimus', 'piix-all-iac', '18 marzo 1861', '18/03/1861', '1861/03/18'],</v>
      </c>
      <c r="Z241" s="31" t="str">
        <f t="shared" si="47"/>
        <v>Iamdudum cernimus (18 marzo 1861) | Pio IX</v>
      </c>
      <c r="AA241" s="31" t="str">
        <f t="shared" si="48"/>
        <v>Allocuzione Iamdudum cernimus</v>
      </c>
      <c r="AB241" s="31" t="str">
        <f t="shared" si="49"/>
        <v>Allocuzione Iamdudum cernimus</v>
      </c>
      <c r="AC241" s="31" t="str">
        <f t="shared" si="50"/>
        <v>Pio IX, Allocuzione Iamdudum cernimus, 18 marzo 1861</v>
      </c>
      <c r="AD241" s="31" t="str">
        <f t="shared" si="51"/>
        <v>1861-03-18T08:00:00.000+02:00</v>
      </c>
      <c r="AE241" s="31" t="str">
        <f t="shared" si="52"/>
        <v>piix-all-iac</v>
      </c>
      <c r="AF241" s="31" t="str">
        <f t="shared" si="53"/>
        <v>Pio IX - Allocuzione - Iamdudum cernimus</v>
      </c>
    </row>
    <row r="242" spans="2:32" s="31" customFormat="1" x14ac:dyDescent="0.2">
      <c r="B242" s="31">
        <v>255</v>
      </c>
      <c r="C242" s="34" t="s">
        <v>1776</v>
      </c>
      <c r="D242" s="31" t="s">
        <v>715</v>
      </c>
      <c r="E242" s="31" t="s">
        <v>736</v>
      </c>
      <c r="F242" s="31" t="s">
        <v>668</v>
      </c>
      <c r="G242" s="31" t="s">
        <v>669</v>
      </c>
      <c r="H242" s="31" t="str">
        <f t="shared" si="54"/>
        <v>Pio IX</v>
      </c>
      <c r="K242" s="31" t="s">
        <v>908</v>
      </c>
      <c r="L242" s="31" t="str">
        <f t="shared" si="43"/>
        <v>Allocuzione</v>
      </c>
      <c r="M242" s="31" t="s">
        <v>948</v>
      </c>
      <c r="O242" s="31" t="s">
        <v>1778</v>
      </c>
      <c r="P242" s="31" t="s">
        <v>1909</v>
      </c>
      <c r="Q242" s="31" t="s">
        <v>1777</v>
      </c>
      <c r="R242" s="35" t="str">
        <f t="shared" si="44"/>
        <v>17</v>
      </c>
      <c r="S242" s="35"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5">
        <f t="shared" si="45"/>
        <v>1860</v>
      </c>
      <c r="U242" s="31"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6"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31"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31">
        <v>240</v>
      </c>
      <c r="Y242" s="31" t="str">
        <f t="shared" si="46"/>
        <v>['Pio IX', 'Allocuzione', 'Multis gravibusque', 'piix-all-mug', '17 dicembre 1860', '17/12/1860', '1860/12/17'],</v>
      </c>
      <c r="Z242" s="31" t="str">
        <f t="shared" si="47"/>
        <v>Multis gravibusque (17 dicembre 1860) | Pio IX</v>
      </c>
      <c r="AA242" s="31" t="str">
        <f t="shared" si="48"/>
        <v>Allocuzione Multis gravibusque</v>
      </c>
      <c r="AB242" s="31" t="str">
        <f t="shared" si="49"/>
        <v>Allocuzione Multis gravibusque</v>
      </c>
      <c r="AC242" s="31" t="str">
        <f t="shared" si="50"/>
        <v>Pio IX, Allocuzione Multis gravibusque, 17 dicembre 1860</v>
      </c>
      <c r="AD242" s="31" t="str">
        <f t="shared" si="51"/>
        <v>1860-12-17T08:00:00.000+02:00</v>
      </c>
      <c r="AE242" s="31" t="str">
        <f t="shared" si="52"/>
        <v>piix-all-mug</v>
      </c>
      <c r="AF242" s="31" t="str">
        <f t="shared" si="53"/>
        <v>Pio IX - Allocuzione - Multis gravibusque</v>
      </c>
    </row>
    <row r="243" spans="2:32" s="31" customFormat="1" x14ac:dyDescent="0.2">
      <c r="B243" s="31">
        <v>255</v>
      </c>
      <c r="C243" s="34" t="s">
        <v>1773</v>
      </c>
      <c r="D243" s="31" t="s">
        <v>715</v>
      </c>
      <c r="E243" s="31" t="s">
        <v>736</v>
      </c>
      <c r="F243" s="31" t="s">
        <v>668</v>
      </c>
      <c r="G243" s="31" t="s">
        <v>669</v>
      </c>
      <c r="H243" s="31" t="str">
        <f t="shared" si="54"/>
        <v>Pio IX</v>
      </c>
      <c r="K243" s="31" t="s">
        <v>908</v>
      </c>
      <c r="L243" s="31" t="str">
        <f t="shared" si="43"/>
        <v>Allocuzione</v>
      </c>
      <c r="M243" s="31" t="s">
        <v>948</v>
      </c>
      <c r="O243" s="31" t="s">
        <v>1775</v>
      </c>
      <c r="P243" s="31" t="s">
        <v>1913</v>
      </c>
      <c r="Q243" s="31" t="s">
        <v>1774</v>
      </c>
      <c r="R243" s="35" t="str">
        <f t="shared" si="44"/>
        <v>28</v>
      </c>
      <c r="S243" s="35"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5">
        <f t="shared" si="45"/>
        <v>1860</v>
      </c>
      <c r="U243" s="31"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6"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31"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31">
        <v>241</v>
      </c>
      <c r="Y243" s="31" t="str">
        <f t="shared" si="46"/>
        <v>['Pio IX', 'Allocuzione', 'Novos et ante', 'piix-all-nea', '28 settembre 1860', '28/09/1860', '1860/09/28'],</v>
      </c>
      <c r="Z243" s="31" t="str">
        <f t="shared" si="47"/>
        <v>Novos et ante (28 settembre 1860) | Pio IX</v>
      </c>
      <c r="AA243" s="31" t="str">
        <f t="shared" si="48"/>
        <v>Allocuzione Novos et ante</v>
      </c>
      <c r="AB243" s="31" t="str">
        <f t="shared" si="49"/>
        <v>Allocuzione Novos et ante</v>
      </c>
      <c r="AC243" s="31" t="str">
        <f t="shared" si="50"/>
        <v>Pio IX, Allocuzione Novos et ante, 28 settembre 1860</v>
      </c>
      <c r="AD243" s="31" t="str">
        <f t="shared" si="51"/>
        <v>1860-09-28T08:00:00.000+02:00</v>
      </c>
      <c r="AE243" s="31" t="str">
        <f t="shared" si="52"/>
        <v>piix-all-nea</v>
      </c>
      <c r="AF243" s="31" t="str">
        <f t="shared" si="53"/>
        <v>Pio IX - Allocuzione - Novos et ante</v>
      </c>
    </row>
    <row r="244" spans="2:32" s="31" customFormat="1" x14ac:dyDescent="0.2">
      <c r="B244" s="31">
        <v>255</v>
      </c>
      <c r="C244" s="34" t="s">
        <v>1770</v>
      </c>
      <c r="D244" s="31" t="s">
        <v>715</v>
      </c>
      <c r="E244" s="31" t="s">
        <v>736</v>
      </c>
      <c r="F244" s="31" t="s">
        <v>668</v>
      </c>
      <c r="G244" s="31" t="s">
        <v>669</v>
      </c>
      <c r="H244" s="31" t="str">
        <f t="shared" si="54"/>
        <v>Pio IX</v>
      </c>
      <c r="K244" s="31" t="s">
        <v>825</v>
      </c>
      <c r="L244" s="31" t="str">
        <f t="shared" si="43"/>
        <v>Breve</v>
      </c>
      <c r="M244" s="31" t="s">
        <v>577</v>
      </c>
      <c r="O244" s="31" t="s">
        <v>1772</v>
      </c>
      <c r="P244" s="31" t="s">
        <v>1914</v>
      </c>
      <c r="Q244" s="31" t="s">
        <v>1771</v>
      </c>
      <c r="R244" s="35" t="str">
        <f t="shared" si="44"/>
        <v>26</v>
      </c>
      <c r="S244" s="35"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5">
        <f t="shared" si="45"/>
        <v>1860</v>
      </c>
      <c r="U244" s="31"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6"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31"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31">
        <v>242</v>
      </c>
      <c r="Y244" s="31" t="str">
        <f t="shared" si="46"/>
        <v>['Pio IX', 'Breve', 'Cum Catholica Ecclesia', 'piix-bre-cce', '26 marzo 1860', '26/03/1860', '1860/03/26'],</v>
      </c>
      <c r="Z244" s="31" t="str">
        <f t="shared" si="47"/>
        <v>Cum Catholica Ecclesia (26 marzo 1860) | Pio IX</v>
      </c>
      <c r="AA244" s="31" t="str">
        <f t="shared" si="48"/>
        <v>Breve Cum Catholica Ecclesia</v>
      </c>
      <c r="AB244" s="31" t="str">
        <f t="shared" si="49"/>
        <v>Breve Cum Catholica Ecclesia</v>
      </c>
      <c r="AC244" s="31" t="str">
        <f t="shared" si="50"/>
        <v>Pio IX, Breve Cum Catholica Ecclesia, 26 marzo 1860</v>
      </c>
      <c r="AD244" s="31" t="str">
        <f t="shared" si="51"/>
        <v>1860-03-26T08:00:00.000+02:00</v>
      </c>
      <c r="AE244" s="31" t="str">
        <f t="shared" si="52"/>
        <v>piix-bre-cce</v>
      </c>
      <c r="AF244" s="31" t="str">
        <f t="shared" si="53"/>
        <v>Pio IX - Breve - Cum Catholica Ecclesia</v>
      </c>
    </row>
    <row r="245" spans="2:32" s="31" customFormat="1" x14ac:dyDescent="0.2">
      <c r="B245" s="31">
        <v>255</v>
      </c>
      <c r="C245" s="34" t="s">
        <v>1768</v>
      </c>
      <c r="D245" s="31" t="s">
        <v>715</v>
      </c>
      <c r="E245" s="31" t="s">
        <v>736</v>
      </c>
      <c r="F245" s="31" t="s">
        <v>668</v>
      </c>
      <c r="G245" s="31" t="s">
        <v>669</v>
      </c>
      <c r="H245" s="31" t="str">
        <f t="shared" si="54"/>
        <v>Pio IX</v>
      </c>
      <c r="I245" s="31" t="s">
        <v>603</v>
      </c>
      <c r="J245" s="31" t="s">
        <v>829</v>
      </c>
      <c r="K245" s="31" t="s">
        <v>694</v>
      </c>
      <c r="L245" s="31" t="str">
        <f t="shared" si="43"/>
        <v>Lettera Enciclica</v>
      </c>
      <c r="M245" s="31" t="s">
        <v>579</v>
      </c>
      <c r="O245" s="31" t="s">
        <v>1769</v>
      </c>
      <c r="P245" s="31" t="s">
        <v>1915</v>
      </c>
      <c r="Q245" s="31" t="s">
        <v>1886</v>
      </c>
      <c r="R245" s="35" t="str">
        <f t="shared" si="44"/>
        <v>19</v>
      </c>
      <c r="S245" s="35"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5">
        <f t="shared" si="45"/>
        <v>1860</v>
      </c>
      <c r="U245" s="31"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6"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31"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31">
        <v>243</v>
      </c>
      <c r="Y245" s="31" t="str">
        <f t="shared" si="46"/>
        <v>['Pio IX', 'Enciclica', 'Nullis certe', 'piix-enc-nuc', '19 gennaio 1860', '19/01/1860', '1860/01/19'],</v>
      </c>
      <c r="Z245" s="31" t="str">
        <f t="shared" si="47"/>
        <v>Nullis certe (19 gennaio 1860) | Pio IX</v>
      </c>
      <c r="AA245" s="31" t="str">
        <f t="shared" si="48"/>
        <v>Enciclica Nullis certe</v>
      </c>
      <c r="AB245" s="31" t="str">
        <f t="shared" si="49"/>
        <v>Enciclica Nullis certe</v>
      </c>
      <c r="AC245" s="31" t="str">
        <f t="shared" si="50"/>
        <v>Pio IX, Lettera Enciclica Nullis certe, 19 gennaio 1860</v>
      </c>
      <c r="AD245" s="31" t="str">
        <f t="shared" si="51"/>
        <v>1860-01-19T08:00:00.000+02:00</v>
      </c>
      <c r="AE245" s="31" t="str">
        <f t="shared" si="52"/>
        <v>piix-enc-nuc</v>
      </c>
      <c r="AF245" s="31" t="str">
        <f t="shared" si="53"/>
        <v>Pio IX - Lettera Enciclica - Nullis certe</v>
      </c>
    </row>
    <row r="246" spans="2:32" s="31" customFormat="1" x14ac:dyDescent="0.2">
      <c r="B246" s="31">
        <v>255</v>
      </c>
      <c r="C246" s="34" t="s">
        <v>1765</v>
      </c>
      <c r="D246" s="31" t="s">
        <v>715</v>
      </c>
      <c r="E246" s="31" t="s">
        <v>736</v>
      </c>
      <c r="F246" s="31" t="s">
        <v>668</v>
      </c>
      <c r="G246" s="31" t="s">
        <v>669</v>
      </c>
      <c r="H246" s="31" t="str">
        <f t="shared" si="54"/>
        <v>Pio IX</v>
      </c>
      <c r="K246" s="31" t="s">
        <v>908</v>
      </c>
      <c r="L246" s="31" t="str">
        <f t="shared" si="43"/>
        <v>Allocuzione</v>
      </c>
      <c r="M246" s="31" t="s">
        <v>948</v>
      </c>
      <c r="O246" s="31" t="s">
        <v>1767</v>
      </c>
      <c r="P246" s="31" t="s">
        <v>1609</v>
      </c>
      <c r="Q246" s="31" t="s">
        <v>1766</v>
      </c>
      <c r="R246" s="35" t="str">
        <f t="shared" si="44"/>
        <v>26</v>
      </c>
      <c r="S246" s="35"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5">
        <f t="shared" si="45"/>
        <v>1859</v>
      </c>
      <c r="U246" s="31"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6"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31"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31">
        <v>244</v>
      </c>
      <c r="Y246" s="31" t="str">
        <f t="shared" si="46"/>
        <v>['Pio IX', 'Allocuzione', 'Maximo animi', 'piix-all-maa', '26 settembre 1859', '26/09/1859', '1859/09/26'],</v>
      </c>
      <c r="Z246" s="31" t="str">
        <f t="shared" si="47"/>
        <v>Maximo animi (26 settembre 1859) | Pio IX</v>
      </c>
      <c r="AA246" s="31" t="str">
        <f t="shared" si="48"/>
        <v>Allocuzione Maximo animi</v>
      </c>
      <c r="AB246" s="31" t="str">
        <f t="shared" si="49"/>
        <v>Allocuzione Maximo animi</v>
      </c>
      <c r="AC246" s="31" t="str">
        <f t="shared" si="50"/>
        <v>Pio IX, Allocuzione Maximo animi, 26 settembre 1859</v>
      </c>
      <c r="AD246" s="31" t="str">
        <f t="shared" si="51"/>
        <v>1859-09-26T08:00:00.000+02:00</v>
      </c>
      <c r="AE246" s="31" t="str">
        <f t="shared" si="52"/>
        <v>piix-all-maa</v>
      </c>
      <c r="AF246" s="31" t="str">
        <f t="shared" si="53"/>
        <v>Pio IX - Allocuzione - Maximo animi</v>
      </c>
    </row>
    <row r="247" spans="2:32" s="31" customFormat="1" x14ac:dyDescent="0.2">
      <c r="B247" s="31">
        <v>255</v>
      </c>
      <c r="C247" s="34" t="s">
        <v>1762</v>
      </c>
      <c r="D247" s="31" t="s">
        <v>715</v>
      </c>
      <c r="E247" s="31" t="s">
        <v>736</v>
      </c>
      <c r="F247" s="31" t="s">
        <v>668</v>
      </c>
      <c r="G247" s="31" t="s">
        <v>669</v>
      </c>
      <c r="H247" s="31" t="str">
        <f t="shared" si="54"/>
        <v>Pio IX</v>
      </c>
      <c r="K247" s="31" t="s">
        <v>908</v>
      </c>
      <c r="L247" s="31" t="str">
        <f t="shared" si="43"/>
        <v>Allocuzione</v>
      </c>
      <c r="M247" s="31" t="s">
        <v>948</v>
      </c>
      <c r="O247" s="31" t="s">
        <v>1764</v>
      </c>
      <c r="P247" s="31" t="s">
        <v>1651</v>
      </c>
      <c r="Q247" s="31" t="s">
        <v>1763</v>
      </c>
      <c r="R247" s="35" t="str">
        <f t="shared" si="44"/>
        <v>20</v>
      </c>
      <c r="S247" s="35"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5">
        <f t="shared" si="45"/>
        <v>1859</v>
      </c>
      <c r="U247" s="31"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6"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31"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31">
        <v>245</v>
      </c>
      <c r="Y247" s="31" t="str">
        <f t="shared" si="46"/>
        <v>['Pio IX', 'Allocuzione', 'Ad gravissimum', 'piix-all-adg', '20 giugno 1859', '20/06/1859', '1859/06/20'],</v>
      </c>
      <c r="Z247" s="31" t="str">
        <f t="shared" si="47"/>
        <v>Ad gravissimum (20 giugno 1859) | Pio IX</v>
      </c>
      <c r="AA247" s="31" t="str">
        <f t="shared" si="48"/>
        <v>Allocuzione Ad gravissimum</v>
      </c>
      <c r="AB247" s="31" t="str">
        <f t="shared" si="49"/>
        <v>Allocuzione Ad gravissimum</v>
      </c>
      <c r="AC247" s="31" t="str">
        <f t="shared" si="50"/>
        <v>Pio IX, Allocuzione Ad gravissimum, 20 giugno 1859</v>
      </c>
      <c r="AD247" s="31" t="str">
        <f t="shared" si="51"/>
        <v>1859-06-20T08:00:00.000+02:00</v>
      </c>
      <c r="AE247" s="31" t="str">
        <f t="shared" si="52"/>
        <v>piix-all-adg</v>
      </c>
      <c r="AF247" s="31" t="str">
        <f t="shared" si="53"/>
        <v>Pio IX - Allocuzione - Ad gravissimum</v>
      </c>
    </row>
    <row r="248" spans="2:32" s="31" customFormat="1" x14ac:dyDescent="0.2">
      <c r="B248" s="31">
        <v>255</v>
      </c>
      <c r="C248" s="34" t="s">
        <v>1760</v>
      </c>
      <c r="D248" s="31" t="s">
        <v>715</v>
      </c>
      <c r="E248" s="31" t="s">
        <v>736</v>
      </c>
      <c r="F248" s="31" t="s">
        <v>668</v>
      </c>
      <c r="G248" s="31" t="s">
        <v>669</v>
      </c>
      <c r="H248" s="31" t="str">
        <f t="shared" si="54"/>
        <v>Pio IX</v>
      </c>
      <c r="I248" s="31" t="s">
        <v>603</v>
      </c>
      <c r="J248" s="31" t="s">
        <v>829</v>
      </c>
      <c r="K248" s="31" t="s">
        <v>694</v>
      </c>
      <c r="L248" s="31" t="str">
        <f t="shared" si="43"/>
        <v>Lettera Enciclica</v>
      </c>
      <c r="M248" s="31" t="s">
        <v>579</v>
      </c>
      <c r="O248" s="31" t="s">
        <v>1761</v>
      </c>
      <c r="P248" s="31" t="s">
        <v>1000</v>
      </c>
      <c r="Q248" s="31" t="s">
        <v>1887</v>
      </c>
      <c r="R248" s="35" t="str">
        <f t="shared" si="44"/>
        <v>18</v>
      </c>
      <c r="S248" s="35"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5">
        <f t="shared" si="45"/>
        <v>1859</v>
      </c>
      <c r="U248" s="31"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6"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31"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31">
        <v>246</v>
      </c>
      <c r="Y248" s="31" t="str">
        <f t="shared" si="46"/>
        <v>['Pio IX', 'Enciclica', 'Qui nuper', 'piix-enc-qun', '18 giugno 1859', '18/06/1859', '1859/06/18'],</v>
      </c>
      <c r="Z248" s="31" t="str">
        <f t="shared" si="47"/>
        <v>Qui nuper (18 giugno 1859) | Pio IX</v>
      </c>
      <c r="AA248" s="31" t="str">
        <f t="shared" si="48"/>
        <v>Enciclica Qui nuper</v>
      </c>
      <c r="AB248" s="31" t="str">
        <f t="shared" si="49"/>
        <v>Enciclica Qui nuper</v>
      </c>
      <c r="AC248" s="31" t="str">
        <f t="shared" si="50"/>
        <v>Pio IX, Lettera Enciclica Qui nuper, 18 giugno 1859</v>
      </c>
      <c r="AD248" s="31" t="str">
        <f t="shared" si="51"/>
        <v>1859-06-18T08:00:00.000+02:00</v>
      </c>
      <c r="AE248" s="31" t="str">
        <f t="shared" si="52"/>
        <v>piix-enc-qun</v>
      </c>
      <c r="AF248" s="31" t="str">
        <f t="shared" si="53"/>
        <v>Pio IX - Lettera Enciclica - Qui nuper</v>
      </c>
    </row>
    <row r="249" spans="2:32" s="31" customFormat="1" x14ac:dyDescent="0.2">
      <c r="B249" s="31">
        <v>255</v>
      </c>
      <c r="C249" s="34" t="s">
        <v>1758</v>
      </c>
      <c r="D249" s="31" t="s">
        <v>715</v>
      </c>
      <c r="E249" s="31" t="s">
        <v>736</v>
      </c>
      <c r="F249" s="31" t="s">
        <v>668</v>
      </c>
      <c r="G249" s="31" t="s">
        <v>669</v>
      </c>
      <c r="H249" s="31" t="str">
        <f t="shared" si="54"/>
        <v>Pio IX</v>
      </c>
      <c r="I249" s="31" t="s">
        <v>603</v>
      </c>
      <c r="J249" s="31" t="s">
        <v>829</v>
      </c>
      <c r="K249" s="31" t="s">
        <v>694</v>
      </c>
      <c r="L249" s="31" t="str">
        <f t="shared" si="43"/>
        <v>Lettera Enciclica</v>
      </c>
      <c r="M249" s="31" t="s">
        <v>579</v>
      </c>
      <c r="O249" s="31" t="s">
        <v>278</v>
      </c>
      <c r="P249" s="31" t="s">
        <v>999</v>
      </c>
      <c r="Q249" s="31" t="s">
        <v>1759</v>
      </c>
      <c r="R249" s="35" t="str">
        <f t="shared" si="44"/>
        <v>27</v>
      </c>
      <c r="S249" s="35"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5">
        <f t="shared" si="45"/>
        <v>1859</v>
      </c>
      <c r="U249" s="31"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6"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31"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31">
        <v>247</v>
      </c>
      <c r="Y249" s="31" t="str">
        <f t="shared" si="46"/>
        <v>['Pio IX', 'Enciclica', 'Cum Sancta Mater', 'piix-enc-csm', '27 aprile 1859', '27/04/1859', '1859/04/27'],</v>
      </c>
      <c r="Z249" s="31" t="str">
        <f t="shared" si="47"/>
        <v>Cum Sancta Mater (27 aprile 1859) | Pio IX</v>
      </c>
      <c r="AA249" s="31" t="str">
        <f t="shared" si="48"/>
        <v>Enciclica Cum Sancta Mater</v>
      </c>
      <c r="AB249" s="31" t="str">
        <f t="shared" si="49"/>
        <v>Enciclica Cum Sancta Mater</v>
      </c>
      <c r="AC249" s="31" t="str">
        <f t="shared" si="50"/>
        <v>Pio IX, Lettera Enciclica Cum Sancta Mater, 27 aprile 1859</v>
      </c>
      <c r="AD249" s="31" t="str">
        <f t="shared" si="51"/>
        <v>1859-04-27T08:00:00.000+02:00</v>
      </c>
      <c r="AE249" s="31" t="str">
        <f t="shared" si="52"/>
        <v>piix-enc-csm</v>
      </c>
      <c r="AF249" s="31" t="str">
        <f t="shared" si="53"/>
        <v>Pio IX - Lettera Enciclica - Cum Sancta Mater</v>
      </c>
    </row>
    <row r="250" spans="2:32" s="31" customFormat="1" x14ac:dyDescent="0.2">
      <c r="B250" s="31">
        <v>255</v>
      </c>
      <c r="C250" s="34" t="s">
        <v>1756</v>
      </c>
      <c r="D250" s="31" t="s">
        <v>715</v>
      </c>
      <c r="E250" s="31" t="s">
        <v>736</v>
      </c>
      <c r="F250" s="31" t="s">
        <v>668</v>
      </c>
      <c r="G250" s="31" t="s">
        <v>669</v>
      </c>
      <c r="H250" s="31" t="str">
        <f t="shared" si="54"/>
        <v>Pio IX</v>
      </c>
      <c r="I250" s="31" t="s">
        <v>603</v>
      </c>
      <c r="J250" s="31" t="s">
        <v>829</v>
      </c>
      <c r="K250" s="31" t="s">
        <v>694</v>
      </c>
      <c r="L250" s="31" t="str">
        <f t="shared" si="43"/>
        <v>Lettera Enciclica</v>
      </c>
      <c r="M250" s="31" t="s">
        <v>579</v>
      </c>
      <c r="O250" s="31" t="s">
        <v>277</v>
      </c>
      <c r="P250" s="31" t="s">
        <v>998</v>
      </c>
      <c r="Q250" s="31" t="s">
        <v>1757</v>
      </c>
      <c r="R250" s="35" t="str">
        <f t="shared" si="44"/>
        <v>03</v>
      </c>
      <c r="S250" s="35"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5">
        <f t="shared" si="45"/>
        <v>1858</v>
      </c>
      <c r="U250" s="31"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6"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31"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31">
        <v>248</v>
      </c>
      <c r="Y250" s="31" t="str">
        <f t="shared" si="46"/>
        <v>['Pio IX', 'Enciclica', 'Amantissimi Redemptoris', 'piix-enc-amr', '03 maggio 1858', '03/05/1858', '1858/05/03'],</v>
      </c>
      <c r="Z250" s="31" t="str">
        <f t="shared" si="47"/>
        <v>Amantissimi Redemptoris (3 maggio 1858) | Pio IX</v>
      </c>
      <c r="AA250" s="31" t="str">
        <f t="shared" si="48"/>
        <v>Enciclica Amantissimi Redemptoris</v>
      </c>
      <c r="AB250" s="31" t="str">
        <f t="shared" si="49"/>
        <v>Enciclica Amantissimi Redemptoris</v>
      </c>
      <c r="AC250" s="31" t="str">
        <f t="shared" si="50"/>
        <v>Pio IX, Lettera Enciclica Amantissimi Redemptoris, 03 maggio 1858</v>
      </c>
      <c r="AD250" s="31" t="str">
        <f t="shared" si="51"/>
        <v>1858-05-03T08:00:00.000+02:00</v>
      </c>
      <c r="AE250" s="31" t="str">
        <f t="shared" si="52"/>
        <v>piix-enc-amr</v>
      </c>
      <c r="AF250" s="31" t="str">
        <f t="shared" si="53"/>
        <v>Pio IX - Lettera Enciclica - Amantissimi Redemptoris</v>
      </c>
    </row>
    <row r="251" spans="2:32" s="31" customFormat="1" x14ac:dyDescent="0.2">
      <c r="B251" s="31">
        <v>255</v>
      </c>
      <c r="C251" s="34" t="s">
        <v>1753</v>
      </c>
      <c r="D251" s="31" t="s">
        <v>715</v>
      </c>
      <c r="E251" s="31" t="s">
        <v>736</v>
      </c>
      <c r="F251" s="31" t="s">
        <v>668</v>
      </c>
      <c r="G251" s="31" t="s">
        <v>669</v>
      </c>
      <c r="H251" s="31" t="str">
        <f t="shared" si="54"/>
        <v>Pio IX</v>
      </c>
      <c r="I251" s="31" t="s">
        <v>603</v>
      </c>
      <c r="J251" s="31" t="s">
        <v>829</v>
      </c>
      <c r="K251" s="31" t="s">
        <v>694</v>
      </c>
      <c r="L251" s="31" t="str">
        <f t="shared" si="43"/>
        <v>Lettera Enciclica</v>
      </c>
      <c r="M251" s="31" t="s">
        <v>579</v>
      </c>
      <c r="O251" s="31" t="s">
        <v>1755</v>
      </c>
      <c r="P251" s="31" t="s">
        <v>997</v>
      </c>
      <c r="Q251" s="31" t="s">
        <v>1754</v>
      </c>
      <c r="R251" s="35" t="str">
        <f t="shared" si="44"/>
        <v>20</v>
      </c>
      <c r="S251" s="35"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5">
        <f t="shared" si="45"/>
        <v>1858</v>
      </c>
      <c r="U251" s="31"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6"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31"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31">
        <v>249</v>
      </c>
      <c r="Y251" s="31" t="str">
        <f t="shared" si="46"/>
        <v>['Pio IX', 'Enciclica', 'Cum nuper', 'piix-enc-cun', '20 gennaio 1858', '20/01/1858', '1858/01/20'],</v>
      </c>
      <c r="Z251" s="31" t="str">
        <f t="shared" si="47"/>
        <v>Cum nuper (20 gennaio 1858) | Pio IX</v>
      </c>
      <c r="AA251" s="31" t="str">
        <f t="shared" si="48"/>
        <v>Enciclica Cum nuper</v>
      </c>
      <c r="AB251" s="31" t="str">
        <f t="shared" si="49"/>
        <v>Enciclica Cum nuper</v>
      </c>
      <c r="AC251" s="31" t="str">
        <f t="shared" si="50"/>
        <v>Pio IX, Lettera Enciclica Cum nuper, 20 gennaio 1858</v>
      </c>
      <c r="AD251" s="31" t="str">
        <f t="shared" si="51"/>
        <v>1858-01-20T08:00:00.000+02:00</v>
      </c>
      <c r="AE251" s="31" t="str">
        <f t="shared" si="52"/>
        <v>piix-enc-cun</v>
      </c>
      <c r="AF251" s="31" t="str">
        <f t="shared" si="53"/>
        <v>Pio IX - Lettera Enciclica - Cum nuper</v>
      </c>
    </row>
    <row r="252" spans="2:32" s="31" customFormat="1" x14ac:dyDescent="0.2">
      <c r="B252" s="31">
        <v>255</v>
      </c>
      <c r="C252" s="34" t="s">
        <v>1752</v>
      </c>
      <c r="D252" s="31" t="s">
        <v>715</v>
      </c>
      <c r="E252" s="31" t="s">
        <v>736</v>
      </c>
      <c r="F252" s="31" t="s">
        <v>668</v>
      </c>
      <c r="G252" s="31" t="s">
        <v>669</v>
      </c>
      <c r="H252" s="31" t="str">
        <f t="shared" si="54"/>
        <v>Pio IX</v>
      </c>
      <c r="I252" s="31" t="s">
        <v>603</v>
      </c>
      <c r="J252" s="31" t="s">
        <v>829</v>
      </c>
      <c r="K252" s="31" t="s">
        <v>694</v>
      </c>
      <c r="L252" s="31" t="str">
        <f t="shared" si="43"/>
        <v>Lettera Enciclica</v>
      </c>
      <c r="M252" s="31" t="s">
        <v>579</v>
      </c>
      <c r="O252" s="31" t="s">
        <v>275</v>
      </c>
      <c r="P252" s="31" t="s">
        <v>996</v>
      </c>
      <c r="Q252" s="31" t="s">
        <v>1888</v>
      </c>
      <c r="R252" s="35" t="str">
        <f t="shared" si="44"/>
        <v>17</v>
      </c>
      <c r="S252" s="35"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5">
        <f t="shared" si="45"/>
        <v>1856</v>
      </c>
      <c r="U252" s="31"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6"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31"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31">
        <v>250</v>
      </c>
      <c r="Y252" s="31" t="str">
        <f t="shared" si="46"/>
        <v>['Pio IX', 'Enciclica', 'Singulari quidem', 'piix-enc-siq', '17 marzo 1856', '17/03/1856', '1856/03/17'],</v>
      </c>
      <c r="Z252" s="31" t="str">
        <f t="shared" si="47"/>
        <v>Singulari quidem (17 marzo 1856) | Pio IX</v>
      </c>
      <c r="AA252" s="31" t="str">
        <f t="shared" si="48"/>
        <v>Enciclica Singulari quidem</v>
      </c>
      <c r="AB252" s="31" t="str">
        <f t="shared" si="49"/>
        <v>Enciclica Singulari quidem</v>
      </c>
      <c r="AC252" s="31" t="str">
        <f t="shared" si="50"/>
        <v>Pio IX, Lettera Enciclica Singulari quidem, 17 marzo 1856</v>
      </c>
      <c r="AD252" s="31" t="str">
        <f t="shared" si="51"/>
        <v>1856-03-17T08:00:00.000+02:00</v>
      </c>
      <c r="AE252" s="31" t="str">
        <f t="shared" si="52"/>
        <v>piix-enc-siq</v>
      </c>
      <c r="AF252" s="31" t="str">
        <f t="shared" si="53"/>
        <v>Pio IX - Lettera Enciclica - Singulari quidem</v>
      </c>
    </row>
    <row r="253" spans="2:32" s="31" customFormat="1" x14ac:dyDescent="0.2">
      <c r="B253" s="31">
        <v>255</v>
      </c>
      <c r="C253" s="34" t="s">
        <v>1749</v>
      </c>
      <c r="D253" s="31" t="s">
        <v>715</v>
      </c>
      <c r="E253" s="31" t="s">
        <v>736</v>
      </c>
      <c r="F253" s="31" t="s">
        <v>668</v>
      </c>
      <c r="G253" s="31" t="s">
        <v>669</v>
      </c>
      <c r="H253" s="31" t="str">
        <f t="shared" si="54"/>
        <v>Pio IX</v>
      </c>
      <c r="K253" s="31" t="s">
        <v>826</v>
      </c>
      <c r="L253" s="31" t="str">
        <f t="shared" si="43"/>
        <v>Costituzione Apostolica</v>
      </c>
      <c r="M253" s="31" t="s">
        <v>565</v>
      </c>
      <c r="O253" s="31" t="s">
        <v>1751</v>
      </c>
      <c r="P253" s="31" t="s">
        <v>961</v>
      </c>
      <c r="Q253" s="31" t="s">
        <v>1750</v>
      </c>
      <c r="R253" s="35" t="str">
        <f t="shared" si="44"/>
        <v>08</v>
      </c>
      <c r="S253" s="35"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5">
        <f t="shared" si="45"/>
        <v>1854</v>
      </c>
      <c r="U253" s="31"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6"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31"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31">
        <v>251</v>
      </c>
      <c r="Y253" s="31" t="str">
        <f t="shared" si="46"/>
        <v>['Pio IX', 'Costituzione Apostolica', 'Ineffabilis Deus', 'piix-coa-ind', '08 dicembre 1854', '08/12/1854', '1854/12/08'],</v>
      </c>
      <c r="Z253" s="31" t="str">
        <f t="shared" si="47"/>
        <v>Ineffabilis Deus (8 dicembre 1854) | Pio IX</v>
      </c>
      <c r="AA253" s="31" t="str">
        <f t="shared" si="48"/>
        <v>Costituzione Apostolica Ineffabilis Deus</v>
      </c>
      <c r="AB253" s="31" t="str">
        <f t="shared" si="49"/>
        <v>Costituzione Apostolica Ineffabilis Deus</v>
      </c>
      <c r="AC253" s="31" t="str">
        <f t="shared" si="50"/>
        <v>Pio IX, Costituzione Apostolica Ineffabilis Deus, 08 dicembre 1854</v>
      </c>
      <c r="AD253" s="31" t="str">
        <f t="shared" si="51"/>
        <v>1854-12-08T08:00:00.000+02:00</v>
      </c>
      <c r="AE253" s="31" t="str">
        <f t="shared" si="52"/>
        <v>piix-coa-ind</v>
      </c>
      <c r="AF253" s="31" t="str">
        <f t="shared" si="53"/>
        <v>Pio IX - Costituzione Apostolica - Ineffabilis Deus</v>
      </c>
    </row>
    <row r="254" spans="2:32" s="31" customFormat="1" x14ac:dyDescent="0.2">
      <c r="B254" s="31">
        <v>255</v>
      </c>
      <c r="C254" s="34" t="s">
        <v>1748</v>
      </c>
      <c r="D254" s="31" t="s">
        <v>715</v>
      </c>
      <c r="E254" s="31" t="s">
        <v>736</v>
      </c>
      <c r="F254" s="31" t="s">
        <v>668</v>
      </c>
      <c r="G254" s="31" t="s">
        <v>669</v>
      </c>
      <c r="H254" s="31" t="str">
        <f t="shared" si="54"/>
        <v>Pio IX</v>
      </c>
      <c r="I254" s="31" t="s">
        <v>603</v>
      </c>
      <c r="J254" s="31" t="s">
        <v>829</v>
      </c>
      <c r="K254" s="31" t="s">
        <v>694</v>
      </c>
      <c r="L254" s="31" t="str">
        <f t="shared" si="43"/>
        <v>Lettera Enciclica</v>
      </c>
      <c r="M254" s="31" t="s">
        <v>579</v>
      </c>
      <c r="O254" s="31" t="s">
        <v>273</v>
      </c>
      <c r="P254" s="31" t="s">
        <v>993</v>
      </c>
      <c r="Q254" s="31" t="s">
        <v>1889</v>
      </c>
      <c r="R254" s="35" t="str">
        <f t="shared" si="44"/>
        <v>20</v>
      </c>
      <c r="S254" s="35"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5">
        <f t="shared" si="45"/>
        <v>1854</v>
      </c>
      <c r="U254" s="31"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6"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31"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31">
        <v>252</v>
      </c>
      <c r="Y254" s="31" t="str">
        <f t="shared" si="46"/>
        <v>['Pio IX', 'Enciclica', 'Optime noscitis', 'piix-enc-opn', '20 marzo 1854', '20/03/1854', '1854/03/20'],</v>
      </c>
      <c r="Z254" s="31" t="str">
        <f t="shared" si="47"/>
        <v>Optime noscitis (20 marzo 1854) | Pio IX</v>
      </c>
      <c r="AA254" s="31" t="str">
        <f t="shared" si="48"/>
        <v>Enciclica Optime noscitis</v>
      </c>
      <c r="AB254" s="31" t="str">
        <f t="shared" si="49"/>
        <v>Enciclica Optime noscitis</v>
      </c>
      <c r="AC254" s="31" t="str">
        <f t="shared" si="50"/>
        <v>Pio IX, Lettera Enciclica Optime noscitis, 20 marzo 1854</v>
      </c>
      <c r="AD254" s="31" t="str">
        <f t="shared" si="51"/>
        <v>1854-03-20T08:00:00.000+02:00</v>
      </c>
      <c r="AE254" s="31" t="str">
        <f t="shared" si="52"/>
        <v>piix-enc-opn</v>
      </c>
      <c r="AF254" s="31" t="str">
        <f t="shared" si="53"/>
        <v>Pio IX - Lettera Enciclica - Optime noscitis</v>
      </c>
    </row>
    <row r="255" spans="2:32" s="31" customFormat="1" x14ac:dyDescent="0.2">
      <c r="B255" s="31">
        <v>255</v>
      </c>
      <c r="C255" s="34" t="s">
        <v>1745</v>
      </c>
      <c r="D255" s="31" t="s">
        <v>715</v>
      </c>
      <c r="E255" s="31" t="s">
        <v>736</v>
      </c>
      <c r="F255" s="31" t="s">
        <v>668</v>
      </c>
      <c r="G255" s="31" t="s">
        <v>669</v>
      </c>
      <c r="H255" s="31" t="str">
        <f t="shared" si="54"/>
        <v>Pio IX</v>
      </c>
      <c r="I255" s="31" t="s">
        <v>603</v>
      </c>
      <c r="J255" s="31" t="s">
        <v>829</v>
      </c>
      <c r="K255" s="31" t="s">
        <v>694</v>
      </c>
      <c r="L255" s="31" t="str">
        <f t="shared" si="43"/>
        <v>Lettera Enciclica</v>
      </c>
      <c r="M255" s="31" t="s">
        <v>579</v>
      </c>
      <c r="O255" s="31" t="s">
        <v>1747</v>
      </c>
      <c r="P255" s="31" t="s">
        <v>992</v>
      </c>
      <c r="Q255" s="31" t="s">
        <v>1746</v>
      </c>
      <c r="R255" s="35" t="str">
        <f t="shared" si="44"/>
        <v>02</v>
      </c>
      <c r="S255" s="35"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5">
        <f t="shared" si="45"/>
        <v>1854</v>
      </c>
      <c r="U255" s="31"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6"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31"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31">
        <v>253</v>
      </c>
      <c r="Y255" s="31" t="str">
        <f t="shared" si="46"/>
        <v>['Pio IX', 'Enciclica', 'Neminem vestrum', 'piix-enc-nev', '02 febbraio 1854', '02/02/1854', '1854/02/02'],</v>
      </c>
      <c r="Z255" s="31" t="str">
        <f t="shared" si="47"/>
        <v>Neminem vestrum (2 febbraio 1854) | Pio IX</v>
      </c>
      <c r="AA255" s="31" t="str">
        <f t="shared" si="48"/>
        <v>Enciclica Neminem vestrum</v>
      </c>
      <c r="AB255" s="31" t="str">
        <f t="shared" si="49"/>
        <v>Enciclica Neminem vestrum</v>
      </c>
      <c r="AC255" s="31" t="str">
        <f t="shared" si="50"/>
        <v>Pio IX, Lettera Enciclica Neminem vestrum, 02 febbraio 1854</v>
      </c>
      <c r="AD255" s="31" t="str">
        <f t="shared" si="51"/>
        <v>1854-02-02T08:00:00.000+02:00</v>
      </c>
      <c r="AE255" s="31" t="str">
        <f t="shared" si="52"/>
        <v>piix-enc-nev</v>
      </c>
      <c r="AF255" s="31" t="str">
        <f t="shared" si="53"/>
        <v>Pio IX - Lettera Enciclica - Neminem vestrum</v>
      </c>
    </row>
    <row r="256" spans="2:32" s="31" customFormat="1" x14ac:dyDescent="0.2">
      <c r="B256" s="31">
        <v>255</v>
      </c>
      <c r="C256" s="34" t="s">
        <v>1743</v>
      </c>
      <c r="D256" s="31" t="s">
        <v>715</v>
      </c>
      <c r="E256" s="31" t="s">
        <v>736</v>
      </c>
      <c r="F256" s="31" t="s">
        <v>668</v>
      </c>
      <c r="G256" s="31" t="s">
        <v>669</v>
      </c>
      <c r="H256" s="31" t="str">
        <f t="shared" si="54"/>
        <v>Pio IX</v>
      </c>
      <c r="I256" s="31" t="s">
        <v>603</v>
      </c>
      <c r="J256" s="31" t="s">
        <v>829</v>
      </c>
      <c r="K256" s="31" t="s">
        <v>694</v>
      </c>
      <c r="L256" s="31" t="str">
        <f t="shared" si="43"/>
        <v>Lettera Enciclica</v>
      </c>
      <c r="M256" s="31" t="s">
        <v>579</v>
      </c>
      <c r="O256" s="31" t="s">
        <v>271</v>
      </c>
      <c r="P256" s="31" t="s">
        <v>991</v>
      </c>
      <c r="Q256" s="31" t="s">
        <v>1744</v>
      </c>
      <c r="R256" s="35" t="str">
        <f t="shared" si="44"/>
        <v>21</v>
      </c>
      <c r="S256" s="35"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5">
        <f t="shared" si="45"/>
        <v>1853</v>
      </c>
      <c r="U256" s="31"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6"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31"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31">
        <v>254</v>
      </c>
      <c r="Y256" s="31" t="str">
        <f t="shared" si="46"/>
        <v>['Pio IX', 'Enciclica', 'Inter multiplices', 'piix-enc-inm', '21 marzo 1853', '21/03/1853', '1853/03/21'],</v>
      </c>
      <c r="Z256" s="31" t="str">
        <f t="shared" si="47"/>
        <v>Inter multiplices (21 marzo 1853) | Pio IX</v>
      </c>
      <c r="AA256" s="31" t="str">
        <f t="shared" si="48"/>
        <v>Enciclica Inter multiplices</v>
      </c>
      <c r="AB256" s="31" t="str">
        <f t="shared" si="49"/>
        <v>Enciclica Inter multiplices</v>
      </c>
      <c r="AC256" s="31" t="str">
        <f t="shared" si="50"/>
        <v>Pio IX, Lettera Enciclica Inter multiplices, 21 marzo 1853</v>
      </c>
      <c r="AD256" s="31" t="str">
        <f t="shared" si="51"/>
        <v>1853-03-21T08:00:00.000+02:00</v>
      </c>
      <c r="AE256" s="31" t="str">
        <f t="shared" si="52"/>
        <v>piix-enc-inm</v>
      </c>
      <c r="AF256" s="31" t="str">
        <f t="shared" si="53"/>
        <v>Pio IX - Lettera Enciclica - Inter multiplices</v>
      </c>
    </row>
    <row r="257" spans="2:32" s="31" customFormat="1" x14ac:dyDescent="0.2">
      <c r="B257" s="31">
        <v>255</v>
      </c>
      <c r="C257" s="34" t="s">
        <v>1741</v>
      </c>
      <c r="D257" s="31" t="s">
        <v>715</v>
      </c>
      <c r="E257" s="31" t="s">
        <v>736</v>
      </c>
      <c r="F257" s="31" t="s">
        <v>668</v>
      </c>
      <c r="G257" s="31" t="s">
        <v>669</v>
      </c>
      <c r="H257" s="31" t="str">
        <f t="shared" si="54"/>
        <v>Pio IX</v>
      </c>
      <c r="I257" s="31" t="s">
        <v>603</v>
      </c>
      <c r="J257" s="31" t="s">
        <v>829</v>
      </c>
      <c r="K257" s="31" t="s">
        <v>694</v>
      </c>
      <c r="L257" s="31" t="str">
        <f t="shared" si="43"/>
        <v>Lettera Enciclica</v>
      </c>
      <c r="M257" s="31" t="s">
        <v>579</v>
      </c>
      <c r="O257" s="31" t="s">
        <v>269</v>
      </c>
      <c r="P257" s="31" t="s">
        <v>990</v>
      </c>
      <c r="Q257" s="31" t="s">
        <v>1742</v>
      </c>
      <c r="R257" s="35" t="str">
        <f t="shared" si="44"/>
        <v>25</v>
      </c>
      <c r="S257" s="35"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5">
        <f t="shared" si="45"/>
        <v>1852</v>
      </c>
      <c r="U257" s="31"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6"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31"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31">
        <v>255</v>
      </c>
      <c r="Y257" s="31" t="str">
        <f t="shared" si="46"/>
        <v>['Pio IX', 'Enciclica', 'Nemo certe ignorat', 'piix-enc-nci', '25 marzo 1852', '25/03/1852', '1852/03/25'],</v>
      </c>
      <c r="Z257" s="31" t="str">
        <f t="shared" si="47"/>
        <v>Nemo certe ignorat (25 marzo 1852) | Pio IX</v>
      </c>
      <c r="AA257" s="31" t="str">
        <f t="shared" si="48"/>
        <v>Enciclica Nemo certe ignorat</v>
      </c>
      <c r="AB257" s="31" t="str">
        <f t="shared" si="49"/>
        <v>Enciclica Nemo certe ignorat</v>
      </c>
      <c r="AC257" s="31" t="str">
        <f t="shared" si="50"/>
        <v>Pio IX, Lettera Enciclica Nemo certe ignorat, 25 marzo 1852</v>
      </c>
      <c r="AD257" s="31" t="str">
        <f t="shared" si="51"/>
        <v>1852-03-25T08:00:00.000+02:00</v>
      </c>
      <c r="AE257" s="31" t="str">
        <f t="shared" si="52"/>
        <v>piix-enc-nci</v>
      </c>
      <c r="AF257" s="31" t="str">
        <f t="shared" si="53"/>
        <v>Pio IX - Lettera Enciclica - Nemo certe ignorat</v>
      </c>
    </row>
    <row r="258" spans="2:32" s="31" customFormat="1" x14ac:dyDescent="0.2">
      <c r="B258" s="31">
        <v>255</v>
      </c>
      <c r="C258" s="34" t="s">
        <v>1739</v>
      </c>
      <c r="D258" s="31" t="s">
        <v>715</v>
      </c>
      <c r="E258" s="31" t="s">
        <v>736</v>
      </c>
      <c r="F258" s="31" t="s">
        <v>668</v>
      </c>
      <c r="G258" s="31" t="s">
        <v>669</v>
      </c>
      <c r="H258" s="31" t="str">
        <f t="shared" si="54"/>
        <v>Pio IX</v>
      </c>
      <c r="I258" s="31" t="s">
        <v>603</v>
      </c>
      <c r="J258" s="31" t="s">
        <v>829</v>
      </c>
      <c r="K258" s="31" t="s">
        <v>694</v>
      </c>
      <c r="L258" s="31" t="str">
        <f t="shared" ref="L258:L321" si="55">IF(J258&lt;&gt;"",_xlfn.CONCAT(J258 &amp; " " &amp; K258),K258)</f>
        <v>Lettera Enciclica</v>
      </c>
      <c r="M258" s="31" t="s">
        <v>579</v>
      </c>
      <c r="O258" s="31" t="s">
        <v>1740</v>
      </c>
      <c r="P258" s="31" t="s">
        <v>989</v>
      </c>
      <c r="Q258" s="31" t="s">
        <v>1737</v>
      </c>
      <c r="R258" s="35" t="str">
        <f t="shared" ref="R258:R299" si="56">IF(ISERROR(DAY(Q258)),TEXT((LEFT(Q258,2)),"00"),TEXT(DAY(Q258),"00"))</f>
        <v>21</v>
      </c>
      <c r="S258" s="35"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5">
        <f t="shared" ref="T258:T299" si="57">IF(ISERROR(DAY(Q258)),VALUE(RIGHT(Q258,4)),YEAR(Q258))</f>
        <v>1851</v>
      </c>
      <c r="U258" s="31"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6"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31"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31">
        <v>256</v>
      </c>
      <c r="Y258" s="31" t="str">
        <f t="shared" ref="Y258:Y321" si="58">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31" t="str">
        <f t="shared" ref="Z258:Z321" si="59">_xlfn.CONCAT(O258 &amp; " (" &amp; Q258 &amp; ") | " &amp; D258 &amp; " " &amp; E258)</f>
        <v>Ex aliis Nostris (21 novembre 1851) | Pio IX</v>
      </c>
      <c r="AA258" s="31" t="str">
        <f t="shared" ref="AA258:AA321" si="60">_xlfn.CONCAT(K258 &amp; " " &amp; O258)</f>
        <v>Enciclica Ex aliis Nostris</v>
      </c>
      <c r="AB258" s="31" t="str">
        <f t="shared" ref="AB258:AB321" si="61">_xlfn.CONCAT(K258 &amp; " " &amp; O258)</f>
        <v>Enciclica Ex aliis Nostris</v>
      </c>
      <c r="AC258" s="31" t="str">
        <f t="shared" ref="AC258:AC321" si="62">_xlfn.CONCAT(H258 &amp; ", " &amp; L258 &amp; " " &amp; O258 &amp; ", " &amp; LEFT(U258,2) &amp; " " &amp; TEXT(VALUE(MID(U258,4,2))*29,"mmmm") &amp; " " &amp; RIGHT(U258,4))</f>
        <v>Pio IX, Lettera Enciclica Ex aliis Nostris, 21 novembre 1851</v>
      </c>
      <c r="AD258" s="31" t="str">
        <f t="shared" ref="AD258:AD321" si="63">_xlfn.CONCAT(RIGHT(U258,4) &amp; "-" &amp; MID(U258,4,2) &amp; "-" &amp; LEFT(U258,2) &amp; "T08:00:00.000+02:00")</f>
        <v>1851-11-21T08:00:00.000+02:00</v>
      </c>
      <c r="AE258" s="31" t="str">
        <f t="shared" si="52"/>
        <v>piix-enc-ean</v>
      </c>
      <c r="AF258" s="31" t="str">
        <f t="shared" si="53"/>
        <v>Pio IX - Lettera Enciclica - Ex aliis Nostris</v>
      </c>
    </row>
    <row r="259" spans="2:32" s="31" customFormat="1" x14ac:dyDescent="0.2">
      <c r="B259" s="31">
        <v>255</v>
      </c>
      <c r="C259" s="34" t="s">
        <v>1736</v>
      </c>
      <c r="D259" s="31" t="s">
        <v>715</v>
      </c>
      <c r="E259" s="31" t="s">
        <v>736</v>
      </c>
      <c r="F259" s="31" t="s">
        <v>668</v>
      </c>
      <c r="G259" s="31" t="s">
        <v>669</v>
      </c>
      <c r="H259" s="31" t="str">
        <f t="shared" si="54"/>
        <v>Pio IX</v>
      </c>
      <c r="I259" s="31" t="s">
        <v>603</v>
      </c>
      <c r="J259" s="31" t="s">
        <v>829</v>
      </c>
      <c r="K259" s="31" t="s">
        <v>694</v>
      </c>
      <c r="L259" s="31" t="str">
        <f t="shared" si="55"/>
        <v>Lettera Enciclica</v>
      </c>
      <c r="M259" s="31" t="s">
        <v>579</v>
      </c>
      <c r="O259" s="31" t="s">
        <v>1738</v>
      </c>
      <c r="P259" s="31" t="s">
        <v>988</v>
      </c>
      <c r="Q259" s="31" t="s">
        <v>1737</v>
      </c>
      <c r="R259" s="35" t="str">
        <f t="shared" si="56"/>
        <v>21</v>
      </c>
      <c r="S259" s="35"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5">
        <f t="shared" si="57"/>
        <v>1851</v>
      </c>
      <c r="U259" s="31"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6"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31"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31">
        <v>257</v>
      </c>
      <c r="Y259" s="31" t="str">
        <f t="shared" si="58"/>
        <v>['Pio IX', 'Enciclica', 'Exultavit cor nostrum', 'piix-enc-ecn', '21 novembre 1851', '21/11/1851', '1851/11/21'],</v>
      </c>
      <c r="Z259" s="31" t="str">
        <f t="shared" si="59"/>
        <v>Exultavit cor nostrum (21 novembre 1851) | Pio IX</v>
      </c>
      <c r="AA259" s="31" t="str">
        <f t="shared" si="60"/>
        <v>Enciclica Exultavit cor nostrum</v>
      </c>
      <c r="AB259" s="31" t="str">
        <f t="shared" si="61"/>
        <v>Enciclica Exultavit cor nostrum</v>
      </c>
      <c r="AC259" s="31" t="str">
        <f t="shared" si="62"/>
        <v>Pio IX, Lettera Enciclica Exultavit cor nostrum, 21 novembre 1851</v>
      </c>
      <c r="AD259" s="31" t="str">
        <f t="shared" si="63"/>
        <v>1851-11-21T08:00:00.000+02:00</v>
      </c>
      <c r="AE259" s="31" t="str">
        <f t="shared" ref="AE259:AE322" si="64">_xlfn.CONCAT(F259 &amp; "-" &amp; M259 &amp; "-" &amp; P259)</f>
        <v>piix-enc-ecn</v>
      </c>
      <c r="AF259" s="31" t="str">
        <f t="shared" ref="AF259:AF322" si="65">_xlfn.CONCAT(H259 &amp; " - " &amp; L259 &amp; " - " &amp; O259)</f>
        <v>Pio IX - Lettera Enciclica - Exultavit cor nostrum</v>
      </c>
    </row>
    <row r="260" spans="2:32" s="31" customFormat="1" x14ac:dyDescent="0.2">
      <c r="B260" s="31">
        <v>255</v>
      </c>
      <c r="C260" s="34" t="s">
        <v>1733</v>
      </c>
      <c r="D260" s="31" t="s">
        <v>715</v>
      </c>
      <c r="E260" s="31" t="s">
        <v>736</v>
      </c>
      <c r="F260" s="31" t="s">
        <v>668</v>
      </c>
      <c r="G260" s="31" t="s">
        <v>669</v>
      </c>
      <c r="H260" s="31" t="str">
        <f t="shared" si="54"/>
        <v>Pio IX</v>
      </c>
      <c r="K260" s="31" t="s">
        <v>908</v>
      </c>
      <c r="L260" s="31" t="str">
        <f t="shared" si="55"/>
        <v>Allocuzione</v>
      </c>
      <c r="M260" s="31" t="s">
        <v>948</v>
      </c>
      <c r="O260" s="31" t="s">
        <v>1735</v>
      </c>
      <c r="P260" s="31" t="s">
        <v>1917</v>
      </c>
      <c r="Q260" s="31" t="s">
        <v>1734</v>
      </c>
      <c r="R260" s="35" t="str">
        <f t="shared" si="56"/>
        <v>20</v>
      </c>
      <c r="S260" s="35"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5">
        <f t="shared" si="57"/>
        <v>1850</v>
      </c>
      <c r="U260" s="31"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6"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31"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31">
        <v>258</v>
      </c>
      <c r="Y260" s="31" t="str">
        <f t="shared" si="58"/>
        <v>['Pio IX', 'Allocuzione', 'Si semper antea', 'piix-all-ssa', '20 maggio 1850', '20/05/1850', '1850/05/20'],</v>
      </c>
      <c r="Z260" s="31" t="str">
        <f t="shared" si="59"/>
        <v>Si semper antea (20 maggio 1850) | Pio IX</v>
      </c>
      <c r="AA260" s="31" t="str">
        <f t="shared" si="60"/>
        <v>Allocuzione Si semper antea</v>
      </c>
      <c r="AB260" s="31" t="str">
        <f t="shared" si="61"/>
        <v>Allocuzione Si semper antea</v>
      </c>
      <c r="AC260" s="31" t="str">
        <f t="shared" si="62"/>
        <v>Pio IX, Allocuzione Si semper antea, 20 maggio 1850</v>
      </c>
      <c r="AD260" s="31" t="str">
        <f t="shared" si="63"/>
        <v>1850-05-20T08:00:00.000+02:00</v>
      </c>
      <c r="AE260" s="31" t="str">
        <f t="shared" si="64"/>
        <v>piix-all-ssa</v>
      </c>
      <c r="AF260" s="31" t="str">
        <f t="shared" si="65"/>
        <v>Pio IX - Allocuzione - Si semper antea</v>
      </c>
    </row>
    <row r="261" spans="2:32" s="31" customFormat="1" x14ac:dyDescent="0.2">
      <c r="B261" s="31">
        <v>255</v>
      </c>
      <c r="C261" s="34" t="s">
        <v>1731</v>
      </c>
      <c r="D261" s="31" t="s">
        <v>715</v>
      </c>
      <c r="E261" s="31" t="s">
        <v>736</v>
      </c>
      <c r="F261" s="31" t="s">
        <v>668</v>
      </c>
      <c r="G261" s="31" t="s">
        <v>669</v>
      </c>
      <c r="H261" s="31" t="str">
        <f t="shared" si="54"/>
        <v>Pio IX</v>
      </c>
      <c r="I261" s="31" t="s">
        <v>603</v>
      </c>
      <c r="J261" s="31" t="s">
        <v>829</v>
      </c>
      <c r="K261" s="31" t="s">
        <v>694</v>
      </c>
      <c r="L261" s="31" t="str">
        <f t="shared" si="55"/>
        <v>Lettera Enciclica</v>
      </c>
      <c r="M261" s="31" t="s">
        <v>579</v>
      </c>
      <c r="O261" s="31" t="s">
        <v>266</v>
      </c>
      <c r="P261" s="31" t="s">
        <v>987</v>
      </c>
      <c r="Q261" s="31" t="s">
        <v>1732</v>
      </c>
      <c r="R261" s="35" t="str">
        <f t="shared" si="56"/>
        <v>08</v>
      </c>
      <c r="S261" s="35"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5">
        <f t="shared" si="57"/>
        <v>1849</v>
      </c>
      <c r="U261" s="31"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6"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31"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31">
        <v>259</v>
      </c>
      <c r="Y261" s="31" t="str">
        <f t="shared" si="58"/>
        <v>['Pio IX', 'Enciclica', 'Nostis et nobiscum', 'piix-enc-nen', '08 dicembre 1849', '08/12/1849', '1849/12/08'],</v>
      </c>
      <c r="Z261" s="31" t="str">
        <f t="shared" si="59"/>
        <v>Nostis et nobiscum (8 dicembre 1849) | Pio IX</v>
      </c>
      <c r="AA261" s="31" t="str">
        <f t="shared" si="60"/>
        <v>Enciclica Nostis et nobiscum</v>
      </c>
      <c r="AB261" s="31" t="str">
        <f t="shared" si="61"/>
        <v>Enciclica Nostis et nobiscum</v>
      </c>
      <c r="AC261" s="31" t="str">
        <f t="shared" si="62"/>
        <v>Pio IX, Lettera Enciclica Nostis et nobiscum, 08 dicembre 1849</v>
      </c>
      <c r="AD261" s="31" t="str">
        <f t="shared" si="63"/>
        <v>1849-12-08T08:00:00.000+02:00</v>
      </c>
      <c r="AE261" s="31" t="str">
        <f t="shared" si="64"/>
        <v>piix-enc-nen</v>
      </c>
      <c r="AF261" s="31" t="str">
        <f t="shared" si="65"/>
        <v>Pio IX - Lettera Enciclica - Nostis et nobiscum</v>
      </c>
    </row>
    <row r="262" spans="2:32" s="31" customFormat="1" x14ac:dyDescent="0.2">
      <c r="B262" s="31">
        <v>255</v>
      </c>
      <c r="C262" s="34" t="s">
        <v>1728</v>
      </c>
      <c r="D262" s="31" t="s">
        <v>715</v>
      </c>
      <c r="E262" s="31" t="s">
        <v>736</v>
      </c>
      <c r="F262" s="31" t="s">
        <v>668</v>
      </c>
      <c r="G262" s="31" t="s">
        <v>669</v>
      </c>
      <c r="H262" s="31" t="str">
        <f t="shared" si="54"/>
        <v>Pio IX</v>
      </c>
      <c r="K262" s="31" t="s">
        <v>908</v>
      </c>
      <c r="L262" s="31" t="str">
        <f t="shared" si="55"/>
        <v>Allocuzione</v>
      </c>
      <c r="M262" s="31" t="s">
        <v>948</v>
      </c>
      <c r="O262" s="31" t="s">
        <v>1730</v>
      </c>
      <c r="P262" s="31" t="s">
        <v>1918</v>
      </c>
      <c r="Q262" s="31" t="s">
        <v>1729</v>
      </c>
      <c r="R262" s="35" t="str">
        <f t="shared" si="56"/>
        <v>20</v>
      </c>
      <c r="S262" s="35"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5">
        <f t="shared" si="57"/>
        <v>1849</v>
      </c>
      <c r="U262" s="31"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6"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31"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31">
        <v>260</v>
      </c>
      <c r="Y262" s="31" t="str">
        <f t="shared" si="58"/>
        <v>['Pio IX', 'Allocuzione', 'Quibus, quantisque', 'piix-all-quq', '20 aprile 1849', '20/04/1849', '1849/04/20'],</v>
      </c>
      <c r="Z262" s="31" t="str">
        <f t="shared" si="59"/>
        <v>Quibus, quantisque (20 aprile 1849) | Pio IX</v>
      </c>
      <c r="AA262" s="31" t="str">
        <f t="shared" si="60"/>
        <v>Allocuzione Quibus, quantisque</v>
      </c>
      <c r="AB262" s="31" t="str">
        <f t="shared" si="61"/>
        <v>Allocuzione Quibus, quantisque</v>
      </c>
      <c r="AC262" s="31" t="str">
        <f t="shared" si="62"/>
        <v>Pio IX, Allocuzione Quibus, quantisque, 20 aprile 1849</v>
      </c>
      <c r="AD262" s="31" t="str">
        <f t="shared" si="63"/>
        <v>1849-04-20T08:00:00.000+02:00</v>
      </c>
      <c r="AE262" s="31" t="str">
        <f t="shared" si="64"/>
        <v>piix-all-quq</v>
      </c>
      <c r="AF262" s="31" t="str">
        <f t="shared" si="65"/>
        <v>Pio IX - Allocuzione - Quibus, quantisque</v>
      </c>
    </row>
    <row r="263" spans="2:32" s="31" customFormat="1" x14ac:dyDescent="0.2">
      <c r="B263" s="31">
        <v>255</v>
      </c>
      <c r="C263" s="34" t="s">
        <v>1726</v>
      </c>
      <c r="D263" s="31" t="s">
        <v>715</v>
      </c>
      <c r="E263" s="31" t="s">
        <v>736</v>
      </c>
      <c r="F263" s="31" t="s">
        <v>668</v>
      </c>
      <c r="G263" s="31" t="s">
        <v>669</v>
      </c>
      <c r="H263" s="31" t="str">
        <f t="shared" si="54"/>
        <v>Pio IX</v>
      </c>
      <c r="K263" s="31" t="s">
        <v>1691</v>
      </c>
      <c r="L263" s="31" t="str">
        <f t="shared" si="55"/>
        <v>Protesta</v>
      </c>
      <c r="M263" s="31" t="s">
        <v>1693</v>
      </c>
      <c r="O263" s="31" t="s">
        <v>1727</v>
      </c>
      <c r="P263" s="31" t="s">
        <v>587</v>
      </c>
      <c r="Q263" s="31" t="s">
        <v>1890</v>
      </c>
      <c r="R263" s="35" t="str">
        <f t="shared" si="56"/>
        <v>14</v>
      </c>
      <c r="S263" s="35"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5">
        <f t="shared" si="57"/>
        <v>1849</v>
      </c>
      <c r="U263" s="31"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6"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31"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31">
        <v>261</v>
      </c>
      <c r="Y263" s="31" t="str">
        <f t="shared" si="58"/>
        <v>['Pio IX', 'Protesta', 'La serie', 'piix-prt-las', '14 febbraio 1849', '14/02/1849', '1849/02/14'],</v>
      </c>
      <c r="Z263" s="31" t="str">
        <f t="shared" si="59"/>
        <v>La serie (14 febbraio 1849) | Pio IX</v>
      </c>
      <c r="AA263" s="31" t="str">
        <f t="shared" si="60"/>
        <v>Protesta La serie</v>
      </c>
      <c r="AB263" s="31" t="str">
        <f t="shared" si="61"/>
        <v>Protesta La serie</v>
      </c>
      <c r="AC263" s="31" t="str">
        <f t="shared" si="62"/>
        <v>Pio IX, Protesta La serie, 14 febbraio 1849</v>
      </c>
      <c r="AD263" s="31" t="str">
        <f t="shared" si="63"/>
        <v>1849-02-14T08:00:00.000+02:00</v>
      </c>
      <c r="AE263" s="31" t="str">
        <f t="shared" si="64"/>
        <v>piix-prt-las</v>
      </c>
      <c r="AF263" s="31" t="str">
        <f t="shared" si="65"/>
        <v>Pio IX - Protesta - La serie</v>
      </c>
    </row>
    <row r="264" spans="2:32" s="31" customFormat="1" x14ac:dyDescent="0.2">
      <c r="B264" s="31">
        <v>255</v>
      </c>
      <c r="C264" s="34" t="s">
        <v>1724</v>
      </c>
      <c r="D264" s="31" t="s">
        <v>715</v>
      </c>
      <c r="E264" s="31" t="s">
        <v>736</v>
      </c>
      <c r="F264" s="31" t="s">
        <v>668</v>
      </c>
      <c r="G264" s="31" t="s">
        <v>669</v>
      </c>
      <c r="H264" s="31" t="str">
        <f t="shared" si="54"/>
        <v>Pio IX</v>
      </c>
      <c r="I264" s="31" t="s">
        <v>603</v>
      </c>
      <c r="J264" s="31" t="s">
        <v>829</v>
      </c>
      <c r="K264" s="31" t="s">
        <v>694</v>
      </c>
      <c r="L264" s="31" t="str">
        <f t="shared" si="55"/>
        <v>Lettera Enciclica</v>
      </c>
      <c r="M264" s="31" t="s">
        <v>579</v>
      </c>
      <c r="O264" s="31" t="s">
        <v>3</v>
      </c>
      <c r="P264" s="31" t="s">
        <v>986</v>
      </c>
      <c r="Q264" s="31" t="s">
        <v>1725</v>
      </c>
      <c r="R264" s="35" t="str">
        <f t="shared" si="56"/>
        <v>02</v>
      </c>
      <c r="S264" s="35"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5">
        <f t="shared" si="57"/>
        <v>1849</v>
      </c>
      <c r="U264" s="31"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6"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31"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31">
        <v>262</v>
      </c>
      <c r="Y264" s="31" t="str">
        <f t="shared" si="58"/>
        <v>['Pio IX', 'Enciclica', 'Ubi primum', 'piix-enc-upr', '02 febbraio 1849', '02/02/1849', '1849/02/02'],</v>
      </c>
      <c r="Z264" s="31" t="str">
        <f t="shared" si="59"/>
        <v>Ubi primum (2 febbraio 1849) | Pio IX</v>
      </c>
      <c r="AA264" s="31" t="str">
        <f t="shared" si="60"/>
        <v>Enciclica Ubi primum</v>
      </c>
      <c r="AB264" s="31" t="str">
        <f t="shared" si="61"/>
        <v>Enciclica Ubi primum</v>
      </c>
      <c r="AC264" s="31" t="str">
        <f t="shared" si="62"/>
        <v>Pio IX, Lettera Enciclica Ubi primum, 02 febbraio 1849</v>
      </c>
      <c r="AD264" s="31" t="str">
        <f t="shared" si="63"/>
        <v>1849-02-02T08:00:00.000+02:00</v>
      </c>
      <c r="AE264" s="31" t="str">
        <f t="shared" si="64"/>
        <v>piix-enc-upr</v>
      </c>
      <c r="AF264" s="31" t="str">
        <f t="shared" si="65"/>
        <v>Pio IX - Lettera Enciclica - Ubi primum</v>
      </c>
    </row>
    <row r="265" spans="2:32" s="31" customFormat="1" x14ac:dyDescent="0.2">
      <c r="B265" s="31">
        <v>255</v>
      </c>
      <c r="C265" s="34" t="s">
        <v>1722</v>
      </c>
      <c r="D265" s="31" t="s">
        <v>715</v>
      </c>
      <c r="E265" s="31" t="s">
        <v>736</v>
      </c>
      <c r="F265" s="31" t="s">
        <v>668</v>
      </c>
      <c r="G265" s="31" t="s">
        <v>669</v>
      </c>
      <c r="H265" s="31" t="str">
        <f t="shared" ref="H265:H328" si="66">_xlfn.CONCAT(D265 &amp; " " &amp; E265)</f>
        <v>Pio IX</v>
      </c>
      <c r="K265" s="31" t="s">
        <v>1694</v>
      </c>
      <c r="L265" s="31" t="str">
        <f t="shared" si="55"/>
        <v>Proclama</v>
      </c>
      <c r="M265" s="31" t="s">
        <v>1686</v>
      </c>
      <c r="O265" s="31" t="s">
        <v>1723</v>
      </c>
      <c r="P265" s="31" t="s">
        <v>1919</v>
      </c>
      <c r="Q265" s="31" t="s">
        <v>1895</v>
      </c>
      <c r="R265" s="35" t="str">
        <f t="shared" si="56"/>
        <v>01</v>
      </c>
      <c r="S265" s="35"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5">
        <f t="shared" si="57"/>
        <v>1849</v>
      </c>
      <c r="U265" s="31"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6"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31"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31">
        <v>263</v>
      </c>
      <c r="Y265" s="31" t="str">
        <f t="shared" si="58"/>
        <v>['Pio IX', 'Proclama', 'Da questa pacifica', 'piix-pro-dqp', '01 gennaio 1849', '01/01/1849', '1849/01/01'],</v>
      </c>
      <c r="Z265" s="31" t="str">
        <f t="shared" si="59"/>
        <v>Da questa pacifica (1 gennaio 1849) | Pio IX</v>
      </c>
      <c r="AA265" s="31" t="str">
        <f t="shared" si="60"/>
        <v>Proclama Da questa pacifica</v>
      </c>
      <c r="AB265" s="31" t="str">
        <f t="shared" si="61"/>
        <v>Proclama Da questa pacifica</v>
      </c>
      <c r="AC265" s="31" t="str">
        <f t="shared" si="62"/>
        <v>Pio IX, Proclama Da questa pacifica, 01 gennaio 1849</v>
      </c>
      <c r="AD265" s="31" t="str">
        <f t="shared" si="63"/>
        <v>1849-01-01T08:00:00.000+02:00</v>
      </c>
      <c r="AE265" s="31" t="str">
        <f t="shared" si="64"/>
        <v>piix-pro-dqp</v>
      </c>
      <c r="AF265" s="31" t="str">
        <f t="shared" si="65"/>
        <v>Pio IX - Proclama - Da questa pacifica</v>
      </c>
    </row>
    <row r="266" spans="2:32" s="31" customFormat="1" x14ac:dyDescent="0.2">
      <c r="B266" s="31">
        <v>255</v>
      </c>
      <c r="C266" s="34" t="s">
        <v>1719</v>
      </c>
      <c r="D266" s="31" t="s">
        <v>715</v>
      </c>
      <c r="E266" s="31" t="s">
        <v>736</v>
      </c>
      <c r="F266" s="31" t="s">
        <v>668</v>
      </c>
      <c r="G266" s="31" t="s">
        <v>669</v>
      </c>
      <c r="H266" s="31" t="str">
        <f t="shared" si="66"/>
        <v>Pio IX</v>
      </c>
      <c r="K266" s="31" t="s">
        <v>908</v>
      </c>
      <c r="L266" s="31" t="str">
        <f t="shared" si="55"/>
        <v>Allocuzione</v>
      </c>
      <c r="M266" s="31" t="s">
        <v>948</v>
      </c>
      <c r="O266" s="31" t="s">
        <v>1721</v>
      </c>
      <c r="P266" s="31" t="s">
        <v>1920</v>
      </c>
      <c r="Q266" s="31" t="s">
        <v>1720</v>
      </c>
      <c r="R266" s="35" t="str">
        <f t="shared" si="56"/>
        <v>29</v>
      </c>
      <c r="S266" s="35"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5">
        <f t="shared" si="57"/>
        <v>1848</v>
      </c>
      <c r="U266" s="31"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6"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31"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31">
        <v>264</v>
      </c>
      <c r="Y266" s="31" t="str">
        <f t="shared" si="58"/>
        <v>['Pio IX', 'Allocuzione', 'Non semel', 'piix-all-nos', '29 aprile 1848', '29/04/1848', '1848/04/29'],</v>
      </c>
      <c r="Z266" s="31" t="str">
        <f t="shared" si="59"/>
        <v>Non semel (29 aprile 1848) | Pio IX</v>
      </c>
      <c r="AA266" s="31" t="str">
        <f t="shared" si="60"/>
        <v>Allocuzione Non semel</v>
      </c>
      <c r="AB266" s="31" t="str">
        <f t="shared" si="61"/>
        <v>Allocuzione Non semel</v>
      </c>
      <c r="AC266" s="31" t="str">
        <f t="shared" si="62"/>
        <v>Pio IX, Allocuzione Non semel, 29 aprile 1848</v>
      </c>
      <c r="AD266" s="31" t="str">
        <f t="shared" si="63"/>
        <v>1848-04-29T08:00:00.000+02:00</v>
      </c>
      <c r="AE266" s="31" t="str">
        <f t="shared" si="64"/>
        <v>piix-all-nos</v>
      </c>
      <c r="AF266" s="31" t="str">
        <f t="shared" si="65"/>
        <v>Pio IX - Allocuzione - Non semel</v>
      </c>
    </row>
    <row r="267" spans="2:32" s="31" customFormat="1" x14ac:dyDescent="0.2">
      <c r="B267" s="31">
        <v>255</v>
      </c>
      <c r="C267" s="34" t="s">
        <v>1716</v>
      </c>
      <c r="D267" s="31" t="s">
        <v>715</v>
      </c>
      <c r="E267" s="31" t="s">
        <v>736</v>
      </c>
      <c r="F267" s="31" t="s">
        <v>668</v>
      </c>
      <c r="G267" s="31" t="s">
        <v>669</v>
      </c>
      <c r="H267" s="31" t="str">
        <f t="shared" si="66"/>
        <v>Pio IX</v>
      </c>
      <c r="K267" s="31" t="s">
        <v>1699</v>
      </c>
      <c r="L267" s="31" t="str">
        <f t="shared" si="55"/>
        <v>Decreto</v>
      </c>
      <c r="M267" s="31" t="s">
        <v>1658</v>
      </c>
      <c r="O267" s="31" t="s">
        <v>1718</v>
      </c>
      <c r="P267" s="31" t="s">
        <v>1921</v>
      </c>
      <c r="Q267" s="31" t="s">
        <v>1717</v>
      </c>
      <c r="R267" s="35" t="str">
        <f t="shared" si="56"/>
        <v>14</v>
      </c>
      <c r="S267" s="35"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5">
        <f t="shared" si="57"/>
        <v>1848</v>
      </c>
      <c r="U267" s="31"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6"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31"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31">
        <v>265</v>
      </c>
      <c r="Y267" s="31" t="str">
        <f t="shared" si="58"/>
        <v>['Pio IX', 'Decreto', 'Nelle istituzioni', 'piix-dec-nei', '14 marzo 1848', '14/03/1848', '1848/03/14'],</v>
      </c>
      <c r="Z267" s="31" t="str">
        <f t="shared" si="59"/>
        <v>Nelle istituzioni (14 marzo 1848) | Pio IX</v>
      </c>
      <c r="AA267" s="31" t="str">
        <f t="shared" si="60"/>
        <v>Decreto Nelle istituzioni</v>
      </c>
      <c r="AB267" s="31" t="str">
        <f t="shared" si="61"/>
        <v>Decreto Nelle istituzioni</v>
      </c>
      <c r="AC267" s="31" t="str">
        <f t="shared" si="62"/>
        <v>Pio IX, Decreto Nelle istituzioni, 14 marzo 1848</v>
      </c>
      <c r="AD267" s="31" t="str">
        <f t="shared" si="63"/>
        <v>1848-03-14T08:00:00.000+02:00</v>
      </c>
      <c r="AE267" s="31" t="str">
        <f t="shared" si="64"/>
        <v>piix-dec-nei</v>
      </c>
      <c r="AF267" s="31" t="str">
        <f t="shared" si="65"/>
        <v>Pio IX - Decreto - Nelle istituzioni</v>
      </c>
    </row>
    <row r="268" spans="2:32" s="31" customFormat="1" x14ac:dyDescent="0.2">
      <c r="B268" s="31">
        <v>255</v>
      </c>
      <c r="C268" s="34" t="s">
        <v>1714</v>
      </c>
      <c r="D268" s="31" t="s">
        <v>715</v>
      </c>
      <c r="E268" s="31" t="s">
        <v>736</v>
      </c>
      <c r="F268" s="31" t="s">
        <v>668</v>
      </c>
      <c r="G268" s="31" t="s">
        <v>669</v>
      </c>
      <c r="H268" s="31" t="str">
        <f t="shared" si="66"/>
        <v>Pio IX</v>
      </c>
      <c r="K268" s="31" t="s">
        <v>1694</v>
      </c>
      <c r="L268" s="31" t="str">
        <f t="shared" si="55"/>
        <v>Proclama</v>
      </c>
      <c r="M268" s="31" t="s">
        <v>1686</v>
      </c>
      <c r="O268" s="31" t="s">
        <v>1715</v>
      </c>
      <c r="P268" s="31" t="s">
        <v>1922</v>
      </c>
      <c r="Q268" s="31" t="s">
        <v>1717</v>
      </c>
      <c r="R268" s="35" t="str">
        <f t="shared" si="56"/>
        <v>14</v>
      </c>
      <c r="S268" s="35"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5">
        <f t="shared" si="57"/>
        <v>1848</v>
      </c>
      <c r="U268" s="31"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6"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31"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31">
        <v>266</v>
      </c>
      <c r="Y268" s="31" t="str">
        <f t="shared" si="58"/>
        <v>['Pio IX', 'Proclama', 'Romani, e quanti', 'piix-pro-req', '14 marzo 1848', '14/03/1848', '1848/03/14'],</v>
      </c>
      <c r="Z268" s="31" t="str">
        <f t="shared" si="59"/>
        <v>Romani, e quanti (14 marzo 1848) | Pio IX</v>
      </c>
      <c r="AA268" s="31" t="str">
        <f t="shared" si="60"/>
        <v>Proclama Romani, e quanti</v>
      </c>
      <c r="AB268" s="31" t="str">
        <f t="shared" si="61"/>
        <v>Proclama Romani, e quanti</v>
      </c>
      <c r="AC268" s="31" t="str">
        <f t="shared" si="62"/>
        <v>Pio IX, Proclama Romani, e quanti, 14 marzo 1848</v>
      </c>
      <c r="AD268" s="31" t="str">
        <f t="shared" si="63"/>
        <v>1848-03-14T08:00:00.000+02:00</v>
      </c>
      <c r="AE268" s="31" t="str">
        <f t="shared" si="64"/>
        <v>piix-pro-req</v>
      </c>
      <c r="AF268" s="31" t="str">
        <f t="shared" si="65"/>
        <v>Pio IX - Proclama - Romani, e quanti</v>
      </c>
    </row>
    <row r="269" spans="2:32" s="31" customFormat="1" x14ac:dyDescent="0.2">
      <c r="B269" s="31">
        <v>255</v>
      </c>
      <c r="C269" s="34" t="s">
        <v>1712</v>
      </c>
      <c r="D269" s="31" t="s">
        <v>715</v>
      </c>
      <c r="E269" s="31" t="s">
        <v>736</v>
      </c>
      <c r="F269" s="31" t="s">
        <v>668</v>
      </c>
      <c r="G269" s="31" t="s">
        <v>669</v>
      </c>
      <c r="H269" s="31" t="str">
        <f t="shared" si="66"/>
        <v>Pio IX</v>
      </c>
      <c r="I269" s="31" t="s">
        <v>603</v>
      </c>
      <c r="J269" s="31" t="s">
        <v>829</v>
      </c>
      <c r="K269" s="31" t="s">
        <v>694</v>
      </c>
      <c r="L269" s="31" t="str">
        <f t="shared" si="55"/>
        <v>Lettera Enciclica</v>
      </c>
      <c r="M269" s="31" t="s">
        <v>579</v>
      </c>
      <c r="O269" s="31" t="s">
        <v>3</v>
      </c>
      <c r="P269" s="31" t="s">
        <v>610</v>
      </c>
      <c r="Q269" s="31" t="s">
        <v>1713</v>
      </c>
      <c r="R269" s="35" t="str">
        <f t="shared" si="56"/>
        <v>17</v>
      </c>
      <c r="S269" s="35"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5">
        <f t="shared" si="57"/>
        <v>1847</v>
      </c>
      <c r="U269" s="31"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6"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31"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31">
        <v>267</v>
      </c>
      <c r="Y269" s="31" t="str">
        <f t="shared" si="58"/>
        <v>['Pio IX', 'Enciclica', 'Ubi primum', 'piix-enc-ubp', '17 giugno 1847', '17/06/1847', '1847/06/17'],</v>
      </c>
      <c r="Z269" s="31" t="str">
        <f t="shared" si="59"/>
        <v>Ubi primum (17 giugno 1847) | Pio IX</v>
      </c>
      <c r="AA269" s="31" t="str">
        <f t="shared" si="60"/>
        <v>Enciclica Ubi primum</v>
      </c>
      <c r="AB269" s="31" t="str">
        <f t="shared" si="61"/>
        <v>Enciclica Ubi primum</v>
      </c>
      <c r="AC269" s="31" t="str">
        <f t="shared" si="62"/>
        <v>Pio IX, Lettera Enciclica Ubi primum, 17 giugno 1847</v>
      </c>
      <c r="AD269" s="31" t="str">
        <f t="shared" si="63"/>
        <v>1847-06-17T08:00:00.000+02:00</v>
      </c>
      <c r="AE269" s="31" t="str">
        <f t="shared" si="64"/>
        <v>piix-enc-ubp</v>
      </c>
      <c r="AF269" s="31" t="str">
        <f t="shared" si="65"/>
        <v>Pio IX - Lettera Enciclica - Ubi primum</v>
      </c>
    </row>
    <row r="270" spans="2:32" s="31" customFormat="1" x14ac:dyDescent="0.2">
      <c r="B270" s="31">
        <v>255</v>
      </c>
      <c r="C270" s="34" t="s">
        <v>1709</v>
      </c>
      <c r="D270" s="31" t="s">
        <v>715</v>
      </c>
      <c r="E270" s="31" t="s">
        <v>736</v>
      </c>
      <c r="F270" s="31" t="s">
        <v>668</v>
      </c>
      <c r="G270" s="31" t="s">
        <v>669</v>
      </c>
      <c r="H270" s="31" t="str">
        <f t="shared" si="66"/>
        <v>Pio IX</v>
      </c>
      <c r="I270" s="31" t="s">
        <v>603</v>
      </c>
      <c r="J270" s="31" t="s">
        <v>829</v>
      </c>
      <c r="K270" s="31" t="s">
        <v>694</v>
      </c>
      <c r="L270" s="31" t="str">
        <f t="shared" si="55"/>
        <v>Lettera Enciclica</v>
      </c>
      <c r="M270" s="31" t="s">
        <v>579</v>
      </c>
      <c r="O270" s="31" t="s">
        <v>1711</v>
      </c>
      <c r="P270" s="31" t="s">
        <v>982</v>
      </c>
      <c r="Q270" s="31" t="s">
        <v>1710</v>
      </c>
      <c r="R270" s="35" t="str">
        <f t="shared" si="56"/>
        <v>25</v>
      </c>
      <c r="S270" s="35"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5">
        <f t="shared" si="57"/>
        <v>1847</v>
      </c>
      <c r="U270" s="31"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6"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31"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31">
        <v>268</v>
      </c>
      <c r="Y270" s="31" t="str">
        <f t="shared" si="58"/>
        <v>['Pio IX', 'Enciclica', 'Praedecessores Nostros', 'piix-enc-prn', '25 marzo 1847', '25/03/1847', '1847/03/25'],</v>
      </c>
      <c r="Z270" s="31" t="str">
        <f t="shared" si="59"/>
        <v>Praedecessores Nostros (25 marzo 1847) | Pio IX</v>
      </c>
      <c r="AA270" s="31" t="str">
        <f t="shared" si="60"/>
        <v>Enciclica Praedecessores Nostros</v>
      </c>
      <c r="AB270" s="31" t="str">
        <f t="shared" si="61"/>
        <v>Enciclica Praedecessores Nostros</v>
      </c>
      <c r="AC270" s="31" t="str">
        <f t="shared" si="62"/>
        <v>Pio IX, Lettera Enciclica Praedecessores Nostros, 25 marzo 1847</v>
      </c>
      <c r="AD270" s="31" t="str">
        <f t="shared" si="63"/>
        <v>1847-03-25T08:00:00.000+02:00</v>
      </c>
      <c r="AE270" s="31" t="str">
        <f t="shared" si="64"/>
        <v>piix-enc-prn</v>
      </c>
      <c r="AF270" s="31" t="str">
        <f t="shared" si="65"/>
        <v>Pio IX - Lettera Enciclica - Praedecessores Nostros</v>
      </c>
    </row>
    <row r="271" spans="2:32" s="31" customFormat="1" x14ac:dyDescent="0.2">
      <c r="B271" s="31">
        <v>255</v>
      </c>
      <c r="C271" s="34" t="s">
        <v>1707</v>
      </c>
      <c r="D271" s="31" t="s">
        <v>715</v>
      </c>
      <c r="E271" s="31" t="s">
        <v>736</v>
      </c>
      <c r="F271" s="31" t="s">
        <v>668</v>
      </c>
      <c r="G271" s="31" t="s">
        <v>669</v>
      </c>
      <c r="H271" s="31" t="str">
        <f t="shared" si="66"/>
        <v>Pio IX</v>
      </c>
      <c r="I271" s="31" t="s">
        <v>603</v>
      </c>
      <c r="J271" s="31" t="s">
        <v>829</v>
      </c>
      <c r="K271" s="31" t="s">
        <v>694</v>
      </c>
      <c r="L271" s="31" t="str">
        <f t="shared" si="55"/>
        <v>Lettera Enciclica</v>
      </c>
      <c r="M271" s="31" t="s">
        <v>579</v>
      </c>
      <c r="O271" s="31" t="s">
        <v>262</v>
      </c>
      <c r="P271" s="31" t="s">
        <v>612</v>
      </c>
      <c r="Q271" s="31" t="s">
        <v>1708</v>
      </c>
      <c r="R271" s="35" t="str">
        <f t="shared" si="56"/>
        <v>09</v>
      </c>
      <c r="S271" s="35"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5">
        <f t="shared" si="57"/>
        <v>1846</v>
      </c>
      <c r="U271" s="31"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6"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31"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31">
        <v>269</v>
      </c>
      <c r="Y271" s="31" t="str">
        <f t="shared" si="58"/>
        <v>['Pio IX', 'Enciclica', 'Qui pluribus', 'piix-enc-qup', '09 novembre 1846', '09/11/1846', '1846/11/09'],</v>
      </c>
      <c r="Z271" s="31" t="str">
        <f t="shared" si="59"/>
        <v>Qui pluribus (9 novembre 1846) | Pio IX</v>
      </c>
      <c r="AA271" s="31" t="str">
        <f t="shared" si="60"/>
        <v>Enciclica Qui pluribus</v>
      </c>
      <c r="AB271" s="31" t="str">
        <f t="shared" si="61"/>
        <v>Enciclica Qui pluribus</v>
      </c>
      <c r="AC271" s="31" t="str">
        <f t="shared" si="62"/>
        <v>Pio IX, Lettera Enciclica Qui pluribus, 09 novembre 1846</v>
      </c>
      <c r="AD271" s="31" t="str">
        <f t="shared" si="63"/>
        <v>1846-11-09T08:00:00.000+02:00</v>
      </c>
      <c r="AE271" s="31" t="str">
        <f t="shared" si="64"/>
        <v>piix-enc-qup</v>
      </c>
      <c r="AF271" s="31" t="str">
        <f t="shared" si="65"/>
        <v>Pio IX - Lettera Enciclica - Qui pluribus</v>
      </c>
    </row>
    <row r="272" spans="2:32" s="31" customFormat="1" x14ac:dyDescent="0.2">
      <c r="B272" s="31">
        <v>255</v>
      </c>
      <c r="C272" s="34" t="s">
        <v>1704</v>
      </c>
      <c r="D272" s="31" t="s">
        <v>715</v>
      </c>
      <c r="E272" s="31" t="s">
        <v>736</v>
      </c>
      <c r="F272" s="31" t="s">
        <v>668</v>
      </c>
      <c r="G272" s="31" t="s">
        <v>669</v>
      </c>
      <c r="H272" s="31" t="str">
        <f t="shared" si="66"/>
        <v>Pio IX</v>
      </c>
      <c r="K272" s="31" t="s">
        <v>1697</v>
      </c>
      <c r="L272" s="31" t="str">
        <f t="shared" si="55"/>
        <v>Editto</v>
      </c>
      <c r="M272" s="31" t="s">
        <v>1696</v>
      </c>
      <c r="O272" s="31" t="s">
        <v>1706</v>
      </c>
      <c r="P272" s="31" t="s">
        <v>1924</v>
      </c>
      <c r="Q272" s="31" t="s">
        <v>1705</v>
      </c>
      <c r="R272" s="35" t="str">
        <f t="shared" si="56"/>
        <v>16</v>
      </c>
      <c r="S272" s="35"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5">
        <f t="shared" si="57"/>
        <v>1846</v>
      </c>
      <c r="U272" s="31"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6"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31"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31">
        <v>270</v>
      </c>
      <c r="Y272" s="31" t="str">
        <f t="shared" si="58"/>
        <v>['Pio IX', 'Editto', 'Nei giorni', 'piix-edi-neg', '16 luglio 1846', '16/07/1846', '1846/07/16'],</v>
      </c>
      <c r="Z272" s="31" t="str">
        <f t="shared" si="59"/>
        <v>Nei giorni (16 luglio 1846) | Pio IX</v>
      </c>
      <c r="AA272" s="31" t="str">
        <f t="shared" si="60"/>
        <v>Editto Nei giorni</v>
      </c>
      <c r="AB272" s="31" t="str">
        <f t="shared" si="61"/>
        <v>Editto Nei giorni</v>
      </c>
      <c r="AC272" s="31" t="str">
        <f t="shared" si="62"/>
        <v>Pio IX, Editto Nei giorni, 16 luglio 1846</v>
      </c>
      <c r="AD272" s="31" t="str">
        <f t="shared" si="63"/>
        <v>1846-07-16T08:00:00.000+02:00</v>
      </c>
      <c r="AE272" s="31" t="str">
        <f t="shared" si="64"/>
        <v>piix-edi-neg</v>
      </c>
      <c r="AF272" s="31" t="str">
        <f t="shared" si="65"/>
        <v>Pio IX - Editto - Nei giorni</v>
      </c>
    </row>
    <row r="273" spans="2:32" s="31" customFormat="1" x14ac:dyDescent="0.2">
      <c r="B273" s="31">
        <v>256</v>
      </c>
      <c r="C273" s="31" t="s">
        <v>2265</v>
      </c>
      <c r="D273" s="31" t="s">
        <v>723</v>
      </c>
      <c r="E273" s="31" t="s">
        <v>707</v>
      </c>
      <c r="F273" s="31" t="s">
        <v>667</v>
      </c>
      <c r="G273" s="31" t="s">
        <v>666</v>
      </c>
      <c r="H273" s="31" t="str">
        <f t="shared" si="66"/>
        <v>Leone XIII</v>
      </c>
      <c r="K273" s="31" t="s">
        <v>826</v>
      </c>
      <c r="L273" s="31" t="str">
        <f t="shared" si="55"/>
        <v>Costituzione Apostolica</v>
      </c>
      <c r="M273" s="31" t="s">
        <v>565</v>
      </c>
      <c r="O273" s="31" t="s">
        <v>2267</v>
      </c>
      <c r="P273" s="31" t="s">
        <v>2966</v>
      </c>
      <c r="Q273" s="31" t="s">
        <v>2266</v>
      </c>
      <c r="R273" s="35" t="str">
        <f t="shared" si="56"/>
        <v>25</v>
      </c>
      <c r="S273" s="35"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5">
        <f t="shared" si="57"/>
        <v>1897</v>
      </c>
      <c r="U273" s="31"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6"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31"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31">
        <v>271</v>
      </c>
      <c r="Y273" s="31" t="str">
        <f t="shared" si="58"/>
        <v>['Leone XIII', 'Costituzione Apostolica', 'Officiorum ac munerum', 'lxiii-coa-oam', '25 gennaio 1897', '25/01/1897', '1897/01/25'],</v>
      </c>
      <c r="Z273" s="31" t="str">
        <f t="shared" si="59"/>
        <v>Officiorum ac munerum (25 gennaio 1897) | Leone XIII</v>
      </c>
      <c r="AA273" s="31" t="str">
        <f t="shared" si="60"/>
        <v>Costituzione Apostolica Officiorum ac munerum</v>
      </c>
      <c r="AB273" s="31" t="str">
        <f t="shared" si="61"/>
        <v>Costituzione Apostolica Officiorum ac munerum</v>
      </c>
      <c r="AC273" s="31" t="str">
        <f t="shared" si="62"/>
        <v>Leone XIII, Costituzione Apostolica Officiorum ac munerum, 25 gennaio 1897</v>
      </c>
      <c r="AD273" s="31" t="str">
        <f t="shared" si="63"/>
        <v>1897-01-25T08:00:00.000+02:00</v>
      </c>
      <c r="AE273" s="31" t="str">
        <f t="shared" si="64"/>
        <v>lxiii-coa-oam</v>
      </c>
      <c r="AF273" s="31" t="str">
        <f t="shared" si="65"/>
        <v>Leone XIII - Costituzione Apostolica - Officiorum ac munerum</v>
      </c>
    </row>
    <row r="274" spans="2:32" s="31" customFormat="1" x14ac:dyDescent="0.2">
      <c r="B274" s="31">
        <v>256</v>
      </c>
      <c r="C274" s="31" t="s">
        <v>2262</v>
      </c>
      <c r="D274" s="31" t="s">
        <v>723</v>
      </c>
      <c r="E274" s="31" t="s">
        <v>707</v>
      </c>
      <c r="F274" s="31" t="s">
        <v>667</v>
      </c>
      <c r="G274" s="31" t="s">
        <v>666</v>
      </c>
      <c r="H274" s="31" t="str">
        <f t="shared" si="66"/>
        <v>Leone XIII</v>
      </c>
      <c r="K274" s="31" t="s">
        <v>826</v>
      </c>
      <c r="L274" s="31" t="str">
        <f t="shared" si="55"/>
        <v>Costituzione Apostolica</v>
      </c>
      <c r="M274" s="31" t="s">
        <v>565</v>
      </c>
      <c r="O274" s="31" t="s">
        <v>2264</v>
      </c>
      <c r="P274" s="31" t="s">
        <v>2967</v>
      </c>
      <c r="Q274" s="31" t="s">
        <v>2263</v>
      </c>
      <c r="R274" s="35" t="str">
        <f t="shared" si="56"/>
        <v>30</v>
      </c>
      <c r="S274" s="35"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5">
        <f t="shared" si="57"/>
        <v>1883</v>
      </c>
      <c r="U274" s="31"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6"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31"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31">
        <v>272</v>
      </c>
      <c r="Y274" s="31" t="str">
        <f t="shared" si="58"/>
        <v>['Leone XIII', 'Costituzione Apostolica', 'Misericors Dei Filius', 'lxiii-coa-mdf', '30 maggio 1883', '30/05/1883', '1883/05/30'],</v>
      </c>
      <c r="Z274" s="31" t="str">
        <f t="shared" si="59"/>
        <v>Misericors Dei Filius (30 maggio 1883) | Leone XIII</v>
      </c>
      <c r="AA274" s="31" t="str">
        <f t="shared" si="60"/>
        <v>Costituzione Apostolica Misericors Dei Filius</v>
      </c>
      <c r="AB274" s="31" t="str">
        <f t="shared" si="61"/>
        <v>Costituzione Apostolica Misericors Dei Filius</v>
      </c>
      <c r="AC274" s="31" t="str">
        <f t="shared" si="62"/>
        <v>Leone XIII, Costituzione Apostolica Misericors Dei Filius, 30 maggio 1883</v>
      </c>
      <c r="AD274" s="31" t="str">
        <f t="shared" si="63"/>
        <v>1883-05-30T08:00:00.000+02:00</v>
      </c>
      <c r="AE274" s="31" t="str">
        <f t="shared" si="64"/>
        <v>lxiii-coa-mdf</v>
      </c>
      <c r="AF274" s="31" t="str">
        <f t="shared" si="65"/>
        <v>Leone XIII - Costituzione Apostolica - Misericors Dei Filius</v>
      </c>
    </row>
    <row r="275" spans="2:32" s="31" customFormat="1" x14ac:dyDescent="0.2">
      <c r="B275" s="31">
        <v>256</v>
      </c>
      <c r="C275" s="31" t="s">
        <v>2259</v>
      </c>
      <c r="D275" s="31" t="s">
        <v>723</v>
      </c>
      <c r="E275" s="31" t="s">
        <v>707</v>
      </c>
      <c r="F275" s="31" t="s">
        <v>667</v>
      </c>
      <c r="G275" s="31" t="s">
        <v>666</v>
      </c>
      <c r="H275" s="31" t="str">
        <f t="shared" si="66"/>
        <v>Leone XIII</v>
      </c>
      <c r="K275" s="31" t="s">
        <v>825</v>
      </c>
      <c r="L275" s="31" t="str">
        <f t="shared" si="55"/>
        <v>Breve</v>
      </c>
      <c r="M275" s="31" t="s">
        <v>577</v>
      </c>
      <c r="O275" s="31" t="s">
        <v>2261</v>
      </c>
      <c r="P275" s="31" t="s">
        <v>1680</v>
      </c>
      <c r="Q275" s="31" t="s">
        <v>2260</v>
      </c>
      <c r="R275" s="35" t="str">
        <f t="shared" si="56"/>
        <v>08</v>
      </c>
      <c r="S275" s="35"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5">
        <f t="shared" si="57"/>
        <v>1896</v>
      </c>
      <c r="U275" s="31"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6"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31"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31">
        <v>273</v>
      </c>
      <c r="Y275" s="31" t="str">
        <f t="shared" si="58"/>
        <v>['Leone XIII', 'Breve', 'Magni commemoratio', 'lxiii-bre-mac', '08 gennaio 1896', '08/01/1896', '1896/01/08'],</v>
      </c>
      <c r="Z275" s="31" t="str">
        <f t="shared" si="59"/>
        <v>Magni commemoratio (8 gennaio 1896) | Leone XIII</v>
      </c>
      <c r="AA275" s="31" t="str">
        <f t="shared" si="60"/>
        <v>Breve Magni commemoratio</v>
      </c>
      <c r="AB275" s="31" t="str">
        <f t="shared" si="61"/>
        <v>Breve Magni commemoratio</v>
      </c>
      <c r="AC275" s="31" t="str">
        <f t="shared" si="62"/>
        <v>Leone XIII, Breve Magni commemoratio, 08 gennaio 1896</v>
      </c>
      <c r="AD275" s="31" t="str">
        <f t="shared" si="63"/>
        <v>1896-01-08T08:00:00.000+02:00</v>
      </c>
      <c r="AE275" s="31" t="str">
        <f t="shared" si="64"/>
        <v>lxiii-bre-mac</v>
      </c>
      <c r="AF275" s="31" t="str">
        <f t="shared" si="65"/>
        <v>Leone XIII - Breve - Magni commemoratio</v>
      </c>
    </row>
    <row r="276" spans="2:32" s="31" customFormat="1" x14ac:dyDescent="0.2">
      <c r="B276" s="31">
        <v>256</v>
      </c>
      <c r="C276" s="31" t="s">
        <v>2256</v>
      </c>
      <c r="D276" s="31" t="s">
        <v>723</v>
      </c>
      <c r="E276" s="31" t="s">
        <v>707</v>
      </c>
      <c r="F276" s="31" t="s">
        <v>667</v>
      </c>
      <c r="G276" s="31" t="s">
        <v>666</v>
      </c>
      <c r="H276" s="31" t="str">
        <f t="shared" si="66"/>
        <v>Leone XIII</v>
      </c>
      <c r="K276" s="31" t="s">
        <v>825</v>
      </c>
      <c r="L276" s="31" t="str">
        <f t="shared" si="55"/>
        <v>Breve</v>
      </c>
      <c r="M276" s="31" t="s">
        <v>577</v>
      </c>
      <c r="O276" s="31" t="s">
        <v>2258</v>
      </c>
      <c r="P276" s="31" t="s">
        <v>2960</v>
      </c>
      <c r="Q276" s="31" t="s">
        <v>2257</v>
      </c>
      <c r="R276" s="35" t="str">
        <f t="shared" si="56"/>
        <v>15</v>
      </c>
      <c r="S276" s="35"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5">
        <f t="shared" si="57"/>
        <v>1895</v>
      </c>
      <c r="U276" s="31"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6"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31"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31">
        <v>274</v>
      </c>
      <c r="Y276" s="31" t="str">
        <f t="shared" si="58"/>
        <v>['Leone XIII', 'Breve', 'Provida Matris', 'lxiii-bre-prm', '15 maggio 1895', '15/05/1895', '1895/05/15'],</v>
      </c>
      <c r="Z276" s="31" t="str">
        <f t="shared" si="59"/>
        <v>Provida Matris (15 maggio 1895) | Leone XIII</v>
      </c>
      <c r="AA276" s="31" t="str">
        <f t="shared" si="60"/>
        <v>Breve Provida Matris</v>
      </c>
      <c r="AB276" s="31" t="str">
        <f t="shared" si="61"/>
        <v>Breve Provida Matris</v>
      </c>
      <c r="AC276" s="31" t="str">
        <f t="shared" si="62"/>
        <v>Leone XIII, Breve Provida Matris, 15 maggio 1895</v>
      </c>
      <c r="AD276" s="31" t="str">
        <f t="shared" si="63"/>
        <v>1895-05-15T08:00:00.000+02:00</v>
      </c>
      <c r="AE276" s="31" t="str">
        <f t="shared" si="64"/>
        <v>lxiii-bre-prm</v>
      </c>
      <c r="AF276" s="31" t="str">
        <f t="shared" si="65"/>
        <v>Leone XIII - Breve - Provida Matris</v>
      </c>
    </row>
    <row r="277" spans="2:32" s="31" customFormat="1" x14ac:dyDescent="0.2">
      <c r="B277" s="31">
        <v>256</v>
      </c>
      <c r="C277" s="31" t="s">
        <v>2253</v>
      </c>
      <c r="D277" s="31" t="s">
        <v>723</v>
      </c>
      <c r="E277" s="31" t="s">
        <v>707</v>
      </c>
      <c r="F277" s="31" t="s">
        <v>667</v>
      </c>
      <c r="G277" s="31" t="s">
        <v>666</v>
      </c>
      <c r="H277" s="31" t="str">
        <f t="shared" si="66"/>
        <v>Leone XIII</v>
      </c>
      <c r="K277" s="31" t="s">
        <v>825</v>
      </c>
      <c r="L277" s="31" t="str">
        <f t="shared" si="55"/>
        <v>Breve</v>
      </c>
      <c r="M277" s="31" t="s">
        <v>577</v>
      </c>
      <c r="O277" s="31" t="s">
        <v>2255</v>
      </c>
      <c r="P277" s="31" t="s">
        <v>2961</v>
      </c>
      <c r="Q277" s="31" t="s">
        <v>2254</v>
      </c>
      <c r="R277" s="35" t="str">
        <f t="shared" si="56"/>
        <v>23</v>
      </c>
      <c r="S277" s="35"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5">
        <f t="shared" si="57"/>
        <v>1894</v>
      </c>
      <c r="U277" s="31"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6"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31"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31">
        <v>275</v>
      </c>
      <c r="Y277" s="31" t="str">
        <f t="shared" si="58"/>
        <v>['Leone XIII', 'Breve', 'Felix Nazarethana', 'lxiii-bre-fen', '23 gennaio 1894', '23/01/1894', '1894/01/23'],</v>
      </c>
      <c r="Z277" s="31" t="str">
        <f t="shared" si="59"/>
        <v>Felix Nazarethana (23 gennaio 1894) | Leone XIII</v>
      </c>
      <c r="AA277" s="31" t="str">
        <f t="shared" si="60"/>
        <v>Breve Felix Nazarethana</v>
      </c>
      <c r="AB277" s="31" t="str">
        <f t="shared" si="61"/>
        <v>Breve Felix Nazarethana</v>
      </c>
      <c r="AC277" s="31" t="str">
        <f t="shared" si="62"/>
        <v>Leone XIII, Breve Felix Nazarethana, 23 gennaio 1894</v>
      </c>
      <c r="AD277" s="31" t="str">
        <f t="shared" si="63"/>
        <v>1894-01-23T08:00:00.000+02:00</v>
      </c>
      <c r="AE277" s="31" t="str">
        <f t="shared" si="64"/>
        <v>lxiii-bre-fen</v>
      </c>
      <c r="AF277" s="31" t="str">
        <f t="shared" si="65"/>
        <v>Leone XIII - Breve - Felix Nazarethana</v>
      </c>
    </row>
    <row r="278" spans="2:32" s="31" customFormat="1" x14ac:dyDescent="0.2">
      <c r="B278" s="31">
        <v>256</v>
      </c>
      <c r="C278" s="31" t="s">
        <v>2250</v>
      </c>
      <c r="D278" s="31" t="s">
        <v>723</v>
      </c>
      <c r="E278" s="31" t="s">
        <v>707</v>
      </c>
      <c r="F278" s="31" t="s">
        <v>667</v>
      </c>
      <c r="G278" s="31" t="s">
        <v>666</v>
      </c>
      <c r="H278" s="31" t="str">
        <f t="shared" si="66"/>
        <v>Leone XIII</v>
      </c>
      <c r="K278" s="31" t="s">
        <v>825</v>
      </c>
      <c r="L278" s="31" t="str">
        <f t="shared" si="55"/>
        <v>Breve</v>
      </c>
      <c r="M278" s="31" t="s">
        <v>577</v>
      </c>
      <c r="O278" s="31" t="s">
        <v>2252</v>
      </c>
      <c r="P278" s="31" t="s">
        <v>2962</v>
      </c>
      <c r="Q278" s="31" t="s">
        <v>2251</v>
      </c>
      <c r="R278" s="35" t="str">
        <f t="shared" si="56"/>
        <v>13</v>
      </c>
      <c r="S278" s="35"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5">
        <f t="shared" si="57"/>
        <v>1886</v>
      </c>
      <c r="U278" s="31"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6"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31"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31">
        <v>276</v>
      </c>
      <c r="Y278" s="31" t="str">
        <f t="shared" si="58"/>
        <v>['Leone XIII', 'Breve', 'Dolemus Inter', 'lxiii-bre-doi', '13 luglio 1886', '13/07/1886', '1886/07/13'],</v>
      </c>
      <c r="Z278" s="31" t="str">
        <f t="shared" si="59"/>
        <v>Dolemus Inter (13 luglio 1886) | Leone XIII</v>
      </c>
      <c r="AA278" s="31" t="str">
        <f t="shared" si="60"/>
        <v>Breve Dolemus Inter</v>
      </c>
      <c r="AB278" s="31" t="str">
        <f t="shared" si="61"/>
        <v>Breve Dolemus Inter</v>
      </c>
      <c r="AC278" s="31" t="str">
        <f t="shared" si="62"/>
        <v>Leone XIII, Breve Dolemus Inter, 13 luglio 1886</v>
      </c>
      <c r="AD278" s="31" t="str">
        <f t="shared" si="63"/>
        <v>1886-07-13T08:00:00.000+02:00</v>
      </c>
      <c r="AE278" s="31" t="str">
        <f t="shared" si="64"/>
        <v>lxiii-bre-doi</v>
      </c>
      <c r="AF278" s="31" t="str">
        <f t="shared" si="65"/>
        <v>Leone XIII - Breve - Dolemus Inter</v>
      </c>
    </row>
    <row r="279" spans="2:32" s="31" customFormat="1" x14ac:dyDescent="0.2">
      <c r="B279" s="31">
        <v>256</v>
      </c>
      <c r="C279" s="31" t="s">
        <v>2247</v>
      </c>
      <c r="D279" s="31" t="s">
        <v>723</v>
      </c>
      <c r="E279" s="31" t="s">
        <v>707</v>
      </c>
      <c r="F279" s="31" t="s">
        <v>667</v>
      </c>
      <c r="G279" s="31" t="s">
        <v>666</v>
      </c>
      <c r="H279" s="31" t="str">
        <f t="shared" si="66"/>
        <v>Leone XIII</v>
      </c>
      <c r="K279" s="31" t="s">
        <v>825</v>
      </c>
      <c r="L279" s="31" t="str">
        <f t="shared" si="55"/>
        <v>Breve</v>
      </c>
      <c r="M279" s="31" t="s">
        <v>577</v>
      </c>
      <c r="O279" s="31" t="s">
        <v>2249</v>
      </c>
      <c r="P279" s="31" t="s">
        <v>2963</v>
      </c>
      <c r="Q279" s="31" t="s">
        <v>2248</v>
      </c>
      <c r="R279" s="35" t="str">
        <f t="shared" si="56"/>
        <v>12</v>
      </c>
      <c r="S279" s="35"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5">
        <f t="shared" si="57"/>
        <v>1881</v>
      </c>
      <c r="U279" s="31"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6"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31"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31">
        <v>277</v>
      </c>
      <c r="Y279" s="31" t="str">
        <f t="shared" si="58"/>
        <v>['Leone XIII', 'Breve', 'Militans Iesu', 'lxiii-bre-mii', '12 marzo 1881', '12/03/1881', '1881/03/12'],</v>
      </c>
      <c r="Z279" s="31" t="str">
        <f t="shared" si="59"/>
        <v>Militans Iesu (12 marzo 1881) | Leone XIII</v>
      </c>
      <c r="AA279" s="31" t="str">
        <f t="shared" si="60"/>
        <v>Breve Militans Iesu</v>
      </c>
      <c r="AB279" s="31" t="str">
        <f t="shared" si="61"/>
        <v>Breve Militans Iesu</v>
      </c>
      <c r="AC279" s="31" t="str">
        <f t="shared" si="62"/>
        <v>Leone XIII, Breve Militans Iesu, 12 marzo 1881</v>
      </c>
      <c r="AD279" s="31" t="str">
        <f t="shared" si="63"/>
        <v>1881-03-12T08:00:00.000+02:00</v>
      </c>
      <c r="AE279" s="31" t="str">
        <f t="shared" si="64"/>
        <v>lxiii-bre-mii</v>
      </c>
      <c r="AF279" s="31" t="str">
        <f t="shared" si="65"/>
        <v>Leone XIII - Breve - Militans Iesu</v>
      </c>
    </row>
    <row r="280" spans="2:32" s="31" customFormat="1" x14ac:dyDescent="0.2">
      <c r="B280" s="31">
        <v>256</v>
      </c>
      <c r="C280" s="31" t="s">
        <v>2244</v>
      </c>
      <c r="D280" s="31" t="s">
        <v>723</v>
      </c>
      <c r="E280" s="31" t="s">
        <v>707</v>
      </c>
      <c r="F280" s="31" t="s">
        <v>667</v>
      </c>
      <c r="G280" s="31" t="s">
        <v>666</v>
      </c>
      <c r="H280" s="31" t="str">
        <f t="shared" si="66"/>
        <v>Leone XIII</v>
      </c>
      <c r="K280" s="31" t="s">
        <v>825</v>
      </c>
      <c r="L280" s="31" t="str">
        <f t="shared" si="55"/>
        <v>Breve</v>
      </c>
      <c r="M280" s="31" t="s">
        <v>577</v>
      </c>
      <c r="O280" s="31" t="s">
        <v>2246</v>
      </c>
      <c r="P280" s="31" t="s">
        <v>2964</v>
      </c>
      <c r="Q280" s="31" t="s">
        <v>2245</v>
      </c>
      <c r="R280" s="35" t="str">
        <f t="shared" si="56"/>
        <v>04</v>
      </c>
      <c r="S280" s="35"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5">
        <f t="shared" si="57"/>
        <v>1880</v>
      </c>
      <c r="U280" s="31"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6"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31"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31">
        <v>278</v>
      </c>
      <c r="Y280" s="31" t="str">
        <f t="shared" si="58"/>
        <v>['Leone XIII', 'Breve', 'Cum hoc sit', 'lxiii-bre-chs', '04 agosto 1880', '04/08/1880', '1880/08/04'],</v>
      </c>
      <c r="Z280" s="31" t="str">
        <f t="shared" si="59"/>
        <v>Cum hoc sit (4 agosto 1880) | Leone XIII</v>
      </c>
      <c r="AA280" s="31" t="str">
        <f t="shared" si="60"/>
        <v>Breve Cum hoc sit</v>
      </c>
      <c r="AB280" s="31" t="str">
        <f t="shared" si="61"/>
        <v>Breve Cum hoc sit</v>
      </c>
      <c r="AC280" s="31" t="str">
        <f t="shared" si="62"/>
        <v>Leone XIII, Breve Cum hoc sit, 04 agosto 1880</v>
      </c>
      <c r="AD280" s="31" t="str">
        <f t="shared" si="63"/>
        <v>1880-08-04T08:00:00.000+02:00</v>
      </c>
      <c r="AE280" s="31" t="str">
        <f t="shared" si="64"/>
        <v>lxiii-bre-chs</v>
      </c>
      <c r="AF280" s="31" t="str">
        <f t="shared" si="65"/>
        <v>Leone XIII - Breve - Cum hoc sit</v>
      </c>
    </row>
    <row r="281" spans="2:32" s="31" customFormat="1" x14ac:dyDescent="0.2">
      <c r="B281" s="31">
        <v>256</v>
      </c>
      <c r="C281" s="31" t="s">
        <v>2241</v>
      </c>
      <c r="D281" s="31" t="s">
        <v>723</v>
      </c>
      <c r="E281" s="31" t="s">
        <v>707</v>
      </c>
      <c r="F281" s="31" t="s">
        <v>667</v>
      </c>
      <c r="G281" s="31" t="s">
        <v>666</v>
      </c>
      <c r="H281" s="31" t="str">
        <f t="shared" si="66"/>
        <v>Leone XIII</v>
      </c>
      <c r="K281" s="31" t="s">
        <v>825</v>
      </c>
      <c r="L281" s="31" t="str">
        <f t="shared" si="55"/>
        <v>Breve</v>
      </c>
      <c r="M281" s="31" t="s">
        <v>577</v>
      </c>
      <c r="O281" s="31" t="s">
        <v>2243</v>
      </c>
      <c r="P281" s="31" t="s">
        <v>2965</v>
      </c>
      <c r="Q281" s="31" t="s">
        <v>2242</v>
      </c>
      <c r="R281" s="35" t="str">
        <f t="shared" si="56"/>
        <v>15</v>
      </c>
      <c r="S281" s="35"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5">
        <f t="shared" si="57"/>
        <v>1879</v>
      </c>
      <c r="U281" s="31"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6"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31"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31">
        <v>279</v>
      </c>
      <c r="Y281" s="31" t="str">
        <f t="shared" si="58"/>
        <v>['Leone XIII', 'Breve', 'Pontifices maximi', 'lxiii-bre-pom', '15 febbraio 1879', '15/02/1879', '1879/02/15'],</v>
      </c>
      <c r="Z281" s="31" t="str">
        <f t="shared" si="59"/>
        <v>Pontifices maximi (15 febbraio 1879) | Leone XIII</v>
      </c>
      <c r="AA281" s="31" t="str">
        <f t="shared" si="60"/>
        <v>Breve Pontifices maximi</v>
      </c>
      <c r="AB281" s="31" t="str">
        <f t="shared" si="61"/>
        <v>Breve Pontifices maximi</v>
      </c>
      <c r="AC281" s="31" t="str">
        <f t="shared" si="62"/>
        <v>Leone XIII, Breve Pontifices maximi, 15 febbraio 1879</v>
      </c>
      <c r="AD281" s="31" t="str">
        <f t="shared" si="63"/>
        <v>1879-02-15T08:00:00.000+02:00</v>
      </c>
      <c r="AE281" s="31" t="str">
        <f t="shared" si="64"/>
        <v>lxiii-bre-pom</v>
      </c>
      <c r="AF281" s="31" t="str">
        <f t="shared" si="65"/>
        <v>Leone XIII - Breve - Pontifices maximi</v>
      </c>
    </row>
    <row r="282" spans="2:32" s="31" customFormat="1" x14ac:dyDescent="0.2">
      <c r="B282" s="31">
        <v>256</v>
      </c>
      <c r="C282" s="31" t="s">
        <v>2238</v>
      </c>
      <c r="D282" s="31" t="s">
        <v>723</v>
      </c>
      <c r="E282" s="31" t="s">
        <v>707</v>
      </c>
      <c r="F282" s="31" t="s">
        <v>667</v>
      </c>
      <c r="G282" s="31" t="s">
        <v>666</v>
      </c>
      <c r="H282" s="31" t="str">
        <f t="shared" si="66"/>
        <v>Leone XIII</v>
      </c>
      <c r="K282" s="31" t="s">
        <v>827</v>
      </c>
      <c r="L282" s="31" t="str">
        <f t="shared" si="55"/>
        <v>Discorso</v>
      </c>
      <c r="M282" s="31" t="s">
        <v>566</v>
      </c>
      <c r="O282" s="31" t="s">
        <v>2240</v>
      </c>
      <c r="P282" s="31" t="s">
        <v>2968</v>
      </c>
      <c r="Q282" s="31" t="s">
        <v>2239</v>
      </c>
      <c r="R282" s="35" t="str">
        <f t="shared" si="56"/>
        <v>23</v>
      </c>
      <c r="S282" s="35"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5">
        <f t="shared" si="57"/>
        <v>1896</v>
      </c>
      <c r="U282" s="31"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6"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31"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31">
        <v>280</v>
      </c>
      <c r="Y282" s="31" t="str">
        <f t="shared" si="58"/>
        <v>['Leone XIII', 'Discorso', 'La tarda età', 'lxiii-dis-lte', '23 dicembre 1896', '23/12/1896', '1896/12/23'],</v>
      </c>
      <c r="Z282" s="31" t="str">
        <f t="shared" si="59"/>
        <v>La tarda età (23 dicembre 1896) | Leone XIII</v>
      </c>
      <c r="AA282" s="31" t="str">
        <f t="shared" si="60"/>
        <v>Discorso La tarda età</v>
      </c>
      <c r="AB282" s="31" t="str">
        <f t="shared" si="61"/>
        <v>Discorso La tarda età</v>
      </c>
      <c r="AC282" s="31" t="str">
        <f t="shared" si="62"/>
        <v>Leone XIII, Discorso La tarda età, 23 dicembre 1896</v>
      </c>
      <c r="AD282" s="31" t="str">
        <f t="shared" si="63"/>
        <v>1896-12-23T08:00:00.000+02:00</v>
      </c>
      <c r="AE282" s="31" t="str">
        <f t="shared" si="64"/>
        <v>lxiii-dis-lte</v>
      </c>
      <c r="AF282" s="31" t="str">
        <f t="shared" si="65"/>
        <v>Leone XIII - Discorso - La tarda età</v>
      </c>
    </row>
    <row r="283" spans="2:32" s="31" customFormat="1" x14ac:dyDescent="0.2">
      <c r="B283" s="31">
        <v>256</v>
      </c>
      <c r="C283" s="31" t="s">
        <v>2235</v>
      </c>
      <c r="D283" s="31" t="s">
        <v>723</v>
      </c>
      <c r="E283" s="31" t="s">
        <v>707</v>
      </c>
      <c r="F283" s="31" t="s">
        <v>667</v>
      </c>
      <c r="G283" s="31" t="s">
        <v>666</v>
      </c>
      <c r="H283" s="31" t="str">
        <f t="shared" si="66"/>
        <v>Leone XIII</v>
      </c>
      <c r="K283" s="31" t="s">
        <v>827</v>
      </c>
      <c r="L283" s="31" t="str">
        <f t="shared" si="55"/>
        <v>Discorso</v>
      </c>
      <c r="M283" s="31" t="s">
        <v>566</v>
      </c>
      <c r="O283" s="31" t="s">
        <v>2237</v>
      </c>
      <c r="P283" s="31" t="s">
        <v>1623</v>
      </c>
      <c r="Q283" s="31" t="s">
        <v>2236</v>
      </c>
      <c r="R283" s="35" t="str">
        <f t="shared" si="56"/>
        <v>02</v>
      </c>
      <c r="S283" s="35"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5">
        <f t="shared" si="57"/>
        <v>1896</v>
      </c>
      <c r="U283" s="31"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6"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31"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31">
        <v>281</v>
      </c>
      <c r="Y283" s="31" t="str">
        <f t="shared" si="58"/>
        <v>['Leone XIII', 'Discorso', 'Con vivissima', 'lxiii-dis-cov', '02 marzo 1896', '02/03/1896', '1896/03/02'],</v>
      </c>
      <c r="Z283" s="31" t="str">
        <f t="shared" si="59"/>
        <v>Con vivissima (2 marzo 1896) | Leone XIII</v>
      </c>
      <c r="AA283" s="31" t="str">
        <f t="shared" si="60"/>
        <v>Discorso Con vivissima</v>
      </c>
      <c r="AB283" s="31" t="str">
        <f t="shared" si="61"/>
        <v>Discorso Con vivissima</v>
      </c>
      <c r="AC283" s="31" t="str">
        <f t="shared" si="62"/>
        <v>Leone XIII, Discorso Con vivissima, 02 marzo 1896</v>
      </c>
      <c r="AD283" s="31" t="str">
        <f t="shared" si="63"/>
        <v>1896-03-02T08:00:00.000+02:00</v>
      </c>
      <c r="AE283" s="31" t="str">
        <f t="shared" si="64"/>
        <v>lxiii-dis-cov</v>
      </c>
      <c r="AF283" s="31" t="str">
        <f t="shared" si="65"/>
        <v>Leone XIII - Discorso - Con vivissima</v>
      </c>
    </row>
    <row r="284" spans="2:32" s="31" customFormat="1" x14ac:dyDescent="0.2">
      <c r="B284" s="31">
        <v>256</v>
      </c>
      <c r="C284" s="31" t="s">
        <v>2232</v>
      </c>
      <c r="D284" s="31" t="s">
        <v>723</v>
      </c>
      <c r="E284" s="31" t="s">
        <v>707</v>
      </c>
      <c r="F284" s="31" t="s">
        <v>667</v>
      </c>
      <c r="G284" s="31" t="s">
        <v>666</v>
      </c>
      <c r="H284" s="31" t="str">
        <f t="shared" si="66"/>
        <v>Leone XIII</v>
      </c>
      <c r="K284" s="31" t="s">
        <v>827</v>
      </c>
      <c r="L284" s="31" t="str">
        <f t="shared" si="55"/>
        <v>Discorso</v>
      </c>
      <c r="M284" s="31" t="s">
        <v>566</v>
      </c>
      <c r="O284" s="31" t="s">
        <v>2234</v>
      </c>
      <c r="P284" s="31" t="s">
        <v>1016</v>
      </c>
      <c r="Q284" s="31" t="s">
        <v>2233</v>
      </c>
      <c r="R284" s="35" t="str">
        <f t="shared" si="56"/>
        <v>18</v>
      </c>
      <c r="S284" s="35"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5">
        <f t="shared" si="57"/>
        <v>1894</v>
      </c>
      <c r="U284" s="31"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6"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31"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31">
        <v>282</v>
      </c>
      <c r="Y284" s="31" t="str">
        <f t="shared" si="58"/>
        <v>['Leone XIII', 'Discorso', 'Grande è', 'lxiii-dis-gre', '18 aprile 1894', '18/04/1894', '1894/04/18'],</v>
      </c>
      <c r="Z284" s="31" t="str">
        <f t="shared" si="59"/>
        <v>Grande è (18 aprile 1894) | Leone XIII</v>
      </c>
      <c r="AA284" s="31" t="str">
        <f t="shared" si="60"/>
        <v>Discorso Grande è</v>
      </c>
      <c r="AB284" s="31" t="str">
        <f t="shared" si="61"/>
        <v>Discorso Grande è</v>
      </c>
      <c r="AC284" s="31" t="str">
        <f t="shared" si="62"/>
        <v>Leone XIII, Discorso Grande è, 18 aprile 1894</v>
      </c>
      <c r="AD284" s="31" t="str">
        <f t="shared" si="63"/>
        <v>1894-04-18T08:00:00.000+02:00</v>
      </c>
      <c r="AE284" s="31" t="str">
        <f t="shared" si="64"/>
        <v>lxiii-dis-gre</v>
      </c>
      <c r="AF284" s="31" t="str">
        <f t="shared" si="65"/>
        <v>Leone XIII - Discorso - Grande è</v>
      </c>
    </row>
    <row r="285" spans="2:32" s="31" customFormat="1" x14ac:dyDescent="0.2">
      <c r="B285" s="31">
        <v>256</v>
      </c>
      <c r="C285" s="31" t="s">
        <v>2229</v>
      </c>
      <c r="D285" s="31" t="s">
        <v>723</v>
      </c>
      <c r="E285" s="31" t="s">
        <v>707</v>
      </c>
      <c r="F285" s="31" t="s">
        <v>667</v>
      </c>
      <c r="G285" s="31" t="s">
        <v>666</v>
      </c>
      <c r="H285" s="31" t="str">
        <f t="shared" si="66"/>
        <v>Leone XIII</v>
      </c>
      <c r="K285" s="31" t="s">
        <v>827</v>
      </c>
      <c r="L285" s="31" t="str">
        <f t="shared" si="55"/>
        <v>Discorso</v>
      </c>
      <c r="M285" s="31" t="s">
        <v>566</v>
      </c>
      <c r="O285" s="31" t="s">
        <v>2231</v>
      </c>
      <c r="P285" s="31" t="s">
        <v>2969</v>
      </c>
      <c r="Q285" s="31" t="s">
        <v>2230</v>
      </c>
      <c r="R285" s="35" t="str">
        <f t="shared" si="56"/>
        <v>28</v>
      </c>
      <c r="S285" s="35"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5">
        <f t="shared" si="57"/>
        <v>1894</v>
      </c>
      <c r="U285" s="31"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6"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31"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31">
        <v>283</v>
      </c>
      <c r="Y285" s="31" t="str">
        <f t="shared" si="58"/>
        <v>['Leone XIII', 'Discorso', 'Sullo scorcio', 'lxiii-dis-sus', '28 gennaio 1894', '28/01/1894', '1894/01/28'],</v>
      </c>
      <c r="Z285" s="31" t="str">
        <f t="shared" si="59"/>
        <v>Sullo scorcio (28 gennaio 1894) | Leone XIII</v>
      </c>
      <c r="AA285" s="31" t="str">
        <f t="shared" si="60"/>
        <v>Discorso Sullo scorcio</v>
      </c>
      <c r="AB285" s="31" t="str">
        <f t="shared" si="61"/>
        <v>Discorso Sullo scorcio</v>
      </c>
      <c r="AC285" s="31" t="str">
        <f t="shared" si="62"/>
        <v>Leone XIII, Discorso Sullo scorcio, 28 gennaio 1894</v>
      </c>
      <c r="AD285" s="31" t="str">
        <f t="shared" si="63"/>
        <v>1894-01-28T08:00:00.000+02:00</v>
      </c>
      <c r="AE285" s="31" t="str">
        <f t="shared" si="64"/>
        <v>lxiii-dis-sus</v>
      </c>
      <c r="AF285" s="31" t="str">
        <f t="shared" si="65"/>
        <v>Leone XIII - Discorso - Sullo scorcio</v>
      </c>
    </row>
    <row r="286" spans="2:32" s="31" customFormat="1" x14ac:dyDescent="0.2">
      <c r="B286" s="31">
        <v>256</v>
      </c>
      <c r="C286" s="31" t="s">
        <v>2226</v>
      </c>
      <c r="D286" s="31" t="s">
        <v>723</v>
      </c>
      <c r="E286" s="31" t="s">
        <v>707</v>
      </c>
      <c r="F286" s="31" t="s">
        <v>667</v>
      </c>
      <c r="G286" s="31" t="s">
        <v>666</v>
      </c>
      <c r="H286" s="31" t="str">
        <f t="shared" si="66"/>
        <v>Leone XIII</v>
      </c>
      <c r="K286" s="31" t="s">
        <v>827</v>
      </c>
      <c r="L286" s="31" t="str">
        <f t="shared" si="55"/>
        <v>Discorso</v>
      </c>
      <c r="M286" s="31" t="s">
        <v>566</v>
      </c>
      <c r="O286" s="31" t="s">
        <v>2228</v>
      </c>
      <c r="P286" s="31" t="s">
        <v>2970</v>
      </c>
      <c r="Q286" s="31" t="s">
        <v>2227</v>
      </c>
      <c r="R286" s="35" t="str">
        <f t="shared" si="56"/>
        <v>23</v>
      </c>
      <c r="S286" s="35"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5">
        <f t="shared" si="57"/>
        <v>1892</v>
      </c>
      <c r="U286" s="31"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6"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31"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31">
        <v>284</v>
      </c>
      <c r="Y286" s="31" t="str">
        <f t="shared" si="58"/>
        <v>['Leone XIII', 'Discorso', 'Prossimi come siamo', 'lxiii-dis-pcs', '23 dicembre 1892', '23/12/1892', '1892/12/23'],</v>
      </c>
      <c r="Z286" s="31" t="str">
        <f t="shared" si="59"/>
        <v>Prossimi come siamo (23 dicembre 1892) | Leone XIII</v>
      </c>
      <c r="AA286" s="31" t="str">
        <f t="shared" si="60"/>
        <v>Discorso Prossimi come siamo</v>
      </c>
      <c r="AB286" s="31" t="str">
        <f t="shared" si="61"/>
        <v>Discorso Prossimi come siamo</v>
      </c>
      <c r="AC286" s="31" t="str">
        <f t="shared" si="62"/>
        <v>Leone XIII, Discorso Prossimi come siamo, 23 dicembre 1892</v>
      </c>
      <c r="AD286" s="31" t="str">
        <f t="shared" si="63"/>
        <v>1892-12-23T08:00:00.000+02:00</v>
      </c>
      <c r="AE286" s="31" t="str">
        <f t="shared" si="64"/>
        <v>lxiii-dis-pcs</v>
      </c>
      <c r="AF286" s="31" t="str">
        <f t="shared" si="65"/>
        <v>Leone XIII - Discorso - Prossimi come siamo</v>
      </c>
    </row>
    <row r="287" spans="2:32" s="31" customFormat="1" x14ac:dyDescent="0.2">
      <c r="B287" s="31">
        <v>256</v>
      </c>
      <c r="C287" s="31" t="s">
        <v>2223</v>
      </c>
      <c r="D287" s="31" t="s">
        <v>723</v>
      </c>
      <c r="E287" s="31" t="s">
        <v>707</v>
      </c>
      <c r="F287" s="31" t="s">
        <v>667</v>
      </c>
      <c r="G287" s="31" t="s">
        <v>666</v>
      </c>
      <c r="H287" s="31" t="str">
        <f t="shared" si="66"/>
        <v>Leone XIII</v>
      </c>
      <c r="K287" s="31" t="s">
        <v>827</v>
      </c>
      <c r="L287" s="31" t="str">
        <f t="shared" si="55"/>
        <v>Discorso</v>
      </c>
      <c r="M287" s="31" t="s">
        <v>566</v>
      </c>
      <c r="O287" s="31" t="s">
        <v>2225</v>
      </c>
      <c r="P287" s="31" t="s">
        <v>2971</v>
      </c>
      <c r="Q287" s="31" t="s">
        <v>2224</v>
      </c>
      <c r="R287" s="35" t="str">
        <f t="shared" si="56"/>
        <v>14</v>
      </c>
      <c r="S287" s="35"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5">
        <f t="shared" si="57"/>
        <v>1891</v>
      </c>
      <c r="U287" s="31"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6"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31"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31">
        <v>285</v>
      </c>
      <c r="Y287" s="31" t="str">
        <f t="shared" si="58"/>
        <v>['Leone XIII', 'Discorso', 'Non est opus', 'lxiii-dis-neo', '14 dicembre 1891', '14/12/1891', '1891/12/14'],</v>
      </c>
      <c r="Z287" s="31" t="str">
        <f t="shared" si="59"/>
        <v>Non est opus (14 dicembre 1891) | Leone XIII</v>
      </c>
      <c r="AA287" s="31" t="str">
        <f t="shared" si="60"/>
        <v>Discorso Non est opus</v>
      </c>
      <c r="AB287" s="31" t="str">
        <f t="shared" si="61"/>
        <v>Discorso Non est opus</v>
      </c>
      <c r="AC287" s="31" t="str">
        <f t="shared" si="62"/>
        <v>Leone XIII, Discorso Non est opus, 14 dicembre 1891</v>
      </c>
      <c r="AD287" s="31" t="str">
        <f t="shared" si="63"/>
        <v>1891-12-14T08:00:00.000+02:00</v>
      </c>
      <c r="AE287" s="31" t="str">
        <f t="shared" si="64"/>
        <v>lxiii-dis-neo</v>
      </c>
      <c r="AF287" s="31" t="str">
        <f t="shared" si="65"/>
        <v>Leone XIII - Discorso - Non est opus</v>
      </c>
    </row>
    <row r="288" spans="2:32" s="31" customFormat="1" x14ac:dyDescent="0.2">
      <c r="B288" s="31">
        <v>256</v>
      </c>
      <c r="C288" s="31" t="s">
        <v>2220</v>
      </c>
      <c r="D288" s="31" t="s">
        <v>723</v>
      </c>
      <c r="E288" s="31" t="s">
        <v>707</v>
      </c>
      <c r="F288" s="31" t="s">
        <v>667</v>
      </c>
      <c r="G288" s="31" t="s">
        <v>666</v>
      </c>
      <c r="H288" s="31" t="str">
        <f t="shared" si="66"/>
        <v>Leone XIII</v>
      </c>
      <c r="K288" s="31" t="s">
        <v>827</v>
      </c>
      <c r="L288" s="31" t="str">
        <f t="shared" si="55"/>
        <v>Discorso</v>
      </c>
      <c r="M288" s="31" t="s">
        <v>566</v>
      </c>
      <c r="O288" s="31" t="s">
        <v>2222</v>
      </c>
      <c r="P288" s="31" t="s">
        <v>2978</v>
      </c>
      <c r="Q288" s="31" t="s">
        <v>2221</v>
      </c>
      <c r="R288" s="35" t="str">
        <f t="shared" si="56"/>
        <v>20</v>
      </c>
      <c r="S288" s="35"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5">
        <f t="shared" si="57"/>
        <v>1891</v>
      </c>
      <c r="U288" s="31"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6"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31"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31">
        <v>286</v>
      </c>
      <c r="Y288" s="31" t="str">
        <f t="shared" si="58"/>
        <v>['Leone XIII', 'Discorso', 'Grande est', 'lxiii-dis-ges', '20 settembre 1891', '20/09/1891', '1891/09/20'],</v>
      </c>
      <c r="Z288" s="31" t="str">
        <f t="shared" si="59"/>
        <v>Grande est (20 settembre 1891) | Leone XIII</v>
      </c>
      <c r="AA288" s="31" t="str">
        <f t="shared" si="60"/>
        <v>Discorso Grande est</v>
      </c>
      <c r="AB288" s="31" t="str">
        <f t="shared" si="61"/>
        <v>Discorso Grande est</v>
      </c>
      <c r="AC288" s="31" t="str">
        <f t="shared" si="62"/>
        <v>Leone XIII, Discorso Grande est, 20 settembre 1891</v>
      </c>
      <c r="AD288" s="31" t="str">
        <f t="shared" si="63"/>
        <v>1891-09-20T08:00:00.000+02:00</v>
      </c>
      <c r="AE288" s="31" t="str">
        <f t="shared" si="64"/>
        <v>lxiii-dis-ges</v>
      </c>
      <c r="AF288" s="31" t="str">
        <f t="shared" si="65"/>
        <v>Leone XIII - Discorso - Grande est</v>
      </c>
    </row>
    <row r="289" spans="2:32" s="31" customFormat="1" x14ac:dyDescent="0.2">
      <c r="B289" s="31">
        <v>256</v>
      </c>
      <c r="C289" s="31" t="s">
        <v>2217</v>
      </c>
      <c r="D289" s="31" t="s">
        <v>723</v>
      </c>
      <c r="E289" s="31" t="s">
        <v>707</v>
      </c>
      <c r="F289" s="31" t="s">
        <v>667</v>
      </c>
      <c r="G289" s="31" t="s">
        <v>666</v>
      </c>
      <c r="H289" s="31" t="str">
        <f t="shared" si="66"/>
        <v>Leone XIII</v>
      </c>
      <c r="K289" s="31" t="s">
        <v>827</v>
      </c>
      <c r="L289" s="31" t="str">
        <f t="shared" si="55"/>
        <v>Discorso</v>
      </c>
      <c r="M289" s="31" t="s">
        <v>566</v>
      </c>
      <c r="O289" s="31" t="s">
        <v>2219</v>
      </c>
      <c r="P289" s="31" t="s">
        <v>2972</v>
      </c>
      <c r="Q289" s="31" t="s">
        <v>2218</v>
      </c>
      <c r="R289" s="35" t="str">
        <f t="shared" si="56"/>
        <v>30</v>
      </c>
      <c r="S289" s="35"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5">
        <f t="shared" si="57"/>
        <v>1889</v>
      </c>
      <c r="U289" s="31"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6"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31"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31">
        <v>287</v>
      </c>
      <c r="Y289" s="31" t="str">
        <f t="shared" si="58"/>
        <v>['Leone XIII', 'Discorso', 'Tempestivum Quoddam', 'lxiii-dis-teq', '30 dicembre 1889', '30/12/1889', '1889/12/30'],</v>
      </c>
      <c r="Z289" s="31" t="str">
        <f t="shared" si="59"/>
        <v>Tempestivum Quoddam (30 dicembre 1889) | Leone XIII</v>
      </c>
      <c r="AA289" s="31" t="str">
        <f t="shared" si="60"/>
        <v>Discorso Tempestivum Quoddam</v>
      </c>
      <c r="AB289" s="31" t="str">
        <f t="shared" si="61"/>
        <v>Discorso Tempestivum Quoddam</v>
      </c>
      <c r="AC289" s="31" t="str">
        <f t="shared" si="62"/>
        <v>Leone XIII, Discorso Tempestivum Quoddam, 30 dicembre 1889</v>
      </c>
      <c r="AD289" s="31" t="str">
        <f t="shared" si="63"/>
        <v>1889-12-30T08:00:00.000+02:00</v>
      </c>
      <c r="AE289" s="31" t="str">
        <f t="shared" si="64"/>
        <v>lxiii-dis-teq</v>
      </c>
      <c r="AF289" s="31" t="str">
        <f t="shared" si="65"/>
        <v>Leone XIII - Discorso - Tempestivum Quoddam</v>
      </c>
    </row>
    <row r="290" spans="2:32" s="31" customFormat="1" x14ac:dyDescent="0.2">
      <c r="B290" s="31">
        <v>256</v>
      </c>
      <c r="C290" s="31" t="s">
        <v>2214</v>
      </c>
      <c r="D290" s="31" t="s">
        <v>723</v>
      </c>
      <c r="E290" s="31" t="s">
        <v>707</v>
      </c>
      <c r="F290" s="31" t="s">
        <v>667</v>
      </c>
      <c r="G290" s="31" t="s">
        <v>666</v>
      </c>
      <c r="H290" s="31" t="str">
        <f t="shared" si="66"/>
        <v>Leone XIII</v>
      </c>
      <c r="K290" s="31" t="s">
        <v>827</v>
      </c>
      <c r="L290" s="31" t="str">
        <f t="shared" si="55"/>
        <v>Discorso</v>
      </c>
      <c r="M290" s="31" t="s">
        <v>566</v>
      </c>
      <c r="O290" s="31" t="s">
        <v>2216</v>
      </c>
      <c r="P290" s="31" t="s">
        <v>2973</v>
      </c>
      <c r="Q290" s="31" t="s">
        <v>2215</v>
      </c>
      <c r="R290" s="35" t="str">
        <f t="shared" si="56"/>
        <v>24</v>
      </c>
      <c r="S290" s="35"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5">
        <f t="shared" si="57"/>
        <v>1889</v>
      </c>
      <c r="U290" s="31"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6"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31"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31">
        <v>288</v>
      </c>
      <c r="Y290" s="31" t="str">
        <f t="shared" si="58"/>
        <v>['Leone XIII', 'Discorso', 'Colle espressioni', 'lxiii-dis-coe', '24 dicembre 1889', '24/12/1889', '1889/12/24'],</v>
      </c>
      <c r="Z290" s="31" t="str">
        <f t="shared" si="59"/>
        <v>Colle espressioni (24 dicembre 1889) | Leone XIII</v>
      </c>
      <c r="AA290" s="31" t="str">
        <f t="shared" si="60"/>
        <v>Discorso Colle espressioni</v>
      </c>
      <c r="AB290" s="31" t="str">
        <f t="shared" si="61"/>
        <v>Discorso Colle espressioni</v>
      </c>
      <c r="AC290" s="31" t="str">
        <f t="shared" si="62"/>
        <v>Leone XIII, Discorso Colle espressioni, 24 dicembre 1889</v>
      </c>
      <c r="AD290" s="31" t="str">
        <f t="shared" si="63"/>
        <v>1889-12-24T08:00:00.000+02:00</v>
      </c>
      <c r="AE290" s="31" t="str">
        <f t="shared" si="64"/>
        <v>lxiii-dis-coe</v>
      </c>
      <c r="AF290" s="31" t="str">
        <f t="shared" si="65"/>
        <v>Leone XIII - Discorso - Colle espressioni</v>
      </c>
    </row>
    <row r="291" spans="2:32" s="31" customFormat="1" x14ac:dyDescent="0.2">
      <c r="B291" s="31">
        <v>256</v>
      </c>
      <c r="C291" s="31" t="s">
        <v>2211</v>
      </c>
      <c r="D291" s="31" t="s">
        <v>723</v>
      </c>
      <c r="E291" s="31" t="s">
        <v>707</v>
      </c>
      <c r="F291" s="31" t="s">
        <v>667</v>
      </c>
      <c r="G291" s="31" t="s">
        <v>666</v>
      </c>
      <c r="H291" s="31" t="str">
        <f t="shared" si="66"/>
        <v>Leone XIII</v>
      </c>
      <c r="K291" s="31" t="s">
        <v>827</v>
      </c>
      <c r="L291" s="31" t="str">
        <f t="shared" si="55"/>
        <v>Discorso</v>
      </c>
      <c r="M291" s="31" t="s">
        <v>566</v>
      </c>
      <c r="O291" s="31" t="s">
        <v>2213</v>
      </c>
      <c r="P291" s="31" t="s">
        <v>1000</v>
      </c>
      <c r="Q291" s="31" t="s">
        <v>2212</v>
      </c>
      <c r="R291" s="35" t="str">
        <f t="shared" si="56"/>
        <v>30</v>
      </c>
      <c r="S291" s="35"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5">
        <f t="shared" si="57"/>
        <v>1889</v>
      </c>
      <c r="U291" s="31"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6"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31"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31">
        <v>289</v>
      </c>
      <c r="Y291" s="31" t="str">
        <f t="shared" si="58"/>
        <v>['Leone XIII', 'Discorso', 'Quod Nuper', 'lxiii-dis-qun', '30 giugno 1889', '30/06/1889', '1889/06/30'],</v>
      </c>
      <c r="Z291" s="31" t="str">
        <f t="shared" si="59"/>
        <v>Quod Nuper (30 giugno 1889) | Leone XIII</v>
      </c>
      <c r="AA291" s="31" t="str">
        <f t="shared" si="60"/>
        <v>Discorso Quod Nuper</v>
      </c>
      <c r="AB291" s="31" t="str">
        <f t="shared" si="61"/>
        <v>Discorso Quod Nuper</v>
      </c>
      <c r="AC291" s="31" t="str">
        <f t="shared" si="62"/>
        <v>Leone XIII, Discorso Quod Nuper, 30 giugno 1889</v>
      </c>
      <c r="AD291" s="31" t="str">
        <f t="shared" si="63"/>
        <v>1889-06-30T08:00:00.000+02:00</v>
      </c>
      <c r="AE291" s="31" t="str">
        <f t="shared" si="64"/>
        <v>lxiii-dis-qun</v>
      </c>
      <c r="AF291" s="31" t="str">
        <f t="shared" si="65"/>
        <v>Leone XIII - Discorso - Quod Nuper</v>
      </c>
    </row>
    <row r="292" spans="2:32" s="31" customFormat="1" x14ac:dyDescent="0.2">
      <c r="B292" s="31">
        <v>256</v>
      </c>
      <c r="C292" s="31" t="s">
        <v>2208</v>
      </c>
      <c r="D292" s="31" t="s">
        <v>723</v>
      </c>
      <c r="E292" s="31" t="s">
        <v>707</v>
      </c>
      <c r="F292" s="31" t="s">
        <v>667</v>
      </c>
      <c r="G292" s="31" t="s">
        <v>666</v>
      </c>
      <c r="H292" s="31" t="str">
        <f t="shared" si="66"/>
        <v>Leone XIII</v>
      </c>
      <c r="K292" s="31" t="s">
        <v>827</v>
      </c>
      <c r="L292" s="31" t="str">
        <f t="shared" si="55"/>
        <v>Discorso</v>
      </c>
      <c r="M292" s="31" t="s">
        <v>566</v>
      </c>
      <c r="O292" s="31" t="s">
        <v>2210</v>
      </c>
      <c r="P292" s="31" t="s">
        <v>2974</v>
      </c>
      <c r="Q292" s="31" t="s">
        <v>2209</v>
      </c>
      <c r="R292" s="35" t="str">
        <f t="shared" si="56"/>
        <v>24</v>
      </c>
      <c r="S292" s="35"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5">
        <f t="shared" si="57"/>
        <v>1889</v>
      </c>
      <c r="U292" s="31"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6"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31"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31">
        <v>290</v>
      </c>
      <c r="Y292" s="31" t="str">
        <f t="shared" si="58"/>
        <v>['Leone XIII', 'Discorso', 'Amplissimum Collegium', 'lxiii-dis-amc', '24 maggio 1889', '24/05/1889', '1889/05/24'],</v>
      </c>
      <c r="Z292" s="31" t="str">
        <f t="shared" si="59"/>
        <v>Amplissimum Collegium (24 maggio 1889) | Leone XIII</v>
      </c>
      <c r="AA292" s="31" t="str">
        <f t="shared" si="60"/>
        <v>Discorso Amplissimum Collegium</v>
      </c>
      <c r="AB292" s="31" t="str">
        <f t="shared" si="61"/>
        <v>Discorso Amplissimum Collegium</v>
      </c>
      <c r="AC292" s="31" t="str">
        <f t="shared" si="62"/>
        <v>Leone XIII, Discorso Amplissimum Collegium, 24 maggio 1889</v>
      </c>
      <c r="AD292" s="31" t="str">
        <f t="shared" si="63"/>
        <v>1889-05-24T08:00:00.000+02:00</v>
      </c>
      <c r="AE292" s="31" t="str">
        <f t="shared" si="64"/>
        <v>lxiii-dis-amc</v>
      </c>
      <c r="AF292" s="31" t="str">
        <f t="shared" si="65"/>
        <v>Leone XIII - Discorso - Amplissimum Collegium</v>
      </c>
    </row>
    <row r="293" spans="2:32" s="31" customFormat="1" x14ac:dyDescent="0.2">
      <c r="B293" s="31">
        <v>256</v>
      </c>
      <c r="C293" s="31" t="s">
        <v>2205</v>
      </c>
      <c r="D293" s="31" t="s">
        <v>723</v>
      </c>
      <c r="E293" s="31" t="s">
        <v>707</v>
      </c>
      <c r="F293" s="31" t="s">
        <v>667</v>
      </c>
      <c r="G293" s="31" t="s">
        <v>666</v>
      </c>
      <c r="H293" s="31" t="str">
        <f t="shared" si="66"/>
        <v>Leone XIII</v>
      </c>
      <c r="K293" s="31" t="s">
        <v>827</v>
      </c>
      <c r="L293" s="31" t="str">
        <f t="shared" si="55"/>
        <v>Discorso</v>
      </c>
      <c r="M293" s="31" t="s">
        <v>566</v>
      </c>
      <c r="O293" s="31" t="s">
        <v>2207</v>
      </c>
      <c r="P293" s="31" t="s">
        <v>2975</v>
      </c>
      <c r="Q293" s="31" t="s">
        <v>2206</v>
      </c>
      <c r="R293" s="35" t="str">
        <f t="shared" si="56"/>
        <v>02</v>
      </c>
      <c r="S293" s="35"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5">
        <f t="shared" si="57"/>
        <v>1889</v>
      </c>
      <c r="U293" s="31"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6"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31"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31">
        <v>291</v>
      </c>
      <c r="Y293" s="31" t="str">
        <f t="shared" si="58"/>
        <v>['Leone XIII', 'Discorso', 'La devozione', 'lxiii-dis-lad', '02 marzo 1889', '02/03/1889', '1889/03/02'],</v>
      </c>
      <c r="Z293" s="31" t="str">
        <f t="shared" si="59"/>
        <v>La devozione (2 marzo 1889) | Leone XIII</v>
      </c>
      <c r="AA293" s="31" t="str">
        <f t="shared" si="60"/>
        <v>Discorso La devozione</v>
      </c>
      <c r="AB293" s="31" t="str">
        <f t="shared" si="61"/>
        <v>Discorso La devozione</v>
      </c>
      <c r="AC293" s="31" t="str">
        <f t="shared" si="62"/>
        <v>Leone XIII, Discorso La devozione, 02 marzo 1889</v>
      </c>
      <c r="AD293" s="31" t="str">
        <f t="shared" si="63"/>
        <v>1889-03-02T08:00:00.000+02:00</v>
      </c>
      <c r="AE293" s="31" t="str">
        <f t="shared" si="64"/>
        <v>lxiii-dis-lad</v>
      </c>
      <c r="AF293" s="31" t="str">
        <f t="shared" si="65"/>
        <v>Leone XIII - Discorso - La devozione</v>
      </c>
    </row>
    <row r="294" spans="2:32" s="31" customFormat="1" x14ac:dyDescent="0.2">
      <c r="B294" s="31">
        <v>256</v>
      </c>
      <c r="C294" s="31" t="s">
        <v>2202</v>
      </c>
      <c r="D294" s="31" t="s">
        <v>723</v>
      </c>
      <c r="E294" s="31" t="s">
        <v>707</v>
      </c>
      <c r="F294" s="31" t="s">
        <v>667</v>
      </c>
      <c r="G294" s="31" t="s">
        <v>666</v>
      </c>
      <c r="H294" s="31" t="str">
        <f t="shared" si="66"/>
        <v>Leone XIII</v>
      </c>
      <c r="K294" s="31" t="s">
        <v>827</v>
      </c>
      <c r="L294" s="31" t="str">
        <f t="shared" si="55"/>
        <v>Discorso</v>
      </c>
      <c r="M294" s="31" t="s">
        <v>566</v>
      </c>
      <c r="O294" s="31" t="s">
        <v>2204</v>
      </c>
      <c r="P294" s="31" t="s">
        <v>2976</v>
      </c>
      <c r="Q294" s="31" t="s">
        <v>2203</v>
      </c>
      <c r="R294" s="35" t="str">
        <f t="shared" si="56"/>
        <v>11</v>
      </c>
      <c r="S294" s="35"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5">
        <f t="shared" si="57"/>
        <v>1889</v>
      </c>
      <c r="U294" s="31"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6"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31"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31">
        <v>292</v>
      </c>
      <c r="Y294" s="31" t="str">
        <f t="shared" si="58"/>
        <v>['Leone XIII', 'Discorso', 'Nostis errorem', 'lxiii-dis-noe', '11 febbraio 1889', '11/02/1889', '1889/02/11'],</v>
      </c>
      <c r="Z294" s="31" t="str">
        <f t="shared" si="59"/>
        <v>Nostis errorem (11 febbraio 1889) | Leone XIII</v>
      </c>
      <c r="AA294" s="31" t="str">
        <f t="shared" si="60"/>
        <v>Discorso Nostis errorem</v>
      </c>
      <c r="AB294" s="31" t="str">
        <f t="shared" si="61"/>
        <v>Discorso Nostis errorem</v>
      </c>
      <c r="AC294" s="31" t="str">
        <f t="shared" si="62"/>
        <v>Leone XIII, Discorso Nostis errorem, 11 febbraio 1889</v>
      </c>
      <c r="AD294" s="31" t="str">
        <f t="shared" si="63"/>
        <v>1889-02-11T08:00:00.000+02:00</v>
      </c>
      <c r="AE294" s="31" t="str">
        <f t="shared" si="64"/>
        <v>lxiii-dis-noe</v>
      </c>
      <c r="AF294" s="31" t="str">
        <f t="shared" si="65"/>
        <v>Leone XIII - Discorso - Nostis errorem</v>
      </c>
    </row>
    <row r="295" spans="2:32" s="31" customFormat="1" x14ac:dyDescent="0.2">
      <c r="B295" s="31">
        <v>256</v>
      </c>
      <c r="C295" s="31" t="s">
        <v>2199</v>
      </c>
      <c r="D295" s="31" t="s">
        <v>723</v>
      </c>
      <c r="E295" s="31" t="s">
        <v>707</v>
      </c>
      <c r="F295" s="31" t="s">
        <v>667</v>
      </c>
      <c r="G295" s="31" t="s">
        <v>666</v>
      </c>
      <c r="H295" s="31" t="str">
        <f t="shared" si="66"/>
        <v>Leone XIII</v>
      </c>
      <c r="K295" s="31" t="s">
        <v>827</v>
      </c>
      <c r="L295" s="31" t="str">
        <f t="shared" si="55"/>
        <v>Discorso</v>
      </c>
      <c r="M295" s="31" t="s">
        <v>566</v>
      </c>
      <c r="O295" s="31" t="s">
        <v>2201</v>
      </c>
      <c r="P295" s="31" t="s">
        <v>2977</v>
      </c>
      <c r="Q295" s="31" t="s">
        <v>2200</v>
      </c>
      <c r="R295" s="35" t="str">
        <f t="shared" si="56"/>
        <v>23</v>
      </c>
      <c r="S295" s="35"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5">
        <f t="shared" si="57"/>
        <v>1887</v>
      </c>
      <c r="U295" s="31"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6"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31"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31">
        <v>293</v>
      </c>
      <c r="Y295" s="31" t="str">
        <f t="shared" si="58"/>
        <v>['Leone XIII', 'Discorso', 'Episcoporum Ordinem', 'lxiii-dis-epo', '23 maggio 1887', '23/05/1887', '1887/05/23'],</v>
      </c>
      <c r="Z295" s="31" t="str">
        <f t="shared" si="59"/>
        <v>Episcoporum Ordinem (23 maggio 1887) | Leone XIII</v>
      </c>
      <c r="AA295" s="31" t="str">
        <f t="shared" si="60"/>
        <v>Discorso Episcoporum Ordinem</v>
      </c>
      <c r="AB295" s="31" t="str">
        <f t="shared" si="61"/>
        <v>Discorso Episcoporum Ordinem</v>
      </c>
      <c r="AC295" s="31" t="str">
        <f t="shared" si="62"/>
        <v>Leone XIII, Discorso Episcoporum Ordinem, 23 maggio 1887</v>
      </c>
      <c r="AD295" s="31" t="str">
        <f t="shared" si="63"/>
        <v>1887-05-23T08:00:00.000+02:00</v>
      </c>
      <c r="AE295" s="31" t="str">
        <f t="shared" si="64"/>
        <v>lxiii-dis-epo</v>
      </c>
      <c r="AF295" s="31" t="str">
        <f t="shared" si="65"/>
        <v>Leone XIII - Discorso - Episcoporum Ordinem</v>
      </c>
    </row>
    <row r="296" spans="2:32" s="31" customFormat="1" x14ac:dyDescent="0.2">
      <c r="B296" s="31">
        <v>256</v>
      </c>
      <c r="C296" s="31" t="s">
        <v>2197</v>
      </c>
      <c r="D296" s="31" t="s">
        <v>723</v>
      </c>
      <c r="E296" s="31" t="s">
        <v>707</v>
      </c>
      <c r="F296" s="31" t="s">
        <v>667</v>
      </c>
      <c r="G296" s="31" t="s">
        <v>666</v>
      </c>
      <c r="H296" s="31" t="str">
        <f t="shared" si="66"/>
        <v>Leone XIII</v>
      </c>
      <c r="K296" s="31" t="s">
        <v>827</v>
      </c>
      <c r="L296" s="31" t="str">
        <f t="shared" si="55"/>
        <v>Discorso</v>
      </c>
      <c r="M296" s="31" t="s">
        <v>566</v>
      </c>
      <c r="O296" s="31" t="s">
        <v>3</v>
      </c>
      <c r="P296" s="31" t="s">
        <v>610</v>
      </c>
      <c r="Q296" s="31" t="s">
        <v>2198</v>
      </c>
      <c r="R296" s="35" t="str">
        <f t="shared" si="56"/>
        <v>28</v>
      </c>
      <c r="S296" s="35"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5">
        <f t="shared" si="57"/>
        <v>1878</v>
      </c>
      <c r="U296" s="31"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6"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31"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31">
        <v>294</v>
      </c>
      <c r="Y296" s="31" t="str">
        <f t="shared" si="58"/>
        <v>['Leone XIII', 'Discorso', 'Ubi primum', 'lxiii-dis-ubp', '28 marzo 1878', '28/03/1878', '1878/03/28'],</v>
      </c>
      <c r="Z296" s="31" t="str">
        <f t="shared" si="59"/>
        <v>Ubi primum (28 marzo 1878) | Leone XIII</v>
      </c>
      <c r="AA296" s="31" t="str">
        <f t="shared" si="60"/>
        <v>Discorso Ubi primum</v>
      </c>
      <c r="AB296" s="31" t="str">
        <f t="shared" si="61"/>
        <v>Discorso Ubi primum</v>
      </c>
      <c r="AC296" s="31" t="str">
        <f t="shared" si="62"/>
        <v>Leone XIII, Discorso Ubi primum, 28 marzo 1878</v>
      </c>
      <c r="AD296" s="31" t="str">
        <f t="shared" si="63"/>
        <v>1878-03-28T08:00:00.000+02:00</v>
      </c>
      <c r="AE296" s="31" t="str">
        <f t="shared" si="64"/>
        <v>lxiii-dis-ubp</v>
      </c>
      <c r="AF296" s="31" t="str">
        <f t="shared" si="65"/>
        <v>Leone XIII - Discorso - Ubi primum</v>
      </c>
    </row>
    <row r="297" spans="2:32" s="31" customFormat="1" x14ac:dyDescent="0.2">
      <c r="B297" s="31">
        <v>256</v>
      </c>
      <c r="C297" s="31" t="s">
        <v>2194</v>
      </c>
      <c r="D297" s="31" t="s">
        <v>723</v>
      </c>
      <c r="E297" s="31" t="s">
        <v>707</v>
      </c>
      <c r="F297" s="31" t="s">
        <v>667</v>
      </c>
      <c r="G297" s="31" t="s">
        <v>666</v>
      </c>
      <c r="H297" s="31" t="str">
        <f t="shared" si="66"/>
        <v>Leone XIII</v>
      </c>
      <c r="K297" s="31" t="s">
        <v>557</v>
      </c>
      <c r="L297" s="31" t="str">
        <f t="shared" si="55"/>
        <v>Motu Proprio</v>
      </c>
      <c r="M297" s="31" t="s">
        <v>571</v>
      </c>
      <c r="O297" s="31" t="s">
        <v>2196</v>
      </c>
      <c r="P297" s="31" t="s">
        <v>2979</v>
      </c>
      <c r="Q297" s="31" t="s">
        <v>2195</v>
      </c>
      <c r="R297" s="35" t="str">
        <f t="shared" si="56"/>
        <v>04</v>
      </c>
      <c r="S297" s="35"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5">
        <f t="shared" si="57"/>
        <v>1898</v>
      </c>
      <c r="U297" s="31"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6"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31"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31">
        <v>295</v>
      </c>
      <c r="Y297" s="31" t="str">
        <f t="shared" si="58"/>
        <v>['Leone XIII', 'Motu Proprio', 'Ea animi sollicitudo', 'lxiii-mpr-eas', '04 luglio 1898', '04/07/1898', '1898/07/04'],</v>
      </c>
      <c r="Z297" s="31" t="str">
        <f t="shared" si="59"/>
        <v>Ea animi sollicitudo (4 luglio 1898) | Leone XIII</v>
      </c>
      <c r="AA297" s="31" t="str">
        <f t="shared" si="60"/>
        <v>Motu Proprio Ea animi sollicitudo</v>
      </c>
      <c r="AB297" s="31" t="str">
        <f t="shared" si="61"/>
        <v>Motu Proprio Ea animi sollicitudo</v>
      </c>
      <c r="AC297" s="31" t="str">
        <f t="shared" si="62"/>
        <v>Leone XIII, Motu Proprio Ea animi sollicitudo, 04 luglio 1898</v>
      </c>
      <c r="AD297" s="31" t="str">
        <f t="shared" si="63"/>
        <v>1898-07-04T08:00:00.000+02:00</v>
      </c>
      <c r="AE297" s="31" t="str">
        <f t="shared" si="64"/>
        <v>lxiii-mpr-eas</v>
      </c>
      <c r="AF297" s="31" t="str">
        <f t="shared" si="65"/>
        <v>Leone XIII - Motu Proprio - Ea animi sollicitudo</v>
      </c>
    </row>
    <row r="298" spans="2:32" s="31" customFormat="1" x14ac:dyDescent="0.2">
      <c r="B298" s="31">
        <v>256</v>
      </c>
      <c r="C298" s="31" t="s">
        <v>2192</v>
      </c>
      <c r="D298" s="31" t="s">
        <v>723</v>
      </c>
      <c r="E298" s="31" t="s">
        <v>707</v>
      </c>
      <c r="F298" s="31" t="s">
        <v>667</v>
      </c>
      <c r="G298" s="31" t="s">
        <v>666</v>
      </c>
      <c r="H298" s="31" t="str">
        <f t="shared" si="66"/>
        <v>Leone XIII</v>
      </c>
      <c r="K298" s="31" t="s">
        <v>557</v>
      </c>
      <c r="L298" s="31" t="str">
        <f t="shared" si="55"/>
        <v>Motu Proprio</v>
      </c>
      <c r="M298" s="31" t="s">
        <v>571</v>
      </c>
      <c r="O298" s="31" t="s">
        <v>2193</v>
      </c>
      <c r="P298" s="31" t="s">
        <v>2980</v>
      </c>
      <c r="Q298" s="31" t="s">
        <v>2269</v>
      </c>
      <c r="R298" s="35" t="str">
        <f t="shared" si="56"/>
        <v>01</v>
      </c>
      <c r="S298" s="35"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5">
        <f t="shared" si="57"/>
        <v>1888</v>
      </c>
      <c r="U298" s="31"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6"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31"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31">
        <v>296</v>
      </c>
      <c r="Y298" s="31" t="str">
        <f t="shared" si="58"/>
        <v>['Leone XIII', 'Motu Proprio', 'Augustum sanctissimumque', 'lxiii-mpr-aus', '01 ottobre 1888', '01/10/1888', '1888/10/01'],</v>
      </c>
      <c r="Z298" s="31" t="str">
        <f t="shared" si="59"/>
        <v>Augustum sanctissimumque (1 ottobre 1888) | Leone XIII</v>
      </c>
      <c r="AA298" s="31" t="str">
        <f t="shared" si="60"/>
        <v>Motu Proprio Augustum sanctissimumque</v>
      </c>
      <c r="AB298" s="31" t="str">
        <f t="shared" si="61"/>
        <v>Motu Proprio Augustum sanctissimumque</v>
      </c>
      <c r="AC298" s="31" t="str">
        <f t="shared" si="62"/>
        <v>Leone XIII, Motu Proprio Augustum sanctissimumque, 01 ottobre 1888</v>
      </c>
      <c r="AD298" s="31" t="str">
        <f t="shared" si="63"/>
        <v>1888-10-01T08:00:00.000+02:00</v>
      </c>
      <c r="AE298" s="31" t="str">
        <f t="shared" si="64"/>
        <v>lxiii-mpr-aus</v>
      </c>
      <c r="AF298" s="31" t="str">
        <f t="shared" si="65"/>
        <v>Leone XIII - Motu Proprio - Augustum sanctissimumque</v>
      </c>
    </row>
    <row r="299" spans="2:32" s="31" customFormat="1" x14ac:dyDescent="0.2">
      <c r="B299" s="31">
        <v>256</v>
      </c>
      <c r="C299" s="31" t="s">
        <v>2189</v>
      </c>
      <c r="D299" s="31" t="s">
        <v>723</v>
      </c>
      <c r="E299" s="31" t="s">
        <v>707</v>
      </c>
      <c r="F299" s="31" t="s">
        <v>667</v>
      </c>
      <c r="G299" s="31" t="s">
        <v>666</v>
      </c>
      <c r="H299" s="31" t="str">
        <f t="shared" si="66"/>
        <v>Leone XIII</v>
      </c>
      <c r="K299" s="31" t="s">
        <v>557</v>
      </c>
      <c r="L299" s="31" t="str">
        <f t="shared" si="55"/>
        <v>Motu Proprio</v>
      </c>
      <c r="M299" s="31" t="s">
        <v>571</v>
      </c>
      <c r="O299" s="31" t="s">
        <v>2191</v>
      </c>
      <c r="P299" s="31" t="s">
        <v>2981</v>
      </c>
      <c r="Q299" s="31" t="s">
        <v>2190</v>
      </c>
      <c r="R299" s="35" t="str">
        <f t="shared" si="56"/>
        <v>18</v>
      </c>
      <c r="S299" s="35"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5">
        <f t="shared" si="57"/>
        <v>1880</v>
      </c>
      <c r="U299" s="31"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6"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31"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31">
        <v>297</v>
      </c>
      <c r="Y299" s="31" t="str">
        <f t="shared" si="58"/>
        <v>['Leone XIII', 'Motu Proprio', 'Placere nobis', 'lxiii-mpr-pln', '18 gennaio 1880', '18/01/1880', '1880/01/18'],</v>
      </c>
      <c r="Z299" s="31" t="str">
        <f t="shared" si="59"/>
        <v>Placere nobis (18 gennaio 1880) | Leone XIII</v>
      </c>
      <c r="AA299" s="31" t="str">
        <f t="shared" si="60"/>
        <v>Motu Proprio Placere nobis</v>
      </c>
      <c r="AB299" s="31" t="str">
        <f t="shared" si="61"/>
        <v>Motu Proprio Placere nobis</v>
      </c>
      <c r="AC299" s="31" t="str">
        <f t="shared" si="62"/>
        <v>Leone XIII, Motu Proprio Placere nobis, 18 gennaio 1880</v>
      </c>
      <c r="AD299" s="31" t="str">
        <f t="shared" si="63"/>
        <v>1880-01-18T08:00:00.000+02:00</v>
      </c>
      <c r="AE299" s="31" t="str">
        <f t="shared" si="64"/>
        <v>lxiii-mpr-pln</v>
      </c>
      <c r="AF299" s="31" t="str">
        <f t="shared" si="65"/>
        <v>Leone XIII - Motu Proprio - Placere nobis</v>
      </c>
    </row>
    <row r="300" spans="2:32" s="31" customFormat="1" x14ac:dyDescent="0.2">
      <c r="B300" s="31">
        <v>256</v>
      </c>
      <c r="C300" s="31" t="s">
        <v>2187</v>
      </c>
      <c r="D300" s="31" t="s">
        <v>723</v>
      </c>
      <c r="E300" s="31" t="s">
        <v>707</v>
      </c>
      <c r="F300" s="31" t="s">
        <v>667</v>
      </c>
      <c r="G300" s="31" t="s">
        <v>666</v>
      </c>
      <c r="H300" s="31" t="str">
        <f t="shared" si="66"/>
        <v>Leone XIII</v>
      </c>
      <c r="K300" s="31" t="s">
        <v>830</v>
      </c>
      <c r="L300" s="31" t="str">
        <f t="shared" si="55"/>
        <v>Lettera Apostolica</v>
      </c>
      <c r="M300" s="31" t="s">
        <v>569</v>
      </c>
      <c r="O300" s="31" t="s">
        <v>2188</v>
      </c>
      <c r="P300" s="31" t="s">
        <v>2982</v>
      </c>
      <c r="Q300" s="39">
        <v>1242</v>
      </c>
      <c r="R300" s="35" t="str">
        <f t="shared" ref="R300:R363" si="67">IF(ISERROR(DAY(Q300)),TEXT((LEFT(Q300,2)),"00"),TEXT(DAY(Q300),"00"))</f>
        <v>26</v>
      </c>
      <c r="S300" s="35"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5">
        <f t="shared" ref="T300:T321" si="68">IF(ISERROR(DAY(Q300)),VALUE(RIGHT(Q300,4)),YEAR(Q300))</f>
        <v>1903</v>
      </c>
      <c r="U300" s="31"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6"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31"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31">
        <v>298</v>
      </c>
      <c r="Y300" s="31" t="str">
        <f t="shared" si="58"/>
        <v>['Leone XIII', 'Lettera Apostolica', 'Da molte parti', 'lxiii-lea-dmp', '26 maggio 1903', '26/05/1903', '1903/05/26'],</v>
      </c>
      <c r="Z300" s="31" t="str">
        <f t="shared" si="59"/>
        <v>Da molte parti (1242) | Leone XIII</v>
      </c>
      <c r="AA300" s="31" t="str">
        <f t="shared" si="60"/>
        <v>Lettera Apostolica Da molte parti</v>
      </c>
      <c r="AB300" s="31" t="str">
        <f t="shared" si="61"/>
        <v>Lettera Apostolica Da molte parti</v>
      </c>
      <c r="AC300" s="31" t="str">
        <f t="shared" si="62"/>
        <v>Leone XIII, Lettera Apostolica Da molte parti, 26 maggio 1903</v>
      </c>
      <c r="AD300" s="31" t="str">
        <f t="shared" si="63"/>
        <v>1903-05-26T08:00:00.000+02:00</v>
      </c>
      <c r="AE300" s="31" t="str">
        <f t="shared" si="64"/>
        <v>lxiii-lea-dmp</v>
      </c>
      <c r="AF300" s="31" t="str">
        <f t="shared" si="65"/>
        <v>Leone XIII - Lettera Apostolica - Da molte parti</v>
      </c>
    </row>
    <row r="301" spans="2:32" s="31" customFormat="1" x14ac:dyDescent="0.2">
      <c r="B301" s="31">
        <v>256</v>
      </c>
      <c r="C301" s="31" t="s">
        <v>2185</v>
      </c>
      <c r="D301" s="31" t="s">
        <v>723</v>
      </c>
      <c r="E301" s="31" t="s">
        <v>707</v>
      </c>
      <c r="F301" s="31" t="s">
        <v>667</v>
      </c>
      <c r="G301" s="31" t="s">
        <v>666</v>
      </c>
      <c r="H301" s="31" t="str">
        <f t="shared" si="66"/>
        <v>Leone XIII</v>
      </c>
      <c r="K301" s="31" t="s">
        <v>830</v>
      </c>
      <c r="L301" s="31" t="str">
        <f t="shared" si="55"/>
        <v>Lettera Apostolica</v>
      </c>
      <c r="M301" s="31" t="s">
        <v>569</v>
      </c>
      <c r="O301" s="31" t="s">
        <v>2186</v>
      </c>
      <c r="P301" s="31" t="s">
        <v>2983</v>
      </c>
      <c r="Q301" s="40">
        <v>1034</v>
      </c>
      <c r="R301" s="35" t="str">
        <f t="shared" si="67"/>
        <v>30</v>
      </c>
      <c r="S301" s="35"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5">
        <f t="shared" si="68"/>
        <v>1902</v>
      </c>
      <c r="U301" s="31"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6"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31"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31">
        <v>299</v>
      </c>
      <c r="Y301" s="31" t="str">
        <f t="shared" si="58"/>
        <v>['Leone XIII', 'Lettera Apostolica', 'Vigilantiae studiique', 'lxiii-lea-vis', '30 ottobre 1902', '30/10/1902', '1902/10/30'],</v>
      </c>
      <c r="Z301" s="31" t="str">
        <f t="shared" si="59"/>
        <v>Vigilantiae studiique (1034) | Leone XIII</v>
      </c>
      <c r="AA301" s="31" t="str">
        <f t="shared" si="60"/>
        <v>Lettera Apostolica Vigilantiae studiique</v>
      </c>
      <c r="AB301" s="31" t="str">
        <f t="shared" si="61"/>
        <v>Lettera Apostolica Vigilantiae studiique</v>
      </c>
      <c r="AC301" s="31" t="str">
        <f t="shared" si="62"/>
        <v>Leone XIII, Lettera Apostolica Vigilantiae studiique, 30 ottobre 1902</v>
      </c>
      <c r="AD301" s="31" t="str">
        <f t="shared" si="63"/>
        <v>1902-10-30T08:00:00.000+02:00</v>
      </c>
      <c r="AE301" s="31" t="str">
        <f t="shared" si="64"/>
        <v>lxiii-lea-vis</v>
      </c>
      <c r="AF301" s="31" t="str">
        <f t="shared" si="65"/>
        <v>Leone XIII - Lettera Apostolica - Vigilantiae studiique</v>
      </c>
    </row>
    <row r="302" spans="2:32" s="31" customFormat="1" x14ac:dyDescent="0.2">
      <c r="B302" s="31">
        <v>256</v>
      </c>
      <c r="C302" s="31" t="s">
        <v>2183</v>
      </c>
      <c r="D302" s="31" t="s">
        <v>723</v>
      </c>
      <c r="E302" s="31" t="s">
        <v>707</v>
      </c>
      <c r="F302" s="31" t="s">
        <v>667</v>
      </c>
      <c r="G302" s="31" t="s">
        <v>666</v>
      </c>
      <c r="H302" s="31" t="str">
        <f t="shared" si="66"/>
        <v>Leone XIII</v>
      </c>
      <c r="K302" s="31" t="s">
        <v>830</v>
      </c>
      <c r="L302" s="31" t="str">
        <f t="shared" si="55"/>
        <v>Lettera Apostolica</v>
      </c>
      <c r="M302" s="31" t="s">
        <v>569</v>
      </c>
      <c r="O302" s="31" t="s">
        <v>2184</v>
      </c>
      <c r="P302" s="31" t="s">
        <v>2984</v>
      </c>
      <c r="Q302" s="40">
        <v>809</v>
      </c>
      <c r="R302" s="35" t="str">
        <f t="shared" si="67"/>
        <v>19</v>
      </c>
      <c r="S302" s="35"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5">
        <f t="shared" si="68"/>
        <v>1902</v>
      </c>
      <c r="U302" s="31"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6"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31"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31">
        <v>300</v>
      </c>
      <c r="Y302" s="31" t="str">
        <f t="shared" si="58"/>
        <v>['Leone XIII', 'Lettera Apostolica', 'Vigesimo quinto anno', 'lxiii-lea-vqa', '19 marzo 1902', '19/03/1902', '1902/03/19'],</v>
      </c>
      <c r="Z302" s="31" t="str">
        <f t="shared" si="59"/>
        <v>Vigesimo quinto anno (809) | Leone XIII</v>
      </c>
      <c r="AA302" s="31" t="str">
        <f t="shared" si="60"/>
        <v>Lettera Apostolica Vigesimo quinto anno</v>
      </c>
      <c r="AB302" s="31" t="str">
        <f t="shared" si="61"/>
        <v>Lettera Apostolica Vigesimo quinto anno</v>
      </c>
      <c r="AC302" s="31" t="str">
        <f t="shared" si="62"/>
        <v>Leone XIII, Lettera Apostolica Vigesimo quinto anno, 19 marzo 1902</v>
      </c>
      <c r="AD302" s="31" t="str">
        <f t="shared" si="63"/>
        <v>1902-03-19T08:00:00.000+02:00</v>
      </c>
      <c r="AE302" s="31" t="str">
        <f t="shared" si="64"/>
        <v>lxiii-lea-vqa</v>
      </c>
      <c r="AF302" s="31" t="str">
        <f t="shared" si="65"/>
        <v>Leone XIII - Lettera Apostolica - Vigesimo quinto anno</v>
      </c>
    </row>
    <row r="303" spans="2:32" s="31" customFormat="1" x14ac:dyDescent="0.2">
      <c r="B303" s="31">
        <v>256</v>
      </c>
      <c r="C303" s="31" t="s">
        <v>2180</v>
      </c>
      <c r="D303" s="31" t="s">
        <v>723</v>
      </c>
      <c r="E303" s="31" t="s">
        <v>707</v>
      </c>
      <c r="F303" s="31" t="s">
        <v>667</v>
      </c>
      <c r="G303" s="31" t="s">
        <v>666</v>
      </c>
      <c r="H303" s="31" t="str">
        <f t="shared" si="66"/>
        <v>Leone XIII</v>
      </c>
      <c r="K303" s="31" t="s">
        <v>830</v>
      </c>
      <c r="L303" s="31" t="str">
        <f t="shared" si="55"/>
        <v>Lettera Apostolica</v>
      </c>
      <c r="M303" s="31" t="s">
        <v>569</v>
      </c>
      <c r="O303" s="31" t="s">
        <v>2182</v>
      </c>
      <c r="P303" s="31" t="s">
        <v>2985</v>
      </c>
      <c r="Q303" s="31" t="s">
        <v>2181</v>
      </c>
      <c r="R303" s="35" t="str">
        <f t="shared" si="67"/>
        <v>18</v>
      </c>
      <c r="S303" s="35"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5">
        <f t="shared" si="68"/>
        <v>1897</v>
      </c>
      <c r="U303" s="31"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6"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31"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31">
        <v>301</v>
      </c>
      <c r="Y303" s="31" t="str">
        <f t="shared" si="58"/>
        <v>['Leone XIII', 'Lettera Apostolica', 'Trans oceanum', 'lxiii-lea-tro', '18 aprile 1897', '18/04/1897', '1897/04/18'],</v>
      </c>
      <c r="Z303" s="31" t="str">
        <f t="shared" si="59"/>
        <v>Trans oceanum (18 aprile 1897) | Leone XIII</v>
      </c>
      <c r="AA303" s="31" t="str">
        <f t="shared" si="60"/>
        <v>Lettera Apostolica Trans oceanum</v>
      </c>
      <c r="AB303" s="31" t="str">
        <f t="shared" si="61"/>
        <v>Lettera Apostolica Trans oceanum</v>
      </c>
      <c r="AC303" s="31" t="str">
        <f t="shared" si="62"/>
        <v>Leone XIII, Lettera Apostolica Trans oceanum, 18 aprile 1897</v>
      </c>
      <c r="AD303" s="31" t="str">
        <f t="shared" si="63"/>
        <v>1897-04-18T08:00:00.000+02:00</v>
      </c>
      <c r="AE303" s="31" t="str">
        <f t="shared" si="64"/>
        <v>lxiii-lea-tro</v>
      </c>
      <c r="AF303" s="31" t="str">
        <f t="shared" si="65"/>
        <v>Leone XIII - Lettera Apostolica - Trans oceanum</v>
      </c>
    </row>
    <row r="304" spans="2:32" s="31" customFormat="1" x14ac:dyDescent="0.2">
      <c r="B304" s="31">
        <v>256</v>
      </c>
      <c r="C304" s="31" t="s">
        <v>2177</v>
      </c>
      <c r="D304" s="31" t="s">
        <v>723</v>
      </c>
      <c r="E304" s="31" t="s">
        <v>707</v>
      </c>
      <c r="F304" s="31" t="s">
        <v>667</v>
      </c>
      <c r="G304" s="31" t="s">
        <v>666</v>
      </c>
      <c r="H304" s="31" t="str">
        <f t="shared" si="66"/>
        <v>Leone XIII</v>
      </c>
      <c r="K304" s="31" t="s">
        <v>830</v>
      </c>
      <c r="L304" s="31" t="str">
        <f t="shared" si="55"/>
        <v>Lettera Apostolica</v>
      </c>
      <c r="M304" s="31" t="s">
        <v>569</v>
      </c>
      <c r="O304" s="31" t="s">
        <v>2179</v>
      </c>
      <c r="P304" s="31" t="s">
        <v>2986</v>
      </c>
      <c r="Q304" s="31" t="s">
        <v>2178</v>
      </c>
      <c r="R304" s="35" t="str">
        <f t="shared" si="67"/>
        <v>14</v>
      </c>
      <c r="S304" s="35"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5">
        <f t="shared" si="68"/>
        <v>1895</v>
      </c>
      <c r="U304" s="31"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6"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31"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31">
        <v>302</v>
      </c>
      <c r="Y304" s="31" t="str">
        <f t="shared" si="58"/>
        <v>['Leone XIII', 'Lettera Apostolica', 'Amantissimae Voluntatis', 'lxiii-lea-amv', '14 aprile 1895', '14/04/1895', '1895/04/14'],</v>
      </c>
      <c r="Z304" s="31" t="str">
        <f t="shared" si="59"/>
        <v>Amantissimae Voluntatis (14 aprile 1895) | Leone XIII</v>
      </c>
      <c r="AA304" s="31" t="str">
        <f t="shared" si="60"/>
        <v>Lettera Apostolica Amantissimae Voluntatis</v>
      </c>
      <c r="AB304" s="31" t="str">
        <f t="shared" si="61"/>
        <v>Lettera Apostolica Amantissimae Voluntatis</v>
      </c>
      <c r="AC304" s="31" t="str">
        <f t="shared" si="62"/>
        <v>Leone XIII, Lettera Apostolica Amantissimae Voluntatis, 14 aprile 1895</v>
      </c>
      <c r="AD304" s="31" t="str">
        <f t="shared" si="63"/>
        <v>1895-04-14T08:00:00.000+02:00</v>
      </c>
      <c r="AE304" s="31" t="str">
        <f t="shared" si="64"/>
        <v>lxiii-lea-amv</v>
      </c>
      <c r="AF304" s="31" t="str">
        <f t="shared" si="65"/>
        <v>Leone XIII - Lettera Apostolica - Amantissimae Voluntatis</v>
      </c>
    </row>
    <row r="305" spans="2:32" s="31" customFormat="1" x14ac:dyDescent="0.2">
      <c r="B305" s="31">
        <v>256</v>
      </c>
      <c r="C305" s="31" t="s">
        <v>2174</v>
      </c>
      <c r="D305" s="31" t="s">
        <v>723</v>
      </c>
      <c r="E305" s="31" t="s">
        <v>707</v>
      </c>
      <c r="F305" s="31" t="s">
        <v>667</v>
      </c>
      <c r="G305" s="31" t="s">
        <v>666</v>
      </c>
      <c r="H305" s="31" t="str">
        <f t="shared" si="66"/>
        <v>Leone XIII</v>
      </c>
      <c r="K305" s="31" t="s">
        <v>830</v>
      </c>
      <c r="L305" s="31" t="str">
        <f t="shared" si="55"/>
        <v>Lettera Apostolica</v>
      </c>
      <c r="M305" s="31" t="s">
        <v>569</v>
      </c>
      <c r="O305" s="31" t="s">
        <v>2176</v>
      </c>
      <c r="P305" s="31" t="s">
        <v>2987</v>
      </c>
      <c r="Q305" s="31" t="s">
        <v>2175</v>
      </c>
      <c r="R305" s="35" t="str">
        <f t="shared" si="67"/>
        <v>30</v>
      </c>
      <c r="S305" s="35"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5">
        <f t="shared" si="68"/>
        <v>1894</v>
      </c>
      <c r="U305" s="31"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6"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31"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31">
        <v>303</v>
      </c>
      <c r="Y305" s="31" t="str">
        <f t="shared" si="58"/>
        <v>['Leone XIII', 'Lettera Apostolica', 'Orientalium dignitas Ecclesiarum', 'lxiii-lea-ode', '30 novembre 1894', '30/11/1894', '1894/11/30'],</v>
      </c>
      <c r="Z305" s="31" t="str">
        <f t="shared" si="59"/>
        <v>Orientalium dignitas Ecclesiarum (30 novembre 1894) | Leone XIII</v>
      </c>
      <c r="AA305" s="31" t="str">
        <f t="shared" si="60"/>
        <v>Lettera Apostolica Orientalium dignitas Ecclesiarum</v>
      </c>
      <c r="AB305" s="31" t="str">
        <f t="shared" si="61"/>
        <v>Lettera Apostolica Orientalium dignitas Ecclesiarum</v>
      </c>
      <c r="AC305" s="31" t="str">
        <f t="shared" si="62"/>
        <v>Leone XIII, Lettera Apostolica Orientalium dignitas Ecclesiarum, 30 novembre 1894</v>
      </c>
      <c r="AD305" s="31" t="str">
        <f t="shared" si="63"/>
        <v>1894-11-30T08:00:00.000+02:00</v>
      </c>
      <c r="AE305" s="31" t="str">
        <f t="shared" si="64"/>
        <v>lxiii-lea-ode</v>
      </c>
      <c r="AF305" s="31" t="str">
        <f t="shared" si="65"/>
        <v>Leone XIII - Lettera Apostolica - Orientalium dignitas Ecclesiarum</v>
      </c>
    </row>
    <row r="306" spans="2:32" s="31" customFormat="1" x14ac:dyDescent="0.2">
      <c r="B306" s="31">
        <v>256</v>
      </c>
      <c r="C306" s="31" t="s">
        <v>2171</v>
      </c>
      <c r="D306" s="31" t="s">
        <v>723</v>
      </c>
      <c r="E306" s="31" t="s">
        <v>707</v>
      </c>
      <c r="F306" s="31" t="s">
        <v>667</v>
      </c>
      <c r="G306" s="31" t="s">
        <v>666</v>
      </c>
      <c r="H306" s="31" t="str">
        <f t="shared" si="66"/>
        <v>Leone XIII</v>
      </c>
      <c r="K306" s="31" t="s">
        <v>830</v>
      </c>
      <c r="L306" s="31" t="str">
        <f t="shared" si="55"/>
        <v>Lettera Apostolica</v>
      </c>
      <c r="M306" s="31" t="s">
        <v>569</v>
      </c>
      <c r="O306" s="31" t="s">
        <v>2173</v>
      </c>
      <c r="P306" s="31" t="s">
        <v>2988</v>
      </c>
      <c r="Q306" s="31" t="s">
        <v>2172</v>
      </c>
      <c r="R306" s="35" t="str">
        <f t="shared" si="67"/>
        <v>20</v>
      </c>
      <c r="S306" s="35"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5">
        <f t="shared" si="68"/>
        <v>1894</v>
      </c>
      <c r="U306" s="31"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6"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31"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31">
        <v>304</v>
      </c>
      <c r="Y306" s="31" t="str">
        <f t="shared" si="58"/>
        <v>['Leone XIII', 'Lettera Apostolica', 'Praeclara gratulationis', 'lxiii-lea-prg', '20 giugno 1894', '20/06/1894', '1894/06/20'],</v>
      </c>
      <c r="Z306" s="31" t="str">
        <f t="shared" si="59"/>
        <v>Praeclara gratulationis (20 giugno 1894) | Leone XIII</v>
      </c>
      <c r="AA306" s="31" t="str">
        <f t="shared" si="60"/>
        <v>Lettera Apostolica Praeclara gratulationis</v>
      </c>
      <c r="AB306" s="31" t="str">
        <f t="shared" si="61"/>
        <v>Lettera Apostolica Praeclara gratulationis</v>
      </c>
      <c r="AC306" s="31" t="str">
        <f t="shared" si="62"/>
        <v>Leone XIII, Lettera Apostolica Praeclara gratulationis, 20 giugno 1894</v>
      </c>
      <c r="AD306" s="31" t="str">
        <f t="shared" si="63"/>
        <v>1894-06-20T08:00:00.000+02:00</v>
      </c>
      <c r="AE306" s="31" t="str">
        <f t="shared" si="64"/>
        <v>lxiii-lea-prg</v>
      </c>
      <c r="AF306" s="31" t="str">
        <f t="shared" si="65"/>
        <v>Leone XIII - Lettera Apostolica - Praeclara gratulationis</v>
      </c>
    </row>
    <row r="307" spans="2:32" s="31" customFormat="1" x14ac:dyDescent="0.2">
      <c r="B307" s="31">
        <v>256</v>
      </c>
      <c r="C307" s="31" t="s">
        <v>2168</v>
      </c>
      <c r="D307" s="31" t="s">
        <v>723</v>
      </c>
      <c r="E307" s="31" t="s">
        <v>707</v>
      </c>
      <c r="F307" s="31" t="s">
        <v>667</v>
      </c>
      <c r="G307" s="31" t="s">
        <v>666</v>
      </c>
      <c r="H307" s="31" t="str">
        <f t="shared" si="66"/>
        <v>Leone XIII</v>
      </c>
      <c r="K307" s="31" t="s">
        <v>830</v>
      </c>
      <c r="L307" s="31" t="str">
        <f t="shared" si="55"/>
        <v>Lettera Apostolica</v>
      </c>
      <c r="M307" s="31" t="s">
        <v>569</v>
      </c>
      <c r="O307" s="31" t="s">
        <v>2170</v>
      </c>
      <c r="P307" s="31" t="s">
        <v>2989</v>
      </c>
      <c r="Q307" s="31" t="s">
        <v>2169</v>
      </c>
      <c r="R307" s="35" t="str">
        <f t="shared" si="67"/>
        <v>08</v>
      </c>
      <c r="S307" s="35"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5">
        <f t="shared" si="68"/>
        <v>1893</v>
      </c>
      <c r="U307" s="31"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6"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31"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31">
        <v>305</v>
      </c>
      <c r="Y307" s="31" t="str">
        <f t="shared" si="58"/>
        <v>['Leone XIII', 'Lettera Apostolica', 'Il divisamento', 'lxiii-lea-ild', '08 febbraio 1893', '08/02/1893', '1893/02/08'],</v>
      </c>
      <c r="Z307" s="31" t="str">
        <f t="shared" si="59"/>
        <v>Il divisamento (8 febbraio 1893) | Leone XIII</v>
      </c>
      <c r="AA307" s="31" t="str">
        <f t="shared" si="60"/>
        <v>Lettera Apostolica Il divisamento</v>
      </c>
      <c r="AB307" s="31" t="str">
        <f t="shared" si="61"/>
        <v>Lettera Apostolica Il divisamento</v>
      </c>
      <c r="AC307" s="31" t="str">
        <f t="shared" si="62"/>
        <v>Leone XIII, Lettera Apostolica Il divisamento, 08 febbraio 1893</v>
      </c>
      <c r="AD307" s="31" t="str">
        <f t="shared" si="63"/>
        <v>1893-02-08T08:00:00.000+02:00</v>
      </c>
      <c r="AE307" s="31" t="str">
        <f t="shared" si="64"/>
        <v>lxiii-lea-ild</v>
      </c>
      <c r="AF307" s="31" t="str">
        <f t="shared" si="65"/>
        <v>Leone XIII - Lettera Apostolica - Il divisamento</v>
      </c>
    </row>
    <row r="308" spans="2:32" s="31" customFormat="1" x14ac:dyDescent="0.2">
      <c r="B308" s="31">
        <v>256</v>
      </c>
      <c r="C308" s="31" t="s">
        <v>2165</v>
      </c>
      <c r="D308" s="31" t="s">
        <v>723</v>
      </c>
      <c r="E308" s="31" t="s">
        <v>707</v>
      </c>
      <c r="F308" s="31" t="s">
        <v>667</v>
      </c>
      <c r="G308" s="31" t="s">
        <v>666</v>
      </c>
      <c r="H308" s="31" t="str">
        <f t="shared" si="66"/>
        <v>Leone XIII</v>
      </c>
      <c r="K308" s="31" t="s">
        <v>830</v>
      </c>
      <c r="L308" s="31" t="str">
        <f t="shared" si="55"/>
        <v>Lettera Apostolica</v>
      </c>
      <c r="M308" s="31" t="s">
        <v>569</v>
      </c>
      <c r="O308" s="31" t="s">
        <v>2167</v>
      </c>
      <c r="P308" s="31" t="s">
        <v>1674</v>
      </c>
      <c r="Q308" s="31" t="s">
        <v>2166</v>
      </c>
      <c r="R308" s="35" t="str">
        <f t="shared" si="67"/>
        <v>10</v>
      </c>
      <c r="S308" s="35"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5">
        <f t="shared" si="68"/>
        <v>1884</v>
      </c>
      <c r="U308" s="31"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6"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31"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31">
        <v>306</v>
      </c>
      <c r="Y308" s="31" t="str">
        <f t="shared" si="58"/>
        <v>['Leone XIII', 'Lettera Apostolica', 'Materna Ecclesiae caritas', 'lxiii-lea-mec', '10 novembre 1884', '10/11/1884', '1884/11/10'],</v>
      </c>
      <c r="Z308" s="31" t="str">
        <f t="shared" si="59"/>
        <v>Materna Ecclesiae caritas (10 novembre 1884) | Leone XIII</v>
      </c>
      <c r="AA308" s="31" t="str">
        <f t="shared" si="60"/>
        <v>Lettera Apostolica Materna Ecclesiae caritas</v>
      </c>
      <c r="AB308" s="31" t="str">
        <f t="shared" si="61"/>
        <v>Lettera Apostolica Materna Ecclesiae caritas</v>
      </c>
      <c r="AC308" s="31" t="str">
        <f t="shared" si="62"/>
        <v>Leone XIII, Lettera Apostolica Materna Ecclesiae caritas, 10 novembre 1884</v>
      </c>
      <c r="AD308" s="31" t="str">
        <f t="shared" si="63"/>
        <v>1884-11-10T08:00:00.000+02:00</v>
      </c>
      <c r="AE308" s="31" t="str">
        <f t="shared" si="64"/>
        <v>lxiii-lea-mec</v>
      </c>
      <c r="AF308" s="31" t="str">
        <f t="shared" si="65"/>
        <v>Leone XIII - Lettera Apostolica - Materna Ecclesiae caritas</v>
      </c>
    </row>
    <row r="309" spans="2:32" s="31" customFormat="1" x14ac:dyDescent="0.2">
      <c r="B309" s="31">
        <v>256</v>
      </c>
      <c r="C309" s="31" t="s">
        <v>2163</v>
      </c>
      <c r="D309" s="31" t="s">
        <v>723</v>
      </c>
      <c r="E309" s="31" t="s">
        <v>707</v>
      </c>
      <c r="F309" s="31" t="s">
        <v>667</v>
      </c>
      <c r="G309" s="31" t="s">
        <v>666</v>
      </c>
      <c r="H309" s="31" t="str">
        <f t="shared" si="66"/>
        <v>Leone XIII</v>
      </c>
      <c r="K309" s="31" t="s">
        <v>554</v>
      </c>
      <c r="L309" s="31" t="str">
        <f t="shared" si="55"/>
        <v>Lettere</v>
      </c>
      <c r="M309" s="31" t="s">
        <v>568</v>
      </c>
      <c r="O309" s="31" t="s">
        <v>2164</v>
      </c>
      <c r="P309" s="31" t="s">
        <v>2991</v>
      </c>
      <c r="Q309" s="40">
        <v>528</v>
      </c>
      <c r="R309" s="35" t="str">
        <f t="shared" si="67"/>
        <v>11</v>
      </c>
      <c r="S309" s="35"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5">
        <f t="shared" si="68"/>
        <v>1901</v>
      </c>
      <c r="U309" s="31"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6"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31"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31">
        <v>307</v>
      </c>
      <c r="Y309" s="31" t="str">
        <f t="shared" si="58"/>
        <v>['Leone XIII', 'Lettere', 'Al compimento delle riforme', 'lxiii-let-cde', '11 giugno 1901', '11/06/1901', '1901/06/11'],</v>
      </c>
      <c r="Z309" s="31" t="str">
        <f t="shared" si="59"/>
        <v>Al compimento delle riforme (528) | Leone XIII</v>
      </c>
      <c r="AA309" s="31" t="str">
        <f t="shared" si="60"/>
        <v>Lettere Al compimento delle riforme</v>
      </c>
      <c r="AB309" s="31" t="str">
        <f t="shared" si="61"/>
        <v>Lettere Al compimento delle riforme</v>
      </c>
      <c r="AC309" s="31" t="str">
        <f t="shared" si="62"/>
        <v>Leone XIII, Lettere Al compimento delle riforme, 11 giugno 1901</v>
      </c>
      <c r="AD309" s="31" t="str">
        <f t="shared" si="63"/>
        <v>1901-06-11T08:00:00.000+02:00</v>
      </c>
      <c r="AE309" s="31" t="str">
        <f t="shared" si="64"/>
        <v>lxiii-let-cde</v>
      </c>
      <c r="AF309" s="31" t="str">
        <f t="shared" si="65"/>
        <v>Leone XIII - Lettere - Al compimento delle riforme</v>
      </c>
    </row>
    <row r="310" spans="2:32" s="31" customFormat="1" x14ac:dyDescent="0.2">
      <c r="B310" s="31">
        <v>256</v>
      </c>
      <c r="C310" s="31" t="s">
        <v>2161</v>
      </c>
      <c r="D310" s="31" t="s">
        <v>723</v>
      </c>
      <c r="E310" s="31" t="s">
        <v>707</v>
      </c>
      <c r="F310" s="31" t="s">
        <v>667</v>
      </c>
      <c r="G310" s="31" t="s">
        <v>666</v>
      </c>
      <c r="H310" s="31" t="str">
        <f t="shared" si="66"/>
        <v>Leone XIII</v>
      </c>
      <c r="K310" s="31" t="s">
        <v>554</v>
      </c>
      <c r="L310" s="31" t="str">
        <f t="shared" si="55"/>
        <v>Lettere</v>
      </c>
      <c r="M310" s="31" t="s">
        <v>568</v>
      </c>
      <c r="O310" s="31" t="s">
        <v>2162</v>
      </c>
      <c r="P310" s="31" t="s">
        <v>2992</v>
      </c>
      <c r="Q310" s="40">
        <v>453</v>
      </c>
      <c r="R310" s="35" t="str">
        <f t="shared" si="67"/>
        <v>28</v>
      </c>
      <c r="S310" s="35"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5">
        <f t="shared" si="68"/>
        <v>1901</v>
      </c>
      <c r="U310" s="31"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6"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31"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31">
        <v>308</v>
      </c>
      <c r="Y310" s="31" t="str">
        <f t="shared" si="58"/>
        <v>['Leone XIII', 'Lettere', 'Le nostre ferme speranze', 'lxiii-let-nfs', '28 marzo 1901', '28/03/1901', '1901/03/28'],</v>
      </c>
      <c r="Z310" s="31" t="str">
        <f t="shared" si="59"/>
        <v>Le nostre ferme speranze (453) | Leone XIII</v>
      </c>
      <c r="AA310" s="31" t="str">
        <f t="shared" si="60"/>
        <v>Lettere Le nostre ferme speranze</v>
      </c>
      <c r="AB310" s="31" t="str">
        <f t="shared" si="61"/>
        <v>Lettere Le nostre ferme speranze</v>
      </c>
      <c r="AC310" s="31" t="str">
        <f t="shared" si="62"/>
        <v>Leone XIII, Lettere Le nostre ferme speranze, 28 marzo 1901</v>
      </c>
      <c r="AD310" s="31" t="str">
        <f t="shared" si="63"/>
        <v>1901-03-28T08:00:00.000+02:00</v>
      </c>
      <c r="AE310" s="31" t="str">
        <f t="shared" si="64"/>
        <v>lxiii-let-nfs</v>
      </c>
      <c r="AF310" s="31" t="str">
        <f t="shared" si="65"/>
        <v>Leone XIII - Lettere - Le nostre ferme speranze</v>
      </c>
    </row>
    <row r="311" spans="2:32" s="31" customFormat="1" x14ac:dyDescent="0.2">
      <c r="B311" s="31">
        <v>256</v>
      </c>
      <c r="C311" s="31" t="s">
        <v>2159</v>
      </c>
      <c r="D311" s="31" t="s">
        <v>723</v>
      </c>
      <c r="E311" s="31" t="s">
        <v>707</v>
      </c>
      <c r="F311" s="31" t="s">
        <v>667</v>
      </c>
      <c r="G311" s="31" t="s">
        <v>666</v>
      </c>
      <c r="H311" s="31" t="str">
        <f t="shared" si="66"/>
        <v>Leone XIII</v>
      </c>
      <c r="K311" s="31" t="s">
        <v>554</v>
      </c>
      <c r="L311" s="31" t="str">
        <f t="shared" si="55"/>
        <v>Lettere</v>
      </c>
      <c r="M311" s="31" t="s">
        <v>568</v>
      </c>
      <c r="O311" s="31" t="s">
        <v>2160</v>
      </c>
      <c r="P311" s="31" t="s">
        <v>2993</v>
      </c>
      <c r="Q311" s="40">
        <v>232</v>
      </c>
      <c r="R311" s="35" t="str">
        <f t="shared" si="67"/>
        <v>19</v>
      </c>
      <c r="S311" s="35"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5">
        <f t="shared" si="68"/>
        <v>1900</v>
      </c>
      <c r="U311" s="31"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6"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31"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31">
        <v>309</v>
      </c>
      <c r="Y311" s="31" t="str">
        <f t="shared" si="58"/>
        <v>['Leone XIII', 'Lettere', 'Già fin dagli esordii', 'lxiii-let-fde', '19 agosto 1900', '19/08/1900', '1900/08/19'],</v>
      </c>
      <c r="Z311" s="31" t="str">
        <f t="shared" si="59"/>
        <v>Già fin dagli esordii (232) | Leone XIII</v>
      </c>
      <c r="AA311" s="31" t="str">
        <f t="shared" si="60"/>
        <v>Lettere Già fin dagli esordii</v>
      </c>
      <c r="AB311" s="31" t="str">
        <f t="shared" si="61"/>
        <v>Lettere Già fin dagli esordii</v>
      </c>
      <c r="AC311" s="31" t="str">
        <f t="shared" si="62"/>
        <v>Leone XIII, Lettere Già fin dagli esordii, 19 agosto 1900</v>
      </c>
      <c r="AD311" s="31" t="str">
        <f t="shared" si="63"/>
        <v>1900-08-19T08:00:00.000+02:00</v>
      </c>
      <c r="AE311" s="31" t="str">
        <f t="shared" si="64"/>
        <v>lxiii-let-fde</v>
      </c>
      <c r="AF311" s="31" t="str">
        <f t="shared" si="65"/>
        <v>Leone XIII - Lettere - Già fin dagli esordii</v>
      </c>
    </row>
    <row r="312" spans="2:32" s="31" customFormat="1" x14ac:dyDescent="0.2">
      <c r="B312" s="31">
        <v>256</v>
      </c>
      <c r="C312" s="31" t="s">
        <v>2157</v>
      </c>
      <c r="D312" s="31" t="s">
        <v>723</v>
      </c>
      <c r="E312" s="31" t="s">
        <v>707</v>
      </c>
      <c r="F312" s="31" t="s">
        <v>667</v>
      </c>
      <c r="G312" s="31" t="s">
        <v>666</v>
      </c>
      <c r="H312" s="31" t="str">
        <f t="shared" si="66"/>
        <v>Leone XIII</v>
      </c>
      <c r="K312" s="31" t="s">
        <v>554</v>
      </c>
      <c r="L312" s="31" t="str">
        <f t="shared" si="55"/>
        <v>Lettere</v>
      </c>
      <c r="M312" s="31" t="s">
        <v>568</v>
      </c>
      <c r="O312" s="31" t="s">
        <v>2158</v>
      </c>
      <c r="P312" s="31" t="s">
        <v>2994</v>
      </c>
      <c r="Q312" s="40">
        <v>203</v>
      </c>
      <c r="R312" s="35" t="str">
        <f t="shared" si="67"/>
        <v>21</v>
      </c>
      <c r="S312" s="35"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5">
        <f t="shared" si="68"/>
        <v>1900</v>
      </c>
      <c r="U312" s="31"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6"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31"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31">
        <v>310</v>
      </c>
      <c r="Y312" s="31" t="str">
        <f t="shared" si="58"/>
        <v>['Leone XIII', 'Lettere', 'Omnibus compertum', 'lxiii-let-omc', '21 luglio 1900', '21/07/1900', '1900/07/21'],</v>
      </c>
      <c r="Z312" s="31" t="str">
        <f t="shared" si="59"/>
        <v>Omnibus compertum (203) | Leone XIII</v>
      </c>
      <c r="AA312" s="31" t="str">
        <f t="shared" si="60"/>
        <v>Lettere Omnibus compertum</v>
      </c>
      <c r="AB312" s="31" t="str">
        <f t="shared" si="61"/>
        <v>Lettere Omnibus compertum</v>
      </c>
      <c r="AC312" s="31" t="str">
        <f t="shared" si="62"/>
        <v>Leone XIII, Lettere Omnibus compertum, 21 luglio 1900</v>
      </c>
      <c r="AD312" s="31" t="str">
        <f t="shared" si="63"/>
        <v>1900-07-21T08:00:00.000+02:00</v>
      </c>
      <c r="AE312" s="31" t="str">
        <f t="shared" si="64"/>
        <v>lxiii-let-omc</v>
      </c>
      <c r="AF312" s="31" t="str">
        <f t="shared" si="65"/>
        <v>Leone XIII - Lettere - Omnibus compertum</v>
      </c>
    </row>
    <row r="313" spans="2:32" s="31" customFormat="1" x14ac:dyDescent="0.2">
      <c r="B313" s="31">
        <v>256</v>
      </c>
      <c r="C313" s="31" t="s">
        <v>2155</v>
      </c>
      <c r="D313" s="31" t="s">
        <v>723</v>
      </c>
      <c r="E313" s="31" t="s">
        <v>707</v>
      </c>
      <c r="F313" s="31" t="s">
        <v>667</v>
      </c>
      <c r="G313" s="31" t="s">
        <v>666</v>
      </c>
      <c r="H313" s="31" t="str">
        <f t="shared" si="66"/>
        <v>Leone XIII</v>
      </c>
      <c r="K313" s="31" t="s">
        <v>554</v>
      </c>
      <c r="L313" s="31" t="str">
        <f t="shared" si="55"/>
        <v>Lettere</v>
      </c>
      <c r="M313" s="31" t="s">
        <v>568</v>
      </c>
      <c r="O313" s="31" t="s">
        <v>2156</v>
      </c>
      <c r="P313" s="31" t="s">
        <v>2995</v>
      </c>
      <c r="Q313" s="40">
        <v>198</v>
      </c>
      <c r="R313" s="35" t="str">
        <f t="shared" si="67"/>
        <v>16</v>
      </c>
      <c r="S313" s="35"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5">
        <f t="shared" si="68"/>
        <v>1900</v>
      </c>
      <c r="U313" s="31"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6"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31"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31">
        <v>311</v>
      </c>
      <c r="Y313" s="31" t="str">
        <f t="shared" si="58"/>
        <v>['Leone XIII', 'Lettere', 'I luttuosi avvenimenti', 'lxiii-let-ila', '16 luglio 1900', '16/07/1900', '1900/07/16'],</v>
      </c>
      <c r="Z313" s="31" t="str">
        <f t="shared" si="59"/>
        <v>I luttuosi avvenimenti (198) | Leone XIII</v>
      </c>
      <c r="AA313" s="31" t="str">
        <f t="shared" si="60"/>
        <v>Lettere I luttuosi avvenimenti</v>
      </c>
      <c r="AB313" s="31" t="str">
        <f t="shared" si="61"/>
        <v>Lettere I luttuosi avvenimenti</v>
      </c>
      <c r="AC313" s="31" t="str">
        <f t="shared" si="62"/>
        <v>Leone XIII, Lettere I luttuosi avvenimenti, 16 luglio 1900</v>
      </c>
      <c r="AD313" s="31" t="str">
        <f t="shared" si="63"/>
        <v>1900-07-16T08:00:00.000+02:00</v>
      </c>
      <c r="AE313" s="31" t="str">
        <f t="shared" si="64"/>
        <v>lxiii-let-ila</v>
      </c>
      <c r="AF313" s="31" t="str">
        <f t="shared" si="65"/>
        <v>Leone XIII - Lettere - I luttuosi avvenimenti</v>
      </c>
    </row>
    <row r="314" spans="2:32" s="31" customFormat="1" x14ac:dyDescent="0.2">
      <c r="B314" s="31">
        <v>256</v>
      </c>
      <c r="C314" s="31" t="s">
        <v>2152</v>
      </c>
      <c r="D314" s="31" t="s">
        <v>723</v>
      </c>
      <c r="E314" s="31" t="s">
        <v>707</v>
      </c>
      <c r="F314" s="31" t="s">
        <v>667</v>
      </c>
      <c r="G314" s="31" t="s">
        <v>666</v>
      </c>
      <c r="H314" s="31" t="str">
        <f t="shared" si="66"/>
        <v>Leone XIII</v>
      </c>
      <c r="K314" s="31" t="s">
        <v>554</v>
      </c>
      <c r="L314" s="31" t="str">
        <f t="shared" si="55"/>
        <v>Lettere</v>
      </c>
      <c r="M314" s="31" t="s">
        <v>568</v>
      </c>
      <c r="O314" s="31" t="s">
        <v>2154</v>
      </c>
      <c r="P314" s="31" t="s">
        <v>1901</v>
      </c>
      <c r="Q314" s="31" t="s">
        <v>2153</v>
      </c>
      <c r="R314" s="35" t="str">
        <f t="shared" si="67"/>
        <v>11</v>
      </c>
      <c r="S314" s="35"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5">
        <f t="shared" si="68"/>
        <v>1899</v>
      </c>
      <c r="U314" s="31"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6"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31"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31">
        <v>312</v>
      </c>
      <c r="Y314" s="31" t="str">
        <f t="shared" si="58"/>
        <v>['Leone XIII', 'Lettere', 'Properante ad exitum', 'lxiii-let-pae', '11 maggio 1899', '11/05/1899', '1899/05/11'],</v>
      </c>
      <c r="Z314" s="31" t="str">
        <f t="shared" si="59"/>
        <v>Properante ad exitum (11 maggio 1899) | Leone XIII</v>
      </c>
      <c r="AA314" s="31" t="str">
        <f t="shared" si="60"/>
        <v>Lettere Properante ad exitum</v>
      </c>
      <c r="AB314" s="31" t="str">
        <f t="shared" si="61"/>
        <v>Lettere Properante ad exitum</v>
      </c>
      <c r="AC314" s="31" t="str">
        <f t="shared" si="62"/>
        <v>Leone XIII, Lettere Properante ad exitum, 11 maggio 1899</v>
      </c>
      <c r="AD314" s="31" t="str">
        <f t="shared" si="63"/>
        <v>1899-05-11T08:00:00.000+02:00</v>
      </c>
      <c r="AE314" s="31" t="str">
        <f t="shared" si="64"/>
        <v>lxiii-let-pae</v>
      </c>
      <c r="AF314" s="31" t="str">
        <f t="shared" si="65"/>
        <v>Leone XIII - Lettere - Properante ad exitum</v>
      </c>
    </row>
    <row r="315" spans="2:32" s="31" customFormat="1" x14ac:dyDescent="0.2">
      <c r="B315" s="31">
        <v>256</v>
      </c>
      <c r="C315" s="31" t="s">
        <v>2149</v>
      </c>
      <c r="D315" s="31" t="s">
        <v>723</v>
      </c>
      <c r="E315" s="31" t="s">
        <v>707</v>
      </c>
      <c r="F315" s="31" t="s">
        <v>667</v>
      </c>
      <c r="G315" s="31" t="s">
        <v>666</v>
      </c>
      <c r="H315" s="31" t="str">
        <f t="shared" si="66"/>
        <v>Leone XIII</v>
      </c>
      <c r="K315" s="31" t="s">
        <v>554</v>
      </c>
      <c r="L315" s="31" t="str">
        <f t="shared" si="55"/>
        <v>Lettere</v>
      </c>
      <c r="M315" s="31" t="s">
        <v>568</v>
      </c>
      <c r="O315" s="31" t="s">
        <v>2151</v>
      </c>
      <c r="P315" s="31" t="s">
        <v>633</v>
      </c>
      <c r="Q315" s="31" t="s">
        <v>2150</v>
      </c>
      <c r="R315" s="35" t="str">
        <f t="shared" si="67"/>
        <v>20</v>
      </c>
      <c r="S315" s="35"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5">
        <f t="shared" si="68"/>
        <v>1898</v>
      </c>
      <c r="U315" s="31"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6"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31"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31">
        <v>313</v>
      </c>
      <c r="Y315" s="31" t="str">
        <f t="shared" si="58"/>
        <v>['Leone XIII', 'Lettere', 'Maximo cum animi', 'lxiii-let-mca', '20 agosto 1898', '20/08/1898', '1898/08/20'],</v>
      </c>
      <c r="Z315" s="31" t="str">
        <f t="shared" si="59"/>
        <v>Maximo cum animi (20 agosto 1898) | Leone XIII</v>
      </c>
      <c r="AA315" s="31" t="str">
        <f t="shared" si="60"/>
        <v>Lettere Maximo cum animi</v>
      </c>
      <c r="AB315" s="31" t="str">
        <f t="shared" si="61"/>
        <v>Lettere Maximo cum animi</v>
      </c>
      <c r="AC315" s="31" t="str">
        <f t="shared" si="62"/>
        <v>Leone XIII, Lettere Maximo cum animi, 20 agosto 1898</v>
      </c>
      <c r="AD315" s="31" t="str">
        <f t="shared" si="63"/>
        <v>1898-08-20T08:00:00.000+02:00</v>
      </c>
      <c r="AE315" s="31" t="str">
        <f t="shared" si="64"/>
        <v>lxiii-let-mca</v>
      </c>
      <c r="AF315" s="31" t="str">
        <f t="shared" si="65"/>
        <v>Leone XIII - Lettere - Maximo cum animi</v>
      </c>
    </row>
    <row r="316" spans="2:32" s="31" customFormat="1" x14ac:dyDescent="0.2">
      <c r="B316" s="31">
        <v>256</v>
      </c>
      <c r="C316" s="31" t="s">
        <v>2146</v>
      </c>
      <c r="D316" s="31" t="s">
        <v>723</v>
      </c>
      <c r="E316" s="31" t="s">
        <v>707</v>
      </c>
      <c r="F316" s="31" t="s">
        <v>667</v>
      </c>
      <c r="G316" s="31" t="s">
        <v>666</v>
      </c>
      <c r="H316" s="31" t="str">
        <f t="shared" si="66"/>
        <v>Leone XIII</v>
      </c>
      <c r="K316" s="31" t="s">
        <v>554</v>
      </c>
      <c r="L316" s="31" t="str">
        <f t="shared" si="55"/>
        <v>Lettere</v>
      </c>
      <c r="M316" s="31" t="s">
        <v>568</v>
      </c>
      <c r="O316" s="31" t="s">
        <v>2148</v>
      </c>
      <c r="P316" s="31" t="s">
        <v>1037</v>
      </c>
      <c r="Q316" s="31" t="s">
        <v>2147</v>
      </c>
      <c r="R316" s="35" t="str">
        <f t="shared" si="67"/>
        <v>22</v>
      </c>
      <c r="S316" s="35"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5">
        <f t="shared" si="68"/>
        <v>1898</v>
      </c>
      <c r="U316" s="31"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6"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31"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31">
        <v>314</v>
      </c>
      <c r="Y316" s="31" t="str">
        <f t="shared" si="58"/>
        <v>['Leone XIII', 'Lettere', 'Quum adeo', 'lxiii-let-qua', '22 maggio 1898', '22/05/1898', '1898/05/22'],</v>
      </c>
      <c r="Z316" s="31" t="str">
        <f t="shared" si="59"/>
        <v>Quum adeo (22 maggio 1898) | Leone XIII</v>
      </c>
      <c r="AA316" s="31" t="str">
        <f t="shared" si="60"/>
        <v>Lettere Quum adeo</v>
      </c>
      <c r="AB316" s="31" t="str">
        <f t="shared" si="61"/>
        <v>Lettere Quum adeo</v>
      </c>
      <c r="AC316" s="31" t="str">
        <f t="shared" si="62"/>
        <v>Leone XIII, Lettere Quum adeo, 22 maggio 1898</v>
      </c>
      <c r="AD316" s="31" t="str">
        <f t="shared" si="63"/>
        <v>1898-05-22T08:00:00.000+02:00</v>
      </c>
      <c r="AE316" s="31" t="str">
        <f t="shared" si="64"/>
        <v>lxiii-let-qua</v>
      </c>
      <c r="AF316" s="31" t="str">
        <f t="shared" si="65"/>
        <v>Leone XIII - Lettere - Quum adeo</v>
      </c>
    </row>
    <row r="317" spans="2:32" s="31" customFormat="1" x14ac:dyDescent="0.2">
      <c r="B317" s="31">
        <v>256</v>
      </c>
      <c r="C317" s="31" t="s">
        <v>2143</v>
      </c>
      <c r="D317" s="31" t="s">
        <v>723</v>
      </c>
      <c r="E317" s="31" t="s">
        <v>707</v>
      </c>
      <c r="F317" s="31" t="s">
        <v>667</v>
      </c>
      <c r="G317" s="31" t="s">
        <v>666</v>
      </c>
      <c r="H317" s="31" t="str">
        <f t="shared" si="66"/>
        <v>Leone XIII</v>
      </c>
      <c r="K317" s="31" t="s">
        <v>554</v>
      </c>
      <c r="L317" s="31" t="str">
        <f t="shared" si="55"/>
        <v>Lettere</v>
      </c>
      <c r="M317" s="31" t="s">
        <v>568</v>
      </c>
      <c r="O317" s="31" t="s">
        <v>2145</v>
      </c>
      <c r="P317" s="31" t="s">
        <v>2996</v>
      </c>
      <c r="Q317" s="31" t="s">
        <v>2144</v>
      </c>
      <c r="R317" s="35" t="str">
        <f t="shared" si="67"/>
        <v>20</v>
      </c>
      <c r="S317" s="35"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5">
        <f t="shared" si="68"/>
        <v>1896</v>
      </c>
      <c r="U317" s="31"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6"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31"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31">
        <v>315</v>
      </c>
      <c r="Y317" s="31" t="str">
        <f t="shared" si="58"/>
        <v>['Leone XIII', 'Lettere', 'Placuit tibi', 'lxiii-let-plt', '20 maggio 1896', '20/05/1896', '1896/05/20'],</v>
      </c>
      <c r="Z317" s="31" t="str">
        <f t="shared" si="59"/>
        <v>Placuit tibi (20 maggio 1896) | Leone XIII</v>
      </c>
      <c r="AA317" s="31" t="str">
        <f t="shared" si="60"/>
        <v>Lettere Placuit tibi</v>
      </c>
      <c r="AB317" s="31" t="str">
        <f t="shared" si="61"/>
        <v>Lettere Placuit tibi</v>
      </c>
      <c r="AC317" s="31" t="str">
        <f t="shared" si="62"/>
        <v>Leone XIII, Lettere Placuit tibi, 20 maggio 1896</v>
      </c>
      <c r="AD317" s="31" t="str">
        <f t="shared" si="63"/>
        <v>1896-05-20T08:00:00.000+02:00</v>
      </c>
      <c r="AE317" s="31" t="str">
        <f t="shared" si="64"/>
        <v>lxiii-let-plt</v>
      </c>
      <c r="AF317" s="31" t="str">
        <f t="shared" si="65"/>
        <v>Leone XIII - Lettere - Placuit tibi</v>
      </c>
    </row>
    <row r="318" spans="2:32" s="31" customFormat="1" x14ac:dyDescent="0.2">
      <c r="B318" s="31">
        <v>256</v>
      </c>
      <c r="C318" s="31" t="s">
        <v>2140</v>
      </c>
      <c r="D318" s="31" t="s">
        <v>723</v>
      </c>
      <c r="E318" s="31" t="s">
        <v>707</v>
      </c>
      <c r="F318" s="31" t="s">
        <v>667</v>
      </c>
      <c r="G318" s="31" t="s">
        <v>666</v>
      </c>
      <c r="H318" s="31" t="str">
        <f t="shared" si="66"/>
        <v>Leone XIII</v>
      </c>
      <c r="K318" s="31" t="s">
        <v>554</v>
      </c>
      <c r="L318" s="31" t="str">
        <f t="shared" si="55"/>
        <v>Lettere</v>
      </c>
      <c r="M318" s="31" t="s">
        <v>568</v>
      </c>
      <c r="O318" s="31" t="s">
        <v>2142</v>
      </c>
      <c r="P318" s="31" t="s">
        <v>2997</v>
      </c>
      <c r="Q318" s="31" t="s">
        <v>2141</v>
      </c>
      <c r="R318" s="35" t="str">
        <f t="shared" si="67"/>
        <v>08</v>
      </c>
      <c r="S318" s="35"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5">
        <f t="shared" si="68"/>
        <v>1895</v>
      </c>
      <c r="U318" s="31"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6"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31"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31">
        <v>316</v>
      </c>
      <c r="Y318" s="31" t="str">
        <f t="shared" si="58"/>
        <v>['Leone XIII', 'Lettere', 'Le Insolite', 'lxiii-let-lei', '08 ottobre 1895', '08/10/1895', '1895/10/08'],</v>
      </c>
      <c r="Z318" s="31" t="str">
        <f t="shared" si="59"/>
        <v>Le Insolite (8 ottobre 1895) | Leone XIII</v>
      </c>
      <c r="AA318" s="31" t="str">
        <f t="shared" si="60"/>
        <v>Lettere Le Insolite</v>
      </c>
      <c r="AB318" s="31" t="str">
        <f t="shared" si="61"/>
        <v>Lettere Le Insolite</v>
      </c>
      <c r="AC318" s="31" t="str">
        <f t="shared" si="62"/>
        <v>Leone XIII, Lettere Le Insolite, 08 ottobre 1895</v>
      </c>
      <c r="AD318" s="31" t="str">
        <f t="shared" si="63"/>
        <v>1895-10-08T08:00:00.000+02:00</v>
      </c>
      <c r="AE318" s="31" t="str">
        <f t="shared" si="64"/>
        <v>lxiii-let-lei</v>
      </c>
      <c r="AF318" s="31" t="str">
        <f t="shared" si="65"/>
        <v>Leone XIII - Lettere - Le Insolite</v>
      </c>
    </row>
    <row r="319" spans="2:32" s="31" customFormat="1" x14ac:dyDescent="0.2">
      <c r="B319" s="31">
        <v>256</v>
      </c>
      <c r="C319" s="31" t="s">
        <v>2137</v>
      </c>
      <c r="D319" s="31" t="s">
        <v>723</v>
      </c>
      <c r="E319" s="31" t="s">
        <v>707</v>
      </c>
      <c r="F319" s="31" t="s">
        <v>667</v>
      </c>
      <c r="G319" s="31" t="s">
        <v>666</v>
      </c>
      <c r="H319" s="31" t="str">
        <f t="shared" si="66"/>
        <v>Leone XIII</v>
      </c>
      <c r="K319" s="31" t="s">
        <v>554</v>
      </c>
      <c r="L319" s="31" t="str">
        <f t="shared" si="55"/>
        <v>Lettere</v>
      </c>
      <c r="M319" s="31" t="s">
        <v>568</v>
      </c>
      <c r="O319" s="31" t="s">
        <v>2139</v>
      </c>
      <c r="P319" s="31" t="s">
        <v>974</v>
      </c>
      <c r="Q319" s="31" t="s">
        <v>2138</v>
      </c>
      <c r="R319" s="35" t="str">
        <f t="shared" si="67"/>
        <v>14</v>
      </c>
      <c r="S319" s="35"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5">
        <f t="shared" si="68"/>
        <v>1895</v>
      </c>
      <c r="U319" s="31"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6"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31"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31">
        <v>317</v>
      </c>
      <c r="Y319" s="31" t="str">
        <f t="shared" si="58"/>
        <v>['Leone XIII', 'Lettere', 'Quale debba', 'lxiii-let-qud', '14 maggio 1895', '14/05/1895', '1895/05/14'],</v>
      </c>
      <c r="Z319" s="31" t="str">
        <f t="shared" si="59"/>
        <v>Quale debba (14 maggio 1895) | Leone XIII</v>
      </c>
      <c r="AA319" s="31" t="str">
        <f t="shared" si="60"/>
        <v>Lettere Quale debba</v>
      </c>
      <c r="AB319" s="31" t="str">
        <f t="shared" si="61"/>
        <v>Lettere Quale debba</v>
      </c>
      <c r="AC319" s="31" t="str">
        <f t="shared" si="62"/>
        <v>Leone XIII, Lettere Quale debba, 14 maggio 1895</v>
      </c>
      <c r="AD319" s="31" t="str">
        <f t="shared" si="63"/>
        <v>1895-05-14T08:00:00.000+02:00</v>
      </c>
      <c r="AE319" s="31" t="str">
        <f t="shared" si="64"/>
        <v>lxiii-let-qud</v>
      </c>
      <c r="AF319" s="31" t="str">
        <f t="shared" si="65"/>
        <v>Leone XIII - Lettere - Quale debba</v>
      </c>
    </row>
    <row r="320" spans="2:32" s="31" customFormat="1" x14ac:dyDescent="0.2">
      <c r="B320" s="31">
        <v>256</v>
      </c>
      <c r="C320" s="31" t="s">
        <v>2134</v>
      </c>
      <c r="D320" s="31" t="s">
        <v>723</v>
      </c>
      <c r="E320" s="31" t="s">
        <v>707</v>
      </c>
      <c r="F320" s="31" t="s">
        <v>667</v>
      </c>
      <c r="G320" s="31" t="s">
        <v>666</v>
      </c>
      <c r="H320" s="31" t="str">
        <f t="shared" si="66"/>
        <v>Leone XIII</v>
      </c>
      <c r="K320" s="31" t="s">
        <v>554</v>
      </c>
      <c r="L320" s="31" t="str">
        <f t="shared" si="55"/>
        <v>Lettere</v>
      </c>
      <c r="M320" s="31" t="s">
        <v>568</v>
      </c>
      <c r="O320" s="31" t="s">
        <v>2136</v>
      </c>
      <c r="P320" s="31" t="s">
        <v>2998</v>
      </c>
      <c r="Q320" s="31" t="s">
        <v>2135</v>
      </c>
      <c r="R320" s="35" t="str">
        <f t="shared" si="67"/>
        <v>10</v>
      </c>
      <c r="S320" s="35"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5">
        <f t="shared" si="68"/>
        <v>1894</v>
      </c>
      <c r="U320" s="31"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6"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31"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31">
        <v>318</v>
      </c>
      <c r="Y320" s="31" t="str">
        <f t="shared" si="58"/>
        <v>['Leone XIII', 'Lettere', 'Postquam Catholici', 'lxiii-let-poc', '10 dicembre 1894', '10/12/1894', '1894/12/10'],</v>
      </c>
      <c r="Z320" s="31" t="str">
        <f t="shared" si="59"/>
        <v>Postquam Catholici (10 dicembre 1894) | Leone XIII</v>
      </c>
      <c r="AA320" s="31" t="str">
        <f t="shared" si="60"/>
        <v>Lettere Postquam Catholici</v>
      </c>
      <c r="AB320" s="31" t="str">
        <f t="shared" si="61"/>
        <v>Lettere Postquam Catholici</v>
      </c>
      <c r="AC320" s="31" t="str">
        <f t="shared" si="62"/>
        <v>Leone XIII, Lettere Postquam Catholici, 10 dicembre 1894</v>
      </c>
      <c r="AD320" s="31" t="str">
        <f t="shared" si="63"/>
        <v>1894-12-10T08:00:00.000+02:00</v>
      </c>
      <c r="AE320" s="31" t="str">
        <f t="shared" si="64"/>
        <v>lxiii-let-poc</v>
      </c>
      <c r="AF320" s="31" t="str">
        <f t="shared" si="65"/>
        <v>Leone XIII - Lettere - Postquam Catholici</v>
      </c>
    </row>
    <row r="321" spans="2:32" s="31" customFormat="1" x14ac:dyDescent="0.2">
      <c r="B321" s="31">
        <v>256</v>
      </c>
      <c r="C321" s="31" t="s">
        <v>2131</v>
      </c>
      <c r="D321" s="31" t="s">
        <v>723</v>
      </c>
      <c r="E321" s="31" t="s">
        <v>707</v>
      </c>
      <c r="F321" s="31" t="s">
        <v>667</v>
      </c>
      <c r="G321" s="31" t="s">
        <v>666</v>
      </c>
      <c r="H321" s="31" t="str">
        <f t="shared" si="66"/>
        <v>Leone XIII</v>
      </c>
      <c r="K321" s="31" t="s">
        <v>554</v>
      </c>
      <c r="L321" s="31" t="str">
        <f t="shared" si="55"/>
        <v>Lettere</v>
      </c>
      <c r="M321" s="31" t="s">
        <v>568</v>
      </c>
      <c r="O321" s="31" t="s">
        <v>2133</v>
      </c>
      <c r="P321" s="31" t="s">
        <v>2999</v>
      </c>
      <c r="Q321" s="31" t="s">
        <v>2132</v>
      </c>
      <c r="R321" s="35" t="str">
        <f t="shared" si="67"/>
        <v>27</v>
      </c>
      <c r="S321" s="35"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5">
        <f t="shared" si="68"/>
        <v>1894</v>
      </c>
      <c r="U321" s="31"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6"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31"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31">
        <v>319</v>
      </c>
      <c r="Y321" s="31" t="str">
        <f t="shared" si="58"/>
        <v>['Leone XIII', 'Lettere', 'Fra le principali', 'lxiii-let-flp', '27 novembre 1894', '27/11/1894', '1894/11/27'],</v>
      </c>
      <c r="Z321" s="31" t="str">
        <f t="shared" si="59"/>
        <v>Fra le principali (27 novembre 1894) | Leone XIII</v>
      </c>
      <c r="AA321" s="31" t="str">
        <f t="shared" si="60"/>
        <v>Lettere Fra le principali</v>
      </c>
      <c r="AB321" s="31" t="str">
        <f t="shared" si="61"/>
        <v>Lettere Fra le principali</v>
      </c>
      <c r="AC321" s="31" t="str">
        <f t="shared" si="62"/>
        <v>Leone XIII, Lettere Fra le principali, 27 novembre 1894</v>
      </c>
      <c r="AD321" s="31" t="str">
        <f t="shared" si="63"/>
        <v>1894-11-27T08:00:00.000+02:00</v>
      </c>
      <c r="AE321" s="31" t="str">
        <f t="shared" si="64"/>
        <v>lxiii-let-flp</v>
      </c>
      <c r="AF321" s="31" t="str">
        <f t="shared" si="65"/>
        <v>Leone XIII - Lettere - Fra le principali</v>
      </c>
    </row>
    <row r="322" spans="2:32" s="31" customFormat="1" x14ac:dyDescent="0.2">
      <c r="B322" s="31">
        <v>256</v>
      </c>
      <c r="C322" s="31" t="s">
        <v>2128</v>
      </c>
      <c r="D322" s="31" t="s">
        <v>723</v>
      </c>
      <c r="E322" s="31" t="s">
        <v>707</v>
      </c>
      <c r="F322" s="31" t="s">
        <v>667</v>
      </c>
      <c r="G322" s="31" t="s">
        <v>666</v>
      </c>
      <c r="H322" s="31" t="str">
        <f t="shared" si="66"/>
        <v>Leone XIII</v>
      </c>
      <c r="K322" s="31" t="s">
        <v>554</v>
      </c>
      <c r="L322" s="31" t="str">
        <f t="shared" ref="L322:L384" si="69">IF(J322&lt;&gt;"",_xlfn.CONCAT(J322 &amp; " " &amp; K322),K322)</f>
        <v>Lettere</v>
      </c>
      <c r="M322" s="31" t="s">
        <v>568</v>
      </c>
      <c r="O322" s="31" t="s">
        <v>2130</v>
      </c>
      <c r="P322" s="31" t="s">
        <v>3000</v>
      </c>
      <c r="Q322" s="31" t="s">
        <v>2129</v>
      </c>
      <c r="R322" s="35" t="str">
        <f t="shared" si="67"/>
        <v>02</v>
      </c>
      <c r="S322" s="35"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5">
        <f t="shared" ref="T322:T369" si="70">IF(ISERROR(DAY(Q322)),VALUE(RIGHT(Q322,4)),YEAR(Q322))</f>
        <v>1894</v>
      </c>
      <c r="U322" s="31"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6"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31"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31">
        <v>320</v>
      </c>
      <c r="Y322" s="31" t="str">
        <f t="shared" ref="Y322:Y385" si="71">_xlfn.CONCAT("[" &amp; "'" &amp; D322 &amp; " " &amp; E322 &amp; "'" &amp; ", " &amp; "'" &amp; K322 &amp; "'"&amp; ", " &amp; "'" &amp; O322 &amp; "'" &amp; ", " &amp; "'" &amp; AE322 &amp; "'" &amp; ", " &amp; "'" &amp; W322 &amp; "'" &amp; ", " &amp; "'" &amp; U322 &amp; "'" &amp; ", " &amp; "'" &amp; V322 &amp; "'" &amp; "],")</f>
        <v>['Leone XIII', 'Lettere', 'Perlibenti Quidem', 'lxiii-let-peq', '02 agosto 1894', '02/08/1894', '1894/08/02'],</v>
      </c>
      <c r="Z322" s="31" t="str">
        <f t="shared" ref="Z322:Z385" si="72">_xlfn.CONCAT(O322 &amp; " (" &amp; Q322 &amp; ") | " &amp; D322 &amp; " " &amp; E322)</f>
        <v>Perlibenti Quidem (2 agosto 1894) | Leone XIII</v>
      </c>
      <c r="AA322" s="31" t="str">
        <f t="shared" ref="AA322:AA385" si="73">_xlfn.CONCAT(K322 &amp; " " &amp; O322)</f>
        <v>Lettere Perlibenti Quidem</v>
      </c>
      <c r="AB322" s="31" t="str">
        <f t="shared" ref="AB322:AB385" si="74">_xlfn.CONCAT(K322 &amp; " " &amp; O322)</f>
        <v>Lettere Perlibenti Quidem</v>
      </c>
      <c r="AC322" s="31" t="str">
        <f t="shared" ref="AC322:AC385" si="75">_xlfn.CONCAT(H322 &amp; ", " &amp; L322 &amp; " " &amp; O322 &amp; ", " &amp; LEFT(U322,2) &amp; " " &amp; TEXT(VALUE(MID(U322,4,2))*29,"mmmm") &amp; " " &amp; RIGHT(U322,4))</f>
        <v>Leone XIII, Lettere Perlibenti Quidem, 02 agosto 1894</v>
      </c>
      <c r="AD322" s="31" t="str">
        <f t="shared" ref="AD322:AD385" si="76">_xlfn.CONCAT(RIGHT(U322,4) &amp; "-" &amp; MID(U322,4,2) &amp; "-" &amp; LEFT(U322,2) &amp; "T08:00:00.000+02:00")</f>
        <v>1894-08-02T08:00:00.000+02:00</v>
      </c>
      <c r="AE322" s="31" t="str">
        <f t="shared" si="64"/>
        <v>lxiii-let-peq</v>
      </c>
      <c r="AF322" s="31" t="str">
        <f t="shared" si="65"/>
        <v>Leone XIII - Lettere - Perlibenti Quidem</v>
      </c>
    </row>
    <row r="323" spans="2:32" s="31" customFormat="1" x14ac:dyDescent="0.2">
      <c r="B323" s="31">
        <v>256</v>
      </c>
      <c r="C323" s="31" t="s">
        <v>2125</v>
      </c>
      <c r="D323" s="31" t="s">
        <v>723</v>
      </c>
      <c r="E323" s="31" t="s">
        <v>707</v>
      </c>
      <c r="F323" s="31" t="s">
        <v>667</v>
      </c>
      <c r="G323" s="31" t="s">
        <v>666</v>
      </c>
      <c r="H323" s="31" t="str">
        <f t="shared" si="66"/>
        <v>Leone XIII</v>
      </c>
      <c r="K323" s="31" t="s">
        <v>554</v>
      </c>
      <c r="L323" s="31" t="str">
        <f t="shared" si="69"/>
        <v>Lettere</v>
      </c>
      <c r="M323" s="31" t="s">
        <v>568</v>
      </c>
      <c r="O323" s="31" t="s">
        <v>2127</v>
      </c>
      <c r="P323" s="31" t="s">
        <v>1918</v>
      </c>
      <c r="Q323" s="31" t="s">
        <v>2126</v>
      </c>
      <c r="R323" s="35" t="str">
        <f t="shared" si="67"/>
        <v>19</v>
      </c>
      <c r="S323" s="35"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5">
        <f t="shared" si="70"/>
        <v>1894</v>
      </c>
      <c r="U323" s="31"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6"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31"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31">
        <v>321</v>
      </c>
      <c r="Y323" s="31" t="str">
        <f t="shared" si="71"/>
        <v>['Leone XIII', 'Lettere', 'Quum quaestioni', 'lxiii-let-quq', '19 giugno 1894', '19/06/1894', '1894/06/19'],</v>
      </c>
      <c r="Z323" s="31" t="str">
        <f t="shared" si="72"/>
        <v>Quum quaestioni (19 giugno 1894) | Leone XIII</v>
      </c>
      <c r="AA323" s="31" t="str">
        <f t="shared" si="73"/>
        <v>Lettere Quum quaestioni</v>
      </c>
      <c r="AB323" s="31" t="str">
        <f t="shared" si="74"/>
        <v>Lettere Quum quaestioni</v>
      </c>
      <c r="AC323" s="31" t="str">
        <f t="shared" si="75"/>
        <v>Leone XIII, Lettere Quum quaestioni, 19 giugno 1894</v>
      </c>
      <c r="AD323" s="31" t="str">
        <f t="shared" si="76"/>
        <v>1894-06-19T08:00:00.000+02:00</v>
      </c>
      <c r="AE323" s="31" t="str">
        <f t="shared" ref="AE323:AE386" si="77">_xlfn.CONCAT(F323 &amp; "-" &amp; M323 &amp; "-" &amp; P323)</f>
        <v>lxiii-let-quq</v>
      </c>
      <c r="AF323" s="31" t="str">
        <f t="shared" ref="AF323:AF386" si="78">_xlfn.CONCAT(H323 &amp; " - " &amp; L323 &amp; " - " &amp; O323)</f>
        <v>Leone XIII - Lettere - Quum quaestioni</v>
      </c>
    </row>
    <row r="324" spans="2:32" s="31" customFormat="1" x14ac:dyDescent="0.2">
      <c r="B324" s="31">
        <v>256</v>
      </c>
      <c r="C324" s="31" t="s">
        <v>2122</v>
      </c>
      <c r="D324" s="31" t="s">
        <v>723</v>
      </c>
      <c r="E324" s="31" t="s">
        <v>707</v>
      </c>
      <c r="F324" s="31" t="s">
        <v>667</v>
      </c>
      <c r="G324" s="31" t="s">
        <v>666</v>
      </c>
      <c r="H324" s="31" t="str">
        <f t="shared" si="66"/>
        <v>Leone XIII</v>
      </c>
      <c r="K324" s="31" t="s">
        <v>554</v>
      </c>
      <c r="L324" s="31" t="str">
        <f t="shared" si="69"/>
        <v>Lettere</v>
      </c>
      <c r="M324" s="31" t="s">
        <v>568</v>
      </c>
      <c r="O324" s="31" t="s">
        <v>2124</v>
      </c>
      <c r="P324" s="31" t="s">
        <v>3001</v>
      </c>
      <c r="Q324" s="31" t="s">
        <v>2123</v>
      </c>
      <c r="R324" s="35" t="str">
        <f t="shared" si="67"/>
        <v>26</v>
      </c>
      <c r="S324" s="35"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5">
        <f t="shared" si="70"/>
        <v>1894</v>
      </c>
      <c r="U324" s="31"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6"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31"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31">
        <v>322</v>
      </c>
      <c r="Y324" s="31" t="str">
        <f t="shared" si="71"/>
        <v>['Leone XIII', 'Lettere', 'Non levis', 'lxiii-let-nol', '26 febbraio 1894', '26/02/1894', '1894/02/26'],</v>
      </c>
      <c r="Z324" s="31" t="str">
        <f t="shared" si="72"/>
        <v>Non levis (26 febbraio 1894) | Leone XIII</v>
      </c>
      <c r="AA324" s="31" t="str">
        <f t="shared" si="73"/>
        <v>Lettere Non levis</v>
      </c>
      <c r="AB324" s="31" t="str">
        <f t="shared" si="74"/>
        <v>Lettere Non levis</v>
      </c>
      <c r="AC324" s="31" t="str">
        <f t="shared" si="75"/>
        <v>Leone XIII, Lettere Non levis, 26 febbraio 1894</v>
      </c>
      <c r="AD324" s="31" t="str">
        <f t="shared" si="76"/>
        <v>1894-02-26T08:00:00.000+02:00</v>
      </c>
      <c r="AE324" s="31" t="str">
        <f t="shared" si="77"/>
        <v>lxiii-let-nol</v>
      </c>
      <c r="AF324" s="31" t="str">
        <f t="shared" si="78"/>
        <v>Leone XIII - Lettere - Non levis</v>
      </c>
    </row>
    <row r="325" spans="2:32" s="31" customFormat="1" x14ac:dyDescent="0.2">
      <c r="B325" s="31">
        <v>256</v>
      </c>
      <c r="C325" s="31" t="s">
        <v>2119</v>
      </c>
      <c r="D325" s="31" t="s">
        <v>723</v>
      </c>
      <c r="E325" s="31" t="s">
        <v>707</v>
      </c>
      <c r="F325" s="31" t="s">
        <v>667</v>
      </c>
      <c r="G325" s="31" t="s">
        <v>666</v>
      </c>
      <c r="H325" s="31" t="str">
        <f t="shared" si="66"/>
        <v>Leone XIII</v>
      </c>
      <c r="K325" s="31" t="s">
        <v>554</v>
      </c>
      <c r="L325" s="31" t="str">
        <f t="shared" si="69"/>
        <v>Lettere</v>
      </c>
      <c r="M325" s="31" t="s">
        <v>568</v>
      </c>
      <c r="O325" s="31" t="s">
        <v>2121</v>
      </c>
      <c r="P325" s="31" t="s">
        <v>3002</v>
      </c>
      <c r="Q325" s="31" t="s">
        <v>2120</v>
      </c>
      <c r="R325" s="35" t="str">
        <f t="shared" si="67"/>
        <v>31</v>
      </c>
      <c r="S325" s="35"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5">
        <f t="shared" si="70"/>
        <v>1893</v>
      </c>
      <c r="U325" s="31"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6"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31"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31">
        <v>323</v>
      </c>
      <c r="Y325" s="31" t="str">
        <f t="shared" si="71"/>
        <v>['Leone XIII', 'Lettere', 'Clara saepenumero', 'lxiii-let-cls', '31 maggio 1893', '31/05/1893', '1893/05/31'],</v>
      </c>
      <c r="Z325" s="31" t="str">
        <f t="shared" si="72"/>
        <v>Clara saepenumero (31 maggio 1893) | Leone XIII</v>
      </c>
      <c r="AA325" s="31" t="str">
        <f t="shared" si="73"/>
        <v>Lettere Clara saepenumero</v>
      </c>
      <c r="AB325" s="31" t="str">
        <f t="shared" si="74"/>
        <v>Lettere Clara saepenumero</v>
      </c>
      <c r="AC325" s="31" t="str">
        <f t="shared" si="75"/>
        <v>Leone XIII, Lettere Clara saepenumero, 31 maggio 1893</v>
      </c>
      <c r="AD325" s="31" t="str">
        <f t="shared" si="76"/>
        <v>1893-05-31T08:00:00.000+02:00</v>
      </c>
      <c r="AE325" s="31" t="str">
        <f t="shared" si="77"/>
        <v>lxiii-let-cls</v>
      </c>
      <c r="AF325" s="31" t="str">
        <f t="shared" si="78"/>
        <v>Leone XIII - Lettere - Clara saepenumero</v>
      </c>
    </row>
    <row r="326" spans="2:32" s="31" customFormat="1" x14ac:dyDescent="0.2">
      <c r="B326" s="31">
        <v>256</v>
      </c>
      <c r="C326" s="31" t="s">
        <v>2116</v>
      </c>
      <c r="D326" s="31" t="s">
        <v>723</v>
      </c>
      <c r="E326" s="31" t="s">
        <v>707</v>
      </c>
      <c r="F326" s="31" t="s">
        <v>667</v>
      </c>
      <c r="G326" s="31" t="s">
        <v>666</v>
      </c>
      <c r="H326" s="31" t="str">
        <f t="shared" si="66"/>
        <v>Leone XIII</v>
      </c>
      <c r="K326" s="31" t="s">
        <v>554</v>
      </c>
      <c r="L326" s="31" t="str">
        <f t="shared" si="69"/>
        <v>Lettere</v>
      </c>
      <c r="M326" s="31" t="s">
        <v>568</v>
      </c>
      <c r="O326" s="31" t="s">
        <v>2118</v>
      </c>
      <c r="P326" s="31" t="s">
        <v>640</v>
      </c>
      <c r="Q326" s="31" t="s">
        <v>2117</v>
      </c>
      <c r="R326" s="35" t="str">
        <f t="shared" si="67"/>
        <v>22</v>
      </c>
      <c r="S326" s="35"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5">
        <f t="shared" si="70"/>
        <v>1892</v>
      </c>
      <c r="U326" s="31"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6"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31"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31">
        <v>324</v>
      </c>
      <c r="Y326" s="31" t="str">
        <f t="shared" si="71"/>
        <v>['Leone XIII', 'Lettere', 'Quam gratae', 'lxiii-let-qug', '22 giugno 1892', '22/06/1892', '1892/06/22'],</v>
      </c>
      <c r="Z326" s="31" t="str">
        <f t="shared" si="72"/>
        <v>Quam gratae (22 giugno 1892) | Leone XIII</v>
      </c>
      <c r="AA326" s="31" t="str">
        <f t="shared" si="73"/>
        <v>Lettere Quam gratae</v>
      </c>
      <c r="AB326" s="31" t="str">
        <f t="shared" si="74"/>
        <v>Lettere Quam gratae</v>
      </c>
      <c r="AC326" s="31" t="str">
        <f t="shared" si="75"/>
        <v>Leone XIII, Lettere Quam gratae, 22 giugno 1892</v>
      </c>
      <c r="AD326" s="31" t="str">
        <f t="shared" si="76"/>
        <v>1892-06-22T08:00:00.000+02:00</v>
      </c>
      <c r="AE326" s="31" t="str">
        <f t="shared" si="77"/>
        <v>lxiii-let-qug</v>
      </c>
      <c r="AF326" s="31" t="str">
        <f t="shared" si="78"/>
        <v>Leone XIII - Lettere - Quam gratae</v>
      </c>
    </row>
    <row r="327" spans="2:32" s="31" customFormat="1" x14ac:dyDescent="0.2">
      <c r="B327" s="31">
        <v>256</v>
      </c>
      <c r="C327" s="31" t="s">
        <v>2113</v>
      </c>
      <c r="D327" s="31" t="s">
        <v>723</v>
      </c>
      <c r="E327" s="31" t="s">
        <v>707</v>
      </c>
      <c r="F327" s="31" t="s">
        <v>667</v>
      </c>
      <c r="G327" s="31" t="s">
        <v>666</v>
      </c>
      <c r="H327" s="31" t="str">
        <f t="shared" si="66"/>
        <v>Leone XIII</v>
      </c>
      <c r="K327" s="31" t="s">
        <v>554</v>
      </c>
      <c r="L327" s="31" t="str">
        <f t="shared" si="69"/>
        <v>Lettere</v>
      </c>
      <c r="M327" s="31" t="s">
        <v>568</v>
      </c>
      <c r="O327" s="31" t="s">
        <v>2115</v>
      </c>
      <c r="P327" s="31" t="s">
        <v>595</v>
      </c>
      <c r="Q327" s="31" t="s">
        <v>2114</v>
      </c>
      <c r="R327" s="35" t="str">
        <f t="shared" si="67"/>
        <v>20</v>
      </c>
      <c r="S327" s="35"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5">
        <f t="shared" si="70"/>
        <v>1890</v>
      </c>
      <c r="U327" s="31"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6"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31"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31">
        <v>325</v>
      </c>
      <c r="Y327" s="31" t="str">
        <f t="shared" si="71"/>
        <v>['Leone XIII', 'Lettere', 'Rem Magni', 'lxiii-let-rem', '20 aprile 1890', '20/04/1890', '1890/04/20'],</v>
      </c>
      <c r="Z327" s="31" t="str">
        <f t="shared" si="72"/>
        <v>Rem Magni (20 aprile 1890) | Leone XIII</v>
      </c>
      <c r="AA327" s="31" t="str">
        <f t="shared" si="73"/>
        <v>Lettere Rem Magni</v>
      </c>
      <c r="AB327" s="31" t="str">
        <f t="shared" si="74"/>
        <v>Lettere Rem Magni</v>
      </c>
      <c r="AC327" s="31" t="str">
        <f t="shared" si="75"/>
        <v>Leone XIII, Lettere Rem Magni, 20 aprile 1890</v>
      </c>
      <c r="AD327" s="31" t="str">
        <f t="shared" si="76"/>
        <v>1890-04-20T08:00:00.000+02:00</v>
      </c>
      <c r="AE327" s="31" t="str">
        <f t="shared" si="77"/>
        <v>lxiii-let-rem</v>
      </c>
      <c r="AF327" s="31" t="str">
        <f t="shared" si="78"/>
        <v>Leone XIII - Lettere - Rem Magni</v>
      </c>
    </row>
    <row r="328" spans="2:32" s="31" customFormat="1" x14ac:dyDescent="0.2">
      <c r="B328" s="31">
        <v>256</v>
      </c>
      <c r="C328" s="31" t="s">
        <v>2110</v>
      </c>
      <c r="D328" s="31" t="s">
        <v>723</v>
      </c>
      <c r="E328" s="31" t="s">
        <v>707</v>
      </c>
      <c r="F328" s="31" t="s">
        <v>667</v>
      </c>
      <c r="G328" s="31" t="s">
        <v>666</v>
      </c>
      <c r="H328" s="31" t="str">
        <f t="shared" si="66"/>
        <v>Leone XIII</v>
      </c>
      <c r="K328" s="31" t="s">
        <v>554</v>
      </c>
      <c r="L328" s="31" t="str">
        <f t="shared" si="69"/>
        <v>Lettere</v>
      </c>
      <c r="M328" s="31" t="s">
        <v>568</v>
      </c>
      <c r="O328" s="31" t="s">
        <v>2112</v>
      </c>
      <c r="P328" s="31" t="s">
        <v>3003</v>
      </c>
      <c r="Q328" s="31" t="s">
        <v>2111</v>
      </c>
      <c r="R328" s="35" t="str">
        <f t="shared" si="67"/>
        <v>14</v>
      </c>
      <c r="S328" s="35"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5">
        <f t="shared" si="70"/>
        <v>1890</v>
      </c>
      <c r="U328" s="31"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6"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31"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31">
        <v>326</v>
      </c>
      <c r="Y328" s="31" t="str">
        <f t="shared" si="71"/>
        <v>['Leone XIII', 'Lettere', 'Noi rendiamo grazie', 'lxiii-let-nrg', '14 marzo 1890', '14/03/1890', '1890/03/14'],</v>
      </c>
      <c r="Z328" s="31" t="str">
        <f t="shared" si="72"/>
        <v>Noi rendiamo grazie (14 marzo 1890) | Leone XIII</v>
      </c>
      <c r="AA328" s="31" t="str">
        <f t="shared" si="73"/>
        <v>Lettere Noi rendiamo grazie</v>
      </c>
      <c r="AB328" s="31" t="str">
        <f t="shared" si="74"/>
        <v>Lettere Noi rendiamo grazie</v>
      </c>
      <c r="AC328" s="31" t="str">
        <f t="shared" si="75"/>
        <v>Leone XIII, Lettere Noi rendiamo grazie, 14 marzo 1890</v>
      </c>
      <c r="AD328" s="31" t="str">
        <f t="shared" si="76"/>
        <v>1890-03-14T08:00:00.000+02:00</v>
      </c>
      <c r="AE328" s="31" t="str">
        <f t="shared" si="77"/>
        <v>lxiii-let-nrg</v>
      </c>
      <c r="AF328" s="31" t="str">
        <f t="shared" si="78"/>
        <v>Leone XIII - Lettere - Noi rendiamo grazie</v>
      </c>
    </row>
    <row r="329" spans="2:32" s="31" customFormat="1" x14ac:dyDescent="0.2">
      <c r="B329" s="31">
        <v>256</v>
      </c>
      <c r="C329" s="31" t="s">
        <v>2107</v>
      </c>
      <c r="D329" s="31" t="s">
        <v>723</v>
      </c>
      <c r="E329" s="31" t="s">
        <v>707</v>
      </c>
      <c r="F329" s="31" t="s">
        <v>667</v>
      </c>
      <c r="G329" s="31" t="s">
        <v>666</v>
      </c>
      <c r="H329" s="31" t="str">
        <f t="shared" ref="H329:H391" si="79">_xlfn.CONCAT(D329 &amp; " " &amp; E329)</f>
        <v>Leone XIII</v>
      </c>
      <c r="K329" s="31" t="s">
        <v>554</v>
      </c>
      <c r="L329" s="31" t="str">
        <f t="shared" si="69"/>
        <v>Lettere</v>
      </c>
      <c r="M329" s="31" t="s">
        <v>568</v>
      </c>
      <c r="O329" s="31" t="s">
        <v>2109</v>
      </c>
      <c r="P329" s="31" t="s">
        <v>3004</v>
      </c>
      <c r="Q329" s="31" t="s">
        <v>2108</v>
      </c>
      <c r="R329" s="35" t="str">
        <f t="shared" si="67"/>
        <v>18</v>
      </c>
      <c r="S329" s="35"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5">
        <f t="shared" si="70"/>
        <v>1889</v>
      </c>
      <c r="U329" s="31"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6"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31"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31">
        <v>327</v>
      </c>
      <c r="Y329" s="31" t="str">
        <f t="shared" si="71"/>
        <v>['Leone XIII', 'Lettere', 'Fra le molteplici', 'lxiii-let-flm', '18 dicembre 1889', '18/12/1889', '1889/12/18'],</v>
      </c>
      <c r="Z329" s="31" t="str">
        <f t="shared" si="72"/>
        <v>Fra le molteplici (18 dicembre 1889) | Leone XIII</v>
      </c>
      <c r="AA329" s="31" t="str">
        <f t="shared" si="73"/>
        <v>Lettere Fra le molteplici</v>
      </c>
      <c r="AB329" s="31" t="str">
        <f t="shared" si="74"/>
        <v>Lettere Fra le molteplici</v>
      </c>
      <c r="AC329" s="31" t="str">
        <f t="shared" si="75"/>
        <v>Leone XIII, Lettere Fra le molteplici, 18 dicembre 1889</v>
      </c>
      <c r="AD329" s="31" t="str">
        <f t="shared" si="76"/>
        <v>1889-12-18T08:00:00.000+02:00</v>
      </c>
      <c r="AE329" s="31" t="str">
        <f t="shared" si="77"/>
        <v>lxiii-let-flm</v>
      </c>
      <c r="AF329" s="31" t="str">
        <f t="shared" si="78"/>
        <v>Leone XIII - Lettere - Fra le molteplici</v>
      </c>
    </row>
    <row r="330" spans="2:32" s="31" customFormat="1" x14ac:dyDescent="0.2">
      <c r="B330" s="31">
        <v>256</v>
      </c>
      <c r="C330" s="31" t="s">
        <v>2104</v>
      </c>
      <c r="D330" s="31" t="s">
        <v>723</v>
      </c>
      <c r="E330" s="31" t="s">
        <v>707</v>
      </c>
      <c r="F330" s="31" t="s">
        <v>667</v>
      </c>
      <c r="G330" s="31" t="s">
        <v>666</v>
      </c>
      <c r="H330" s="31" t="str">
        <f t="shared" si="79"/>
        <v>Leone XIII</v>
      </c>
      <c r="K330" s="31" t="s">
        <v>554</v>
      </c>
      <c r="L330" s="31" t="str">
        <f t="shared" si="69"/>
        <v>Lettere</v>
      </c>
      <c r="M330" s="31" t="s">
        <v>568</v>
      </c>
      <c r="O330" s="31" t="s">
        <v>2106</v>
      </c>
      <c r="P330" s="31" t="s">
        <v>3005</v>
      </c>
      <c r="Q330" s="31" t="s">
        <v>2105</v>
      </c>
      <c r="R330" s="35" t="str">
        <f t="shared" si="67"/>
        <v>19</v>
      </c>
      <c r="S330" s="35"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5">
        <f t="shared" si="70"/>
        <v>1889</v>
      </c>
      <c r="U330" s="31"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6"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31"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31">
        <v>328</v>
      </c>
      <c r="Y330" s="31" t="str">
        <f t="shared" si="71"/>
        <v>['Leone XIII', 'Lettere', 'È giunto', 'lxiii-let-egi', '19 luglio 1889', '19/07/1889', '1889/07/19'],</v>
      </c>
      <c r="Z330" s="31" t="str">
        <f t="shared" si="72"/>
        <v>È giunto (19 luglio 1889) | Leone XIII</v>
      </c>
      <c r="AA330" s="31" t="str">
        <f t="shared" si="73"/>
        <v>Lettere È giunto</v>
      </c>
      <c r="AB330" s="31" t="str">
        <f t="shared" si="74"/>
        <v>Lettere È giunto</v>
      </c>
      <c r="AC330" s="31" t="str">
        <f t="shared" si="75"/>
        <v>Leone XIII, Lettere È giunto, 19 luglio 1889</v>
      </c>
      <c r="AD330" s="31" t="str">
        <f t="shared" si="76"/>
        <v>1889-07-19T08:00:00.000+02:00</v>
      </c>
      <c r="AE330" s="31" t="str">
        <f t="shared" si="77"/>
        <v>lxiii-let-egi</v>
      </c>
      <c r="AF330" s="31" t="str">
        <f t="shared" si="78"/>
        <v>Leone XIII - Lettere - È giunto</v>
      </c>
    </row>
    <row r="331" spans="2:32" s="31" customFormat="1" x14ac:dyDescent="0.2">
      <c r="B331" s="31">
        <v>256</v>
      </c>
      <c r="C331" s="31" t="s">
        <v>2102</v>
      </c>
      <c r="D331" s="31" t="s">
        <v>723</v>
      </c>
      <c r="E331" s="31" t="s">
        <v>707</v>
      </c>
      <c r="F331" s="31" t="s">
        <v>667</v>
      </c>
      <c r="G331" s="31" t="s">
        <v>666</v>
      </c>
      <c r="H331" s="31" t="str">
        <f t="shared" si="79"/>
        <v>Leone XIII</v>
      </c>
      <c r="K331" s="31" t="s">
        <v>554</v>
      </c>
      <c r="L331" s="31" t="str">
        <f t="shared" si="69"/>
        <v>Lettere</v>
      </c>
      <c r="M331" s="31" t="s">
        <v>568</v>
      </c>
      <c r="O331" s="31" t="s">
        <v>2103</v>
      </c>
      <c r="P331" s="31" t="s">
        <v>3006</v>
      </c>
      <c r="Q331" s="31" t="s">
        <v>2268</v>
      </c>
      <c r="R331" s="35" t="str">
        <f t="shared" si="67"/>
        <v>01</v>
      </c>
      <c r="S331" s="35"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5">
        <f t="shared" si="70"/>
        <v>1889</v>
      </c>
      <c r="U331" s="31"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6"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31"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31">
        <v>329</v>
      </c>
      <c r="Y331" s="31" t="str">
        <f t="shared" si="71"/>
        <v>['Leone XIII', 'Lettere', 'Litteris ad te', 'lxiii-let-lat', '01 giugno 1889', '01/06/1889', '1889/06/01'],</v>
      </c>
      <c r="Z331" s="31" t="str">
        <f t="shared" si="72"/>
        <v>Litteris ad te (1 giugno 1889) | Leone XIII</v>
      </c>
      <c r="AA331" s="31" t="str">
        <f t="shared" si="73"/>
        <v>Lettere Litteris ad te</v>
      </c>
      <c r="AB331" s="31" t="str">
        <f t="shared" si="74"/>
        <v>Lettere Litteris ad te</v>
      </c>
      <c r="AC331" s="31" t="str">
        <f t="shared" si="75"/>
        <v>Leone XIII, Lettere Litteris ad te, 01 giugno 1889</v>
      </c>
      <c r="AD331" s="31" t="str">
        <f t="shared" si="76"/>
        <v>1889-06-01T08:00:00.000+02:00</v>
      </c>
      <c r="AE331" s="31" t="str">
        <f t="shared" si="77"/>
        <v>lxiii-let-lat</v>
      </c>
      <c r="AF331" s="31" t="str">
        <f t="shared" si="78"/>
        <v>Leone XIII - Lettere - Litteris ad te</v>
      </c>
    </row>
    <row r="332" spans="2:32" s="31" customFormat="1" x14ac:dyDescent="0.2">
      <c r="B332" s="31">
        <v>256</v>
      </c>
      <c r="C332" s="31" t="s">
        <v>2099</v>
      </c>
      <c r="D332" s="31" t="s">
        <v>723</v>
      </c>
      <c r="E332" s="31" t="s">
        <v>707</v>
      </c>
      <c r="F332" s="31" t="s">
        <v>667</v>
      </c>
      <c r="G332" s="31" t="s">
        <v>666</v>
      </c>
      <c r="H332" s="31" t="str">
        <f t="shared" si="79"/>
        <v>Leone XIII</v>
      </c>
      <c r="K332" s="31" t="s">
        <v>554</v>
      </c>
      <c r="L332" s="31" t="str">
        <f t="shared" si="69"/>
        <v>Lettere</v>
      </c>
      <c r="M332" s="31" t="s">
        <v>568</v>
      </c>
      <c r="O332" s="31" t="s">
        <v>2101</v>
      </c>
      <c r="P332" s="31" t="s">
        <v>3007</v>
      </c>
      <c r="Q332" s="31" t="s">
        <v>2100</v>
      </c>
      <c r="R332" s="35" t="str">
        <f t="shared" si="67"/>
        <v>31</v>
      </c>
      <c r="S332" s="35"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5">
        <f t="shared" si="70"/>
        <v>1889</v>
      </c>
      <c r="U332" s="31"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6"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31"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31">
        <v>330</v>
      </c>
      <c r="Y332" s="31" t="str">
        <f t="shared" si="71"/>
        <v>['Leone XIII', 'Lettere', 'Grata ci è riuscita', 'lxiii-let-gcr', '31 marzo 1889', '31/03/1889', '1889/03/31'],</v>
      </c>
      <c r="Z332" s="31" t="str">
        <f t="shared" si="72"/>
        <v>Grata ci è riuscita (31 marzo 1889) | Leone XIII</v>
      </c>
      <c r="AA332" s="31" t="str">
        <f t="shared" si="73"/>
        <v>Lettere Grata ci è riuscita</v>
      </c>
      <c r="AB332" s="31" t="str">
        <f t="shared" si="74"/>
        <v>Lettere Grata ci è riuscita</v>
      </c>
      <c r="AC332" s="31" t="str">
        <f t="shared" si="75"/>
        <v>Leone XIII, Lettere Grata ci è riuscita, 31 marzo 1889</v>
      </c>
      <c r="AD332" s="31" t="str">
        <f t="shared" si="76"/>
        <v>1889-03-31T08:00:00.000+02:00</v>
      </c>
      <c r="AE332" s="31" t="str">
        <f t="shared" si="77"/>
        <v>lxiii-let-gcr</v>
      </c>
      <c r="AF332" s="31" t="str">
        <f t="shared" si="78"/>
        <v>Leone XIII - Lettere - Grata ci è riuscita</v>
      </c>
    </row>
    <row r="333" spans="2:32" s="31" customFormat="1" x14ac:dyDescent="0.2">
      <c r="B333" s="31">
        <v>256</v>
      </c>
      <c r="C333" s="31" t="s">
        <v>2096</v>
      </c>
      <c r="D333" s="31" t="s">
        <v>723</v>
      </c>
      <c r="E333" s="31" t="s">
        <v>707</v>
      </c>
      <c r="F333" s="31" t="s">
        <v>667</v>
      </c>
      <c r="G333" s="31" t="s">
        <v>666</v>
      </c>
      <c r="H333" s="31" t="str">
        <f t="shared" si="79"/>
        <v>Leone XIII</v>
      </c>
      <c r="K333" s="31" t="s">
        <v>554</v>
      </c>
      <c r="L333" s="31" t="str">
        <f t="shared" si="69"/>
        <v>Lettere</v>
      </c>
      <c r="M333" s="31" t="s">
        <v>568</v>
      </c>
      <c r="O333" s="31" t="s">
        <v>2098</v>
      </c>
      <c r="P333" s="31" t="s">
        <v>3008</v>
      </c>
      <c r="Q333" s="31" t="s">
        <v>2097</v>
      </c>
      <c r="R333" s="35" t="str">
        <f t="shared" si="67"/>
        <v>26</v>
      </c>
      <c r="S333" s="35"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5">
        <f t="shared" si="70"/>
        <v>1887</v>
      </c>
      <c r="U333" s="31"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6"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31"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31">
        <v>331</v>
      </c>
      <c r="Y333" s="31" t="str">
        <f t="shared" si="71"/>
        <v>['Leone XIII', 'Lettere', 'Vicario sulla terra', 'lxiii-let-vst', '26 dicembre 1887', '26/12/1887', '1887/12/26'],</v>
      </c>
      <c r="Z333" s="31" t="str">
        <f t="shared" si="72"/>
        <v>Vicario sulla terra (26 dicembre 1887) | Leone XIII</v>
      </c>
      <c r="AA333" s="31" t="str">
        <f t="shared" si="73"/>
        <v>Lettere Vicario sulla terra</v>
      </c>
      <c r="AB333" s="31" t="str">
        <f t="shared" si="74"/>
        <v>Lettere Vicario sulla terra</v>
      </c>
      <c r="AC333" s="31" t="str">
        <f t="shared" si="75"/>
        <v>Leone XIII, Lettere Vicario sulla terra, 26 dicembre 1887</v>
      </c>
      <c r="AD333" s="31" t="str">
        <f t="shared" si="76"/>
        <v>1887-12-26T08:00:00.000+02:00</v>
      </c>
      <c r="AE333" s="31" t="str">
        <f t="shared" si="77"/>
        <v>lxiii-let-vst</v>
      </c>
      <c r="AF333" s="31" t="str">
        <f t="shared" si="78"/>
        <v>Leone XIII - Lettere - Vicario sulla terra</v>
      </c>
    </row>
    <row r="334" spans="2:32" s="31" customFormat="1" x14ac:dyDescent="0.2">
      <c r="B334" s="31">
        <v>256</v>
      </c>
      <c r="C334" s="31" t="s">
        <v>2094</v>
      </c>
      <c r="D334" s="31" t="s">
        <v>723</v>
      </c>
      <c r="E334" s="31" t="s">
        <v>707</v>
      </c>
      <c r="F334" s="31" t="s">
        <v>667</v>
      </c>
      <c r="G334" s="31" t="s">
        <v>666</v>
      </c>
      <c r="H334" s="31" t="str">
        <f t="shared" si="79"/>
        <v>Leone XIII</v>
      </c>
      <c r="K334" s="31" t="s">
        <v>554</v>
      </c>
      <c r="L334" s="31" t="str">
        <f t="shared" si="69"/>
        <v>Lettere</v>
      </c>
      <c r="M334" s="31" t="s">
        <v>568</v>
      </c>
      <c r="O334" s="31" t="s">
        <v>2095</v>
      </c>
      <c r="P334" s="31" t="s">
        <v>3009</v>
      </c>
      <c r="Q334" s="31" t="s">
        <v>2057</v>
      </c>
      <c r="R334" s="35" t="str">
        <f t="shared" si="67"/>
        <v>20</v>
      </c>
      <c r="S334" s="35"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5">
        <f t="shared" si="70"/>
        <v>1887</v>
      </c>
      <c r="U334" s="31"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6"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31"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31">
        <v>332</v>
      </c>
      <c r="Y334" s="31" t="str">
        <f t="shared" si="71"/>
        <v>['Leone XIII', 'Lettere', 'Vi è noto', 'lxiii-let-ven', '20 settembre 1887', '20/09/1887', '1887/09/20'],</v>
      </c>
      <c r="Z334" s="31" t="str">
        <f t="shared" si="72"/>
        <v>Vi è noto (20 settembre 1887) | Leone XIII</v>
      </c>
      <c r="AA334" s="31" t="str">
        <f t="shared" si="73"/>
        <v>Lettere Vi è noto</v>
      </c>
      <c r="AB334" s="31" t="str">
        <f t="shared" si="74"/>
        <v>Lettere Vi è noto</v>
      </c>
      <c r="AC334" s="31" t="str">
        <f t="shared" si="75"/>
        <v>Leone XIII, Lettere Vi è noto, 20 settembre 1887</v>
      </c>
      <c r="AD334" s="31" t="str">
        <f t="shared" si="76"/>
        <v>1887-09-20T08:00:00.000+02:00</v>
      </c>
      <c r="AE334" s="31" t="str">
        <f t="shared" si="77"/>
        <v>lxiii-let-ven</v>
      </c>
      <c r="AF334" s="31" t="str">
        <f t="shared" si="78"/>
        <v>Leone XIII - Lettere - Vi è noto</v>
      </c>
    </row>
    <row r="335" spans="2:32" s="31" customFormat="1" x14ac:dyDescent="0.2">
      <c r="B335" s="31">
        <v>256</v>
      </c>
      <c r="C335" s="31" t="s">
        <v>2091</v>
      </c>
      <c r="D335" s="31" t="s">
        <v>723</v>
      </c>
      <c r="E335" s="31" t="s">
        <v>707</v>
      </c>
      <c r="F335" s="31" t="s">
        <v>667</v>
      </c>
      <c r="G335" s="31" t="s">
        <v>666</v>
      </c>
      <c r="H335" s="31" t="str">
        <f t="shared" si="79"/>
        <v>Leone XIII</v>
      </c>
      <c r="K335" s="31" t="s">
        <v>554</v>
      </c>
      <c r="L335" s="31" t="str">
        <f t="shared" si="69"/>
        <v>Lettere</v>
      </c>
      <c r="M335" s="31" t="s">
        <v>568</v>
      </c>
      <c r="O335" s="31" t="s">
        <v>2093</v>
      </c>
      <c r="P335" s="31" t="s">
        <v>3010</v>
      </c>
      <c r="Q335" s="31" t="s">
        <v>2092</v>
      </c>
      <c r="R335" s="35" t="str">
        <f t="shared" si="67"/>
        <v>30</v>
      </c>
      <c r="S335" s="35"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5">
        <f t="shared" si="70"/>
        <v>1887</v>
      </c>
      <c r="U335" s="31"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6"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31"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31">
        <v>334</v>
      </c>
      <c r="Y335" s="31" t="str">
        <f t="shared" si="71"/>
        <v>['Leone XIII', 'Lettere', 'Egregii tui', 'lxiii-let-egt', '30 luglio 1887', '30/07/1887', '1887/07/30'],</v>
      </c>
      <c r="Z335" s="31" t="str">
        <f t="shared" si="72"/>
        <v>Egregii tui (30 luglio 1887) | Leone XIII</v>
      </c>
      <c r="AA335" s="31" t="str">
        <f t="shared" si="73"/>
        <v>Lettere Egregii tui</v>
      </c>
      <c r="AB335" s="31" t="str">
        <f t="shared" si="74"/>
        <v>Lettere Egregii tui</v>
      </c>
      <c r="AC335" s="31" t="str">
        <f t="shared" si="75"/>
        <v>Leone XIII, Lettere Egregii tui, 30 luglio 1887</v>
      </c>
      <c r="AD335" s="31" t="str">
        <f t="shared" si="76"/>
        <v>1887-07-30T08:00:00.000+02:00</v>
      </c>
      <c r="AE335" s="31" t="str">
        <f t="shared" si="77"/>
        <v>lxiii-let-egt</v>
      </c>
      <c r="AF335" s="31" t="str">
        <f t="shared" si="78"/>
        <v>Leone XIII - Lettere - Egregii tui</v>
      </c>
    </row>
    <row r="336" spans="2:32" s="31" customFormat="1" x14ac:dyDescent="0.2">
      <c r="B336" s="31">
        <v>256</v>
      </c>
      <c r="C336" s="31" t="s">
        <v>2088</v>
      </c>
      <c r="D336" s="31" t="s">
        <v>723</v>
      </c>
      <c r="E336" s="31" t="s">
        <v>707</v>
      </c>
      <c r="F336" s="31" t="s">
        <v>667</v>
      </c>
      <c r="G336" s="31" t="s">
        <v>666</v>
      </c>
      <c r="H336" s="31" t="str">
        <f t="shared" si="79"/>
        <v>Leone XIII</v>
      </c>
      <c r="K336" s="31" t="s">
        <v>554</v>
      </c>
      <c r="L336" s="31" t="str">
        <f t="shared" si="69"/>
        <v>Lettere</v>
      </c>
      <c r="M336" s="31" t="s">
        <v>568</v>
      </c>
      <c r="O336" s="31" t="s">
        <v>2090</v>
      </c>
      <c r="P336" s="31" t="s">
        <v>3011</v>
      </c>
      <c r="Q336" s="31" t="s">
        <v>2089</v>
      </c>
      <c r="R336" s="35" t="str">
        <f t="shared" si="67"/>
        <v>15</v>
      </c>
      <c r="S336" s="35"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5">
        <f t="shared" si="70"/>
        <v>1887</v>
      </c>
      <c r="U336" s="31"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6"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31"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31">
        <v>335</v>
      </c>
      <c r="Y336" s="31" t="str">
        <f t="shared" si="71"/>
        <v>['Leone XIII', 'Lettere', 'Quantunque le siano', 'lxiii-let-qls', '15 giugno 1887', '15/06/1887', '1887/06/15'],</v>
      </c>
      <c r="Z336" s="31" t="str">
        <f t="shared" si="72"/>
        <v>Quantunque le siano (15 giugno 1887) | Leone XIII</v>
      </c>
      <c r="AA336" s="31" t="str">
        <f t="shared" si="73"/>
        <v>Lettere Quantunque le siano</v>
      </c>
      <c r="AB336" s="31" t="str">
        <f t="shared" si="74"/>
        <v>Lettere Quantunque le siano</v>
      </c>
      <c r="AC336" s="31" t="str">
        <f t="shared" si="75"/>
        <v>Leone XIII, Lettere Quantunque le siano, 15 giugno 1887</v>
      </c>
      <c r="AD336" s="31" t="str">
        <f t="shared" si="76"/>
        <v>1887-06-15T08:00:00.000+02:00</v>
      </c>
      <c r="AE336" s="31" t="str">
        <f t="shared" si="77"/>
        <v>lxiii-let-qls</v>
      </c>
      <c r="AF336" s="31" t="str">
        <f t="shared" si="78"/>
        <v>Leone XIII - Lettere - Quantunque le siano</v>
      </c>
    </row>
    <row r="337" spans="2:32" s="31" customFormat="1" x14ac:dyDescent="0.2">
      <c r="B337" s="31">
        <v>256</v>
      </c>
      <c r="C337" s="31" t="s">
        <v>2085</v>
      </c>
      <c r="D337" s="31" t="s">
        <v>723</v>
      </c>
      <c r="E337" s="31" t="s">
        <v>707</v>
      </c>
      <c r="F337" s="31" t="s">
        <v>667</v>
      </c>
      <c r="G337" s="31" t="s">
        <v>666</v>
      </c>
      <c r="H337" s="31" t="str">
        <f t="shared" si="79"/>
        <v>Leone XIII</v>
      </c>
      <c r="K337" s="31" t="s">
        <v>554</v>
      </c>
      <c r="L337" s="31" t="str">
        <f t="shared" si="69"/>
        <v>Lettere</v>
      </c>
      <c r="M337" s="31" t="s">
        <v>568</v>
      </c>
      <c r="O337" s="31" t="s">
        <v>2087</v>
      </c>
      <c r="P337" s="31" t="s">
        <v>3012</v>
      </c>
      <c r="Q337" s="31" t="s">
        <v>2086</v>
      </c>
      <c r="R337" s="35" t="str">
        <f t="shared" si="67"/>
        <v>31</v>
      </c>
      <c r="S337" s="35"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5">
        <f t="shared" si="70"/>
        <v>1886</v>
      </c>
      <c r="U337" s="31"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6"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31"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31">
        <v>336</v>
      </c>
      <c r="Y337" s="31" t="str">
        <f t="shared" si="71"/>
        <v>['Leone XIII', 'Lettere', 'Più volte', 'lxiii-let-piv', '31 ottobre 1886', '31/10/1886', '1886/10/31'],</v>
      </c>
      <c r="Z337" s="31" t="str">
        <f t="shared" si="72"/>
        <v>Più volte (31 ottobre 1886) | Leone XIII</v>
      </c>
      <c r="AA337" s="31" t="str">
        <f t="shared" si="73"/>
        <v>Lettere Più volte</v>
      </c>
      <c r="AB337" s="31" t="str">
        <f t="shared" si="74"/>
        <v>Lettere Più volte</v>
      </c>
      <c r="AC337" s="31" t="str">
        <f t="shared" si="75"/>
        <v>Leone XIII, Lettere Più volte, 31 ottobre 1886</v>
      </c>
      <c r="AD337" s="31" t="str">
        <f t="shared" si="76"/>
        <v>1886-10-31T08:00:00.000+02:00</v>
      </c>
      <c r="AE337" s="31" t="str">
        <f t="shared" si="77"/>
        <v>lxiii-let-piv</v>
      </c>
      <c r="AF337" s="31" t="str">
        <f t="shared" si="78"/>
        <v>Leone XIII - Lettere - Più volte</v>
      </c>
    </row>
    <row r="338" spans="2:32" s="31" customFormat="1" x14ac:dyDescent="0.2">
      <c r="B338" s="31">
        <v>256</v>
      </c>
      <c r="C338" s="31" t="s">
        <v>2083</v>
      </c>
      <c r="D338" s="31" t="s">
        <v>723</v>
      </c>
      <c r="E338" s="31" t="s">
        <v>707</v>
      </c>
      <c r="F338" s="31" t="s">
        <v>667</v>
      </c>
      <c r="G338" s="31" t="s">
        <v>666</v>
      </c>
      <c r="H338" s="31" t="str">
        <f t="shared" si="79"/>
        <v>Leone XIII</v>
      </c>
      <c r="K338" s="31" t="s">
        <v>554</v>
      </c>
      <c r="L338" s="31" t="str">
        <f t="shared" si="69"/>
        <v>Lettere</v>
      </c>
      <c r="M338" s="31" t="s">
        <v>568</v>
      </c>
      <c r="O338" s="31" t="s">
        <v>2084</v>
      </c>
      <c r="P338" s="31" t="s">
        <v>1920</v>
      </c>
      <c r="Q338" s="31" t="s">
        <v>2051</v>
      </c>
      <c r="R338" s="35" t="str">
        <f t="shared" si="67"/>
        <v>06</v>
      </c>
      <c r="S338" s="35"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5">
        <f t="shared" si="70"/>
        <v>1886</v>
      </c>
      <c r="U338" s="31"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6"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31"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31">
        <v>337</v>
      </c>
      <c r="Y338" s="31" t="str">
        <f t="shared" si="71"/>
        <v>['Leone XIII', 'Lettere', 'Non senza', 'lxiii-let-nos', '06 gennaio 1886', '06/01/1886', '1886/01/06'],</v>
      </c>
      <c r="Z338" s="31" t="str">
        <f t="shared" si="72"/>
        <v>Non senza (6 gennaio 1886) | Leone XIII</v>
      </c>
      <c r="AA338" s="31" t="str">
        <f t="shared" si="73"/>
        <v>Lettere Non senza</v>
      </c>
      <c r="AB338" s="31" t="str">
        <f t="shared" si="74"/>
        <v>Lettere Non senza</v>
      </c>
      <c r="AC338" s="31" t="str">
        <f t="shared" si="75"/>
        <v>Leone XIII, Lettere Non senza, 06 gennaio 1886</v>
      </c>
      <c r="AD338" s="31" t="str">
        <f t="shared" si="76"/>
        <v>1886-01-06T08:00:00.000+02:00</v>
      </c>
      <c r="AE338" s="31" t="str">
        <f t="shared" si="77"/>
        <v>lxiii-let-nos</v>
      </c>
      <c r="AF338" s="31" t="str">
        <f t="shared" si="78"/>
        <v>Leone XIII - Lettere - Non senza</v>
      </c>
    </row>
    <row r="339" spans="2:32" s="31" customFormat="1" x14ac:dyDescent="0.2">
      <c r="B339" s="31">
        <v>256</v>
      </c>
      <c r="C339" s="31" t="s">
        <v>2080</v>
      </c>
      <c r="D339" s="31" t="s">
        <v>723</v>
      </c>
      <c r="E339" s="31" t="s">
        <v>707</v>
      </c>
      <c r="F339" s="31" t="s">
        <v>667</v>
      </c>
      <c r="G339" s="31" t="s">
        <v>666</v>
      </c>
      <c r="H339" s="31" t="str">
        <f t="shared" si="79"/>
        <v>Leone XIII</v>
      </c>
      <c r="K339" s="31" t="s">
        <v>554</v>
      </c>
      <c r="L339" s="31" t="str">
        <f t="shared" si="69"/>
        <v>Lettere</v>
      </c>
      <c r="M339" s="31" t="s">
        <v>568</v>
      </c>
      <c r="O339" s="31" t="s">
        <v>2082</v>
      </c>
      <c r="P339" s="31" t="s">
        <v>3013</v>
      </c>
      <c r="Q339" s="31" t="s">
        <v>2081</v>
      </c>
      <c r="R339" s="35" t="str">
        <f t="shared" si="67"/>
        <v>17</v>
      </c>
      <c r="S339" s="35"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5">
        <f t="shared" si="70"/>
        <v>1885</v>
      </c>
      <c r="U339" s="31"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6"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31"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31">
        <v>338</v>
      </c>
      <c r="Y339" s="31" t="str">
        <f t="shared" si="71"/>
        <v>['Leone XIII', 'Lettere', 'La vostra lettera', 'lxiii-let-lvl', '17 giugno 1885', '17/06/1885', '1885/06/17'],</v>
      </c>
      <c r="Z339" s="31" t="str">
        <f t="shared" si="72"/>
        <v>La vostra lettera (17 giugno 1885) | Leone XIII</v>
      </c>
      <c r="AA339" s="31" t="str">
        <f t="shared" si="73"/>
        <v>Lettere La vostra lettera</v>
      </c>
      <c r="AB339" s="31" t="str">
        <f t="shared" si="74"/>
        <v>Lettere La vostra lettera</v>
      </c>
      <c r="AC339" s="31" t="str">
        <f t="shared" si="75"/>
        <v>Leone XIII, Lettere La vostra lettera, 17 giugno 1885</v>
      </c>
      <c r="AD339" s="31" t="str">
        <f t="shared" si="76"/>
        <v>1885-06-17T08:00:00.000+02:00</v>
      </c>
      <c r="AE339" s="31" t="str">
        <f t="shared" si="77"/>
        <v>lxiii-let-lvl</v>
      </c>
      <c r="AF339" s="31" t="str">
        <f t="shared" si="78"/>
        <v>Leone XIII - Lettere - La vostra lettera</v>
      </c>
    </row>
    <row r="340" spans="2:32" s="31" customFormat="1" x14ac:dyDescent="0.2">
      <c r="B340" s="31">
        <v>256</v>
      </c>
      <c r="C340" s="31" t="s">
        <v>2077</v>
      </c>
      <c r="D340" s="31" t="s">
        <v>723</v>
      </c>
      <c r="E340" s="31" t="s">
        <v>707</v>
      </c>
      <c r="F340" s="31" t="s">
        <v>667</v>
      </c>
      <c r="G340" s="31" t="s">
        <v>666</v>
      </c>
      <c r="H340" s="31" t="str">
        <f t="shared" si="79"/>
        <v>Leone XIII</v>
      </c>
      <c r="K340" s="31" t="s">
        <v>554</v>
      </c>
      <c r="L340" s="31" t="str">
        <f t="shared" si="69"/>
        <v>Lettere</v>
      </c>
      <c r="M340" s="31" t="s">
        <v>568</v>
      </c>
      <c r="O340" s="31" t="s">
        <v>2079</v>
      </c>
      <c r="P340" s="31" t="s">
        <v>1048</v>
      </c>
      <c r="Q340" s="31" t="s">
        <v>2078</v>
      </c>
      <c r="R340" s="35" t="str">
        <f t="shared" si="67"/>
        <v>18</v>
      </c>
      <c r="S340" s="35"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5">
        <f t="shared" si="70"/>
        <v>1883</v>
      </c>
      <c r="U340" s="31"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6"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31"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31">
        <v>339</v>
      </c>
      <c r="Y340" s="31" t="str">
        <f t="shared" si="71"/>
        <v>['Leone XIII', 'Lettere', 'Saepenumero considerantes', 'lxiii-let-sac', '18 agosto 1883', '18/08/1883', '1883/08/18'],</v>
      </c>
      <c r="Z340" s="31" t="str">
        <f t="shared" si="72"/>
        <v>Saepenumero considerantes (18 agosto 1883) | Leone XIII</v>
      </c>
      <c r="AA340" s="31" t="str">
        <f t="shared" si="73"/>
        <v>Lettere Saepenumero considerantes</v>
      </c>
      <c r="AB340" s="31" t="str">
        <f t="shared" si="74"/>
        <v>Lettere Saepenumero considerantes</v>
      </c>
      <c r="AC340" s="31" t="str">
        <f t="shared" si="75"/>
        <v>Leone XIII, Lettere Saepenumero considerantes, 18 agosto 1883</v>
      </c>
      <c r="AD340" s="31" t="str">
        <f t="shared" si="76"/>
        <v>1883-08-18T08:00:00.000+02:00</v>
      </c>
      <c r="AE340" s="31" t="str">
        <f t="shared" si="77"/>
        <v>lxiii-let-sac</v>
      </c>
      <c r="AF340" s="31" t="str">
        <f t="shared" si="78"/>
        <v>Leone XIII - Lettere - Saepenumero considerantes</v>
      </c>
    </row>
    <row r="341" spans="2:32" s="31" customFormat="1" x14ac:dyDescent="0.2">
      <c r="B341" s="31">
        <v>256</v>
      </c>
      <c r="C341" s="31" t="s">
        <v>2074</v>
      </c>
      <c r="D341" s="31" t="s">
        <v>723</v>
      </c>
      <c r="E341" s="31" t="s">
        <v>707</v>
      </c>
      <c r="F341" s="31" t="s">
        <v>667</v>
      </c>
      <c r="G341" s="31" t="s">
        <v>666</v>
      </c>
      <c r="H341" s="31" t="str">
        <f t="shared" si="79"/>
        <v>Leone XIII</v>
      </c>
      <c r="K341" s="31" t="s">
        <v>554</v>
      </c>
      <c r="L341" s="31" t="str">
        <f t="shared" si="69"/>
        <v>Lettere</v>
      </c>
      <c r="M341" s="31" t="s">
        <v>568</v>
      </c>
      <c r="O341" s="31" t="s">
        <v>2076</v>
      </c>
      <c r="P341" s="31" t="s">
        <v>573</v>
      </c>
      <c r="Q341" s="31" t="s">
        <v>2075</v>
      </c>
      <c r="R341" s="35" t="str">
        <f t="shared" si="67"/>
        <v>02</v>
      </c>
      <c r="S341" s="35"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5">
        <f t="shared" si="70"/>
        <v>1881</v>
      </c>
      <c r="U341" s="31"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6"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31"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31">
        <v>340</v>
      </c>
      <c r="Y341" s="31" t="str">
        <f t="shared" si="71"/>
        <v>['Leone XIII', 'Lettere', 'Pro religione et pro Ecclesia', 'lxiii-let-pre', '02 gennaio 1881', '02/01/1881', '1881/01/02'],</v>
      </c>
      <c r="Z341" s="31" t="str">
        <f t="shared" si="72"/>
        <v>Pro religione et pro Ecclesia (2 gennaio 1881) | Leone XIII</v>
      </c>
      <c r="AA341" s="31" t="str">
        <f t="shared" si="73"/>
        <v>Lettere Pro religione et pro Ecclesia</v>
      </c>
      <c r="AB341" s="31" t="str">
        <f t="shared" si="74"/>
        <v>Lettere Pro religione et pro Ecclesia</v>
      </c>
      <c r="AC341" s="31" t="str">
        <f t="shared" si="75"/>
        <v>Leone XIII, Lettere Pro religione et pro Ecclesia, 02 gennaio 1881</v>
      </c>
      <c r="AD341" s="31" t="str">
        <f t="shared" si="76"/>
        <v>1881-01-02T08:00:00.000+02:00</v>
      </c>
      <c r="AE341" s="31" t="str">
        <f t="shared" si="77"/>
        <v>lxiii-let-pre</v>
      </c>
      <c r="AF341" s="31" t="str">
        <f t="shared" si="78"/>
        <v>Leone XIII - Lettere - Pro religione et pro Ecclesia</v>
      </c>
    </row>
    <row r="342" spans="2:32" s="31" customFormat="1" x14ac:dyDescent="0.2">
      <c r="B342" s="31">
        <v>256</v>
      </c>
      <c r="C342" s="31" t="s">
        <v>2071</v>
      </c>
      <c r="D342" s="31" t="s">
        <v>723</v>
      </c>
      <c r="E342" s="31" t="s">
        <v>707</v>
      </c>
      <c r="F342" s="31" t="s">
        <v>667</v>
      </c>
      <c r="G342" s="31" t="s">
        <v>666</v>
      </c>
      <c r="H342" s="31" t="str">
        <f t="shared" si="79"/>
        <v>Leone XIII</v>
      </c>
      <c r="K342" s="31" t="s">
        <v>554</v>
      </c>
      <c r="L342" s="31" t="str">
        <f t="shared" si="69"/>
        <v>Lettere</v>
      </c>
      <c r="M342" s="31" t="s">
        <v>568</v>
      </c>
      <c r="O342" s="31" t="s">
        <v>2073</v>
      </c>
      <c r="P342" s="31" t="s">
        <v>1912</v>
      </c>
      <c r="Q342" s="31" t="s">
        <v>2072</v>
      </c>
      <c r="R342" s="35" t="str">
        <f t="shared" si="67"/>
        <v>15</v>
      </c>
      <c r="S342" s="35"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5">
        <f t="shared" si="70"/>
        <v>1879</v>
      </c>
      <c r="U342" s="31"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6"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31"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31">
        <v>341</v>
      </c>
      <c r="Y342" s="31" t="str">
        <f t="shared" si="71"/>
        <v>['Leone XIII', 'Lettere', 'Iampridem considerando', 'lxiii-let-iac', '15 ottobre 1879', '15/10/1879', '1879/10/15'],</v>
      </c>
      <c r="Z342" s="31" t="str">
        <f t="shared" si="72"/>
        <v>Iampridem considerando (15 ottobre 1879) | Leone XIII</v>
      </c>
      <c r="AA342" s="31" t="str">
        <f t="shared" si="73"/>
        <v>Lettere Iampridem considerando</v>
      </c>
      <c r="AB342" s="31" t="str">
        <f t="shared" si="74"/>
        <v>Lettere Iampridem considerando</v>
      </c>
      <c r="AC342" s="31" t="str">
        <f t="shared" si="75"/>
        <v>Leone XIII, Lettere Iampridem considerando, 15 ottobre 1879</v>
      </c>
      <c r="AD342" s="31" t="str">
        <f t="shared" si="76"/>
        <v>1879-10-15T08:00:00.000+02:00</v>
      </c>
      <c r="AE342" s="31" t="str">
        <f t="shared" si="77"/>
        <v>lxiii-let-iac</v>
      </c>
      <c r="AF342" s="31" t="str">
        <f t="shared" si="78"/>
        <v>Leone XIII - Lettere - Iampridem considerando</v>
      </c>
    </row>
    <row r="343" spans="2:32" s="31" customFormat="1" x14ac:dyDescent="0.2">
      <c r="B343" s="31">
        <v>256</v>
      </c>
      <c r="C343" s="31" t="s">
        <v>2069</v>
      </c>
      <c r="D343" s="31" t="s">
        <v>723</v>
      </c>
      <c r="E343" s="31" t="s">
        <v>707</v>
      </c>
      <c r="F343" s="31" t="s">
        <v>667</v>
      </c>
      <c r="G343" s="31" t="s">
        <v>666</v>
      </c>
      <c r="H343" s="31" t="str">
        <f t="shared" si="79"/>
        <v>Leone XIII</v>
      </c>
      <c r="K343" s="31" t="s">
        <v>554</v>
      </c>
      <c r="L343" s="31" t="str">
        <f t="shared" si="69"/>
        <v>Lettere</v>
      </c>
      <c r="M343" s="31" t="s">
        <v>568</v>
      </c>
      <c r="O343" s="31" t="s">
        <v>2070</v>
      </c>
      <c r="P343" s="31" t="s">
        <v>3014</v>
      </c>
      <c r="Q343" s="31" t="s">
        <v>2270</v>
      </c>
      <c r="R343" s="35" t="str">
        <f t="shared" si="67"/>
        <v>01</v>
      </c>
      <c r="S343" s="35"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5">
        <f t="shared" si="70"/>
        <v>1879</v>
      </c>
      <c r="U343" s="31"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6"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31"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31">
        <v>342</v>
      </c>
      <c r="Y343" s="31" t="str">
        <f t="shared" si="71"/>
        <v>['Leone XIII', 'Lettere', 'Ci siamo grandemente', 'lxiii-let-csg', '01 giugno 1879', '01/06/1879', '1879/06/01'],</v>
      </c>
      <c r="Z343" s="31" t="str">
        <f t="shared" si="72"/>
        <v>Ci siamo grandemente (1 giugno 1879) | Leone XIII</v>
      </c>
      <c r="AA343" s="31" t="str">
        <f t="shared" si="73"/>
        <v>Lettere Ci siamo grandemente</v>
      </c>
      <c r="AB343" s="31" t="str">
        <f t="shared" si="74"/>
        <v>Lettere Ci siamo grandemente</v>
      </c>
      <c r="AC343" s="31" t="str">
        <f t="shared" si="75"/>
        <v>Leone XIII, Lettere Ci siamo grandemente, 01 giugno 1879</v>
      </c>
      <c r="AD343" s="31" t="str">
        <f t="shared" si="76"/>
        <v>1879-06-01T08:00:00.000+02:00</v>
      </c>
      <c r="AE343" s="31" t="str">
        <f t="shared" si="77"/>
        <v>lxiii-let-csg</v>
      </c>
      <c r="AF343" s="31" t="str">
        <f t="shared" si="78"/>
        <v>Leone XIII - Lettere - Ci siamo grandemente</v>
      </c>
    </row>
    <row r="344" spans="2:32" s="31" customFormat="1" x14ac:dyDescent="0.2">
      <c r="B344" s="31">
        <v>256</v>
      </c>
      <c r="C344" s="31" t="s">
        <v>2066</v>
      </c>
      <c r="D344" s="31" t="s">
        <v>723</v>
      </c>
      <c r="E344" s="31" t="s">
        <v>707</v>
      </c>
      <c r="F344" s="31" t="s">
        <v>667</v>
      </c>
      <c r="G344" s="31" t="s">
        <v>666</v>
      </c>
      <c r="H344" s="31" t="str">
        <f t="shared" si="79"/>
        <v>Leone XIII</v>
      </c>
      <c r="K344" s="31" t="s">
        <v>554</v>
      </c>
      <c r="L344" s="31" t="str">
        <f t="shared" si="69"/>
        <v>Lettere</v>
      </c>
      <c r="M344" s="31" t="s">
        <v>568</v>
      </c>
      <c r="O344" s="31" t="s">
        <v>2068</v>
      </c>
      <c r="P344" s="31" t="s">
        <v>3015</v>
      </c>
      <c r="Q344" s="31" t="s">
        <v>2067</v>
      </c>
      <c r="R344" s="35" t="str">
        <f t="shared" si="67"/>
        <v>27</v>
      </c>
      <c r="S344" s="35"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5">
        <f t="shared" si="70"/>
        <v>1878</v>
      </c>
      <c r="U344" s="31"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6"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31"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31">
        <v>343</v>
      </c>
      <c r="Y344" s="31" t="str">
        <f t="shared" si="71"/>
        <v>['Leone XIII', 'Lettere', 'Da grave sventura', 'lxiii-let-dgs', '27 agosto 1878', '27/08/1878', '1878/08/27'],</v>
      </c>
      <c r="Z344" s="31" t="str">
        <f t="shared" si="72"/>
        <v>Da grave sventura (27 agosto 1878) | Leone XIII</v>
      </c>
      <c r="AA344" s="31" t="str">
        <f t="shared" si="73"/>
        <v>Lettere Da grave sventura</v>
      </c>
      <c r="AB344" s="31" t="str">
        <f t="shared" si="74"/>
        <v>Lettere Da grave sventura</v>
      </c>
      <c r="AC344" s="31" t="str">
        <f t="shared" si="75"/>
        <v>Leone XIII, Lettere Da grave sventura, 27 agosto 1878</v>
      </c>
      <c r="AD344" s="31" t="str">
        <f t="shared" si="76"/>
        <v>1878-08-27T08:00:00.000+02:00</v>
      </c>
      <c r="AE344" s="31" t="str">
        <f t="shared" si="77"/>
        <v>lxiii-let-dgs</v>
      </c>
      <c r="AF344" s="31" t="str">
        <f t="shared" si="78"/>
        <v>Leone XIII - Lettere - Da grave sventura</v>
      </c>
    </row>
    <row r="345" spans="2:32" s="31" customFormat="1" x14ac:dyDescent="0.2">
      <c r="B345" s="31">
        <v>256</v>
      </c>
      <c r="C345" s="31" t="s">
        <v>2064</v>
      </c>
      <c r="D345" s="31" t="s">
        <v>723</v>
      </c>
      <c r="E345" s="31" t="s">
        <v>707</v>
      </c>
      <c r="F345" s="31" t="s">
        <v>667</v>
      </c>
      <c r="G345" s="31" t="s">
        <v>666</v>
      </c>
      <c r="H345" s="31" t="str">
        <f t="shared" si="79"/>
        <v>Leone XIII</v>
      </c>
      <c r="I345" s="31" t="s">
        <v>603</v>
      </c>
      <c r="J345" s="31" t="s">
        <v>829</v>
      </c>
      <c r="K345" s="31" t="s">
        <v>694</v>
      </c>
      <c r="L345" s="31" t="str">
        <f t="shared" si="69"/>
        <v>Lettera Enciclica</v>
      </c>
      <c r="M345" s="31" t="s">
        <v>579</v>
      </c>
      <c r="O345" s="31" t="s">
        <v>198</v>
      </c>
      <c r="P345" s="31" t="s">
        <v>1043</v>
      </c>
      <c r="Q345" s="31" t="s">
        <v>2065</v>
      </c>
      <c r="R345" s="35" t="str">
        <f t="shared" si="67"/>
        <v>20</v>
      </c>
      <c r="S345" s="35"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5">
        <f t="shared" si="70"/>
        <v>1888</v>
      </c>
      <c r="U345" s="31"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6"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31"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31">
        <v>344</v>
      </c>
      <c r="Y345" s="31" t="str">
        <f t="shared" si="71"/>
        <v>['Leone XIII', 'Enciclica', 'Libertas', 'lxiii-enc-lib', '20 giugno 1888', '20/06/1888', '1888/06/20'],</v>
      </c>
      <c r="Z345" s="31" t="str">
        <f t="shared" si="72"/>
        <v>Libertas (20 giugno 1888) | Leone XIII</v>
      </c>
      <c r="AA345" s="31" t="str">
        <f t="shared" si="73"/>
        <v>Enciclica Libertas</v>
      </c>
      <c r="AB345" s="31" t="str">
        <f t="shared" si="74"/>
        <v>Enciclica Libertas</v>
      </c>
      <c r="AC345" s="31" t="str">
        <f t="shared" si="75"/>
        <v>Leone XIII, Lettera Enciclica Libertas, 20 giugno 1888</v>
      </c>
      <c r="AD345" s="31" t="str">
        <f t="shared" si="76"/>
        <v>1888-06-20T08:00:00.000+02:00</v>
      </c>
      <c r="AE345" s="31" t="str">
        <f t="shared" si="77"/>
        <v>lxiii-enc-lib</v>
      </c>
      <c r="AF345" s="31" t="str">
        <f t="shared" si="78"/>
        <v>Leone XIII - Lettera Enciclica - Libertas</v>
      </c>
    </row>
    <row r="346" spans="2:32" s="31" customFormat="1" x14ac:dyDescent="0.2">
      <c r="B346" s="31">
        <v>256</v>
      </c>
      <c r="C346" s="31" t="s">
        <v>2062</v>
      </c>
      <c r="D346" s="31" t="s">
        <v>723</v>
      </c>
      <c r="E346" s="31" t="s">
        <v>707</v>
      </c>
      <c r="F346" s="31" t="s">
        <v>667</v>
      </c>
      <c r="G346" s="31" t="s">
        <v>666</v>
      </c>
      <c r="H346" s="31" t="str">
        <f t="shared" si="79"/>
        <v>Leone XIII</v>
      </c>
      <c r="I346" s="31" t="s">
        <v>603</v>
      </c>
      <c r="J346" s="31" t="s">
        <v>829</v>
      </c>
      <c r="K346" s="31" t="s">
        <v>694</v>
      </c>
      <c r="L346" s="31" t="str">
        <f t="shared" si="69"/>
        <v>Lettera Enciclica</v>
      </c>
      <c r="M346" s="31" t="s">
        <v>579</v>
      </c>
      <c r="O346" s="31" t="s">
        <v>197</v>
      </c>
      <c r="P346" s="31" t="s">
        <v>629</v>
      </c>
      <c r="Q346" s="31" t="s">
        <v>2063</v>
      </c>
      <c r="R346" s="35" t="str">
        <f t="shared" si="67"/>
        <v>05</v>
      </c>
      <c r="S346" s="35"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5">
        <f t="shared" si="70"/>
        <v>1888</v>
      </c>
      <c r="U346" s="31"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6"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31"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31">
        <v>345</v>
      </c>
      <c r="Y346" s="31" t="str">
        <f t="shared" si="71"/>
        <v>['Leone XIII', 'Enciclica', 'In Plurimis', 'lxiii-enc-inp', '05 maggio 1888', '05/05/1888', '1888/05/05'],</v>
      </c>
      <c r="Z346" s="31" t="str">
        <f t="shared" si="72"/>
        <v>In Plurimis (5 maggio 1888) | Leone XIII</v>
      </c>
      <c r="AA346" s="31" t="str">
        <f t="shared" si="73"/>
        <v>Enciclica In Plurimis</v>
      </c>
      <c r="AB346" s="31" t="str">
        <f t="shared" si="74"/>
        <v>Enciclica In Plurimis</v>
      </c>
      <c r="AC346" s="31" t="str">
        <f t="shared" si="75"/>
        <v>Leone XIII, Lettera Enciclica In Plurimis, 05 maggio 1888</v>
      </c>
      <c r="AD346" s="31" t="str">
        <f t="shared" si="76"/>
        <v>1888-05-05T08:00:00.000+02:00</v>
      </c>
      <c r="AE346" s="31" t="str">
        <f t="shared" si="77"/>
        <v>lxiii-enc-inp</v>
      </c>
      <c r="AF346" s="31" t="str">
        <f t="shared" si="78"/>
        <v>Leone XIII - Lettera Enciclica - In Plurimis</v>
      </c>
    </row>
    <row r="347" spans="2:32" s="31" customFormat="1" x14ac:dyDescent="0.2">
      <c r="B347" s="31">
        <v>256</v>
      </c>
      <c r="C347" s="31" t="s">
        <v>2061</v>
      </c>
      <c r="D347" s="31" t="s">
        <v>723</v>
      </c>
      <c r="E347" s="31" t="s">
        <v>707</v>
      </c>
      <c r="F347" s="31" t="s">
        <v>667</v>
      </c>
      <c r="G347" s="31" t="s">
        <v>666</v>
      </c>
      <c r="H347" s="31" t="str">
        <f t="shared" si="79"/>
        <v>Leone XIII</v>
      </c>
      <c r="I347" s="31" t="s">
        <v>603</v>
      </c>
      <c r="J347" s="31" t="s">
        <v>829</v>
      </c>
      <c r="K347" s="31" t="s">
        <v>694</v>
      </c>
      <c r="L347" s="31" t="str">
        <f t="shared" si="69"/>
        <v>Lettera Enciclica</v>
      </c>
      <c r="M347" s="31" t="s">
        <v>579</v>
      </c>
      <c r="O347" s="31" t="s">
        <v>196</v>
      </c>
      <c r="P347" s="31" t="s">
        <v>1689</v>
      </c>
      <c r="Q347" s="31" t="s">
        <v>2271</v>
      </c>
      <c r="R347" s="35" t="str">
        <f t="shared" si="67"/>
        <v>01</v>
      </c>
      <c r="S347" s="35"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5">
        <f t="shared" si="70"/>
        <v>1888</v>
      </c>
      <c r="U347" s="31"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6"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31"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31">
        <v>346</v>
      </c>
      <c r="Y347" s="31" t="str">
        <f t="shared" si="71"/>
        <v>['Leone XIII', 'Enciclica', 'Quod Anniversarius', 'lxiii-enc-qan', '01 aprile 1888', '01/04/1888', '1888/04/01'],</v>
      </c>
      <c r="Z347" s="31" t="str">
        <f t="shared" si="72"/>
        <v>Quod Anniversarius (1 aprile 1888) | Leone XIII</v>
      </c>
      <c r="AA347" s="31" t="str">
        <f t="shared" si="73"/>
        <v>Enciclica Quod Anniversarius</v>
      </c>
      <c r="AB347" s="31" t="str">
        <f t="shared" si="74"/>
        <v>Enciclica Quod Anniversarius</v>
      </c>
      <c r="AC347" s="31" t="str">
        <f t="shared" si="75"/>
        <v>Leone XIII, Lettera Enciclica Quod Anniversarius, 01 aprile 1888</v>
      </c>
      <c r="AD347" s="31" t="str">
        <f t="shared" si="76"/>
        <v>1888-04-01T08:00:00.000+02:00</v>
      </c>
      <c r="AE347" s="31" t="str">
        <f t="shared" si="77"/>
        <v>lxiii-enc-qan</v>
      </c>
      <c r="AF347" s="31" t="str">
        <f t="shared" si="78"/>
        <v>Leone XIII - Lettera Enciclica - Quod Anniversarius</v>
      </c>
    </row>
    <row r="348" spans="2:32" s="31" customFormat="1" x14ac:dyDescent="0.2">
      <c r="B348" s="31">
        <v>256</v>
      </c>
      <c r="C348" s="31" t="s">
        <v>2059</v>
      </c>
      <c r="D348" s="31" t="s">
        <v>723</v>
      </c>
      <c r="E348" s="31" t="s">
        <v>707</v>
      </c>
      <c r="F348" s="31" t="s">
        <v>667</v>
      </c>
      <c r="G348" s="31" t="s">
        <v>666</v>
      </c>
      <c r="H348" s="31" t="str">
        <f t="shared" si="79"/>
        <v>Leone XIII</v>
      </c>
      <c r="I348" s="31" t="s">
        <v>603</v>
      </c>
      <c r="J348" s="31" t="s">
        <v>829</v>
      </c>
      <c r="K348" s="31" t="s">
        <v>694</v>
      </c>
      <c r="L348" s="31" t="str">
        <f t="shared" si="69"/>
        <v>Lettera Enciclica</v>
      </c>
      <c r="M348" s="31" t="s">
        <v>579</v>
      </c>
      <c r="O348" s="31" t="s">
        <v>195</v>
      </c>
      <c r="P348" s="31" t="s">
        <v>1042</v>
      </c>
      <c r="Q348" s="31" t="s">
        <v>2060</v>
      </c>
      <c r="R348" s="35" t="str">
        <f t="shared" si="67"/>
        <v>22</v>
      </c>
      <c r="S348" s="35"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5">
        <f t="shared" si="70"/>
        <v>1887</v>
      </c>
      <c r="U348" s="31"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6"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31"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31">
        <v>347</v>
      </c>
      <c r="Y348" s="31" t="str">
        <f t="shared" si="71"/>
        <v>['Leone XIII', 'Enciclica', 'Officio Sanctissimo', 'lxiii-enc-ofs', '22 dicembre 1887', '22/12/1887', '1887/12/22'],</v>
      </c>
      <c r="Z348" s="31" t="str">
        <f t="shared" si="72"/>
        <v>Officio Sanctissimo (22 dicembre 1887) | Leone XIII</v>
      </c>
      <c r="AA348" s="31" t="str">
        <f t="shared" si="73"/>
        <v>Enciclica Officio Sanctissimo</v>
      </c>
      <c r="AB348" s="31" t="str">
        <f t="shared" si="74"/>
        <v>Enciclica Officio Sanctissimo</v>
      </c>
      <c r="AC348" s="31" t="str">
        <f t="shared" si="75"/>
        <v>Leone XIII, Lettera Enciclica Officio Sanctissimo, 22 dicembre 1887</v>
      </c>
      <c r="AD348" s="31" t="str">
        <f t="shared" si="76"/>
        <v>1887-12-22T08:00:00.000+02:00</v>
      </c>
      <c r="AE348" s="31" t="str">
        <f t="shared" si="77"/>
        <v>lxiii-enc-ofs</v>
      </c>
      <c r="AF348" s="31" t="str">
        <f t="shared" si="78"/>
        <v>Leone XIII - Lettera Enciclica - Officio Sanctissimo</v>
      </c>
    </row>
    <row r="349" spans="2:32" s="31" customFormat="1" x14ac:dyDescent="0.2">
      <c r="B349" s="31">
        <v>256</v>
      </c>
      <c r="C349" s="31" t="s">
        <v>2056</v>
      </c>
      <c r="D349" s="31" t="s">
        <v>723</v>
      </c>
      <c r="E349" s="31" t="s">
        <v>707</v>
      </c>
      <c r="F349" s="31" t="s">
        <v>667</v>
      </c>
      <c r="G349" s="31" t="s">
        <v>666</v>
      </c>
      <c r="H349" s="31" t="str">
        <f t="shared" si="79"/>
        <v>Leone XIII</v>
      </c>
      <c r="I349" s="31" t="s">
        <v>603</v>
      </c>
      <c r="J349" s="31" t="s">
        <v>829</v>
      </c>
      <c r="K349" s="31" t="s">
        <v>694</v>
      </c>
      <c r="L349" s="31" t="str">
        <f t="shared" si="69"/>
        <v>Lettera Enciclica</v>
      </c>
      <c r="M349" s="31" t="s">
        <v>579</v>
      </c>
      <c r="O349" s="31" t="s">
        <v>2058</v>
      </c>
      <c r="P349" s="31" t="s">
        <v>1041</v>
      </c>
      <c r="Q349" s="31" t="s">
        <v>2057</v>
      </c>
      <c r="R349" s="35" t="str">
        <f t="shared" si="67"/>
        <v>20</v>
      </c>
      <c r="S349" s="35"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5">
        <f t="shared" si="70"/>
        <v>1887</v>
      </c>
      <c r="U349" s="31"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6"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31"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31">
        <v>348</v>
      </c>
      <c r="Y349" s="31" t="str">
        <f t="shared" si="71"/>
        <v>['Leone XIII', 'Enciclica', 'Vi è ben noto', 'lxiii-enc-vbn', '20 settembre 1887', '20/09/1887', '1887/09/20'],</v>
      </c>
      <c r="Z349" s="31" t="str">
        <f t="shared" si="72"/>
        <v>Vi è ben noto (20 settembre 1887) | Leone XIII</v>
      </c>
      <c r="AA349" s="31" t="str">
        <f t="shared" si="73"/>
        <v>Enciclica Vi è ben noto</v>
      </c>
      <c r="AB349" s="31" t="str">
        <f t="shared" si="74"/>
        <v>Enciclica Vi è ben noto</v>
      </c>
      <c r="AC349" s="31" t="str">
        <f t="shared" si="75"/>
        <v>Leone XIII, Lettera Enciclica Vi è ben noto, 20 settembre 1887</v>
      </c>
      <c r="AD349" s="31" t="str">
        <f t="shared" si="76"/>
        <v>1887-09-20T08:00:00.000+02:00</v>
      </c>
      <c r="AE349" s="31" t="str">
        <f t="shared" si="77"/>
        <v>lxiii-enc-vbn</v>
      </c>
      <c r="AF349" s="31" t="str">
        <f t="shared" si="78"/>
        <v>Leone XIII - Lettera Enciclica - Vi è ben noto</v>
      </c>
    </row>
    <row r="350" spans="2:32" s="31" customFormat="1" x14ac:dyDescent="0.2">
      <c r="B350" s="31">
        <v>256</v>
      </c>
      <c r="C350" s="31" t="s">
        <v>2054</v>
      </c>
      <c r="D350" s="31" t="s">
        <v>723</v>
      </c>
      <c r="E350" s="31" t="s">
        <v>707</v>
      </c>
      <c r="F350" s="31" t="s">
        <v>667</v>
      </c>
      <c r="G350" s="31" t="s">
        <v>666</v>
      </c>
      <c r="H350" s="31" t="str">
        <f t="shared" si="79"/>
        <v>Leone XIII</v>
      </c>
      <c r="I350" s="31" t="s">
        <v>603</v>
      </c>
      <c r="J350" s="31" t="s">
        <v>829</v>
      </c>
      <c r="K350" s="31" t="s">
        <v>694</v>
      </c>
      <c r="L350" s="31" t="str">
        <f t="shared" si="69"/>
        <v>Lettera Enciclica</v>
      </c>
      <c r="M350" s="31" t="s">
        <v>579</v>
      </c>
      <c r="O350" s="31" t="s">
        <v>193</v>
      </c>
      <c r="P350" s="31" t="s">
        <v>1040</v>
      </c>
      <c r="Q350" s="31" t="s">
        <v>2055</v>
      </c>
      <c r="R350" s="35" t="str">
        <f t="shared" si="67"/>
        <v>14</v>
      </c>
      <c r="S350" s="35"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5">
        <f t="shared" si="70"/>
        <v>1886</v>
      </c>
      <c r="U350" s="31"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6"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31"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31">
        <v>349</v>
      </c>
      <c r="Y350" s="31" t="str">
        <f t="shared" si="71"/>
        <v>['Leone XIII', 'Enciclica', 'Pergrata Nobis', 'lxiii-enc-pen', '14 settembre 1886', '14/09/1886', '1886/09/14'],</v>
      </c>
      <c r="Z350" s="31" t="str">
        <f t="shared" si="72"/>
        <v>Pergrata Nobis (14 settembre 1886) | Leone XIII</v>
      </c>
      <c r="AA350" s="31" t="str">
        <f t="shared" si="73"/>
        <v>Enciclica Pergrata Nobis</v>
      </c>
      <c r="AB350" s="31" t="str">
        <f t="shared" si="74"/>
        <v>Enciclica Pergrata Nobis</v>
      </c>
      <c r="AC350" s="31" t="str">
        <f t="shared" si="75"/>
        <v>Leone XIII, Lettera Enciclica Pergrata Nobis, 14 settembre 1886</v>
      </c>
      <c r="AD350" s="31" t="str">
        <f t="shared" si="76"/>
        <v>1886-09-14T08:00:00.000+02:00</v>
      </c>
      <c r="AE350" s="31" t="str">
        <f t="shared" si="77"/>
        <v>lxiii-enc-pen</v>
      </c>
      <c r="AF350" s="31" t="str">
        <f t="shared" si="78"/>
        <v>Leone XIII - Lettera Enciclica - Pergrata Nobis</v>
      </c>
    </row>
    <row r="351" spans="2:32" s="31" customFormat="1" x14ac:dyDescent="0.2">
      <c r="B351" s="31">
        <v>256</v>
      </c>
      <c r="C351" s="31" t="s">
        <v>2052</v>
      </c>
      <c r="D351" s="31" t="s">
        <v>723</v>
      </c>
      <c r="E351" s="31" t="s">
        <v>707</v>
      </c>
      <c r="F351" s="31" t="s">
        <v>667</v>
      </c>
      <c r="G351" s="31" t="s">
        <v>666</v>
      </c>
      <c r="H351" s="31" t="str">
        <f t="shared" si="79"/>
        <v>Leone XIII</v>
      </c>
      <c r="I351" s="31" t="s">
        <v>603</v>
      </c>
      <c r="J351" s="31" t="s">
        <v>829</v>
      </c>
      <c r="K351" s="31" t="s">
        <v>694</v>
      </c>
      <c r="L351" s="31" t="str">
        <f t="shared" si="69"/>
        <v>Lettera Enciclica</v>
      </c>
      <c r="M351" s="31" t="s">
        <v>579</v>
      </c>
      <c r="O351" s="31" t="s">
        <v>192</v>
      </c>
      <c r="P351" s="31" t="s">
        <v>1039</v>
      </c>
      <c r="Q351" s="31" t="s">
        <v>2053</v>
      </c>
      <c r="R351" s="35" t="str">
        <f t="shared" si="67"/>
        <v>22</v>
      </c>
      <c r="S351" s="35"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5">
        <f t="shared" si="70"/>
        <v>1886</v>
      </c>
      <c r="U351" s="31"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6"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31"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31">
        <v>350</v>
      </c>
      <c r="Y351" s="31" t="str">
        <f t="shared" si="71"/>
        <v>['Leone XIII', 'Enciclica', 'Quod Multum', 'lxiii-enc-qum', '22 agosto 1886', '22/08/1886', '1886/08/22'],</v>
      </c>
      <c r="Z351" s="31" t="str">
        <f t="shared" si="72"/>
        <v>Quod Multum (22 agosto 1886) | Leone XIII</v>
      </c>
      <c r="AA351" s="31" t="str">
        <f t="shared" si="73"/>
        <v>Enciclica Quod Multum</v>
      </c>
      <c r="AB351" s="31" t="str">
        <f t="shared" si="74"/>
        <v>Enciclica Quod Multum</v>
      </c>
      <c r="AC351" s="31" t="str">
        <f t="shared" si="75"/>
        <v>Leone XIII, Lettera Enciclica Quod Multum, 22 agosto 1886</v>
      </c>
      <c r="AD351" s="31" t="str">
        <f t="shared" si="76"/>
        <v>1886-08-22T08:00:00.000+02:00</v>
      </c>
      <c r="AE351" s="31" t="str">
        <f t="shared" si="77"/>
        <v>lxiii-enc-qum</v>
      </c>
      <c r="AF351" s="31" t="str">
        <f t="shared" si="78"/>
        <v>Leone XIII - Lettera Enciclica - Quod Multum</v>
      </c>
    </row>
    <row r="352" spans="2:32" s="31" customFormat="1" x14ac:dyDescent="0.2">
      <c r="B352" s="31">
        <v>256</v>
      </c>
      <c r="C352" s="31" t="s">
        <v>2050</v>
      </c>
      <c r="D352" s="31" t="s">
        <v>723</v>
      </c>
      <c r="E352" s="31" t="s">
        <v>707</v>
      </c>
      <c r="F352" s="31" t="s">
        <v>667</v>
      </c>
      <c r="G352" s="31" t="s">
        <v>666</v>
      </c>
      <c r="H352" s="31" t="str">
        <f t="shared" si="79"/>
        <v>Leone XIII</v>
      </c>
      <c r="I352" s="31" t="s">
        <v>603</v>
      </c>
      <c r="J352" s="31" t="s">
        <v>829</v>
      </c>
      <c r="K352" s="31" t="s">
        <v>694</v>
      </c>
      <c r="L352" s="31" t="str">
        <f t="shared" si="69"/>
        <v>Lettera Enciclica</v>
      </c>
      <c r="M352" s="31" t="s">
        <v>579</v>
      </c>
      <c r="O352" s="31" t="s">
        <v>191</v>
      </c>
      <c r="P352" s="31" t="s">
        <v>1038</v>
      </c>
      <c r="Q352" s="31" t="s">
        <v>2051</v>
      </c>
      <c r="R352" s="35" t="str">
        <f t="shared" si="67"/>
        <v>06</v>
      </c>
      <c r="S352" s="35"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5">
        <f t="shared" si="70"/>
        <v>1886</v>
      </c>
      <c r="U352" s="31"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6"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31"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31">
        <v>351</v>
      </c>
      <c r="Y352" s="31" t="str">
        <f t="shared" si="71"/>
        <v>['Leone XIII', 'Enciclica', 'Iampridem', 'lxiii-enc-iam', '06 gennaio 1886', '06/01/1886', '1886/01/06'],</v>
      </c>
      <c r="Z352" s="31" t="str">
        <f t="shared" si="72"/>
        <v>Iampridem (6 gennaio 1886) | Leone XIII</v>
      </c>
      <c r="AA352" s="31" t="str">
        <f t="shared" si="73"/>
        <v>Enciclica Iampridem</v>
      </c>
      <c r="AB352" s="31" t="str">
        <f t="shared" si="74"/>
        <v>Enciclica Iampridem</v>
      </c>
      <c r="AC352" s="31" t="str">
        <f t="shared" si="75"/>
        <v>Leone XIII, Lettera Enciclica Iampridem, 06 gennaio 1886</v>
      </c>
      <c r="AD352" s="31" t="str">
        <f t="shared" si="76"/>
        <v>1886-01-06T08:00:00.000+02:00</v>
      </c>
      <c r="AE352" s="31" t="str">
        <f t="shared" si="77"/>
        <v>lxiii-enc-iam</v>
      </c>
      <c r="AF352" s="31" t="str">
        <f t="shared" si="78"/>
        <v>Leone XIII - Lettera Enciclica - Iampridem</v>
      </c>
    </row>
    <row r="353" spans="2:32" s="31" customFormat="1" x14ac:dyDescent="0.2">
      <c r="B353" s="31">
        <v>256</v>
      </c>
      <c r="C353" s="31" t="s">
        <v>2048</v>
      </c>
      <c r="D353" s="31" t="s">
        <v>723</v>
      </c>
      <c r="E353" s="31" t="s">
        <v>707</v>
      </c>
      <c r="F353" s="31" t="s">
        <v>667</v>
      </c>
      <c r="G353" s="31" t="s">
        <v>666</v>
      </c>
      <c r="H353" s="31" t="str">
        <f t="shared" si="79"/>
        <v>Leone XIII</v>
      </c>
      <c r="I353" s="31" t="s">
        <v>603</v>
      </c>
      <c r="J353" s="31" t="s">
        <v>829</v>
      </c>
      <c r="K353" s="31" t="s">
        <v>694</v>
      </c>
      <c r="L353" s="31" t="str">
        <f t="shared" si="69"/>
        <v>Lettera Enciclica</v>
      </c>
      <c r="M353" s="31" t="s">
        <v>579</v>
      </c>
      <c r="O353" s="31" t="s">
        <v>190</v>
      </c>
      <c r="P353" s="31" t="s">
        <v>1037</v>
      </c>
      <c r="Q353" s="31" t="s">
        <v>2049</v>
      </c>
      <c r="R353" s="35" t="str">
        <f t="shared" si="67"/>
        <v>22</v>
      </c>
      <c r="S353" s="35"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5">
        <f t="shared" si="70"/>
        <v>1885</v>
      </c>
      <c r="U353" s="31"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6"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31"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31">
        <v>352</v>
      </c>
      <c r="Y353" s="31" t="str">
        <f t="shared" si="71"/>
        <v>['Leone XIII', 'Enciclica', 'Quod Auctoritate', 'lxiii-enc-qua', '22 dicembre 1885', '22/12/1885', '1885/12/22'],</v>
      </c>
      <c r="Z353" s="31" t="str">
        <f t="shared" si="72"/>
        <v>Quod Auctoritate (22 dicembre 1885) | Leone XIII</v>
      </c>
      <c r="AA353" s="31" t="str">
        <f t="shared" si="73"/>
        <v>Enciclica Quod Auctoritate</v>
      </c>
      <c r="AB353" s="31" t="str">
        <f t="shared" si="74"/>
        <v>Enciclica Quod Auctoritate</v>
      </c>
      <c r="AC353" s="31" t="str">
        <f t="shared" si="75"/>
        <v>Leone XIII, Lettera Enciclica Quod Auctoritate, 22 dicembre 1885</v>
      </c>
      <c r="AD353" s="31" t="str">
        <f t="shared" si="76"/>
        <v>1885-12-22T08:00:00.000+02:00</v>
      </c>
      <c r="AE353" s="31" t="str">
        <f t="shared" si="77"/>
        <v>lxiii-enc-qua</v>
      </c>
      <c r="AF353" s="31" t="str">
        <f t="shared" si="78"/>
        <v>Leone XIII - Lettera Enciclica - Quod Auctoritate</v>
      </c>
    </row>
    <row r="354" spans="2:32" s="31" customFormat="1" x14ac:dyDescent="0.2">
      <c r="B354" s="31">
        <v>256</v>
      </c>
      <c r="C354" s="31" t="s">
        <v>2046</v>
      </c>
      <c r="D354" s="31" t="s">
        <v>723</v>
      </c>
      <c r="E354" s="31" t="s">
        <v>707</v>
      </c>
      <c r="F354" s="31" t="s">
        <v>667</v>
      </c>
      <c r="G354" s="31" t="s">
        <v>666</v>
      </c>
      <c r="H354" s="31" t="str">
        <f t="shared" si="79"/>
        <v>Leone XIII</v>
      </c>
      <c r="I354" s="31" t="s">
        <v>603</v>
      </c>
      <c r="J354" s="31" t="s">
        <v>829</v>
      </c>
      <c r="K354" s="31" t="s">
        <v>694</v>
      </c>
      <c r="L354" s="31" t="str">
        <f t="shared" si="69"/>
        <v>Lettera Enciclica</v>
      </c>
      <c r="M354" s="31" t="s">
        <v>579</v>
      </c>
      <c r="O354" s="31" t="s">
        <v>189</v>
      </c>
      <c r="P354" s="31" t="s">
        <v>1036</v>
      </c>
      <c r="Q354" s="31" t="s">
        <v>2047</v>
      </c>
      <c r="R354" s="35" t="str">
        <f t="shared" si="67"/>
        <v>27</v>
      </c>
      <c r="S354" s="35"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5">
        <f t="shared" si="70"/>
        <v>1885</v>
      </c>
      <c r="U354" s="31"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6"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31"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31">
        <v>353</v>
      </c>
      <c r="Y354" s="31" t="str">
        <f t="shared" si="71"/>
        <v>['Leone XIII', 'Enciclica', 'Spectata Fides', 'lxiii-enc-spf', '27 novembre 1885', '27/11/1885', '1885/11/27'],</v>
      </c>
      <c r="Z354" s="31" t="str">
        <f t="shared" si="72"/>
        <v>Spectata Fides (27 novembre 1885) | Leone XIII</v>
      </c>
      <c r="AA354" s="31" t="str">
        <f t="shared" si="73"/>
        <v>Enciclica Spectata Fides</v>
      </c>
      <c r="AB354" s="31" t="str">
        <f t="shared" si="74"/>
        <v>Enciclica Spectata Fides</v>
      </c>
      <c r="AC354" s="31" t="str">
        <f t="shared" si="75"/>
        <v>Leone XIII, Lettera Enciclica Spectata Fides, 27 novembre 1885</v>
      </c>
      <c r="AD354" s="31" t="str">
        <f t="shared" si="76"/>
        <v>1885-11-27T08:00:00.000+02:00</v>
      </c>
      <c r="AE354" s="31" t="str">
        <f t="shared" si="77"/>
        <v>lxiii-enc-spf</v>
      </c>
      <c r="AF354" s="31" t="str">
        <f t="shared" si="78"/>
        <v>Leone XIII - Lettera Enciclica - Spectata Fides</v>
      </c>
    </row>
    <row r="355" spans="2:32" s="31" customFormat="1" x14ac:dyDescent="0.2">
      <c r="B355" s="31">
        <v>256</v>
      </c>
      <c r="C355" s="31" t="s">
        <v>2045</v>
      </c>
      <c r="D355" s="31" t="s">
        <v>723</v>
      </c>
      <c r="E355" s="31" t="s">
        <v>707</v>
      </c>
      <c r="F355" s="31" t="s">
        <v>667</v>
      </c>
      <c r="G355" s="31" t="s">
        <v>666</v>
      </c>
      <c r="H355" s="31" t="str">
        <f t="shared" si="79"/>
        <v>Leone XIII</v>
      </c>
      <c r="I355" s="31" t="s">
        <v>603</v>
      </c>
      <c r="J355" s="31" t="s">
        <v>829</v>
      </c>
      <c r="K355" s="31" t="s">
        <v>694</v>
      </c>
      <c r="L355" s="31" t="str">
        <f t="shared" si="69"/>
        <v>Lettera Enciclica</v>
      </c>
      <c r="M355" s="31" t="s">
        <v>579</v>
      </c>
      <c r="O355" s="31" t="s">
        <v>188</v>
      </c>
      <c r="P355" s="31" t="s">
        <v>1035</v>
      </c>
      <c r="Q355" s="31" t="s">
        <v>2272</v>
      </c>
      <c r="R355" s="35" t="str">
        <f t="shared" si="67"/>
        <v>01</v>
      </c>
      <c r="S355" s="35"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5">
        <f t="shared" si="70"/>
        <v>1885</v>
      </c>
      <c r="U355" s="31"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6"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31"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31">
        <v>354</v>
      </c>
      <c r="Y355" s="31" t="str">
        <f t="shared" si="71"/>
        <v>['Leone XIII', 'Enciclica', 'Immortale Dei', 'lxiii-enc-imd', '01 novembre 1885', '01/11/1885', '1885/11/01'],</v>
      </c>
      <c r="Z355" s="31" t="str">
        <f t="shared" si="72"/>
        <v>Immortale Dei (1 novembre 1885) | Leone XIII</v>
      </c>
      <c r="AA355" s="31" t="str">
        <f t="shared" si="73"/>
        <v>Enciclica Immortale Dei</v>
      </c>
      <c r="AB355" s="31" t="str">
        <f t="shared" si="74"/>
        <v>Enciclica Immortale Dei</v>
      </c>
      <c r="AC355" s="31" t="str">
        <f t="shared" si="75"/>
        <v>Leone XIII, Lettera Enciclica Immortale Dei, 01 novembre 1885</v>
      </c>
      <c r="AD355" s="31" t="str">
        <f t="shared" si="76"/>
        <v>1885-11-01T08:00:00.000+02:00</v>
      </c>
      <c r="AE355" s="31" t="str">
        <f t="shared" si="77"/>
        <v>lxiii-enc-imd</v>
      </c>
      <c r="AF355" s="31" t="str">
        <f t="shared" si="78"/>
        <v>Leone XIII - Lettera Enciclica - Immortale Dei</v>
      </c>
    </row>
    <row r="356" spans="2:32" s="31" customFormat="1" x14ac:dyDescent="0.2">
      <c r="B356" s="31">
        <v>256</v>
      </c>
      <c r="C356" s="31" t="s">
        <v>2043</v>
      </c>
      <c r="D356" s="31" t="s">
        <v>723</v>
      </c>
      <c r="E356" s="31" t="s">
        <v>707</v>
      </c>
      <c r="F356" s="31" t="s">
        <v>667</v>
      </c>
      <c r="G356" s="31" t="s">
        <v>666</v>
      </c>
      <c r="H356" s="31" t="str">
        <f t="shared" si="79"/>
        <v>Leone XIII</v>
      </c>
      <c r="I356" s="31" t="s">
        <v>603</v>
      </c>
      <c r="J356" s="31" t="s">
        <v>829</v>
      </c>
      <c r="K356" s="31" t="s">
        <v>694</v>
      </c>
      <c r="L356" s="31" t="str">
        <f t="shared" si="69"/>
        <v>Lettera Enciclica</v>
      </c>
      <c r="M356" s="31" t="s">
        <v>579</v>
      </c>
      <c r="O356" s="31" t="s">
        <v>187</v>
      </c>
      <c r="P356" s="31" t="s">
        <v>1034</v>
      </c>
      <c r="Q356" s="31" t="s">
        <v>2044</v>
      </c>
      <c r="R356" s="35" t="str">
        <f t="shared" si="67"/>
        <v>30</v>
      </c>
      <c r="S356" s="35"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5">
        <f t="shared" si="70"/>
        <v>1884</v>
      </c>
      <c r="U356" s="31"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6"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31"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31">
        <v>355</v>
      </c>
      <c r="Y356" s="31" t="str">
        <f t="shared" si="71"/>
        <v>['Leone XIII', 'Enciclica', 'Superiore Anno', 'lxiii-enc-sua', '30 agosto 1884', '30/08/1884', '1884/08/30'],</v>
      </c>
      <c r="Z356" s="31" t="str">
        <f t="shared" si="72"/>
        <v>Superiore Anno (30 agosto 1884) | Leone XIII</v>
      </c>
      <c r="AA356" s="31" t="str">
        <f t="shared" si="73"/>
        <v>Enciclica Superiore Anno</v>
      </c>
      <c r="AB356" s="31" t="str">
        <f t="shared" si="74"/>
        <v>Enciclica Superiore Anno</v>
      </c>
      <c r="AC356" s="31" t="str">
        <f t="shared" si="75"/>
        <v>Leone XIII, Lettera Enciclica Superiore Anno, 30 agosto 1884</v>
      </c>
      <c r="AD356" s="31" t="str">
        <f t="shared" si="76"/>
        <v>1884-08-30T08:00:00.000+02:00</v>
      </c>
      <c r="AE356" s="31" t="str">
        <f t="shared" si="77"/>
        <v>lxiii-enc-sua</v>
      </c>
      <c r="AF356" s="31" t="str">
        <f t="shared" si="78"/>
        <v>Leone XIII - Lettera Enciclica - Superiore Anno</v>
      </c>
    </row>
    <row r="357" spans="2:32" s="31" customFormat="1" x14ac:dyDescent="0.2">
      <c r="B357" s="31">
        <v>256</v>
      </c>
      <c r="C357" s="31" t="s">
        <v>2041</v>
      </c>
      <c r="D357" s="31" t="s">
        <v>723</v>
      </c>
      <c r="E357" s="31" t="s">
        <v>707</v>
      </c>
      <c r="F357" s="31" t="s">
        <v>667</v>
      </c>
      <c r="G357" s="31" t="s">
        <v>666</v>
      </c>
      <c r="H357" s="31" t="str">
        <f t="shared" si="79"/>
        <v>Leone XIII</v>
      </c>
      <c r="I357" s="31" t="s">
        <v>603</v>
      </c>
      <c r="J357" s="31" t="s">
        <v>829</v>
      </c>
      <c r="K357" s="31" t="s">
        <v>694</v>
      </c>
      <c r="L357" s="31" t="str">
        <f t="shared" si="69"/>
        <v>Lettera Enciclica</v>
      </c>
      <c r="M357" s="31" t="s">
        <v>579</v>
      </c>
      <c r="O357" s="31" t="s">
        <v>186</v>
      </c>
      <c r="P357" s="31" t="s">
        <v>1033</v>
      </c>
      <c r="Q357" s="31" t="s">
        <v>2042</v>
      </c>
      <c r="R357" s="35" t="str">
        <f t="shared" si="67"/>
        <v>20</v>
      </c>
      <c r="S357" s="35"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5">
        <f t="shared" si="70"/>
        <v>1884</v>
      </c>
      <c r="U357" s="31"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6"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31"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31">
        <v>356</v>
      </c>
      <c r="Y357" s="31" t="str">
        <f t="shared" si="71"/>
        <v>['Leone XIII', 'Enciclica', 'Humanum Genus', 'lxiii-enc-hug', '20 aprile 1884', '20/04/1884', '1884/04/20'],</v>
      </c>
      <c r="Z357" s="31" t="str">
        <f t="shared" si="72"/>
        <v>Humanum Genus (20 aprile 1884) | Leone XIII</v>
      </c>
      <c r="AA357" s="31" t="str">
        <f t="shared" si="73"/>
        <v>Enciclica Humanum Genus</v>
      </c>
      <c r="AB357" s="31" t="str">
        <f t="shared" si="74"/>
        <v>Enciclica Humanum Genus</v>
      </c>
      <c r="AC357" s="31" t="str">
        <f t="shared" si="75"/>
        <v>Leone XIII, Lettera Enciclica Humanum Genus, 20 aprile 1884</v>
      </c>
      <c r="AD357" s="31" t="str">
        <f t="shared" si="76"/>
        <v>1884-04-20T08:00:00.000+02:00</v>
      </c>
      <c r="AE357" s="31" t="str">
        <f t="shared" si="77"/>
        <v>lxiii-enc-hug</v>
      </c>
      <c r="AF357" s="31" t="str">
        <f t="shared" si="78"/>
        <v>Leone XIII - Lettera Enciclica - Humanum Genus</v>
      </c>
    </row>
    <row r="358" spans="2:32" s="31" customFormat="1" x14ac:dyDescent="0.2">
      <c r="B358" s="31">
        <v>256</v>
      </c>
      <c r="C358" s="31" t="s">
        <v>2039</v>
      </c>
      <c r="D358" s="31" t="s">
        <v>723</v>
      </c>
      <c r="E358" s="31" t="s">
        <v>707</v>
      </c>
      <c r="F358" s="31" t="s">
        <v>667</v>
      </c>
      <c r="G358" s="31" t="s">
        <v>666</v>
      </c>
      <c r="H358" s="31" t="str">
        <f t="shared" si="79"/>
        <v>Leone XIII</v>
      </c>
      <c r="I358" s="31" t="s">
        <v>603</v>
      </c>
      <c r="J358" s="31" t="s">
        <v>829</v>
      </c>
      <c r="K358" s="31" t="s">
        <v>694</v>
      </c>
      <c r="L358" s="31" t="str">
        <f t="shared" si="69"/>
        <v>Lettera Enciclica</v>
      </c>
      <c r="M358" s="31" t="s">
        <v>579</v>
      </c>
      <c r="O358" s="31" t="s">
        <v>185</v>
      </c>
      <c r="P358" s="31" t="s">
        <v>1032</v>
      </c>
      <c r="Q358" s="31" t="s">
        <v>2040</v>
      </c>
      <c r="R358" s="35" t="str">
        <f t="shared" si="67"/>
        <v>08</v>
      </c>
      <c r="S358" s="35"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5">
        <f t="shared" si="70"/>
        <v>1884</v>
      </c>
      <c r="U358" s="31"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6"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31"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31">
        <v>357</v>
      </c>
      <c r="Y358" s="31" t="str">
        <f t="shared" si="71"/>
        <v>['Leone XIII', 'Enciclica', 'Nobilissima Gallorum Gens', 'lxiii-enc-ngg', '08 febbraio 1884', '08/02/1884', '1884/02/08'],</v>
      </c>
      <c r="Z358" s="31" t="str">
        <f t="shared" si="72"/>
        <v>Nobilissima Gallorum Gens (8 febbraio 1884) | Leone XIII</v>
      </c>
      <c r="AA358" s="31" t="str">
        <f t="shared" si="73"/>
        <v>Enciclica Nobilissima Gallorum Gens</v>
      </c>
      <c r="AB358" s="31" t="str">
        <f t="shared" si="74"/>
        <v>Enciclica Nobilissima Gallorum Gens</v>
      </c>
      <c r="AC358" s="31" t="str">
        <f t="shared" si="75"/>
        <v>Leone XIII, Lettera Enciclica Nobilissima Gallorum Gens, 08 febbraio 1884</v>
      </c>
      <c r="AD358" s="31" t="str">
        <f t="shared" si="76"/>
        <v>1884-02-08T08:00:00.000+02:00</v>
      </c>
      <c r="AE358" s="31" t="str">
        <f t="shared" si="77"/>
        <v>lxiii-enc-ngg</v>
      </c>
      <c r="AF358" s="31" t="str">
        <f t="shared" si="78"/>
        <v>Leone XIII - Lettera Enciclica - Nobilissima Gallorum Gens</v>
      </c>
    </row>
    <row r="359" spans="2:32" s="31" customFormat="1" x14ac:dyDescent="0.2">
      <c r="B359" s="31">
        <v>256</v>
      </c>
      <c r="C359" s="31" t="s">
        <v>2038</v>
      </c>
      <c r="D359" s="31" t="s">
        <v>723</v>
      </c>
      <c r="E359" s="31" t="s">
        <v>707</v>
      </c>
      <c r="F359" s="31" t="s">
        <v>667</v>
      </c>
      <c r="G359" s="31" t="s">
        <v>666</v>
      </c>
      <c r="H359" s="31" t="str">
        <f t="shared" si="79"/>
        <v>Leone XIII</v>
      </c>
      <c r="I359" s="31" t="s">
        <v>603</v>
      </c>
      <c r="J359" s="31" t="s">
        <v>829</v>
      </c>
      <c r="K359" s="31" t="s">
        <v>694</v>
      </c>
      <c r="L359" s="31" t="str">
        <f t="shared" si="69"/>
        <v>Lettera Enciclica</v>
      </c>
      <c r="M359" s="31" t="s">
        <v>579</v>
      </c>
      <c r="O359" s="31" t="s">
        <v>184</v>
      </c>
      <c r="P359" s="31" t="s">
        <v>1031</v>
      </c>
      <c r="Q359" s="31" t="s">
        <v>2273</v>
      </c>
      <c r="R359" s="35" t="str">
        <f t="shared" si="67"/>
        <v>01</v>
      </c>
      <c r="S359" s="35"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5">
        <f t="shared" si="70"/>
        <v>1883</v>
      </c>
      <c r="U359" s="31"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6"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31"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31">
        <v>358</v>
      </c>
      <c r="Y359" s="31" t="str">
        <f t="shared" si="71"/>
        <v>['Leone XIII', 'Enciclica', 'Supremi Apostolatus Officio', 'lxiii-enc-sao', '01 settembre 1883', '01/09/1883', '1883/09/01'],</v>
      </c>
      <c r="Z359" s="31" t="str">
        <f t="shared" si="72"/>
        <v>Supremi Apostolatus Officio (1 settembre 1883) | Leone XIII</v>
      </c>
      <c r="AA359" s="31" t="str">
        <f t="shared" si="73"/>
        <v>Enciclica Supremi Apostolatus Officio</v>
      </c>
      <c r="AB359" s="31" t="str">
        <f t="shared" si="74"/>
        <v>Enciclica Supremi Apostolatus Officio</v>
      </c>
      <c r="AC359" s="31" t="str">
        <f t="shared" si="75"/>
        <v>Leone XIII, Lettera Enciclica Supremi Apostolatus Officio, 01 settembre 1883</v>
      </c>
      <c r="AD359" s="31" t="str">
        <f t="shared" si="76"/>
        <v>1883-09-01T08:00:00.000+02:00</v>
      </c>
      <c r="AE359" s="31" t="str">
        <f t="shared" si="77"/>
        <v>lxiii-enc-sao</v>
      </c>
      <c r="AF359" s="31" t="str">
        <f t="shared" si="78"/>
        <v>Leone XIII - Lettera Enciclica - Supremi Apostolatus Officio</v>
      </c>
    </row>
    <row r="360" spans="2:32" s="31" customFormat="1" x14ac:dyDescent="0.2">
      <c r="B360" s="31">
        <v>256</v>
      </c>
      <c r="C360" s="31" t="s">
        <v>2036</v>
      </c>
      <c r="D360" s="31" t="s">
        <v>723</v>
      </c>
      <c r="E360" s="31" t="s">
        <v>707</v>
      </c>
      <c r="F360" s="31" t="s">
        <v>667</v>
      </c>
      <c r="G360" s="31" t="s">
        <v>666</v>
      </c>
      <c r="H360" s="31" t="str">
        <f t="shared" si="79"/>
        <v>Leone XIII</v>
      </c>
      <c r="I360" s="31" t="s">
        <v>603</v>
      </c>
      <c r="J360" s="31" t="s">
        <v>829</v>
      </c>
      <c r="K360" s="31" t="s">
        <v>694</v>
      </c>
      <c r="L360" s="31" t="str">
        <f t="shared" si="69"/>
        <v>Lettera Enciclica</v>
      </c>
      <c r="M360" s="31" t="s">
        <v>579</v>
      </c>
      <c r="O360" s="31" t="s">
        <v>183</v>
      </c>
      <c r="P360" s="31" t="s">
        <v>1030</v>
      </c>
      <c r="Q360" s="31" t="s">
        <v>2037</v>
      </c>
      <c r="R360" s="35" t="str">
        <f t="shared" si="67"/>
        <v>08</v>
      </c>
      <c r="S360" s="35"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5">
        <f t="shared" si="70"/>
        <v>1882</v>
      </c>
      <c r="U360" s="31"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6"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31"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31">
        <v>359</v>
      </c>
      <c r="Y360" s="31" t="str">
        <f t="shared" si="71"/>
        <v>['Leone XIII', 'Enciclica', 'Cum Multa Sint', 'lxiii-enc-cms', '08 dicembre 1882', '08/12/1882', '1882/12/08'],</v>
      </c>
      <c r="Z360" s="31" t="str">
        <f t="shared" si="72"/>
        <v>Cum Multa Sint (8 dicembre 1882) | Leone XIII</v>
      </c>
      <c r="AA360" s="31" t="str">
        <f t="shared" si="73"/>
        <v>Enciclica Cum Multa Sint</v>
      </c>
      <c r="AB360" s="31" t="str">
        <f t="shared" si="74"/>
        <v>Enciclica Cum Multa Sint</v>
      </c>
      <c r="AC360" s="31" t="str">
        <f t="shared" si="75"/>
        <v>Leone XIII, Lettera Enciclica Cum Multa Sint, 08 dicembre 1882</v>
      </c>
      <c r="AD360" s="31" t="str">
        <f t="shared" si="76"/>
        <v>1882-12-08T08:00:00.000+02:00</v>
      </c>
      <c r="AE360" s="31" t="str">
        <f t="shared" si="77"/>
        <v>lxiii-enc-cms</v>
      </c>
      <c r="AF360" s="31" t="str">
        <f t="shared" si="78"/>
        <v>Leone XIII - Lettera Enciclica - Cum Multa Sint</v>
      </c>
    </row>
    <row r="361" spans="2:32" s="31" customFormat="1" x14ac:dyDescent="0.2">
      <c r="B361" s="31">
        <v>256</v>
      </c>
      <c r="C361" s="31" t="s">
        <v>2034</v>
      </c>
      <c r="D361" s="31" t="s">
        <v>723</v>
      </c>
      <c r="E361" s="31" t="s">
        <v>707</v>
      </c>
      <c r="F361" s="31" t="s">
        <v>667</v>
      </c>
      <c r="G361" s="31" t="s">
        <v>666</v>
      </c>
      <c r="H361" s="31" t="str">
        <f t="shared" si="79"/>
        <v>Leone XIII</v>
      </c>
      <c r="I361" s="31" t="s">
        <v>603</v>
      </c>
      <c r="J361" s="31" t="s">
        <v>829</v>
      </c>
      <c r="K361" s="31" t="s">
        <v>694</v>
      </c>
      <c r="L361" s="31" t="str">
        <f t="shared" si="69"/>
        <v>Lettera Enciclica</v>
      </c>
      <c r="M361" s="31" t="s">
        <v>579</v>
      </c>
      <c r="O361" s="31" t="s">
        <v>182</v>
      </c>
      <c r="P361" s="31" t="s">
        <v>1029</v>
      </c>
      <c r="Q361" s="31" t="s">
        <v>2035</v>
      </c>
      <c r="R361" s="35" t="str">
        <f t="shared" si="67"/>
        <v>17</v>
      </c>
      <c r="S361" s="35"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5">
        <f t="shared" si="70"/>
        <v>1882</v>
      </c>
      <c r="U361" s="31"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6"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31"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31">
        <v>360</v>
      </c>
      <c r="Y361" s="31" t="str">
        <f t="shared" si="71"/>
        <v>['Leone XIII', 'Enciclica', 'Auspicato Concessum', 'lxiii-enc-auc', '17 settembre 1882', '17/09/1882', '1882/09/17'],</v>
      </c>
      <c r="Z361" s="31" t="str">
        <f t="shared" si="72"/>
        <v>Auspicato Concessum (17 settembre 1882) | Leone XIII</v>
      </c>
      <c r="AA361" s="31" t="str">
        <f t="shared" si="73"/>
        <v>Enciclica Auspicato Concessum</v>
      </c>
      <c r="AB361" s="31" t="str">
        <f t="shared" si="74"/>
        <v>Enciclica Auspicato Concessum</v>
      </c>
      <c r="AC361" s="31" t="str">
        <f t="shared" si="75"/>
        <v>Leone XIII, Lettera Enciclica Auspicato Concessum, 17 settembre 1882</v>
      </c>
      <c r="AD361" s="31" t="str">
        <f t="shared" si="76"/>
        <v>1882-09-17T08:00:00.000+02:00</v>
      </c>
      <c r="AE361" s="31" t="str">
        <f t="shared" si="77"/>
        <v>lxiii-enc-auc</v>
      </c>
      <c r="AF361" s="31" t="str">
        <f t="shared" si="78"/>
        <v>Leone XIII - Lettera Enciclica - Auspicato Concessum</v>
      </c>
    </row>
    <row r="362" spans="2:32" s="31" customFormat="1" x14ac:dyDescent="0.2">
      <c r="B362" s="31">
        <v>256</v>
      </c>
      <c r="C362" s="31" t="s">
        <v>2032</v>
      </c>
      <c r="D362" s="31" t="s">
        <v>723</v>
      </c>
      <c r="E362" s="31" t="s">
        <v>707</v>
      </c>
      <c r="F362" s="31" t="s">
        <v>667</v>
      </c>
      <c r="G362" s="31" t="s">
        <v>666</v>
      </c>
      <c r="H362" s="31" t="str">
        <f t="shared" si="79"/>
        <v>Leone XIII</v>
      </c>
      <c r="I362" s="31" t="s">
        <v>603</v>
      </c>
      <c r="J362" s="31" t="s">
        <v>829</v>
      </c>
      <c r="K362" s="31" t="s">
        <v>694</v>
      </c>
      <c r="L362" s="31" t="str">
        <f t="shared" si="69"/>
        <v>Lettera Enciclica</v>
      </c>
      <c r="M362" s="31" t="s">
        <v>579</v>
      </c>
      <c r="O362" s="31" t="s">
        <v>181</v>
      </c>
      <c r="P362" s="31" t="s">
        <v>1028</v>
      </c>
      <c r="Q362" s="31" t="s">
        <v>2033</v>
      </c>
      <c r="R362" s="35" t="str">
        <f t="shared" si="67"/>
        <v>15</v>
      </c>
      <c r="S362" s="35"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5">
        <f t="shared" si="70"/>
        <v>1882</v>
      </c>
      <c r="U362" s="31"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6"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31"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31">
        <v>361</v>
      </c>
      <c r="Y362" s="31" t="str">
        <f t="shared" si="71"/>
        <v>['Leone XIII', 'Enciclica', 'Etsi Nos', 'lxiii-enc-etn', '15 febbraio 1882', '15/02/1882', '1882/02/15'],</v>
      </c>
      <c r="Z362" s="31" t="str">
        <f t="shared" si="72"/>
        <v>Etsi Nos (15 febbraio 1882) | Leone XIII</v>
      </c>
      <c r="AA362" s="31" t="str">
        <f t="shared" si="73"/>
        <v>Enciclica Etsi Nos</v>
      </c>
      <c r="AB362" s="31" t="str">
        <f t="shared" si="74"/>
        <v>Enciclica Etsi Nos</v>
      </c>
      <c r="AC362" s="31" t="str">
        <f t="shared" si="75"/>
        <v>Leone XIII, Lettera Enciclica Etsi Nos, 15 febbraio 1882</v>
      </c>
      <c r="AD362" s="31" t="str">
        <f t="shared" si="76"/>
        <v>1882-02-15T08:00:00.000+02:00</v>
      </c>
      <c r="AE362" s="31" t="str">
        <f t="shared" si="77"/>
        <v>lxiii-enc-etn</v>
      </c>
      <c r="AF362" s="31" t="str">
        <f t="shared" si="78"/>
        <v>Leone XIII - Lettera Enciclica - Etsi Nos</v>
      </c>
    </row>
    <row r="363" spans="2:32" s="31" customFormat="1" x14ac:dyDescent="0.2">
      <c r="B363" s="31">
        <v>256</v>
      </c>
      <c r="C363" s="31" t="s">
        <v>2030</v>
      </c>
      <c r="D363" s="31" t="s">
        <v>723</v>
      </c>
      <c r="E363" s="31" t="s">
        <v>707</v>
      </c>
      <c r="F363" s="31" t="s">
        <v>667</v>
      </c>
      <c r="G363" s="31" t="s">
        <v>666</v>
      </c>
      <c r="H363" s="31" t="str">
        <f t="shared" si="79"/>
        <v>Leone XIII</v>
      </c>
      <c r="I363" s="31" t="s">
        <v>603</v>
      </c>
      <c r="J363" s="31" t="s">
        <v>829</v>
      </c>
      <c r="K363" s="31" t="s">
        <v>694</v>
      </c>
      <c r="L363" s="31" t="str">
        <f t="shared" si="69"/>
        <v>Lettera Enciclica</v>
      </c>
      <c r="M363" s="31" t="s">
        <v>579</v>
      </c>
      <c r="O363" s="31" t="s">
        <v>180</v>
      </c>
      <c r="P363" s="31" t="s">
        <v>1027</v>
      </c>
      <c r="Q363" s="31" t="s">
        <v>2031</v>
      </c>
      <c r="R363" s="35" t="str">
        <f t="shared" si="67"/>
        <v>03</v>
      </c>
      <c r="S363" s="35"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5">
        <f t="shared" si="70"/>
        <v>1881</v>
      </c>
      <c r="U363" s="31"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6"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31"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31">
        <v>362</v>
      </c>
      <c r="Y363" s="31" t="str">
        <f t="shared" si="71"/>
        <v>['Leone XIII', 'Enciclica', 'Licet Multa', 'lxiii-enc-lim', '03 agosto 1881', '03/08/1881', '1881/08/03'],</v>
      </c>
      <c r="Z363" s="31" t="str">
        <f t="shared" si="72"/>
        <v>Licet Multa (3 agosto 1881) | Leone XIII</v>
      </c>
      <c r="AA363" s="31" t="str">
        <f t="shared" si="73"/>
        <v>Enciclica Licet Multa</v>
      </c>
      <c r="AB363" s="31" t="str">
        <f t="shared" si="74"/>
        <v>Enciclica Licet Multa</v>
      </c>
      <c r="AC363" s="31" t="str">
        <f t="shared" si="75"/>
        <v>Leone XIII, Lettera Enciclica Licet Multa, 03 agosto 1881</v>
      </c>
      <c r="AD363" s="31" t="str">
        <f t="shared" si="76"/>
        <v>1881-08-03T08:00:00.000+02:00</v>
      </c>
      <c r="AE363" s="31" t="str">
        <f t="shared" si="77"/>
        <v>lxiii-enc-lim</v>
      </c>
      <c r="AF363" s="31" t="str">
        <f t="shared" si="78"/>
        <v>Leone XIII - Lettera Enciclica - Licet Multa</v>
      </c>
    </row>
    <row r="364" spans="2:32" s="31" customFormat="1" x14ac:dyDescent="0.2">
      <c r="B364" s="31">
        <v>256</v>
      </c>
      <c r="C364" s="31" t="s">
        <v>2027</v>
      </c>
      <c r="D364" s="31" t="s">
        <v>723</v>
      </c>
      <c r="E364" s="31" t="s">
        <v>707</v>
      </c>
      <c r="F364" s="31" t="s">
        <v>667</v>
      </c>
      <c r="G364" s="31" t="s">
        <v>666</v>
      </c>
      <c r="H364" s="31" t="str">
        <f t="shared" si="79"/>
        <v>Leone XIII</v>
      </c>
      <c r="I364" s="31" t="s">
        <v>603</v>
      </c>
      <c r="J364" s="31" t="s">
        <v>829</v>
      </c>
      <c r="K364" s="31" t="s">
        <v>694</v>
      </c>
      <c r="L364" s="31" t="str">
        <f t="shared" si="69"/>
        <v>Lettera Enciclica</v>
      </c>
      <c r="M364" s="31" t="s">
        <v>579</v>
      </c>
      <c r="O364" s="31" t="s">
        <v>2029</v>
      </c>
      <c r="P364" s="31" t="s">
        <v>3016</v>
      </c>
      <c r="Q364" s="31" t="s">
        <v>2028</v>
      </c>
      <c r="R364" s="35" t="str">
        <f t="shared" ref="R364:R369" si="80">IF(ISERROR(DAY(Q364)),TEXT((LEFT(Q364,2)),"00"),TEXT(DAY(Q364),"00"))</f>
        <v>29</v>
      </c>
      <c r="S364" s="35"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5">
        <f t="shared" si="70"/>
        <v>1881</v>
      </c>
      <c r="U364" s="31"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6"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31"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31">
        <v>363</v>
      </c>
      <c r="Y364" s="31" t="str">
        <f t="shared" si="71"/>
        <v>['Leone XIII', 'Enciclica', 'Diuturnum', 'lxiii-enc-diu', '29 giugno 1881', '29/06/1881', '1881/06/29'],</v>
      </c>
      <c r="Z364" s="31" t="str">
        <f t="shared" si="72"/>
        <v>Diuturnum (29 giugno 1881) | Leone XIII</v>
      </c>
      <c r="AA364" s="31" t="str">
        <f t="shared" si="73"/>
        <v>Enciclica Diuturnum</v>
      </c>
      <c r="AB364" s="31" t="str">
        <f t="shared" si="74"/>
        <v>Enciclica Diuturnum</v>
      </c>
      <c r="AC364" s="31" t="str">
        <f t="shared" si="75"/>
        <v>Leone XIII, Lettera Enciclica Diuturnum, 29 giugno 1881</v>
      </c>
      <c r="AD364" s="31" t="str">
        <f t="shared" si="76"/>
        <v>1881-06-29T08:00:00.000+02:00</v>
      </c>
      <c r="AE364" s="31" t="str">
        <f t="shared" si="77"/>
        <v>lxiii-enc-diu</v>
      </c>
      <c r="AF364" s="31" t="str">
        <f t="shared" si="78"/>
        <v>Leone XIII - Lettera Enciclica - Diuturnum</v>
      </c>
    </row>
    <row r="365" spans="2:32" s="31" customFormat="1" x14ac:dyDescent="0.2">
      <c r="B365" s="31">
        <v>256</v>
      </c>
      <c r="C365" s="31" t="s">
        <v>2025</v>
      </c>
      <c r="D365" s="31" t="s">
        <v>723</v>
      </c>
      <c r="E365" s="31" t="s">
        <v>707</v>
      </c>
      <c r="F365" s="31" t="s">
        <v>667</v>
      </c>
      <c r="G365" s="31" t="s">
        <v>666</v>
      </c>
      <c r="H365" s="31" t="str">
        <f t="shared" si="79"/>
        <v>Leone XIII</v>
      </c>
      <c r="I365" s="31" t="s">
        <v>603</v>
      </c>
      <c r="J365" s="31" t="s">
        <v>829</v>
      </c>
      <c r="K365" s="31" t="s">
        <v>694</v>
      </c>
      <c r="L365" s="31" t="str">
        <f t="shared" si="69"/>
        <v>Lettera Enciclica</v>
      </c>
      <c r="M365" s="31" t="s">
        <v>579</v>
      </c>
      <c r="O365" s="31" t="s">
        <v>178</v>
      </c>
      <c r="P365" s="31" t="s">
        <v>1025</v>
      </c>
      <c r="Q365" s="31" t="s">
        <v>2026</v>
      </c>
      <c r="R365" s="35" t="str">
        <f t="shared" si="80"/>
        <v>03</v>
      </c>
      <c r="S365" s="35"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5">
        <f t="shared" si="70"/>
        <v>1880</v>
      </c>
      <c r="U365" s="31"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6"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31"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31">
        <v>364</v>
      </c>
      <c r="Y365" s="31" t="str">
        <f t="shared" si="71"/>
        <v>['Leone XIII', 'Enciclica', 'Sancta Dei Civitas', 'lxiii-enc-sdc', '03 dicembre 1880', '03/12/1880', '1880/12/03'],</v>
      </c>
      <c r="Z365" s="31" t="str">
        <f t="shared" si="72"/>
        <v>Sancta Dei Civitas (3 dicembre 1880) | Leone XIII</v>
      </c>
      <c r="AA365" s="31" t="str">
        <f t="shared" si="73"/>
        <v>Enciclica Sancta Dei Civitas</v>
      </c>
      <c r="AB365" s="31" t="str">
        <f t="shared" si="74"/>
        <v>Enciclica Sancta Dei Civitas</v>
      </c>
      <c r="AC365" s="31" t="str">
        <f t="shared" si="75"/>
        <v>Leone XIII, Lettera Enciclica Sancta Dei Civitas, 03 dicembre 1880</v>
      </c>
      <c r="AD365" s="31" t="str">
        <f t="shared" si="76"/>
        <v>1880-12-03T08:00:00.000+02:00</v>
      </c>
      <c r="AE365" s="31" t="str">
        <f t="shared" si="77"/>
        <v>lxiii-enc-sdc</v>
      </c>
      <c r="AF365" s="31" t="str">
        <f t="shared" si="78"/>
        <v>Leone XIII - Lettera Enciclica - Sancta Dei Civitas</v>
      </c>
    </row>
    <row r="366" spans="2:32" s="31" customFormat="1" x14ac:dyDescent="0.2">
      <c r="B366" s="31">
        <v>256</v>
      </c>
      <c r="C366" s="31" t="s">
        <v>2023</v>
      </c>
      <c r="D366" s="31" t="s">
        <v>723</v>
      </c>
      <c r="E366" s="31" t="s">
        <v>707</v>
      </c>
      <c r="F366" s="31" t="s">
        <v>667</v>
      </c>
      <c r="G366" s="31" t="s">
        <v>666</v>
      </c>
      <c r="H366" s="31" t="str">
        <f t="shared" si="79"/>
        <v>Leone XIII</v>
      </c>
      <c r="I366" s="31" t="s">
        <v>603</v>
      </c>
      <c r="J366" s="31" t="s">
        <v>829</v>
      </c>
      <c r="K366" s="31" t="s">
        <v>694</v>
      </c>
      <c r="L366" s="31" t="str">
        <f t="shared" si="69"/>
        <v>Lettera Enciclica</v>
      </c>
      <c r="M366" s="31" t="s">
        <v>579</v>
      </c>
      <c r="O366" s="31" t="s">
        <v>177</v>
      </c>
      <c r="P366" s="31" t="s">
        <v>1024</v>
      </c>
      <c r="Q366" s="31" t="s">
        <v>2024</v>
      </c>
      <c r="R366" s="35" t="str">
        <f t="shared" si="80"/>
        <v>30</v>
      </c>
      <c r="S366" s="35"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5">
        <f t="shared" si="70"/>
        <v>1880</v>
      </c>
      <c r="U366" s="31"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6"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31"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31">
        <v>365</v>
      </c>
      <c r="Y366" s="31" t="str">
        <f t="shared" si="71"/>
        <v>['Leone XIII', 'Enciclica', 'Grande Munus', 'lxiii-enc-grm', '30 settembre 1880', '30/09/1880', '1880/09/30'],</v>
      </c>
      <c r="Z366" s="31" t="str">
        <f t="shared" si="72"/>
        <v>Grande Munus (30 settembre 1880) | Leone XIII</v>
      </c>
      <c r="AA366" s="31" t="str">
        <f t="shared" si="73"/>
        <v>Enciclica Grande Munus</v>
      </c>
      <c r="AB366" s="31" t="str">
        <f t="shared" si="74"/>
        <v>Enciclica Grande Munus</v>
      </c>
      <c r="AC366" s="31" t="str">
        <f t="shared" si="75"/>
        <v>Leone XIII, Lettera Enciclica Grande Munus, 30 settembre 1880</v>
      </c>
      <c r="AD366" s="31" t="str">
        <f t="shared" si="76"/>
        <v>1880-09-30T08:00:00.000+02:00</v>
      </c>
      <c r="AE366" s="31" t="str">
        <f t="shared" si="77"/>
        <v>lxiii-enc-grm</v>
      </c>
      <c r="AF366" s="31" t="str">
        <f t="shared" si="78"/>
        <v>Leone XIII - Lettera Enciclica - Grande Munus</v>
      </c>
    </row>
    <row r="367" spans="2:32" s="31" customFormat="1" x14ac:dyDescent="0.2">
      <c r="B367" s="31">
        <v>256</v>
      </c>
      <c r="C367" s="31" t="s">
        <v>2021</v>
      </c>
      <c r="D367" s="31" t="s">
        <v>723</v>
      </c>
      <c r="E367" s="31" t="s">
        <v>707</v>
      </c>
      <c r="F367" s="31" t="s">
        <v>667</v>
      </c>
      <c r="G367" s="31" t="s">
        <v>666</v>
      </c>
      <c r="H367" s="31" t="str">
        <f t="shared" si="79"/>
        <v>Leone XIII</v>
      </c>
      <c r="I367" s="31" t="s">
        <v>603</v>
      </c>
      <c r="J367" s="31" t="s">
        <v>829</v>
      </c>
      <c r="K367" s="31" t="s">
        <v>694</v>
      </c>
      <c r="L367" s="31" t="str">
        <f t="shared" si="69"/>
        <v>Lettera Enciclica</v>
      </c>
      <c r="M367" s="31" t="s">
        <v>579</v>
      </c>
      <c r="O367" s="31" t="s">
        <v>176</v>
      </c>
      <c r="P367" s="31" t="s">
        <v>1023</v>
      </c>
      <c r="Q367" s="31" t="s">
        <v>2022</v>
      </c>
      <c r="R367" s="35" t="str">
        <f t="shared" si="80"/>
        <v>10</v>
      </c>
      <c r="S367" s="35"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5">
        <f t="shared" si="70"/>
        <v>1880</v>
      </c>
      <c r="U367" s="31"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6"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31"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31">
        <v>366</v>
      </c>
      <c r="Y367" s="31" t="str">
        <f t="shared" si="71"/>
        <v>['Leone XIII', 'Enciclica', 'Arcanum Divinae', 'lxiii-enc-ard', '10 febbraio 1880', '10/02/1880', '1880/02/10'],</v>
      </c>
      <c r="Z367" s="31" t="str">
        <f t="shared" si="72"/>
        <v>Arcanum Divinae (10 febbraio 1880) | Leone XIII</v>
      </c>
      <c r="AA367" s="31" t="str">
        <f t="shared" si="73"/>
        <v>Enciclica Arcanum Divinae</v>
      </c>
      <c r="AB367" s="31" t="str">
        <f t="shared" si="74"/>
        <v>Enciclica Arcanum Divinae</v>
      </c>
      <c r="AC367" s="31" t="str">
        <f t="shared" si="75"/>
        <v>Leone XIII, Lettera Enciclica Arcanum Divinae, 10 febbraio 1880</v>
      </c>
      <c r="AD367" s="31" t="str">
        <f t="shared" si="76"/>
        <v>1880-02-10T08:00:00.000+02:00</v>
      </c>
      <c r="AE367" s="31" t="str">
        <f t="shared" si="77"/>
        <v>lxiii-enc-ard</v>
      </c>
      <c r="AF367" s="31" t="str">
        <f t="shared" si="78"/>
        <v>Leone XIII - Lettera Enciclica - Arcanum Divinae</v>
      </c>
    </row>
    <row r="368" spans="2:32" s="31" customFormat="1" x14ac:dyDescent="0.2">
      <c r="B368" s="31">
        <v>256</v>
      </c>
      <c r="C368" s="31" t="s">
        <v>2019</v>
      </c>
      <c r="D368" s="31" t="s">
        <v>723</v>
      </c>
      <c r="E368" s="31" t="s">
        <v>707</v>
      </c>
      <c r="F368" s="31" t="s">
        <v>667</v>
      </c>
      <c r="G368" s="31" t="s">
        <v>666</v>
      </c>
      <c r="H368" s="31" t="str">
        <f t="shared" si="79"/>
        <v>Leone XIII</v>
      </c>
      <c r="I368" s="31" t="s">
        <v>603</v>
      </c>
      <c r="J368" s="31" t="s">
        <v>829</v>
      </c>
      <c r="K368" s="31" t="s">
        <v>694</v>
      </c>
      <c r="L368" s="31" t="str">
        <f t="shared" si="69"/>
        <v>Lettera Enciclica</v>
      </c>
      <c r="M368" s="31" t="s">
        <v>579</v>
      </c>
      <c r="O368" s="31" t="s">
        <v>175</v>
      </c>
      <c r="P368" s="31" t="s">
        <v>1022</v>
      </c>
      <c r="Q368" s="31" t="s">
        <v>2020</v>
      </c>
      <c r="R368" s="35" t="str">
        <f t="shared" si="80"/>
        <v>04</v>
      </c>
      <c r="S368" s="35"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5">
        <f t="shared" si="70"/>
        <v>1879</v>
      </c>
      <c r="U368" s="31"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6"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31"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31">
        <v>367</v>
      </c>
      <c r="Y368" s="31" t="str">
        <f t="shared" si="71"/>
        <v>['Leone XIII', 'Enciclica', 'Aeterni Patris', 'lxiii-enc-aep', '04 agosto 1879', '04/08/1879', '1879/08/04'],</v>
      </c>
      <c r="Z368" s="31" t="str">
        <f t="shared" si="72"/>
        <v>Aeterni Patris (4 agosto 1879) | Leone XIII</v>
      </c>
      <c r="AA368" s="31" t="str">
        <f t="shared" si="73"/>
        <v>Enciclica Aeterni Patris</v>
      </c>
      <c r="AB368" s="31" t="str">
        <f t="shared" si="74"/>
        <v>Enciclica Aeterni Patris</v>
      </c>
      <c r="AC368" s="31" t="str">
        <f t="shared" si="75"/>
        <v>Leone XIII, Lettera Enciclica Aeterni Patris, 04 agosto 1879</v>
      </c>
      <c r="AD368" s="31" t="str">
        <f t="shared" si="76"/>
        <v>1879-08-04T08:00:00.000+02:00</v>
      </c>
      <c r="AE368" s="31" t="str">
        <f t="shared" si="77"/>
        <v>lxiii-enc-aep</v>
      </c>
      <c r="AF368" s="31" t="str">
        <f t="shared" si="78"/>
        <v>Leone XIII - Lettera Enciclica - Aeterni Patris</v>
      </c>
    </row>
    <row r="369" spans="2:32" s="31" customFormat="1" x14ac:dyDescent="0.2">
      <c r="B369" s="31">
        <v>256</v>
      </c>
      <c r="C369" s="31" t="s">
        <v>2017</v>
      </c>
      <c r="D369" s="31" t="s">
        <v>723</v>
      </c>
      <c r="E369" s="31" t="s">
        <v>707</v>
      </c>
      <c r="F369" s="31" t="s">
        <v>667</v>
      </c>
      <c r="G369" s="31" t="s">
        <v>666</v>
      </c>
      <c r="H369" s="31" t="str">
        <f t="shared" si="79"/>
        <v>Leone XIII</v>
      </c>
      <c r="I369" s="31" t="s">
        <v>603</v>
      </c>
      <c r="J369" s="31" t="s">
        <v>829</v>
      </c>
      <c r="K369" s="31" t="s">
        <v>694</v>
      </c>
      <c r="L369" s="31" t="str">
        <f t="shared" si="69"/>
        <v>Lettera Enciclica</v>
      </c>
      <c r="M369" s="31" t="s">
        <v>579</v>
      </c>
      <c r="O369" s="31" t="s">
        <v>174</v>
      </c>
      <c r="P369" s="31" t="s">
        <v>1021</v>
      </c>
      <c r="Q369" s="31" t="s">
        <v>2018</v>
      </c>
      <c r="R369" s="35" t="str">
        <f t="shared" si="80"/>
        <v>28</v>
      </c>
      <c r="S369" s="35"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5">
        <f t="shared" si="70"/>
        <v>1878</v>
      </c>
      <c r="U369" s="31"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6"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31"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31">
        <v>368</v>
      </c>
      <c r="Y369" s="31" t="str">
        <f t="shared" si="71"/>
        <v>['Leone XIII', 'Enciclica', 'Quod Apostolici Muneris', 'lxiii-enc-qam', '28 dicembre 1878', '28/12/1878', '1878/12/28'],</v>
      </c>
      <c r="Z369" s="31" t="str">
        <f t="shared" si="72"/>
        <v>Quod Apostolici Muneris (28 dicembre 1878) | Leone XIII</v>
      </c>
      <c r="AA369" s="31" t="str">
        <f t="shared" si="73"/>
        <v>Enciclica Quod Apostolici Muneris</v>
      </c>
      <c r="AB369" s="31" t="str">
        <f t="shared" si="74"/>
        <v>Enciclica Quod Apostolici Muneris</v>
      </c>
      <c r="AC369" s="31" t="str">
        <f t="shared" si="75"/>
        <v>Leone XIII, Lettera Enciclica Quod Apostolici Muneris, 28 dicembre 1878</v>
      </c>
      <c r="AD369" s="31" t="str">
        <f t="shared" si="76"/>
        <v>1878-12-28T08:00:00.000+02:00</v>
      </c>
      <c r="AE369" s="31" t="str">
        <f t="shared" si="77"/>
        <v>lxiii-enc-qam</v>
      </c>
      <c r="AF369" s="31" t="str">
        <f t="shared" si="78"/>
        <v>Leone XIII - Lettera Enciclica - Quod Apostolici Muneris</v>
      </c>
    </row>
    <row r="370" spans="2:32" s="31" customFormat="1" x14ac:dyDescent="0.2">
      <c r="B370" s="31">
        <v>256</v>
      </c>
      <c r="C370" s="31" t="s">
        <v>2015</v>
      </c>
      <c r="D370" s="31" t="s">
        <v>723</v>
      </c>
      <c r="E370" s="31" t="s">
        <v>707</v>
      </c>
      <c r="F370" s="31" t="s">
        <v>667</v>
      </c>
      <c r="G370" s="31" t="s">
        <v>666</v>
      </c>
      <c r="H370" s="31" t="str">
        <f t="shared" si="79"/>
        <v>Leone XIII</v>
      </c>
      <c r="I370" s="31" t="s">
        <v>603</v>
      </c>
      <c r="J370" s="31" t="s">
        <v>829</v>
      </c>
      <c r="K370" s="31" t="s">
        <v>694</v>
      </c>
      <c r="L370" s="31" t="str">
        <f t="shared" si="69"/>
        <v>Lettera Enciclica</v>
      </c>
      <c r="M370" s="31" t="s">
        <v>579</v>
      </c>
      <c r="O370" s="31" t="s">
        <v>173</v>
      </c>
      <c r="P370" s="31" t="s">
        <v>1020</v>
      </c>
      <c r="Q370" s="31" t="s">
        <v>2016</v>
      </c>
      <c r="R370" s="35" t="str">
        <f t="shared" ref="R370:R409" si="81">IF(ISERROR(DAY(Q370)),TEXT((LEFT(Q370,2)),"00"),TEXT(DAY(Q370),"00"))</f>
        <v>21</v>
      </c>
      <c r="S370" s="35"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5">
        <f t="shared" ref="T370" si="82">IF(ISERROR(DAY(Q370)),VALUE(RIGHT(Q370,4)),YEAR(Q370))</f>
        <v>1878</v>
      </c>
      <c r="U370" s="31"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6"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31"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31">
        <v>369</v>
      </c>
      <c r="Y370" s="31" t="str">
        <f t="shared" si="71"/>
        <v>['Leone XIII', 'Enciclica', 'Inscrutabili Dei Consilio', 'lxiii-enc-idc', '21 aprile 1878', '21/04/1878', '1878/04/21'],</v>
      </c>
      <c r="Z370" s="31" t="str">
        <f t="shared" si="72"/>
        <v>Inscrutabili Dei Consilio (21 aprile 1878) | Leone XIII</v>
      </c>
      <c r="AA370" s="31" t="str">
        <f t="shared" si="73"/>
        <v>Enciclica Inscrutabili Dei Consilio</v>
      </c>
      <c r="AB370" s="31" t="str">
        <f t="shared" si="74"/>
        <v>Enciclica Inscrutabili Dei Consilio</v>
      </c>
      <c r="AC370" s="31" t="str">
        <f t="shared" si="75"/>
        <v>Leone XIII, Lettera Enciclica Inscrutabili Dei Consilio, 21 aprile 1878</v>
      </c>
      <c r="AD370" s="31" t="str">
        <f t="shared" si="76"/>
        <v>1878-04-21T08:00:00.000+02:00</v>
      </c>
      <c r="AE370" s="31" t="str">
        <f t="shared" si="77"/>
        <v>lxiii-enc-idc</v>
      </c>
      <c r="AF370" s="31" t="str">
        <f t="shared" si="78"/>
        <v>Leone XIII - Lettera Enciclica - Inscrutabili Dei Consilio</v>
      </c>
    </row>
    <row r="371" spans="2:32" s="31" customFormat="1" x14ac:dyDescent="0.2">
      <c r="B371" s="31">
        <v>256</v>
      </c>
      <c r="C371" s="31" t="s">
        <v>2013</v>
      </c>
      <c r="D371" s="31" t="s">
        <v>723</v>
      </c>
      <c r="E371" s="31" t="s">
        <v>707</v>
      </c>
      <c r="F371" s="31" t="s">
        <v>667</v>
      </c>
      <c r="G371" s="31" t="s">
        <v>666</v>
      </c>
      <c r="H371" s="31" t="str">
        <f t="shared" si="79"/>
        <v>Leone XIII</v>
      </c>
      <c r="I371" s="31" t="s">
        <v>603</v>
      </c>
      <c r="J371" s="31" t="s">
        <v>829</v>
      </c>
      <c r="K371" s="31" t="s">
        <v>694</v>
      </c>
      <c r="L371" s="31" t="str">
        <f t="shared" si="69"/>
        <v>Lettera Enciclica</v>
      </c>
      <c r="M371" s="31" t="s">
        <v>579</v>
      </c>
      <c r="O371" s="31" t="s">
        <v>2014</v>
      </c>
      <c r="P371" s="31" t="s">
        <v>3018</v>
      </c>
      <c r="Q371" s="41">
        <v>1073</v>
      </c>
      <c r="R371" s="35" t="str">
        <f>IF(ISERROR(DAY(Q371)),TEXT((LEFT(Q371,2)),"00"),TEXT(DAY(Q371),"00"))</f>
        <v>08</v>
      </c>
      <c r="S371" s="35"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5">
        <f t="shared" ref="T371:T428" si="83">IF(ISERROR(DAY(Q371)),VALUE(RIGHT(Q371,4)),YEAR(Q371))</f>
        <v>1902</v>
      </c>
      <c r="U371" s="31"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6"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31"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31">
        <v>370</v>
      </c>
      <c r="Y371" s="31" t="str">
        <f t="shared" si="71"/>
        <v>['Leone XIII', 'Enciclica', 'Fin dal principio', 'lxiii-enc-fdp', '08 dicembre 1902', '08/12/1902', '1902/12/08'],</v>
      </c>
      <c r="Z371" s="31" t="str">
        <f t="shared" si="72"/>
        <v>Fin dal principio (1073) | Leone XIII</v>
      </c>
      <c r="AA371" s="31" t="str">
        <f t="shared" si="73"/>
        <v>Enciclica Fin dal principio</v>
      </c>
      <c r="AB371" s="31" t="str">
        <f t="shared" si="74"/>
        <v>Enciclica Fin dal principio</v>
      </c>
      <c r="AC371" s="31" t="str">
        <f t="shared" si="75"/>
        <v>Leone XIII, Lettera Enciclica Fin dal principio, 08 dicembre 1902</v>
      </c>
      <c r="AD371" s="31" t="str">
        <f t="shared" si="76"/>
        <v>1902-12-08T08:00:00.000+02:00</v>
      </c>
      <c r="AE371" s="31" t="str">
        <f t="shared" si="77"/>
        <v>lxiii-enc-fdp</v>
      </c>
      <c r="AF371" s="31" t="str">
        <f t="shared" si="78"/>
        <v>Leone XIII - Lettera Enciclica - Fin dal principio</v>
      </c>
    </row>
    <row r="372" spans="2:32" s="31" customFormat="1" x14ac:dyDescent="0.2">
      <c r="B372" s="31">
        <v>256</v>
      </c>
      <c r="C372" s="31" t="s">
        <v>2011</v>
      </c>
      <c r="D372" s="31" t="s">
        <v>723</v>
      </c>
      <c r="E372" s="31" t="s">
        <v>707</v>
      </c>
      <c r="F372" s="31" t="s">
        <v>667</v>
      </c>
      <c r="G372" s="31" t="s">
        <v>666</v>
      </c>
      <c r="H372" s="31" t="str">
        <f t="shared" si="79"/>
        <v>Leone XIII</v>
      </c>
      <c r="I372" s="31" t="s">
        <v>603</v>
      </c>
      <c r="J372" s="31" t="s">
        <v>829</v>
      </c>
      <c r="K372" s="31" t="s">
        <v>694</v>
      </c>
      <c r="L372" s="31" t="str">
        <f t="shared" si="69"/>
        <v>Lettera Enciclica</v>
      </c>
      <c r="M372" s="31" t="s">
        <v>579</v>
      </c>
      <c r="O372" s="31" t="s">
        <v>2012</v>
      </c>
      <c r="P372" s="31" t="s">
        <v>3019</v>
      </c>
      <c r="Q372" s="41">
        <v>879</v>
      </c>
      <c r="R372" s="35" t="str">
        <f t="shared" si="81"/>
        <v>28</v>
      </c>
      <c r="S372" s="35"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5">
        <f t="shared" si="83"/>
        <v>1902</v>
      </c>
      <c r="U372" s="31"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6"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31"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31">
        <v>371</v>
      </c>
      <c r="Y372" s="31" t="str">
        <f t="shared" si="71"/>
        <v>['Leone XIII', 'Enciclica', 'Mirae caritatis', 'lxiii-enc-mic', '28 maggio 1902', '28/05/1902', '1902/05/28'],</v>
      </c>
      <c r="Z372" s="31" t="str">
        <f t="shared" si="72"/>
        <v>Mirae caritatis (879) | Leone XIII</v>
      </c>
      <c r="AA372" s="31" t="str">
        <f t="shared" si="73"/>
        <v>Enciclica Mirae caritatis</v>
      </c>
      <c r="AB372" s="31" t="str">
        <f t="shared" si="74"/>
        <v>Enciclica Mirae caritatis</v>
      </c>
      <c r="AC372" s="31" t="str">
        <f t="shared" si="75"/>
        <v>Leone XIII, Lettera Enciclica Mirae caritatis, 28 maggio 1902</v>
      </c>
      <c r="AD372" s="31" t="str">
        <f t="shared" si="76"/>
        <v>1902-05-28T08:00:00.000+02:00</v>
      </c>
      <c r="AE372" s="31" t="str">
        <f t="shared" si="77"/>
        <v>lxiii-enc-mic</v>
      </c>
      <c r="AF372" s="31" t="str">
        <f t="shared" si="78"/>
        <v>Leone XIII - Lettera Enciclica - Mirae caritatis</v>
      </c>
    </row>
    <row r="373" spans="2:32" s="31" customFormat="1" x14ac:dyDescent="0.2">
      <c r="B373" s="31">
        <v>256</v>
      </c>
      <c r="C373" s="31" t="s">
        <v>2009</v>
      </c>
      <c r="D373" s="31" t="s">
        <v>723</v>
      </c>
      <c r="E373" s="31" t="s">
        <v>707</v>
      </c>
      <c r="F373" s="31" t="s">
        <v>667</v>
      </c>
      <c r="G373" s="31" t="s">
        <v>666</v>
      </c>
      <c r="H373" s="31" t="str">
        <f t="shared" si="79"/>
        <v>Leone XIII</v>
      </c>
      <c r="I373" s="31" t="s">
        <v>603</v>
      </c>
      <c r="J373" s="31" t="s">
        <v>829</v>
      </c>
      <c r="K373" s="31" t="s">
        <v>694</v>
      </c>
      <c r="L373" s="31" t="str">
        <f t="shared" si="69"/>
        <v>Lettera Enciclica</v>
      </c>
      <c r="M373" s="31" t="s">
        <v>579</v>
      </c>
      <c r="O373" s="31" t="s">
        <v>240</v>
      </c>
      <c r="P373" s="31" t="s">
        <v>1076</v>
      </c>
      <c r="Q373" s="31" t="s">
        <v>2010</v>
      </c>
      <c r="R373" s="35" t="str">
        <f t="shared" si="81"/>
        <v>05</v>
      </c>
      <c r="S373" s="35"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5">
        <f t="shared" si="83"/>
        <v>1898</v>
      </c>
      <c r="U373" s="31"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6"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31"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31">
        <v>372</v>
      </c>
      <c r="Y373" s="31" t="str">
        <f t="shared" si="71"/>
        <v>['Leone XIII', 'Enciclica', 'Spesse Volte', 'lxiii-enc-spv', '05 agosto 1898', '05/08/1898', '1898/08/05'],</v>
      </c>
      <c r="Z373" s="31" t="str">
        <f t="shared" si="72"/>
        <v>Spesse Volte (5 agosto 1898) | Leone XIII</v>
      </c>
      <c r="AA373" s="31" t="str">
        <f t="shared" si="73"/>
        <v>Enciclica Spesse Volte</v>
      </c>
      <c r="AB373" s="31" t="str">
        <f t="shared" si="74"/>
        <v>Enciclica Spesse Volte</v>
      </c>
      <c r="AC373" s="31" t="str">
        <f t="shared" si="75"/>
        <v>Leone XIII, Lettera Enciclica Spesse Volte, 05 agosto 1898</v>
      </c>
      <c r="AD373" s="31" t="str">
        <f t="shared" si="76"/>
        <v>1898-08-05T08:00:00.000+02:00</v>
      </c>
      <c r="AE373" s="31" t="str">
        <f t="shared" si="77"/>
        <v>lxiii-enc-spv</v>
      </c>
      <c r="AF373" s="31" t="str">
        <f t="shared" si="78"/>
        <v>Leone XIII - Lettera Enciclica - Spesse Volte</v>
      </c>
    </row>
    <row r="374" spans="2:32" s="31" customFormat="1" x14ac:dyDescent="0.2">
      <c r="B374" s="31">
        <v>256</v>
      </c>
      <c r="C374" s="31" t="s">
        <v>2006</v>
      </c>
      <c r="D374" s="31" t="s">
        <v>723</v>
      </c>
      <c r="E374" s="31" t="s">
        <v>707</v>
      </c>
      <c r="F374" s="31" t="s">
        <v>667</v>
      </c>
      <c r="G374" s="31" t="s">
        <v>666</v>
      </c>
      <c r="H374" s="31" t="str">
        <f t="shared" si="79"/>
        <v>Leone XIII</v>
      </c>
      <c r="I374" s="31" t="s">
        <v>603</v>
      </c>
      <c r="J374" s="31" t="s">
        <v>829</v>
      </c>
      <c r="K374" s="31" t="s">
        <v>694</v>
      </c>
      <c r="L374" s="31" t="str">
        <f t="shared" si="69"/>
        <v>Lettera Enciclica</v>
      </c>
      <c r="M374" s="31" t="s">
        <v>579</v>
      </c>
      <c r="O374" s="31" t="s">
        <v>2008</v>
      </c>
      <c r="P374" s="31" t="s">
        <v>1074</v>
      </c>
      <c r="Q374" s="31" t="s">
        <v>2007</v>
      </c>
      <c r="R374" s="35" t="str">
        <f t="shared" si="81"/>
        <v>08</v>
      </c>
      <c r="S374" s="35"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5">
        <f t="shared" si="83"/>
        <v>1897</v>
      </c>
      <c r="U374" s="31"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6"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31"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31">
        <v>373</v>
      </c>
      <c r="Y374" s="31" t="str">
        <f t="shared" si="71"/>
        <v>['Leone XIII', 'Enciclica', 'Affari vos', 'lxiii-enc-afv', '08 dicembre 1897', '08/12/1897', '1897/12/08'],</v>
      </c>
      <c r="Z374" s="31" t="str">
        <f t="shared" si="72"/>
        <v>Affari vos (8 dicembre 1897) | Leone XIII</v>
      </c>
      <c r="AA374" s="31" t="str">
        <f t="shared" si="73"/>
        <v>Enciclica Affari vos</v>
      </c>
      <c r="AB374" s="31" t="str">
        <f t="shared" si="74"/>
        <v>Enciclica Affari vos</v>
      </c>
      <c r="AC374" s="31" t="str">
        <f t="shared" si="75"/>
        <v>Leone XIII, Lettera Enciclica Affari vos, 08 dicembre 1897</v>
      </c>
      <c r="AD374" s="31" t="str">
        <f t="shared" si="76"/>
        <v>1897-12-08T08:00:00.000+02:00</v>
      </c>
      <c r="AE374" s="31" t="str">
        <f t="shared" si="77"/>
        <v>lxiii-enc-afv</v>
      </c>
      <c r="AF374" s="31" t="str">
        <f t="shared" si="78"/>
        <v>Leone XIII - Lettera Enciclica - Affari vos</v>
      </c>
    </row>
    <row r="375" spans="2:32" s="31" customFormat="1" x14ac:dyDescent="0.2">
      <c r="B375" s="31">
        <v>256</v>
      </c>
      <c r="C375" s="31" t="s">
        <v>2003</v>
      </c>
      <c r="D375" s="31" t="s">
        <v>723</v>
      </c>
      <c r="E375" s="31" t="s">
        <v>707</v>
      </c>
      <c r="F375" s="31" t="s">
        <v>667</v>
      </c>
      <c r="G375" s="31" t="s">
        <v>666</v>
      </c>
      <c r="H375" s="31" t="str">
        <f t="shared" si="79"/>
        <v>Leone XIII</v>
      </c>
      <c r="I375" s="31" t="s">
        <v>603</v>
      </c>
      <c r="J375" s="31" t="s">
        <v>829</v>
      </c>
      <c r="K375" s="31" t="s">
        <v>694</v>
      </c>
      <c r="L375" s="31" t="str">
        <f t="shared" si="69"/>
        <v>Lettera Enciclica</v>
      </c>
      <c r="M375" s="31" t="s">
        <v>579</v>
      </c>
      <c r="O375" s="31" t="s">
        <v>2005</v>
      </c>
      <c r="P375" s="31" t="s">
        <v>1071</v>
      </c>
      <c r="Q375" s="31" t="s">
        <v>2004</v>
      </c>
      <c r="R375" s="35" t="str">
        <f t="shared" si="81"/>
        <v>20</v>
      </c>
      <c r="S375" s="35"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5">
        <f t="shared" si="83"/>
        <v>1896</v>
      </c>
      <c r="U375" s="31"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6"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31"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31">
        <v>374</v>
      </c>
      <c r="Y375" s="31" t="str">
        <f t="shared" si="71"/>
        <v>['Leone XIII', 'Enciclica', 'Fidentem piumque animum', 'lxiii-enc-fpa', '20 settembre 1896', '20/09/1896', '1896/09/20'],</v>
      </c>
      <c r="Z375" s="31" t="str">
        <f t="shared" si="72"/>
        <v>Fidentem piumque animum (20 settembre 1896) | Leone XIII</v>
      </c>
      <c r="AA375" s="31" t="str">
        <f t="shared" si="73"/>
        <v>Enciclica Fidentem piumque animum</v>
      </c>
      <c r="AB375" s="31" t="str">
        <f t="shared" si="74"/>
        <v>Enciclica Fidentem piumque animum</v>
      </c>
      <c r="AC375" s="31" t="str">
        <f t="shared" si="75"/>
        <v>Leone XIII, Lettera Enciclica Fidentem piumque animum, 20 settembre 1896</v>
      </c>
      <c r="AD375" s="31" t="str">
        <f t="shared" si="76"/>
        <v>1896-09-20T08:00:00.000+02:00</v>
      </c>
      <c r="AE375" s="31" t="str">
        <f t="shared" si="77"/>
        <v>lxiii-enc-fpa</v>
      </c>
      <c r="AF375" s="31" t="str">
        <f t="shared" si="78"/>
        <v>Leone XIII - Lettera Enciclica - Fidentem piumque animum</v>
      </c>
    </row>
    <row r="376" spans="2:32" s="31" customFormat="1" x14ac:dyDescent="0.2">
      <c r="B376" s="31">
        <v>256</v>
      </c>
      <c r="C376" s="31" t="s">
        <v>2001</v>
      </c>
      <c r="D376" s="31" t="s">
        <v>723</v>
      </c>
      <c r="E376" s="31" t="s">
        <v>707</v>
      </c>
      <c r="F376" s="31" t="s">
        <v>667</v>
      </c>
      <c r="G376" s="31" t="s">
        <v>666</v>
      </c>
      <c r="H376" s="31" t="str">
        <f t="shared" si="79"/>
        <v>Leone XIII</v>
      </c>
      <c r="I376" s="31" t="s">
        <v>603</v>
      </c>
      <c r="J376" s="31" t="s">
        <v>829</v>
      </c>
      <c r="K376" s="31" t="s">
        <v>694</v>
      </c>
      <c r="L376" s="31" t="str">
        <f t="shared" si="69"/>
        <v>Lettera Enciclica</v>
      </c>
      <c r="M376" s="31" t="s">
        <v>579</v>
      </c>
      <c r="O376" s="31" t="s">
        <v>233</v>
      </c>
      <c r="P376" s="31" t="s">
        <v>3025</v>
      </c>
      <c r="Q376" s="31" t="s">
        <v>2002</v>
      </c>
      <c r="R376" s="35" t="str">
        <f t="shared" si="81"/>
        <v>29</v>
      </c>
      <c r="S376" s="35"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5">
        <f t="shared" si="83"/>
        <v>1896</v>
      </c>
      <c r="U376" s="31"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6"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31"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31">
        <v>375</v>
      </c>
      <c r="Y376" s="31" t="str">
        <f t="shared" si="71"/>
        <v>['Leone XIII', 'Enciclica', 'Satis Cognitum', 'lxiii-enc-sco', '29 giugno 1896', '29/06/1896', '1896/06/29'],</v>
      </c>
      <c r="Z376" s="31" t="str">
        <f t="shared" si="72"/>
        <v>Satis Cognitum (29 giugno 1896) | Leone XIII</v>
      </c>
      <c r="AA376" s="31" t="str">
        <f t="shared" si="73"/>
        <v>Enciclica Satis Cognitum</v>
      </c>
      <c r="AB376" s="31" t="str">
        <f t="shared" si="74"/>
        <v>Enciclica Satis Cognitum</v>
      </c>
      <c r="AC376" s="31" t="str">
        <f t="shared" si="75"/>
        <v>Leone XIII, Lettera Enciclica Satis Cognitum, 29 giugno 1896</v>
      </c>
      <c r="AD376" s="31" t="str">
        <f t="shared" si="76"/>
        <v>1896-06-29T08:00:00.000+02:00</v>
      </c>
      <c r="AE376" s="31" t="str">
        <f t="shared" si="77"/>
        <v>lxiii-enc-sco</v>
      </c>
      <c r="AF376" s="31" t="str">
        <f t="shared" si="78"/>
        <v>Leone XIII - Lettera Enciclica - Satis Cognitum</v>
      </c>
    </row>
    <row r="377" spans="2:32" s="31" customFormat="1" x14ac:dyDescent="0.2">
      <c r="B377" s="31">
        <v>256</v>
      </c>
      <c r="C377" s="31" t="s">
        <v>1999</v>
      </c>
      <c r="D377" s="31" t="s">
        <v>723</v>
      </c>
      <c r="E377" s="31" t="s">
        <v>707</v>
      </c>
      <c r="F377" s="31" t="s">
        <v>667</v>
      </c>
      <c r="G377" s="31" t="s">
        <v>666</v>
      </c>
      <c r="H377" s="31" t="str">
        <f t="shared" si="79"/>
        <v>Leone XIII</v>
      </c>
      <c r="I377" s="31" t="s">
        <v>603</v>
      </c>
      <c r="J377" s="31" t="s">
        <v>829</v>
      </c>
      <c r="K377" s="31" t="s">
        <v>694</v>
      </c>
      <c r="L377" s="31" t="str">
        <f t="shared" si="69"/>
        <v>Lettera Enciclica</v>
      </c>
      <c r="M377" s="31" t="s">
        <v>579</v>
      </c>
      <c r="O377" s="31" t="s">
        <v>2000</v>
      </c>
      <c r="P377" s="31" t="s">
        <v>961</v>
      </c>
      <c r="Q377" s="31" t="s">
        <v>2274</v>
      </c>
      <c r="R377" s="35" t="str">
        <f t="shared" si="81"/>
        <v>01</v>
      </c>
      <c r="S377" s="35"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5">
        <f t="shared" si="83"/>
        <v>1896</v>
      </c>
      <c r="U377" s="31"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6"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31"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31">
        <v>376</v>
      </c>
      <c r="Y377" s="31" t="str">
        <f t="shared" si="71"/>
        <v>['Leone XIII', 'Enciclica', 'Insignes Deo', 'lxiii-enc-ind', '01 maggio 1896', '01/05/1896', '1896/05/01'],</v>
      </c>
      <c r="Z377" s="31" t="str">
        <f t="shared" si="72"/>
        <v>Insignes Deo (1 maggio 1896) | Leone XIII</v>
      </c>
      <c r="AA377" s="31" t="str">
        <f t="shared" si="73"/>
        <v>Enciclica Insignes Deo</v>
      </c>
      <c r="AB377" s="31" t="str">
        <f t="shared" si="74"/>
        <v>Enciclica Insignes Deo</v>
      </c>
      <c r="AC377" s="31" t="str">
        <f t="shared" si="75"/>
        <v>Leone XIII, Lettera Enciclica Insignes Deo, 01 maggio 1896</v>
      </c>
      <c r="AD377" s="31" t="str">
        <f t="shared" si="76"/>
        <v>1896-05-01T08:00:00.000+02:00</v>
      </c>
      <c r="AE377" s="31" t="str">
        <f t="shared" si="77"/>
        <v>lxiii-enc-ind</v>
      </c>
      <c r="AF377" s="31" t="str">
        <f t="shared" si="78"/>
        <v>Leone XIII - Lettera Enciclica - Insignes Deo</v>
      </c>
    </row>
    <row r="378" spans="2:32" s="31" customFormat="1" x14ac:dyDescent="0.2">
      <c r="B378" s="31">
        <v>256</v>
      </c>
      <c r="C378" s="31" t="s">
        <v>1996</v>
      </c>
      <c r="D378" s="31" t="s">
        <v>723</v>
      </c>
      <c r="E378" s="31" t="s">
        <v>707</v>
      </c>
      <c r="F378" s="31" t="s">
        <v>667</v>
      </c>
      <c r="G378" s="31" t="s">
        <v>666</v>
      </c>
      <c r="H378" s="31" t="str">
        <f t="shared" si="79"/>
        <v>Leone XIII</v>
      </c>
      <c r="I378" s="31" t="s">
        <v>603</v>
      </c>
      <c r="J378" s="31" t="s">
        <v>829</v>
      </c>
      <c r="K378" s="31" t="s">
        <v>694</v>
      </c>
      <c r="L378" s="31" t="str">
        <f t="shared" si="69"/>
        <v>Lettera Enciclica</v>
      </c>
      <c r="M378" s="31" t="s">
        <v>579</v>
      </c>
      <c r="O378" s="31" t="s">
        <v>1998</v>
      </c>
      <c r="P378" s="31" t="s">
        <v>972</v>
      </c>
      <c r="Q378" s="31" t="s">
        <v>1997</v>
      </c>
      <c r="R378" s="35" t="str">
        <f t="shared" si="81"/>
        <v>05</v>
      </c>
      <c r="S378" s="35"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5">
        <f t="shared" si="83"/>
        <v>1895</v>
      </c>
      <c r="U378" s="31"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6"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31"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31">
        <v>377</v>
      </c>
      <c r="Y378" s="31" t="str">
        <f t="shared" si="71"/>
        <v>['Leone XIII', 'Enciclica', 'Adiutricem populi', 'lxiii-enc-adp', '05 settembre 1895', '05/09/1895', '1895/09/05'],</v>
      </c>
      <c r="Z378" s="31" t="str">
        <f t="shared" si="72"/>
        <v>Adiutricem populi (5 settembre 1895) | Leone XIII</v>
      </c>
      <c r="AA378" s="31" t="str">
        <f t="shared" si="73"/>
        <v>Enciclica Adiutricem populi</v>
      </c>
      <c r="AB378" s="31" t="str">
        <f t="shared" si="74"/>
        <v>Enciclica Adiutricem populi</v>
      </c>
      <c r="AC378" s="31" t="str">
        <f t="shared" si="75"/>
        <v>Leone XIII, Lettera Enciclica Adiutricem populi, 05 settembre 1895</v>
      </c>
      <c r="AD378" s="31" t="str">
        <f t="shared" si="76"/>
        <v>1895-09-05T08:00:00.000+02:00</v>
      </c>
      <c r="AE378" s="31" t="str">
        <f t="shared" si="77"/>
        <v>lxiii-enc-adp</v>
      </c>
      <c r="AF378" s="31" t="str">
        <f t="shared" si="78"/>
        <v>Leone XIII - Lettera Enciclica - Adiutricem populi</v>
      </c>
    </row>
    <row r="379" spans="2:32" s="31" customFormat="1" x14ac:dyDescent="0.2">
      <c r="B379" s="31">
        <v>256</v>
      </c>
      <c r="C379" s="31" t="s">
        <v>1993</v>
      </c>
      <c r="D379" s="31" t="s">
        <v>723</v>
      </c>
      <c r="E379" s="31" t="s">
        <v>707</v>
      </c>
      <c r="F379" s="31" t="s">
        <v>667</v>
      </c>
      <c r="G379" s="31" t="s">
        <v>666</v>
      </c>
      <c r="H379" s="31" t="str">
        <f t="shared" si="79"/>
        <v>Leone XIII</v>
      </c>
      <c r="I379" s="31" t="s">
        <v>603</v>
      </c>
      <c r="J379" s="31" t="s">
        <v>829</v>
      </c>
      <c r="K379" s="31" t="s">
        <v>694</v>
      </c>
      <c r="L379" s="31" t="str">
        <f t="shared" si="69"/>
        <v>Lettera Enciclica</v>
      </c>
      <c r="M379" s="31" t="s">
        <v>579</v>
      </c>
      <c r="O379" s="31" t="s">
        <v>1995</v>
      </c>
      <c r="P379" s="31" t="s">
        <v>1641</v>
      </c>
      <c r="Q379" s="31" t="s">
        <v>1994</v>
      </c>
      <c r="R379" s="35" t="str">
        <f t="shared" si="81"/>
        <v>06</v>
      </c>
      <c r="S379" s="35"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5">
        <f t="shared" si="83"/>
        <v>1895</v>
      </c>
      <c r="U379" s="31"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6"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31"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31">
        <v>378</v>
      </c>
      <c r="Y379" s="31" t="str">
        <f t="shared" si="71"/>
        <v>['Leone XIII', 'Enciclica', 'Longinqua oceani', 'lxiii-enc-loo', '06 gennaio 1895', '06/01/1895', '1895/01/06'],</v>
      </c>
      <c r="Z379" s="31" t="str">
        <f t="shared" si="72"/>
        <v>Longinqua oceani (6 gennaio 1895) | Leone XIII</v>
      </c>
      <c r="AA379" s="31" t="str">
        <f t="shared" si="73"/>
        <v>Enciclica Longinqua oceani</v>
      </c>
      <c r="AB379" s="31" t="str">
        <f t="shared" si="74"/>
        <v>Enciclica Longinqua oceani</v>
      </c>
      <c r="AC379" s="31" t="str">
        <f t="shared" si="75"/>
        <v>Leone XIII, Lettera Enciclica Longinqua oceani, 06 gennaio 1895</v>
      </c>
      <c r="AD379" s="31" t="str">
        <f t="shared" si="76"/>
        <v>1895-01-06T08:00:00.000+02:00</v>
      </c>
      <c r="AE379" s="31" t="str">
        <f t="shared" si="77"/>
        <v>lxiii-enc-loo</v>
      </c>
      <c r="AF379" s="31" t="str">
        <f t="shared" si="78"/>
        <v>Leone XIII - Lettera Enciclica - Longinqua oceani</v>
      </c>
    </row>
    <row r="380" spans="2:32" s="31" customFormat="1" x14ac:dyDescent="0.2">
      <c r="B380" s="31">
        <v>256</v>
      </c>
      <c r="C380" s="31" t="s">
        <v>1990</v>
      </c>
      <c r="D380" s="31" t="s">
        <v>723</v>
      </c>
      <c r="E380" s="31" t="s">
        <v>707</v>
      </c>
      <c r="F380" s="31" t="s">
        <v>667</v>
      </c>
      <c r="G380" s="31" t="s">
        <v>666</v>
      </c>
      <c r="H380" s="31" t="str">
        <f t="shared" si="79"/>
        <v>Leone XIII</v>
      </c>
      <c r="I380" s="31" t="s">
        <v>603</v>
      </c>
      <c r="J380" s="31" t="s">
        <v>829</v>
      </c>
      <c r="K380" s="31" t="s">
        <v>694</v>
      </c>
      <c r="L380" s="31" t="str">
        <f t="shared" si="69"/>
        <v>Lettera Enciclica</v>
      </c>
      <c r="M380" s="31" t="s">
        <v>579</v>
      </c>
      <c r="O380" s="31" t="s">
        <v>1992</v>
      </c>
      <c r="P380" s="31" t="s">
        <v>1067</v>
      </c>
      <c r="Q380" s="31" t="s">
        <v>1991</v>
      </c>
      <c r="R380" s="35" t="str">
        <f t="shared" si="81"/>
        <v>24</v>
      </c>
      <c r="S380" s="35"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5">
        <f t="shared" si="83"/>
        <v>1894</v>
      </c>
      <c r="U380" s="31"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6"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31"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31">
        <v>379</v>
      </c>
      <c r="Y380" s="31" t="str">
        <f t="shared" si="71"/>
        <v>['Leone XIII', 'Enciclica', 'Christi nomen', 'lxiii-enc-chn', '24 dicembre 1894', '24/12/1894', '1894/12/24'],</v>
      </c>
      <c r="Z380" s="31" t="str">
        <f t="shared" si="72"/>
        <v>Christi nomen (24 dicembre 1894) | Leone XIII</v>
      </c>
      <c r="AA380" s="31" t="str">
        <f t="shared" si="73"/>
        <v>Enciclica Christi nomen</v>
      </c>
      <c r="AB380" s="31" t="str">
        <f t="shared" si="74"/>
        <v>Enciclica Christi nomen</v>
      </c>
      <c r="AC380" s="31" t="str">
        <f t="shared" si="75"/>
        <v>Leone XIII, Lettera Enciclica Christi nomen, 24 dicembre 1894</v>
      </c>
      <c r="AD380" s="31" t="str">
        <f t="shared" si="76"/>
        <v>1894-12-24T08:00:00.000+02:00</v>
      </c>
      <c r="AE380" s="31" t="str">
        <f t="shared" si="77"/>
        <v>lxiii-enc-chn</v>
      </c>
      <c r="AF380" s="31" t="str">
        <f t="shared" si="78"/>
        <v>Leone XIII - Lettera Enciclica - Christi nomen</v>
      </c>
    </row>
    <row r="381" spans="2:32" s="31" customFormat="1" x14ac:dyDescent="0.2">
      <c r="B381" s="31">
        <v>256</v>
      </c>
      <c r="C381" s="31" t="s">
        <v>1987</v>
      </c>
      <c r="D381" s="31" t="s">
        <v>723</v>
      </c>
      <c r="E381" s="31" t="s">
        <v>707</v>
      </c>
      <c r="F381" s="31" t="s">
        <v>667</v>
      </c>
      <c r="G381" s="31" t="s">
        <v>666</v>
      </c>
      <c r="H381" s="31" t="str">
        <f t="shared" si="79"/>
        <v>Leone XIII</v>
      </c>
      <c r="I381" s="31" t="s">
        <v>603</v>
      </c>
      <c r="J381" s="31" t="s">
        <v>829</v>
      </c>
      <c r="K381" s="31" t="s">
        <v>694</v>
      </c>
      <c r="L381" s="31" t="str">
        <f t="shared" si="69"/>
        <v>Lettera Enciclica</v>
      </c>
      <c r="M381" s="31" t="s">
        <v>579</v>
      </c>
      <c r="O381" s="31" t="s">
        <v>1989</v>
      </c>
      <c r="P381" s="31" t="s">
        <v>1066</v>
      </c>
      <c r="Q381" s="31" t="s">
        <v>1988</v>
      </c>
      <c r="R381" s="35" t="str">
        <f t="shared" si="81"/>
        <v>08</v>
      </c>
      <c r="S381" s="35"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5">
        <f t="shared" si="83"/>
        <v>1894</v>
      </c>
      <c r="U381" s="31"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6"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31"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31">
        <v>380</v>
      </c>
      <c r="Y381" s="31" t="str">
        <f t="shared" si="71"/>
        <v>['Leone XIII', 'Enciclica', 'Iucunda semper expectatione', 'lxiii-enc-ise', '08 settembre 1894', '08/09/1894', '1894/09/08'],</v>
      </c>
      <c r="Z381" s="31" t="str">
        <f t="shared" si="72"/>
        <v>Iucunda semper expectatione (8 settembre 1894) | Leone XIII</v>
      </c>
      <c r="AA381" s="31" t="str">
        <f t="shared" si="73"/>
        <v>Enciclica Iucunda semper expectatione</v>
      </c>
      <c r="AB381" s="31" t="str">
        <f t="shared" si="74"/>
        <v>Enciclica Iucunda semper expectatione</v>
      </c>
      <c r="AC381" s="31" t="str">
        <f t="shared" si="75"/>
        <v>Leone XIII, Lettera Enciclica Iucunda semper expectatione, 08 settembre 1894</v>
      </c>
      <c r="AD381" s="31" t="str">
        <f t="shared" si="76"/>
        <v>1894-09-08T08:00:00.000+02:00</v>
      </c>
      <c r="AE381" s="31" t="str">
        <f t="shared" si="77"/>
        <v>lxiii-enc-ise</v>
      </c>
      <c r="AF381" s="31" t="str">
        <f t="shared" si="78"/>
        <v>Leone XIII - Lettera Enciclica - Iucunda semper expectatione</v>
      </c>
    </row>
    <row r="382" spans="2:32" s="31" customFormat="1" x14ac:dyDescent="0.2">
      <c r="B382" s="31">
        <v>256</v>
      </c>
      <c r="C382" s="31" t="s">
        <v>1984</v>
      </c>
      <c r="D382" s="31" t="s">
        <v>723</v>
      </c>
      <c r="E382" s="31" t="s">
        <v>707</v>
      </c>
      <c r="F382" s="31" t="s">
        <v>667</v>
      </c>
      <c r="G382" s="31" t="s">
        <v>666</v>
      </c>
      <c r="H382" s="31" t="str">
        <f t="shared" si="79"/>
        <v>Leone XIII</v>
      </c>
      <c r="I382" s="31" t="s">
        <v>603</v>
      </c>
      <c r="J382" s="31" t="s">
        <v>829</v>
      </c>
      <c r="K382" s="31" t="s">
        <v>694</v>
      </c>
      <c r="L382" s="31" t="str">
        <f t="shared" si="69"/>
        <v>Lettera Enciclica</v>
      </c>
      <c r="M382" s="31" t="s">
        <v>579</v>
      </c>
      <c r="O382" s="31" t="s">
        <v>1986</v>
      </c>
      <c r="P382" s="31" t="s">
        <v>975</v>
      </c>
      <c r="Q382" s="31" t="s">
        <v>1985</v>
      </c>
      <c r="R382" s="35" t="str">
        <f t="shared" si="81"/>
        <v>02</v>
      </c>
      <c r="S382" s="35"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5">
        <f t="shared" si="83"/>
        <v>1894</v>
      </c>
      <c r="U382" s="31"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6"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31"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31">
        <v>381</v>
      </c>
      <c r="Y382" s="31" t="str">
        <f t="shared" si="71"/>
        <v>['Leone XIII', 'Enciclica', 'Litteras a vobis', 'lxiii-enc-lav', '02 luglio 1894', '02/07/1894', '1894/07/02'],</v>
      </c>
      <c r="Z382" s="31" t="str">
        <f t="shared" si="72"/>
        <v>Litteras a vobis (2 luglio 1894) | Leone XIII</v>
      </c>
      <c r="AA382" s="31" t="str">
        <f t="shared" si="73"/>
        <v>Enciclica Litteras a vobis</v>
      </c>
      <c r="AB382" s="31" t="str">
        <f t="shared" si="74"/>
        <v>Enciclica Litteras a vobis</v>
      </c>
      <c r="AC382" s="31" t="str">
        <f t="shared" si="75"/>
        <v>Leone XIII, Lettera Enciclica Litteras a vobis, 02 luglio 1894</v>
      </c>
      <c r="AD382" s="31" t="str">
        <f t="shared" si="76"/>
        <v>1894-07-02T08:00:00.000+02:00</v>
      </c>
      <c r="AE382" s="31" t="str">
        <f t="shared" si="77"/>
        <v>lxiii-enc-lav</v>
      </c>
      <c r="AF382" s="31" t="str">
        <f t="shared" si="78"/>
        <v>Leone XIII - Lettera Enciclica - Litteras a vobis</v>
      </c>
    </row>
    <row r="383" spans="2:32" s="31" customFormat="1" x14ac:dyDescent="0.2">
      <c r="B383" s="31">
        <v>256</v>
      </c>
      <c r="C383" s="31" t="s">
        <v>1982</v>
      </c>
      <c r="D383" s="31" t="s">
        <v>723</v>
      </c>
      <c r="E383" s="31" t="s">
        <v>707</v>
      </c>
      <c r="F383" s="31" t="s">
        <v>667</v>
      </c>
      <c r="G383" s="31" t="s">
        <v>666</v>
      </c>
      <c r="H383" s="31" t="str">
        <f t="shared" si="79"/>
        <v>Leone XIII</v>
      </c>
      <c r="I383" s="31" t="s">
        <v>603</v>
      </c>
      <c r="J383" s="31" t="s">
        <v>829</v>
      </c>
      <c r="K383" s="31" t="s">
        <v>694</v>
      </c>
      <c r="L383" s="31" t="str">
        <f t="shared" si="69"/>
        <v>Lettera Enciclica</v>
      </c>
      <c r="M383" s="31" t="s">
        <v>579</v>
      </c>
      <c r="O383" s="31" t="s">
        <v>1983</v>
      </c>
      <c r="P383" s="31" t="s">
        <v>963</v>
      </c>
      <c r="Q383" s="31" t="s">
        <v>2275</v>
      </c>
      <c r="R383" s="35" t="str">
        <f t="shared" si="81"/>
        <v>01</v>
      </c>
      <c r="S383" s="35"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5">
        <f t="shared" si="83"/>
        <v>1894</v>
      </c>
      <c r="U383" s="31"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6"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31"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31">
        <v>382</v>
      </c>
      <c r="Y383" s="31" t="str">
        <f t="shared" si="71"/>
        <v>['Leone XIII', 'Enciclica', 'Inter graves', 'lxiii-enc-ing', '01 maggio 1894', '01/05/1894', '1894/05/01'],</v>
      </c>
      <c r="Z383" s="31" t="str">
        <f t="shared" si="72"/>
        <v>Inter graves (1 maggio 1894) | Leone XIII</v>
      </c>
      <c r="AA383" s="31" t="str">
        <f t="shared" si="73"/>
        <v>Enciclica Inter graves</v>
      </c>
      <c r="AB383" s="31" t="str">
        <f t="shared" si="74"/>
        <v>Enciclica Inter graves</v>
      </c>
      <c r="AC383" s="31" t="str">
        <f t="shared" si="75"/>
        <v>Leone XIII, Lettera Enciclica Inter graves, 01 maggio 1894</v>
      </c>
      <c r="AD383" s="31" t="str">
        <f t="shared" si="76"/>
        <v>1894-05-01T08:00:00.000+02:00</v>
      </c>
      <c r="AE383" s="31" t="str">
        <f t="shared" si="77"/>
        <v>lxiii-enc-ing</v>
      </c>
      <c r="AF383" s="31" t="str">
        <f t="shared" si="78"/>
        <v>Leone XIII - Lettera Enciclica - Inter graves</v>
      </c>
    </row>
    <row r="384" spans="2:32" s="31" customFormat="1" x14ac:dyDescent="0.2">
      <c r="B384" s="31">
        <v>256</v>
      </c>
      <c r="C384" s="31" t="s">
        <v>1979</v>
      </c>
      <c r="D384" s="31" t="s">
        <v>723</v>
      </c>
      <c r="E384" s="31" t="s">
        <v>707</v>
      </c>
      <c r="F384" s="31" t="s">
        <v>667</v>
      </c>
      <c r="G384" s="31" t="s">
        <v>666</v>
      </c>
      <c r="H384" s="31" t="str">
        <f t="shared" si="79"/>
        <v>Leone XIII</v>
      </c>
      <c r="I384" s="31" t="s">
        <v>603</v>
      </c>
      <c r="J384" s="31" t="s">
        <v>829</v>
      </c>
      <c r="K384" s="31" t="s">
        <v>694</v>
      </c>
      <c r="L384" s="31" t="str">
        <f t="shared" si="69"/>
        <v>Lettera Enciclica</v>
      </c>
      <c r="M384" s="31" t="s">
        <v>579</v>
      </c>
      <c r="O384" s="31" t="s">
        <v>1981</v>
      </c>
      <c r="P384" s="31" t="s">
        <v>3020</v>
      </c>
      <c r="Q384" s="31" t="s">
        <v>1980</v>
      </c>
      <c r="R384" s="35" t="str">
        <f t="shared" si="81"/>
        <v>19</v>
      </c>
      <c r="S384" s="35"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5">
        <f t="shared" si="83"/>
        <v>1894</v>
      </c>
      <c r="U384" s="31"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6"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31"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31">
        <v>383</v>
      </c>
      <c r="Y384" s="31" t="str">
        <f t="shared" si="71"/>
        <v>['Leone XIII', 'Enciclica', 'Caritatis providentiaeque', 'lxiii-enc-cap', '19 marzo 1894', '19/03/1894', '1894/03/19'],</v>
      </c>
      <c r="Z384" s="31" t="str">
        <f t="shared" si="72"/>
        <v>Caritatis providentiaeque (19 marzo 1894) | Leone XIII</v>
      </c>
      <c r="AA384" s="31" t="str">
        <f t="shared" si="73"/>
        <v>Enciclica Caritatis providentiaeque</v>
      </c>
      <c r="AB384" s="31" t="str">
        <f t="shared" si="74"/>
        <v>Enciclica Caritatis providentiaeque</v>
      </c>
      <c r="AC384" s="31" t="str">
        <f t="shared" si="75"/>
        <v>Leone XIII, Lettera Enciclica Caritatis providentiaeque, 19 marzo 1894</v>
      </c>
      <c r="AD384" s="31" t="str">
        <f t="shared" si="76"/>
        <v>1894-03-19T08:00:00.000+02:00</v>
      </c>
      <c r="AE384" s="31" t="str">
        <f t="shared" si="77"/>
        <v>lxiii-enc-cap</v>
      </c>
      <c r="AF384" s="31" t="str">
        <f t="shared" si="78"/>
        <v>Leone XIII - Lettera Enciclica - Caritatis providentiaeque</v>
      </c>
    </row>
    <row r="385" spans="2:32" s="31" customFormat="1" x14ac:dyDescent="0.2">
      <c r="B385" s="31">
        <v>256</v>
      </c>
      <c r="C385" s="31" t="s">
        <v>1977</v>
      </c>
      <c r="D385" s="31" t="s">
        <v>723</v>
      </c>
      <c r="E385" s="31" t="s">
        <v>707</v>
      </c>
      <c r="F385" s="31" t="s">
        <v>667</v>
      </c>
      <c r="G385" s="31" t="s">
        <v>666</v>
      </c>
      <c r="H385" s="31" t="str">
        <f t="shared" si="79"/>
        <v>Leone XIII</v>
      </c>
      <c r="I385" s="31" t="s">
        <v>603</v>
      </c>
      <c r="J385" s="31" t="s">
        <v>829</v>
      </c>
      <c r="K385" s="31" t="s">
        <v>694</v>
      </c>
      <c r="L385" s="31" t="str">
        <f t="shared" ref="L385:L449" si="84">IF(J385&lt;&gt;"",_xlfn.CONCAT(J385 &amp; " " &amp; K385),K385)</f>
        <v>Lettera Enciclica</v>
      </c>
      <c r="M385" s="31" t="s">
        <v>579</v>
      </c>
      <c r="O385" s="31" t="s">
        <v>223</v>
      </c>
      <c r="P385" s="31" t="s">
        <v>1064</v>
      </c>
      <c r="Q385" s="31" t="s">
        <v>1978</v>
      </c>
      <c r="R385" s="35" t="str">
        <f t="shared" si="81"/>
        <v>18</v>
      </c>
      <c r="S385" s="35"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5">
        <f t="shared" si="83"/>
        <v>1893</v>
      </c>
      <c r="U385" s="31"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6"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31"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31">
        <v>384</v>
      </c>
      <c r="Y385" s="31" t="str">
        <f t="shared" si="71"/>
        <v>['Leone XIII', 'Enciclica', 'Providentissimus Deus', 'lxiii-enc-prd', '18 novembre 1893', '18/11/1893', '1893/11/18'],</v>
      </c>
      <c r="Z385" s="31" t="str">
        <f t="shared" si="72"/>
        <v>Providentissimus Deus (18 novembre 1893) | Leone XIII</v>
      </c>
      <c r="AA385" s="31" t="str">
        <f t="shared" si="73"/>
        <v>Enciclica Providentissimus Deus</v>
      </c>
      <c r="AB385" s="31" t="str">
        <f t="shared" si="74"/>
        <v>Enciclica Providentissimus Deus</v>
      </c>
      <c r="AC385" s="31" t="str">
        <f t="shared" si="75"/>
        <v>Leone XIII, Lettera Enciclica Providentissimus Deus, 18 novembre 1893</v>
      </c>
      <c r="AD385" s="31" t="str">
        <f t="shared" si="76"/>
        <v>1893-11-18T08:00:00.000+02:00</v>
      </c>
      <c r="AE385" s="31" t="str">
        <f t="shared" si="77"/>
        <v>lxiii-enc-prd</v>
      </c>
      <c r="AF385" s="31" t="str">
        <f t="shared" si="78"/>
        <v>Leone XIII - Lettera Enciclica - Providentissimus Deus</v>
      </c>
    </row>
    <row r="386" spans="2:32" s="31" customFormat="1" x14ac:dyDescent="0.2">
      <c r="B386" s="31">
        <v>256</v>
      </c>
      <c r="C386" s="31" t="s">
        <v>1975</v>
      </c>
      <c r="D386" s="31" t="s">
        <v>723</v>
      </c>
      <c r="E386" s="31" t="s">
        <v>707</v>
      </c>
      <c r="F386" s="31" t="s">
        <v>667</v>
      </c>
      <c r="G386" s="31" t="s">
        <v>666</v>
      </c>
      <c r="H386" s="31" t="str">
        <f t="shared" si="79"/>
        <v>Leone XIII</v>
      </c>
      <c r="I386" s="31" t="s">
        <v>603</v>
      </c>
      <c r="J386" s="31" t="s">
        <v>829</v>
      </c>
      <c r="K386" s="31" t="s">
        <v>694</v>
      </c>
      <c r="L386" s="31" t="str">
        <f t="shared" si="84"/>
        <v>Lettera Enciclica</v>
      </c>
      <c r="M386" s="31" t="s">
        <v>579</v>
      </c>
      <c r="O386" s="31" t="s">
        <v>1976</v>
      </c>
      <c r="P386" s="31" t="s">
        <v>1063</v>
      </c>
      <c r="Q386" s="31" t="s">
        <v>2276</v>
      </c>
      <c r="R386" s="35" t="str">
        <f t="shared" si="81"/>
        <v>25</v>
      </c>
      <c r="S386" s="35"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5">
        <f t="shared" si="83"/>
        <v>1893</v>
      </c>
      <c r="U386" s="31"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6"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31"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31">
        <v>385</v>
      </c>
      <c r="Y386" s="31" t="str">
        <f t="shared" ref="Y386:Y449" si="85">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31" t="str">
        <f t="shared" ref="Z386:Z449" si="86">_xlfn.CONCAT(O386 &amp; " (" &amp; Q386 &amp; ") | " &amp; D386 &amp; " " &amp; E386)</f>
        <v>Non mediocri (25 ottobre 1893) | Leone XIII</v>
      </c>
      <c r="AA386" s="31" t="str">
        <f t="shared" ref="AA386:AA449" si="87">_xlfn.CONCAT(K386 &amp; " " &amp; O386)</f>
        <v>Enciclica Non mediocri</v>
      </c>
      <c r="AB386" s="31" t="str">
        <f t="shared" ref="AB386:AB449" si="88">_xlfn.CONCAT(K386 &amp; " " &amp; O386)</f>
        <v>Enciclica Non mediocri</v>
      </c>
      <c r="AC386" s="31" t="str">
        <f t="shared" ref="AC386:AC449" si="89">_xlfn.CONCAT(H386 &amp; ", " &amp; L386 &amp; " " &amp; O386 &amp; ", " &amp; LEFT(U386,2) &amp; " " &amp; TEXT(VALUE(MID(U386,4,2))*29,"mmmm") &amp; " " &amp; RIGHT(U386,4))</f>
        <v>Leone XIII, Lettera Enciclica Non mediocri, 25 ottobre 1893</v>
      </c>
      <c r="AD386" s="31" t="str">
        <f t="shared" ref="AD386:AD449" si="90">_xlfn.CONCAT(RIGHT(U386,4) &amp; "-" &amp; MID(U386,4,2) &amp; "-" &amp; LEFT(U386,2) &amp; "T08:00:00.000+02:00")</f>
        <v>1893-10-25T08:00:00.000+02:00</v>
      </c>
      <c r="AE386" s="31" t="str">
        <f t="shared" si="77"/>
        <v>lxiii-enc-nom</v>
      </c>
      <c r="AF386" s="31" t="str">
        <f t="shared" si="78"/>
        <v>Leone XIII - Lettera Enciclica - Non mediocri</v>
      </c>
    </row>
    <row r="387" spans="2:32" s="31" customFormat="1" x14ac:dyDescent="0.2">
      <c r="B387" s="31">
        <v>256</v>
      </c>
      <c r="C387" s="31" t="s">
        <v>1972</v>
      </c>
      <c r="D387" s="31" t="s">
        <v>723</v>
      </c>
      <c r="E387" s="31" t="s">
        <v>707</v>
      </c>
      <c r="F387" s="31" t="s">
        <v>667</v>
      </c>
      <c r="G387" s="31" t="s">
        <v>666</v>
      </c>
      <c r="H387" s="31" t="str">
        <f t="shared" si="79"/>
        <v>Leone XIII</v>
      </c>
      <c r="I387" s="31" t="s">
        <v>603</v>
      </c>
      <c r="J387" s="31" t="s">
        <v>829</v>
      </c>
      <c r="K387" s="31" t="s">
        <v>694</v>
      </c>
      <c r="L387" s="31" t="str">
        <f t="shared" si="84"/>
        <v>Lettera Enciclica</v>
      </c>
      <c r="M387" s="31" t="s">
        <v>579</v>
      </c>
      <c r="O387" s="31" t="s">
        <v>1974</v>
      </c>
      <c r="P387" s="31" t="s">
        <v>587</v>
      </c>
      <c r="Q387" s="31" t="s">
        <v>1973</v>
      </c>
      <c r="R387" s="35" t="str">
        <f t="shared" si="81"/>
        <v>08</v>
      </c>
      <c r="S387" s="35"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5">
        <f t="shared" si="83"/>
        <v>1893</v>
      </c>
      <c r="U387" s="31"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6"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31"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31">
        <v>386</v>
      </c>
      <c r="Y387" s="31" t="str">
        <f t="shared" si="85"/>
        <v>['Leone XIII', 'Enciclica', 'Laetitiae sanctae', 'lxiii-enc-las', '08 settembre 1893', '08/09/1893', '1893/09/08'],</v>
      </c>
      <c r="Z387" s="31" t="str">
        <f t="shared" si="86"/>
        <v>Laetitiae sanctae (8 settembre 1893) | Leone XIII</v>
      </c>
      <c r="AA387" s="31" t="str">
        <f t="shared" si="87"/>
        <v>Enciclica Laetitiae sanctae</v>
      </c>
      <c r="AB387" s="31" t="str">
        <f t="shared" si="88"/>
        <v>Enciclica Laetitiae sanctae</v>
      </c>
      <c r="AC387" s="31" t="str">
        <f t="shared" si="89"/>
        <v>Leone XIII, Lettera Enciclica Laetitiae sanctae, 08 settembre 1893</v>
      </c>
      <c r="AD387" s="31" t="str">
        <f t="shared" si="90"/>
        <v>1893-09-08T08:00:00.000+02:00</v>
      </c>
      <c r="AE387" s="31" t="str">
        <f t="shared" ref="AE387:AE450" si="91">_xlfn.CONCAT(F387 &amp; "-" &amp; M387 &amp; "-" &amp; P387)</f>
        <v>lxiii-enc-las</v>
      </c>
      <c r="AF387" s="31" t="str">
        <f t="shared" ref="AF387:AF450" si="92">_xlfn.CONCAT(H387 &amp; " - " &amp; L387 &amp; " - " &amp; O387)</f>
        <v>Leone XIII - Lettera Enciclica - Laetitiae sanctae</v>
      </c>
    </row>
    <row r="388" spans="2:32" s="31" customFormat="1" x14ac:dyDescent="0.2">
      <c r="B388" s="31">
        <v>256</v>
      </c>
      <c r="C388" s="31" t="s">
        <v>1970</v>
      </c>
      <c r="D388" s="31" t="s">
        <v>723</v>
      </c>
      <c r="E388" s="31" t="s">
        <v>707</v>
      </c>
      <c r="F388" s="31" t="s">
        <v>667</v>
      </c>
      <c r="G388" s="31" t="s">
        <v>666</v>
      </c>
      <c r="H388" s="31" t="str">
        <f t="shared" si="79"/>
        <v>Leone XIII</v>
      </c>
      <c r="I388" s="31" t="s">
        <v>603</v>
      </c>
      <c r="J388" s="31" t="s">
        <v>829</v>
      </c>
      <c r="K388" s="31" t="s">
        <v>694</v>
      </c>
      <c r="L388" s="31" t="str">
        <f t="shared" si="84"/>
        <v>Lettera Enciclica</v>
      </c>
      <c r="M388" s="31" t="s">
        <v>579</v>
      </c>
      <c r="O388" s="31" t="s">
        <v>220</v>
      </c>
      <c r="P388" s="31" t="s">
        <v>1062</v>
      </c>
      <c r="Q388" s="31" t="s">
        <v>1971</v>
      </c>
      <c r="R388" s="35" t="str">
        <f t="shared" si="81"/>
        <v>02</v>
      </c>
      <c r="S388" s="35"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5">
        <f t="shared" si="83"/>
        <v>1893</v>
      </c>
      <c r="U388" s="31"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6"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31"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31">
        <v>387</v>
      </c>
      <c r="Y388" s="31" t="str">
        <f t="shared" si="85"/>
        <v>['Leone XIII', 'Enciclica', 'Constanti Hungarorum', 'lxiii-enc-coh', '02 settembre 1893', '02/09/1893', '1893/09/02'],</v>
      </c>
      <c r="Z388" s="31" t="str">
        <f t="shared" si="86"/>
        <v>Constanti Hungarorum (2 settembre 1893) | Leone XIII</v>
      </c>
      <c r="AA388" s="31" t="str">
        <f t="shared" si="87"/>
        <v>Enciclica Constanti Hungarorum</v>
      </c>
      <c r="AB388" s="31" t="str">
        <f t="shared" si="88"/>
        <v>Enciclica Constanti Hungarorum</v>
      </c>
      <c r="AC388" s="31" t="str">
        <f t="shared" si="89"/>
        <v>Leone XIII, Lettera Enciclica Constanti Hungarorum, 02 settembre 1893</v>
      </c>
      <c r="AD388" s="31" t="str">
        <f t="shared" si="90"/>
        <v>1893-09-02T08:00:00.000+02:00</v>
      </c>
      <c r="AE388" s="31" t="str">
        <f t="shared" si="91"/>
        <v>lxiii-enc-coh</v>
      </c>
      <c r="AF388" s="31" t="str">
        <f t="shared" si="92"/>
        <v>Leone XIII - Lettera Enciclica - Constanti Hungarorum</v>
      </c>
    </row>
    <row r="389" spans="2:32" s="31" customFormat="1" x14ac:dyDescent="0.2">
      <c r="B389" s="31">
        <v>256</v>
      </c>
      <c r="C389" s="31" t="s">
        <v>1967</v>
      </c>
      <c r="D389" s="31" t="s">
        <v>723</v>
      </c>
      <c r="E389" s="31" t="s">
        <v>707</v>
      </c>
      <c r="F389" s="31" t="s">
        <v>667</v>
      </c>
      <c r="G389" s="31" t="s">
        <v>666</v>
      </c>
      <c r="H389" s="31" t="str">
        <f t="shared" si="79"/>
        <v>Leone XIII</v>
      </c>
      <c r="I389" s="31" t="s">
        <v>603</v>
      </c>
      <c r="J389" s="31" t="s">
        <v>829</v>
      </c>
      <c r="K389" s="31" t="s">
        <v>694</v>
      </c>
      <c r="L389" s="31" t="str">
        <f t="shared" si="84"/>
        <v>Lettera Enciclica</v>
      </c>
      <c r="M389" s="31" t="s">
        <v>579</v>
      </c>
      <c r="O389" s="31" t="s">
        <v>1969</v>
      </c>
      <c r="P389" s="31" t="s">
        <v>1061</v>
      </c>
      <c r="Q389" s="31" t="s">
        <v>1968</v>
      </c>
      <c r="R389" s="35" t="str">
        <f t="shared" si="81"/>
        <v>24</v>
      </c>
      <c r="S389" s="35"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5">
        <f t="shared" si="83"/>
        <v>1893</v>
      </c>
      <c r="U389" s="31"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6"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31"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31">
        <v>388</v>
      </c>
      <c r="Y389" s="31" t="str">
        <f t="shared" si="85"/>
        <v>['Leone XIII', 'Enciclica', 'Ad extremas', 'lxiii-enc-ade', '24 giugno 1893', '24/06/1893', '1893/06/24'],</v>
      </c>
      <c r="Z389" s="31" t="str">
        <f t="shared" si="86"/>
        <v>Ad extremas (24 giugno 1893) | Leone XIII</v>
      </c>
      <c r="AA389" s="31" t="str">
        <f t="shared" si="87"/>
        <v>Enciclica Ad extremas</v>
      </c>
      <c r="AB389" s="31" t="str">
        <f t="shared" si="88"/>
        <v>Enciclica Ad extremas</v>
      </c>
      <c r="AC389" s="31" t="str">
        <f t="shared" si="89"/>
        <v>Leone XIII, Lettera Enciclica Ad extremas, 24 giugno 1893</v>
      </c>
      <c r="AD389" s="31" t="str">
        <f t="shared" si="90"/>
        <v>1893-06-24T08:00:00.000+02:00</v>
      </c>
      <c r="AE389" s="31" t="str">
        <f t="shared" si="91"/>
        <v>lxiii-enc-ade</v>
      </c>
      <c r="AF389" s="31" t="str">
        <f t="shared" si="92"/>
        <v>Leone XIII - Lettera Enciclica - Ad extremas</v>
      </c>
    </row>
    <row r="390" spans="2:32" s="31" customFormat="1" x14ac:dyDescent="0.2">
      <c r="B390" s="31">
        <v>256</v>
      </c>
      <c r="C390" s="31" t="s">
        <v>1966</v>
      </c>
      <c r="D390" s="31" t="s">
        <v>723</v>
      </c>
      <c r="E390" s="31" t="s">
        <v>707</v>
      </c>
      <c r="F390" s="31" t="s">
        <v>667</v>
      </c>
      <c r="G390" s="31" t="s">
        <v>666</v>
      </c>
      <c r="H390" s="31" t="str">
        <f t="shared" si="79"/>
        <v>Leone XIII</v>
      </c>
      <c r="I390" s="31" t="s">
        <v>603</v>
      </c>
      <c r="J390" s="31" t="s">
        <v>829</v>
      </c>
      <c r="K390" s="31" t="s">
        <v>694</v>
      </c>
      <c r="L390" s="31" t="str">
        <f t="shared" si="84"/>
        <v>Lettera Enciclica</v>
      </c>
      <c r="M390" s="31" t="s">
        <v>579</v>
      </c>
      <c r="O390" s="31" t="s">
        <v>218</v>
      </c>
      <c r="P390" s="31" t="s">
        <v>1060</v>
      </c>
      <c r="Q390" s="31" t="s">
        <v>1965</v>
      </c>
      <c r="R390" s="35" t="str">
        <f t="shared" si="81"/>
        <v>08</v>
      </c>
      <c r="S390" s="35"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5">
        <f t="shared" si="83"/>
        <v>1892</v>
      </c>
      <c r="U390" s="31"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6"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31"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31">
        <v>389</v>
      </c>
      <c r="Y390" s="31" t="str">
        <f t="shared" si="85"/>
        <v>['Leone XIII', 'Enciclica', 'Inimica Vis', 'lxiii-enc-inv', '08 dicembre 1892', '08/12/1892', '1892/12/08'],</v>
      </c>
      <c r="Z390" s="31" t="str">
        <f t="shared" si="86"/>
        <v>Inimica Vis (8 dicembre 1892) | Leone XIII</v>
      </c>
      <c r="AA390" s="31" t="str">
        <f t="shared" si="87"/>
        <v>Enciclica Inimica Vis</v>
      </c>
      <c r="AB390" s="31" t="str">
        <f t="shared" si="88"/>
        <v>Enciclica Inimica Vis</v>
      </c>
      <c r="AC390" s="31" t="str">
        <f t="shared" si="89"/>
        <v>Leone XIII, Lettera Enciclica Inimica Vis, 08 dicembre 1892</v>
      </c>
      <c r="AD390" s="31" t="str">
        <f t="shared" si="90"/>
        <v>1892-12-08T08:00:00.000+02:00</v>
      </c>
      <c r="AE390" s="31" t="str">
        <f t="shared" si="91"/>
        <v>lxiii-enc-inv</v>
      </c>
      <c r="AF390" s="31" t="str">
        <f t="shared" si="92"/>
        <v>Leone XIII - Lettera Enciclica - Inimica Vis</v>
      </c>
    </row>
    <row r="391" spans="2:32" s="31" customFormat="1" x14ac:dyDescent="0.2">
      <c r="B391" s="31">
        <v>256</v>
      </c>
      <c r="C391" s="31" t="s">
        <v>1964</v>
      </c>
      <c r="D391" s="31" t="s">
        <v>723</v>
      </c>
      <c r="E391" s="31" t="s">
        <v>707</v>
      </c>
      <c r="F391" s="31" t="s">
        <v>667</v>
      </c>
      <c r="G391" s="31" t="s">
        <v>666</v>
      </c>
      <c r="H391" s="31" t="str">
        <f t="shared" si="79"/>
        <v>Leone XIII</v>
      </c>
      <c r="I391" s="31" t="s">
        <v>603</v>
      </c>
      <c r="J391" s="31" t="s">
        <v>829</v>
      </c>
      <c r="K391" s="31" t="s">
        <v>694</v>
      </c>
      <c r="L391" s="31" t="str">
        <f t="shared" si="84"/>
        <v>Lettera Enciclica</v>
      </c>
      <c r="M391" s="31" t="s">
        <v>579</v>
      </c>
      <c r="O391" s="31" t="s">
        <v>217</v>
      </c>
      <c r="P391" s="31" t="s">
        <v>3021</v>
      </c>
      <c r="Q391" s="31" t="s">
        <v>1965</v>
      </c>
      <c r="R391" s="35" t="str">
        <f t="shared" si="81"/>
        <v>08</v>
      </c>
      <c r="S391" s="35"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5">
        <f t="shared" si="83"/>
        <v>1892</v>
      </c>
      <c r="U391" s="31"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6"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31"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31">
        <v>390</v>
      </c>
      <c r="Y391" s="31" t="str">
        <f t="shared" si="85"/>
        <v>['Leone XIII', 'Enciclica', 'Custodi di quella Fede', 'lxiii-enc-cdf', '08 dicembre 1892', '08/12/1892', '1892/12/08'],</v>
      </c>
      <c r="Z391" s="31" t="str">
        <f t="shared" si="86"/>
        <v>Custodi di quella Fede (8 dicembre 1892) | Leone XIII</v>
      </c>
      <c r="AA391" s="31" t="str">
        <f t="shared" si="87"/>
        <v>Enciclica Custodi di quella Fede</v>
      </c>
      <c r="AB391" s="31" t="str">
        <f t="shared" si="88"/>
        <v>Enciclica Custodi di quella Fede</v>
      </c>
      <c r="AC391" s="31" t="str">
        <f t="shared" si="89"/>
        <v>Leone XIII, Lettera Enciclica Custodi di quella Fede, 08 dicembre 1892</v>
      </c>
      <c r="AD391" s="31" t="str">
        <f t="shared" si="90"/>
        <v>1892-12-08T08:00:00.000+02:00</v>
      </c>
      <c r="AE391" s="31" t="str">
        <f t="shared" si="91"/>
        <v>lxiii-enc-cdf</v>
      </c>
      <c r="AF391" s="31" t="str">
        <f t="shared" si="92"/>
        <v>Leone XIII - Lettera Enciclica - Custodi di quella Fede</v>
      </c>
    </row>
    <row r="392" spans="2:32" s="31" customFormat="1" x14ac:dyDescent="0.2">
      <c r="B392" s="31">
        <v>256</v>
      </c>
      <c r="C392" s="31" t="s">
        <v>1962</v>
      </c>
      <c r="D392" s="31" t="s">
        <v>723</v>
      </c>
      <c r="E392" s="31" t="s">
        <v>707</v>
      </c>
      <c r="F392" s="31" t="s">
        <v>667</v>
      </c>
      <c r="G392" s="31" t="s">
        <v>666</v>
      </c>
      <c r="H392" s="31" t="str">
        <f t="shared" ref="H392:H456" si="93">_xlfn.CONCAT(D392 &amp; " " &amp; E392)</f>
        <v>Leone XIII</v>
      </c>
      <c r="I392" s="31" t="s">
        <v>603</v>
      </c>
      <c r="J392" s="31" t="s">
        <v>829</v>
      </c>
      <c r="K392" s="31" t="s">
        <v>694</v>
      </c>
      <c r="L392" s="31" t="str">
        <f t="shared" si="84"/>
        <v>Lettera Enciclica</v>
      </c>
      <c r="M392" s="31" t="s">
        <v>579</v>
      </c>
      <c r="O392" s="31" t="s">
        <v>216</v>
      </c>
      <c r="P392" s="31" t="s">
        <v>1058</v>
      </c>
      <c r="Q392" s="31" t="s">
        <v>1963</v>
      </c>
      <c r="R392" s="35" t="str">
        <f t="shared" si="81"/>
        <v>08</v>
      </c>
      <c r="S392" s="35"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5">
        <f t="shared" si="83"/>
        <v>1892</v>
      </c>
      <c r="U392" s="31"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6"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31"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31">
        <v>391</v>
      </c>
      <c r="Y392" s="31" t="str">
        <f t="shared" si="85"/>
        <v>['Leone XIII', 'Enciclica', 'Magnae Dei Matris', 'lxiii-enc-mdm', '08 settembre 1892', '08/09/1892', '1892/09/08'],</v>
      </c>
      <c r="Z392" s="31" t="str">
        <f t="shared" si="86"/>
        <v>Magnae Dei Matris (8 settembre 1892) | Leone XIII</v>
      </c>
      <c r="AA392" s="31" t="str">
        <f t="shared" si="87"/>
        <v>Enciclica Magnae Dei Matris</v>
      </c>
      <c r="AB392" s="31" t="str">
        <f t="shared" si="88"/>
        <v>Enciclica Magnae Dei Matris</v>
      </c>
      <c r="AC392" s="31" t="str">
        <f t="shared" si="89"/>
        <v>Leone XIII, Lettera Enciclica Magnae Dei Matris, 08 settembre 1892</v>
      </c>
      <c r="AD392" s="31" t="str">
        <f t="shared" si="90"/>
        <v>1892-09-08T08:00:00.000+02:00</v>
      </c>
      <c r="AE392" s="31" t="str">
        <f t="shared" si="91"/>
        <v>lxiii-enc-mdm</v>
      </c>
      <c r="AF392" s="31" t="str">
        <f t="shared" si="92"/>
        <v>Leone XIII - Lettera Enciclica - Magnae Dei Matris</v>
      </c>
    </row>
    <row r="393" spans="2:32" s="31" customFormat="1" x14ac:dyDescent="0.2">
      <c r="B393" s="31">
        <v>256</v>
      </c>
      <c r="C393" s="31" t="s">
        <v>1960</v>
      </c>
      <c r="D393" s="31" t="s">
        <v>723</v>
      </c>
      <c r="E393" s="31" t="s">
        <v>707</v>
      </c>
      <c r="F393" s="31" t="s">
        <v>667</v>
      </c>
      <c r="G393" s="31" t="s">
        <v>666</v>
      </c>
      <c r="H393" s="31" t="str">
        <f t="shared" si="93"/>
        <v>Leone XIII</v>
      </c>
      <c r="I393" s="31" t="s">
        <v>603</v>
      </c>
      <c r="J393" s="31" t="s">
        <v>829</v>
      </c>
      <c r="K393" s="31" t="s">
        <v>694</v>
      </c>
      <c r="L393" s="31" t="str">
        <f t="shared" si="84"/>
        <v>Lettera Enciclica</v>
      </c>
      <c r="M393" s="31" t="s">
        <v>579</v>
      </c>
      <c r="O393" s="31" t="s">
        <v>215</v>
      </c>
      <c r="P393" s="31" t="s">
        <v>1057</v>
      </c>
      <c r="Q393" s="31" t="s">
        <v>1961</v>
      </c>
      <c r="R393" s="35" t="str">
        <f t="shared" si="81"/>
        <v>16</v>
      </c>
      <c r="S393" s="35"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5">
        <f t="shared" si="83"/>
        <v>1892</v>
      </c>
      <c r="U393" s="31"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6"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31"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31">
        <v>392</v>
      </c>
      <c r="Y393" s="31" t="str">
        <f t="shared" si="85"/>
        <v>['Leone XIII', 'Enciclica', 'Quarto Abeunte Saeculo', 'lxiii-enc-qas', '16 luglio 1892', '16/07/1892', '1892/07/16'],</v>
      </c>
      <c r="Z393" s="31" t="str">
        <f t="shared" si="86"/>
        <v>Quarto Abeunte Saeculo (16 luglio 1892) | Leone XIII</v>
      </c>
      <c r="AA393" s="31" t="str">
        <f t="shared" si="87"/>
        <v>Enciclica Quarto Abeunte Saeculo</v>
      </c>
      <c r="AB393" s="31" t="str">
        <f t="shared" si="88"/>
        <v>Enciclica Quarto Abeunte Saeculo</v>
      </c>
      <c r="AC393" s="31" t="str">
        <f t="shared" si="89"/>
        <v>Leone XIII, Lettera Enciclica Quarto Abeunte Saeculo, 16 luglio 1892</v>
      </c>
      <c r="AD393" s="31" t="str">
        <f t="shared" si="90"/>
        <v>1892-07-16T08:00:00.000+02:00</v>
      </c>
      <c r="AE393" s="31" t="str">
        <f t="shared" si="91"/>
        <v>lxiii-enc-qas</v>
      </c>
      <c r="AF393" s="31" t="str">
        <f t="shared" si="92"/>
        <v>Leone XIII - Lettera Enciclica - Quarto Abeunte Saeculo</v>
      </c>
    </row>
    <row r="394" spans="2:32" s="31" customFormat="1" x14ac:dyDescent="0.2">
      <c r="B394" s="31">
        <v>256</v>
      </c>
      <c r="C394" s="31" t="s">
        <v>1957</v>
      </c>
      <c r="D394" s="31" t="s">
        <v>723</v>
      </c>
      <c r="E394" s="31" t="s">
        <v>707</v>
      </c>
      <c r="F394" s="31" t="s">
        <v>667</v>
      </c>
      <c r="G394" s="31" t="s">
        <v>666</v>
      </c>
      <c r="H394" s="31" t="str">
        <f t="shared" si="93"/>
        <v>Leone XIII</v>
      </c>
      <c r="I394" s="31" t="s">
        <v>603</v>
      </c>
      <c r="J394" s="31" t="s">
        <v>829</v>
      </c>
      <c r="K394" s="31" t="s">
        <v>694</v>
      </c>
      <c r="L394" s="31" t="str">
        <f t="shared" si="84"/>
        <v>Lettera Enciclica</v>
      </c>
      <c r="M394" s="31" t="s">
        <v>579</v>
      </c>
      <c r="O394" s="31" t="s">
        <v>1959</v>
      </c>
      <c r="P394" s="31" t="s">
        <v>3022</v>
      </c>
      <c r="Q394" s="31" t="s">
        <v>1958</v>
      </c>
      <c r="R394" s="35" t="str">
        <f t="shared" si="81"/>
        <v>16</v>
      </c>
      <c r="S394" s="35"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5">
        <f t="shared" si="83"/>
        <v>1892</v>
      </c>
      <c r="U394" s="31"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6"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31"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31">
        <v>393</v>
      </c>
      <c r="Y394" s="31" t="str">
        <f t="shared" si="85"/>
        <v>['Leone XIII', 'Enciclica', 'Au milieu des sollicitudes', 'lxiii-enc-ams', '16 febbraio 1892', '16/02/1892', '1892/02/16'],</v>
      </c>
      <c r="Z394" s="31" t="str">
        <f t="shared" si="86"/>
        <v>Au milieu des sollicitudes (16 febbraio 1892) | Leone XIII</v>
      </c>
      <c r="AA394" s="31" t="str">
        <f t="shared" si="87"/>
        <v>Enciclica Au milieu des sollicitudes</v>
      </c>
      <c r="AB394" s="31" t="str">
        <f t="shared" si="88"/>
        <v>Enciclica Au milieu des sollicitudes</v>
      </c>
      <c r="AC394" s="31" t="str">
        <f t="shared" si="89"/>
        <v>Leone XIII, Lettera Enciclica Au milieu des sollicitudes, 16 febbraio 1892</v>
      </c>
      <c r="AD394" s="31" t="str">
        <f t="shared" si="90"/>
        <v>1892-02-16T08:00:00.000+02:00</v>
      </c>
      <c r="AE394" s="31" t="str">
        <f t="shared" si="91"/>
        <v>lxiii-enc-ams</v>
      </c>
      <c r="AF394" s="31" t="str">
        <f t="shared" si="92"/>
        <v>Leone XIII - Lettera Enciclica - Au milieu des sollicitudes</v>
      </c>
    </row>
    <row r="395" spans="2:32" s="31" customFormat="1" x14ac:dyDescent="0.2">
      <c r="B395" s="31">
        <v>256</v>
      </c>
      <c r="C395" s="31" t="s">
        <v>1954</v>
      </c>
      <c r="D395" s="31" t="s">
        <v>723</v>
      </c>
      <c r="E395" s="31" t="s">
        <v>707</v>
      </c>
      <c r="F395" s="31" t="s">
        <v>667</v>
      </c>
      <c r="G395" s="31" t="s">
        <v>666</v>
      </c>
      <c r="H395" s="31" t="str">
        <f t="shared" si="93"/>
        <v>Leone XIII</v>
      </c>
      <c r="I395" s="31" t="s">
        <v>603</v>
      </c>
      <c r="J395" s="31" t="s">
        <v>829</v>
      </c>
      <c r="K395" s="31" t="s">
        <v>694</v>
      </c>
      <c r="L395" s="31" t="str">
        <f t="shared" si="84"/>
        <v>Lettera Enciclica</v>
      </c>
      <c r="M395" s="31" t="s">
        <v>579</v>
      </c>
      <c r="O395" s="31" t="s">
        <v>1956</v>
      </c>
      <c r="P395" s="31" t="s">
        <v>1055</v>
      </c>
      <c r="Q395" s="31" t="s">
        <v>1955</v>
      </c>
      <c r="R395" s="35" t="str">
        <f t="shared" si="81"/>
        <v>22</v>
      </c>
      <c r="S395" s="35"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5">
        <f t="shared" si="83"/>
        <v>1891</v>
      </c>
      <c r="U395" s="31"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6"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31"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31">
        <v>394</v>
      </c>
      <c r="Y395" s="31" t="str">
        <f t="shared" si="85"/>
        <v>['Leone XIII', 'Enciclica', 'Octobri mense', 'lxiii-enc-ocm', '22 settembre 1891', '22/09/1891', '1891/09/22'],</v>
      </c>
      <c r="Z395" s="31" t="str">
        <f t="shared" si="86"/>
        <v>Octobri mense (22 settembre 1891) | Leone XIII</v>
      </c>
      <c r="AA395" s="31" t="str">
        <f t="shared" si="87"/>
        <v>Enciclica Octobri mense</v>
      </c>
      <c r="AB395" s="31" t="str">
        <f t="shared" si="88"/>
        <v>Enciclica Octobri mense</v>
      </c>
      <c r="AC395" s="31" t="str">
        <f t="shared" si="89"/>
        <v>Leone XIII, Lettera Enciclica Octobri mense, 22 settembre 1891</v>
      </c>
      <c r="AD395" s="31" t="str">
        <f t="shared" si="90"/>
        <v>1891-09-22T08:00:00.000+02:00</v>
      </c>
      <c r="AE395" s="31" t="str">
        <f t="shared" si="91"/>
        <v>lxiii-enc-ocm</v>
      </c>
      <c r="AF395" s="31" t="str">
        <f t="shared" si="92"/>
        <v>Leone XIII - Lettera Enciclica - Octobri mense</v>
      </c>
    </row>
    <row r="396" spans="2:32" s="31" customFormat="1" x14ac:dyDescent="0.2">
      <c r="B396" s="31">
        <v>256</v>
      </c>
      <c r="C396" s="31" t="s">
        <v>1952</v>
      </c>
      <c r="D396" s="31" t="s">
        <v>723</v>
      </c>
      <c r="E396" s="31" t="s">
        <v>707</v>
      </c>
      <c r="F396" s="31" t="s">
        <v>667</v>
      </c>
      <c r="G396" s="31" t="s">
        <v>666</v>
      </c>
      <c r="H396" s="31" t="str">
        <f t="shared" si="93"/>
        <v>Leone XIII</v>
      </c>
      <c r="I396" s="31" t="s">
        <v>603</v>
      </c>
      <c r="J396" s="31" t="s">
        <v>829</v>
      </c>
      <c r="K396" s="31" t="s">
        <v>694</v>
      </c>
      <c r="L396" s="31" t="str">
        <f t="shared" si="84"/>
        <v>Lettera Enciclica</v>
      </c>
      <c r="M396" s="31" t="s">
        <v>579</v>
      </c>
      <c r="O396" s="31" t="s">
        <v>1282</v>
      </c>
      <c r="P396" s="31" t="s">
        <v>1054</v>
      </c>
      <c r="Q396" s="31" t="s">
        <v>1953</v>
      </c>
      <c r="R396" s="35" t="str">
        <f t="shared" si="81"/>
        <v>12</v>
      </c>
      <c r="S396" s="35"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5">
        <f t="shared" si="83"/>
        <v>1891</v>
      </c>
      <c r="U396" s="31"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6"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31"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31">
        <v>395</v>
      </c>
      <c r="Y396" s="31" t="str">
        <f t="shared" si="85"/>
        <v>['Leone XIII', 'Enciclica', 'Pastoralis officii', 'lxiii-enc-pao', '12 settembre 1891', '12/09/1891', '1891/09/12'],</v>
      </c>
      <c r="Z396" s="31" t="str">
        <f t="shared" si="86"/>
        <v>Pastoralis officii (12 settembre 1891) | Leone XIII</v>
      </c>
      <c r="AA396" s="31" t="str">
        <f t="shared" si="87"/>
        <v>Enciclica Pastoralis officii</v>
      </c>
      <c r="AB396" s="31" t="str">
        <f t="shared" si="88"/>
        <v>Enciclica Pastoralis officii</v>
      </c>
      <c r="AC396" s="31" t="str">
        <f t="shared" si="89"/>
        <v>Leone XIII, Lettera Enciclica Pastoralis officii, 12 settembre 1891</v>
      </c>
      <c r="AD396" s="31" t="str">
        <f t="shared" si="90"/>
        <v>1891-09-12T08:00:00.000+02:00</v>
      </c>
      <c r="AE396" s="31" t="str">
        <f t="shared" si="91"/>
        <v>lxiii-enc-pao</v>
      </c>
      <c r="AF396" s="31" t="str">
        <f t="shared" si="92"/>
        <v>Leone XIII - Lettera Enciclica - Pastoralis officii</v>
      </c>
    </row>
    <row r="397" spans="2:32" s="31" customFormat="1" x14ac:dyDescent="0.2">
      <c r="B397" s="31">
        <v>256</v>
      </c>
      <c r="C397" s="31" t="s">
        <v>1949</v>
      </c>
      <c r="D397" s="31" t="s">
        <v>723</v>
      </c>
      <c r="E397" s="31" t="s">
        <v>707</v>
      </c>
      <c r="F397" s="31" t="s">
        <v>667</v>
      </c>
      <c r="G397" s="31" t="s">
        <v>666</v>
      </c>
      <c r="H397" s="31" t="str">
        <f t="shared" si="93"/>
        <v>Leone XIII</v>
      </c>
      <c r="I397" s="31" t="s">
        <v>603</v>
      </c>
      <c r="J397" s="31" t="s">
        <v>829</v>
      </c>
      <c r="K397" s="31" t="s">
        <v>694</v>
      </c>
      <c r="L397" s="31" t="str">
        <f t="shared" si="84"/>
        <v>Lettera Enciclica</v>
      </c>
      <c r="M397" s="31" t="s">
        <v>579</v>
      </c>
      <c r="O397" s="31" t="s">
        <v>1951</v>
      </c>
      <c r="P397" s="31" t="s">
        <v>1053</v>
      </c>
      <c r="Q397" s="31" t="s">
        <v>1950</v>
      </c>
      <c r="R397" s="35" t="str">
        <f t="shared" si="81"/>
        <v>25</v>
      </c>
      <c r="S397" s="35"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5">
        <f t="shared" si="83"/>
        <v>1891</v>
      </c>
      <c r="U397" s="31"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6"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31"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31">
        <v>396</v>
      </c>
      <c r="Y397" s="31" t="str">
        <f t="shared" si="85"/>
        <v>['Leone XIII', 'Enciclica', 'Pastoralis vigilantiae', 'lxiii-enc-pav', '25 giugno 1891', '25/06/1891', '1891/06/25'],</v>
      </c>
      <c r="Z397" s="31" t="str">
        <f t="shared" si="86"/>
        <v>Pastoralis vigilantiae (25 giugno 1891) | Leone XIII</v>
      </c>
      <c r="AA397" s="31" t="str">
        <f t="shared" si="87"/>
        <v>Enciclica Pastoralis vigilantiae</v>
      </c>
      <c r="AB397" s="31" t="str">
        <f t="shared" si="88"/>
        <v>Enciclica Pastoralis vigilantiae</v>
      </c>
      <c r="AC397" s="31" t="str">
        <f t="shared" si="89"/>
        <v>Leone XIII, Lettera Enciclica Pastoralis vigilantiae, 25 giugno 1891</v>
      </c>
      <c r="AD397" s="31" t="str">
        <f t="shared" si="90"/>
        <v>1891-06-25T08:00:00.000+02:00</v>
      </c>
      <c r="AE397" s="31" t="str">
        <f t="shared" si="91"/>
        <v>lxiii-enc-pav</v>
      </c>
      <c r="AF397" s="31" t="str">
        <f t="shared" si="92"/>
        <v>Leone XIII - Lettera Enciclica - Pastoralis vigilantiae</v>
      </c>
    </row>
    <row r="398" spans="2:32" s="31" customFormat="1" x14ac:dyDescent="0.2">
      <c r="B398" s="31">
        <v>256</v>
      </c>
      <c r="C398" s="31" t="s">
        <v>1947</v>
      </c>
      <c r="D398" s="31" t="s">
        <v>723</v>
      </c>
      <c r="E398" s="31" t="s">
        <v>707</v>
      </c>
      <c r="F398" s="31" t="s">
        <v>667</v>
      </c>
      <c r="G398" s="31" t="s">
        <v>666</v>
      </c>
      <c r="H398" s="31" t="str">
        <f t="shared" si="93"/>
        <v>Leone XIII</v>
      </c>
      <c r="I398" s="31" t="s">
        <v>603</v>
      </c>
      <c r="J398" s="31" t="s">
        <v>829</v>
      </c>
      <c r="K398" s="31" t="s">
        <v>694</v>
      </c>
      <c r="L398" s="31" t="str">
        <f t="shared" si="84"/>
        <v>Lettera Enciclica</v>
      </c>
      <c r="M398" s="31" t="s">
        <v>579</v>
      </c>
      <c r="O398" s="31" t="s">
        <v>210</v>
      </c>
      <c r="P398" s="31" t="s">
        <v>1052</v>
      </c>
      <c r="Q398" s="31" t="s">
        <v>1948</v>
      </c>
      <c r="R398" s="35" t="str">
        <f t="shared" si="81"/>
        <v>15</v>
      </c>
      <c r="S398" s="35"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5">
        <f t="shared" si="83"/>
        <v>1891</v>
      </c>
      <c r="U398" s="31"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6"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31"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31">
        <v>397</v>
      </c>
      <c r="Y398" s="31" t="str">
        <f t="shared" si="85"/>
        <v>['Leone XIII', 'Enciclica', 'Rerum Novarum', 'lxiii-enc-ren', '15 maggio 1891', '15/05/1891', '1891/05/15'],</v>
      </c>
      <c r="Z398" s="31" t="str">
        <f t="shared" si="86"/>
        <v>Rerum Novarum (15 maggio 1891) | Leone XIII</v>
      </c>
      <c r="AA398" s="31" t="str">
        <f t="shared" si="87"/>
        <v>Enciclica Rerum Novarum</v>
      </c>
      <c r="AB398" s="31" t="str">
        <f t="shared" si="88"/>
        <v>Enciclica Rerum Novarum</v>
      </c>
      <c r="AC398" s="31" t="str">
        <f t="shared" si="89"/>
        <v>Leone XIII, Lettera Enciclica Rerum Novarum, 15 maggio 1891</v>
      </c>
      <c r="AD398" s="31" t="str">
        <f t="shared" si="90"/>
        <v>1891-05-15T08:00:00.000+02:00</v>
      </c>
      <c r="AE398" s="31" t="str">
        <f t="shared" si="91"/>
        <v>lxiii-enc-ren</v>
      </c>
      <c r="AF398" s="31" t="str">
        <f t="shared" si="92"/>
        <v>Leone XIII - Lettera Enciclica - Rerum Novarum</v>
      </c>
    </row>
    <row r="399" spans="2:32" s="31" customFormat="1" x14ac:dyDescent="0.2">
      <c r="B399" s="31">
        <v>256</v>
      </c>
      <c r="C399" s="31" t="s">
        <v>1945</v>
      </c>
      <c r="D399" s="31" t="s">
        <v>723</v>
      </c>
      <c r="E399" s="31" t="s">
        <v>707</v>
      </c>
      <c r="F399" s="31" t="s">
        <v>667</v>
      </c>
      <c r="G399" s="31" t="s">
        <v>666</v>
      </c>
      <c r="H399" s="31" t="str">
        <f t="shared" si="93"/>
        <v>Leone XIII</v>
      </c>
      <c r="I399" s="31" t="s">
        <v>603</v>
      </c>
      <c r="J399" s="31" t="s">
        <v>829</v>
      </c>
      <c r="K399" s="31" t="s">
        <v>694</v>
      </c>
      <c r="L399" s="31" t="str">
        <f t="shared" si="84"/>
        <v>Lettera Enciclica</v>
      </c>
      <c r="M399" s="31" t="s">
        <v>579</v>
      </c>
      <c r="O399" s="31" t="s">
        <v>209</v>
      </c>
      <c r="P399" s="31" t="s">
        <v>1051</v>
      </c>
      <c r="Q399" s="31" t="s">
        <v>1946</v>
      </c>
      <c r="R399" s="35" t="str">
        <f t="shared" si="81"/>
        <v>03</v>
      </c>
      <c r="S399" s="35"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5">
        <f t="shared" si="83"/>
        <v>1891</v>
      </c>
      <c r="U399" s="31"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6"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31"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31">
        <v>398</v>
      </c>
      <c r="Y399" s="31" t="str">
        <f t="shared" si="85"/>
        <v>['Leone XIII', 'Enciclica', 'In Ipso', 'lxiii-enc-ini', '03 marzo 1891', '03/03/1891', '1891/03/03'],</v>
      </c>
      <c r="Z399" s="31" t="str">
        <f t="shared" si="86"/>
        <v>In Ipso (3 marzo 1891) | Leone XIII</v>
      </c>
      <c r="AA399" s="31" t="str">
        <f t="shared" si="87"/>
        <v>Enciclica In Ipso</v>
      </c>
      <c r="AB399" s="31" t="str">
        <f t="shared" si="88"/>
        <v>Enciclica In Ipso</v>
      </c>
      <c r="AC399" s="31" t="str">
        <f t="shared" si="89"/>
        <v>Leone XIII, Lettera Enciclica In Ipso, 03 marzo 1891</v>
      </c>
      <c r="AD399" s="31" t="str">
        <f t="shared" si="90"/>
        <v>1891-03-03T08:00:00.000+02:00</v>
      </c>
      <c r="AE399" s="31" t="str">
        <f t="shared" si="91"/>
        <v>lxiii-enc-ini</v>
      </c>
      <c r="AF399" s="31" t="str">
        <f t="shared" si="92"/>
        <v>Leone XIII - Lettera Enciclica - In Ipso</v>
      </c>
    </row>
    <row r="400" spans="2:32" s="31" customFormat="1" x14ac:dyDescent="0.2">
      <c r="B400" s="31">
        <v>256</v>
      </c>
      <c r="C400" s="31" t="s">
        <v>1943</v>
      </c>
      <c r="D400" s="31" t="s">
        <v>723</v>
      </c>
      <c r="E400" s="31" t="s">
        <v>707</v>
      </c>
      <c r="F400" s="31" t="s">
        <v>667</v>
      </c>
      <c r="G400" s="31" t="s">
        <v>666</v>
      </c>
      <c r="H400" s="31" t="str">
        <f t="shared" si="93"/>
        <v>Leone XIII</v>
      </c>
      <c r="I400" s="31" t="s">
        <v>603</v>
      </c>
      <c r="J400" s="31" t="s">
        <v>829</v>
      </c>
      <c r="K400" s="31" t="s">
        <v>694</v>
      </c>
      <c r="L400" s="31" t="str">
        <f t="shared" si="84"/>
        <v>Lettera Enciclica</v>
      </c>
      <c r="M400" s="31" t="s">
        <v>579</v>
      </c>
      <c r="O400" s="31" t="s">
        <v>208</v>
      </c>
      <c r="P400" s="31" t="s">
        <v>1050</v>
      </c>
      <c r="Q400" s="31" t="s">
        <v>1944</v>
      </c>
      <c r="R400" s="35" t="str">
        <f t="shared" si="81"/>
        <v>20</v>
      </c>
      <c r="S400" s="35"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5">
        <f t="shared" si="83"/>
        <v>1890</v>
      </c>
      <c r="U400" s="31"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6"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31"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31">
        <v>399</v>
      </c>
      <c r="Y400" s="31" t="str">
        <f t="shared" si="85"/>
        <v>['Leone XIII', 'Enciclica', 'Catholicae Ecclesiae', 'lxiii-enc-cae', '20 novembre 1890', '20/11/1890', '1890/11/20'],</v>
      </c>
      <c r="Z400" s="31" t="str">
        <f t="shared" si="86"/>
        <v>Catholicae Ecclesiae (20 novembre 1890) | Leone XIII</v>
      </c>
      <c r="AA400" s="31" t="str">
        <f t="shared" si="87"/>
        <v>Enciclica Catholicae Ecclesiae</v>
      </c>
      <c r="AB400" s="31" t="str">
        <f t="shared" si="88"/>
        <v>Enciclica Catholicae Ecclesiae</v>
      </c>
      <c r="AC400" s="31" t="str">
        <f t="shared" si="89"/>
        <v>Leone XIII, Lettera Enciclica Catholicae Ecclesiae, 20 novembre 1890</v>
      </c>
      <c r="AD400" s="31" t="str">
        <f t="shared" si="90"/>
        <v>1890-11-20T08:00:00.000+02:00</v>
      </c>
      <c r="AE400" s="31" t="str">
        <f t="shared" si="91"/>
        <v>lxiii-enc-cae</v>
      </c>
      <c r="AF400" s="31" t="str">
        <f t="shared" si="92"/>
        <v>Leone XIII - Lettera Enciclica - Catholicae Ecclesiae</v>
      </c>
    </row>
    <row r="401" spans="2:32" s="31" customFormat="1" x14ac:dyDescent="0.2">
      <c r="B401" s="31">
        <v>256</v>
      </c>
      <c r="C401" s="31" t="s">
        <v>1941</v>
      </c>
      <c r="D401" s="31" t="s">
        <v>723</v>
      </c>
      <c r="E401" s="31" t="s">
        <v>707</v>
      </c>
      <c r="F401" s="31" t="s">
        <v>667</v>
      </c>
      <c r="G401" s="31" t="s">
        <v>666</v>
      </c>
      <c r="H401" s="31" t="str">
        <f t="shared" si="93"/>
        <v>Leone XIII</v>
      </c>
      <c r="I401" s="31" t="s">
        <v>603</v>
      </c>
      <c r="J401" s="31" t="s">
        <v>829</v>
      </c>
      <c r="K401" s="31" t="s">
        <v>694</v>
      </c>
      <c r="L401" s="31" t="str">
        <f t="shared" si="84"/>
        <v>Lettera Enciclica</v>
      </c>
      <c r="M401" s="31" t="s">
        <v>579</v>
      </c>
      <c r="O401" s="31" t="s">
        <v>207</v>
      </c>
      <c r="P401" s="31" t="s">
        <v>3023</v>
      </c>
      <c r="Q401" s="31" t="s">
        <v>1942</v>
      </c>
      <c r="R401" s="35" t="str">
        <f t="shared" si="81"/>
        <v>15</v>
      </c>
      <c r="S401" s="35"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5">
        <f t="shared" si="83"/>
        <v>1890</v>
      </c>
      <c r="U401" s="31"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6"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31"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31">
        <v>400</v>
      </c>
      <c r="Y401" s="31" t="str">
        <f t="shared" si="85"/>
        <v>['Leone XIII', 'Enciclica', 'Dall'alto dell'Apostolico Seggio', 'lxiii-enc-das', '15 ottobre 1890', '15/10/1890', '1890/10/15'],</v>
      </c>
      <c r="Z401" s="31" t="str">
        <f t="shared" si="86"/>
        <v>Dall'alto dell'Apostolico Seggio (15 ottobre 1890) | Leone XIII</v>
      </c>
      <c r="AA401" s="31" t="str">
        <f t="shared" si="87"/>
        <v>Enciclica Dall'alto dell'Apostolico Seggio</v>
      </c>
      <c r="AB401" s="31" t="str">
        <f t="shared" si="88"/>
        <v>Enciclica Dall'alto dell'Apostolico Seggio</v>
      </c>
      <c r="AC401" s="31" t="str">
        <f t="shared" si="89"/>
        <v>Leone XIII, Lettera Enciclica Dall'alto dell'Apostolico Seggio, 15 ottobre 1890</v>
      </c>
      <c r="AD401" s="31" t="str">
        <f t="shared" si="90"/>
        <v>1890-10-15T08:00:00.000+02:00</v>
      </c>
      <c r="AE401" s="31" t="str">
        <f t="shared" si="91"/>
        <v>lxiii-enc-das</v>
      </c>
      <c r="AF401" s="31" t="str">
        <f t="shared" si="92"/>
        <v>Leone XIII - Lettera Enciclica - Dall'alto dell'Apostolico Seggio</v>
      </c>
    </row>
    <row r="402" spans="2:32" s="31" customFormat="1" x14ac:dyDescent="0.2">
      <c r="B402" s="31">
        <v>256</v>
      </c>
      <c r="C402" s="31" t="s">
        <v>1939</v>
      </c>
      <c r="D402" s="31" t="s">
        <v>723</v>
      </c>
      <c r="E402" s="31" t="s">
        <v>707</v>
      </c>
      <c r="F402" s="31" t="s">
        <v>667</v>
      </c>
      <c r="G402" s="31" t="s">
        <v>666</v>
      </c>
      <c r="H402" s="31" t="str">
        <f t="shared" si="93"/>
        <v>Leone XIII</v>
      </c>
      <c r="I402" s="31" t="s">
        <v>603</v>
      </c>
      <c r="J402" s="31" t="s">
        <v>829</v>
      </c>
      <c r="K402" s="31" t="s">
        <v>694</v>
      </c>
      <c r="L402" s="31" t="str">
        <f t="shared" si="84"/>
        <v>Lettera Enciclica</v>
      </c>
      <c r="M402" s="31" t="s">
        <v>579</v>
      </c>
      <c r="O402" s="31" t="s">
        <v>206</v>
      </c>
      <c r="P402" s="31" t="s">
        <v>1048</v>
      </c>
      <c r="Q402" s="31" t="s">
        <v>1940</v>
      </c>
      <c r="R402" s="35" t="str">
        <f t="shared" si="81"/>
        <v>10</v>
      </c>
      <c r="S402" s="35"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5">
        <f t="shared" si="83"/>
        <v>1890</v>
      </c>
      <c r="U402" s="31"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6"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31"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31">
        <v>401</v>
      </c>
      <c r="Y402" s="31" t="str">
        <f t="shared" si="85"/>
        <v>['Leone XIII', 'Enciclica', 'Sapientiae Christianae', 'lxiii-enc-sac', '10 gennaio 1890', '10/01/1890', '1890/01/10'],</v>
      </c>
      <c r="Z402" s="31" t="str">
        <f t="shared" si="86"/>
        <v>Sapientiae Christianae (10 gennaio 1890) | Leone XIII</v>
      </c>
      <c r="AA402" s="31" t="str">
        <f t="shared" si="87"/>
        <v>Enciclica Sapientiae Christianae</v>
      </c>
      <c r="AB402" s="31" t="str">
        <f t="shared" si="88"/>
        <v>Enciclica Sapientiae Christianae</v>
      </c>
      <c r="AC402" s="31" t="str">
        <f t="shared" si="89"/>
        <v>Leone XIII, Lettera Enciclica Sapientiae Christianae, 10 gennaio 1890</v>
      </c>
      <c r="AD402" s="31" t="str">
        <f t="shared" si="90"/>
        <v>1890-01-10T08:00:00.000+02:00</v>
      </c>
      <c r="AE402" s="31" t="str">
        <f t="shared" si="91"/>
        <v>lxiii-enc-sac</v>
      </c>
      <c r="AF402" s="31" t="str">
        <f t="shared" si="92"/>
        <v>Leone XIII - Lettera Enciclica - Sapientiae Christianae</v>
      </c>
    </row>
    <row r="403" spans="2:32" s="31" customFormat="1" x14ac:dyDescent="0.2">
      <c r="B403" s="31">
        <v>256</v>
      </c>
      <c r="C403" s="31" t="s">
        <v>1937</v>
      </c>
      <c r="D403" s="31" t="s">
        <v>723</v>
      </c>
      <c r="E403" s="31" t="s">
        <v>707</v>
      </c>
      <c r="F403" s="31" t="s">
        <v>667</v>
      </c>
      <c r="G403" s="31" t="s">
        <v>666</v>
      </c>
      <c r="H403" s="31" t="str">
        <f t="shared" si="93"/>
        <v>Leone XIII</v>
      </c>
      <c r="I403" s="31" t="s">
        <v>603</v>
      </c>
      <c r="J403" s="31" t="s">
        <v>829</v>
      </c>
      <c r="K403" s="31" t="s">
        <v>694</v>
      </c>
      <c r="L403" s="31" t="str">
        <f t="shared" si="84"/>
        <v>Lettera Enciclica</v>
      </c>
      <c r="M403" s="31" t="s">
        <v>579</v>
      </c>
      <c r="O403" s="31" t="s">
        <v>205</v>
      </c>
      <c r="P403" s="31" t="s">
        <v>612</v>
      </c>
      <c r="Q403" s="31" t="s">
        <v>1938</v>
      </c>
      <c r="R403" s="35" t="str">
        <f t="shared" si="81"/>
        <v>15</v>
      </c>
      <c r="S403" s="35"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5">
        <f t="shared" si="83"/>
        <v>1889</v>
      </c>
      <c r="U403" s="31"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6"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31"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31">
        <v>402</v>
      </c>
      <c r="Y403" s="31" t="str">
        <f t="shared" si="85"/>
        <v>['Leone XIII', 'Enciclica', 'Quamquam Pluries', 'lxiii-enc-qup', '15 agosto 1889', '15/08/1889', '1889/08/15'],</v>
      </c>
      <c r="Z403" s="31" t="str">
        <f t="shared" si="86"/>
        <v>Quamquam Pluries (15 agosto 1889) | Leone XIII</v>
      </c>
      <c r="AA403" s="31" t="str">
        <f t="shared" si="87"/>
        <v>Enciclica Quamquam Pluries</v>
      </c>
      <c r="AB403" s="31" t="str">
        <f t="shared" si="88"/>
        <v>Enciclica Quamquam Pluries</v>
      </c>
      <c r="AC403" s="31" t="str">
        <f t="shared" si="89"/>
        <v>Leone XIII, Lettera Enciclica Quamquam Pluries, 15 agosto 1889</v>
      </c>
      <c r="AD403" s="31" t="str">
        <f t="shared" si="90"/>
        <v>1889-08-15T08:00:00.000+02:00</v>
      </c>
      <c r="AE403" s="31" t="str">
        <f t="shared" si="91"/>
        <v>lxiii-enc-qup</v>
      </c>
      <c r="AF403" s="31" t="str">
        <f t="shared" si="92"/>
        <v>Leone XIII - Lettera Enciclica - Quamquam Pluries</v>
      </c>
    </row>
    <row r="404" spans="2:32" s="31" customFormat="1" x14ac:dyDescent="0.2">
      <c r="B404" s="31">
        <v>256</v>
      </c>
      <c r="C404" s="31" t="s">
        <v>1935</v>
      </c>
      <c r="D404" s="31" t="s">
        <v>723</v>
      </c>
      <c r="E404" s="31" t="s">
        <v>707</v>
      </c>
      <c r="F404" s="31" t="s">
        <v>667</v>
      </c>
      <c r="G404" s="31" t="s">
        <v>666</v>
      </c>
      <c r="H404" s="31" t="str">
        <f t="shared" si="93"/>
        <v>Leone XIII</v>
      </c>
      <c r="I404" s="31" t="s">
        <v>603</v>
      </c>
      <c r="J404" s="31" t="s">
        <v>829</v>
      </c>
      <c r="K404" s="31" t="s">
        <v>694</v>
      </c>
      <c r="L404" s="31" t="str">
        <f t="shared" si="84"/>
        <v>Lettera Enciclica</v>
      </c>
      <c r="M404" s="31" t="s">
        <v>579</v>
      </c>
      <c r="O404" s="31" t="s">
        <v>204</v>
      </c>
      <c r="P404" s="31" t="s">
        <v>625</v>
      </c>
      <c r="Q404" s="31" t="s">
        <v>1936</v>
      </c>
      <c r="R404" s="35" t="str">
        <f t="shared" si="81"/>
        <v>07</v>
      </c>
      <c r="S404" s="35"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5">
        <f t="shared" si="83"/>
        <v>1889</v>
      </c>
      <c r="U404" s="31"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6"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31"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31">
        <v>403</v>
      </c>
      <c r="Y404" s="31" t="str">
        <f t="shared" si="85"/>
        <v>['Leone XIII', 'Enciclica', 'Magni Nobis', 'lxiii-enc-man', '07 marzo 1889', '07/03/1889', '1889/03/07'],</v>
      </c>
      <c r="Z404" s="31" t="str">
        <f t="shared" si="86"/>
        <v>Magni Nobis (7 marzo 1889) | Leone XIII</v>
      </c>
      <c r="AA404" s="31" t="str">
        <f t="shared" si="87"/>
        <v>Enciclica Magni Nobis</v>
      </c>
      <c r="AB404" s="31" t="str">
        <f t="shared" si="88"/>
        <v>Enciclica Magni Nobis</v>
      </c>
      <c r="AC404" s="31" t="str">
        <f t="shared" si="89"/>
        <v>Leone XIII, Lettera Enciclica Magni Nobis, 07 marzo 1889</v>
      </c>
      <c r="AD404" s="31" t="str">
        <f t="shared" si="90"/>
        <v>1889-03-07T08:00:00.000+02:00</v>
      </c>
      <c r="AE404" s="31" t="str">
        <f t="shared" si="91"/>
        <v>lxiii-enc-man</v>
      </c>
      <c r="AF404" s="31" t="str">
        <f t="shared" si="92"/>
        <v>Leone XIII - Lettera Enciclica - Magni Nobis</v>
      </c>
    </row>
    <row r="405" spans="2:32" s="31" customFormat="1" x14ac:dyDescent="0.2">
      <c r="B405" s="31">
        <v>256</v>
      </c>
      <c r="C405" s="31" t="s">
        <v>1933</v>
      </c>
      <c r="D405" s="31" t="s">
        <v>723</v>
      </c>
      <c r="E405" s="31" t="s">
        <v>707</v>
      </c>
      <c r="F405" s="31" t="s">
        <v>667</v>
      </c>
      <c r="G405" s="31" t="s">
        <v>666</v>
      </c>
      <c r="H405" s="31" t="str">
        <f t="shared" si="93"/>
        <v>Leone XIII</v>
      </c>
      <c r="I405" s="31" t="s">
        <v>603</v>
      </c>
      <c r="J405" s="31" t="s">
        <v>829</v>
      </c>
      <c r="K405" s="31" t="s">
        <v>694</v>
      </c>
      <c r="L405" s="31" t="str">
        <f t="shared" si="84"/>
        <v>Lettera Enciclica</v>
      </c>
      <c r="M405" s="31" t="s">
        <v>579</v>
      </c>
      <c r="O405" s="31" t="s">
        <v>203</v>
      </c>
      <c r="P405" s="31" t="s">
        <v>1047</v>
      </c>
      <c r="Q405" s="31" t="s">
        <v>1934</v>
      </c>
      <c r="R405" s="35" t="str">
        <f t="shared" si="81"/>
        <v>25</v>
      </c>
      <c r="S405" s="35"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5">
        <f t="shared" si="83"/>
        <v>1888</v>
      </c>
      <c r="U405" s="31"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6"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31"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31">
        <v>404</v>
      </c>
      <c r="Y405" s="31" t="str">
        <f t="shared" si="85"/>
        <v>['Leone XIII', 'Enciclica', 'Exeunte Iam Anno', 'lxiii-enc-eia', '25 dicembre 1888', '25/12/1888', '1888/12/25'],</v>
      </c>
      <c r="Z405" s="31" t="str">
        <f t="shared" si="86"/>
        <v>Exeunte Iam Anno (25 dicembre 1888) | Leone XIII</v>
      </c>
      <c r="AA405" s="31" t="str">
        <f t="shared" si="87"/>
        <v>Enciclica Exeunte Iam Anno</v>
      </c>
      <c r="AB405" s="31" t="str">
        <f t="shared" si="88"/>
        <v>Enciclica Exeunte Iam Anno</v>
      </c>
      <c r="AC405" s="31" t="str">
        <f t="shared" si="89"/>
        <v>Leone XIII, Lettera Enciclica Exeunte Iam Anno, 25 dicembre 1888</v>
      </c>
      <c r="AD405" s="31" t="str">
        <f t="shared" si="90"/>
        <v>1888-12-25T08:00:00.000+02:00</v>
      </c>
      <c r="AE405" s="31" t="str">
        <f t="shared" si="91"/>
        <v>lxiii-enc-eia</v>
      </c>
      <c r="AF405" s="31" t="str">
        <f t="shared" si="92"/>
        <v>Leone XIII - Lettera Enciclica - Exeunte Iam Anno</v>
      </c>
    </row>
    <row r="406" spans="2:32" s="31" customFormat="1" x14ac:dyDescent="0.2">
      <c r="B406" s="31">
        <v>256</v>
      </c>
      <c r="C406" s="31" t="s">
        <v>1931</v>
      </c>
      <c r="D406" s="31" t="s">
        <v>723</v>
      </c>
      <c r="E406" s="31" t="s">
        <v>707</v>
      </c>
      <c r="F406" s="31" t="s">
        <v>667</v>
      </c>
      <c r="G406" s="31" t="s">
        <v>666</v>
      </c>
      <c r="H406" s="31" t="str">
        <f t="shared" si="93"/>
        <v>Leone XIII</v>
      </c>
      <c r="I406" s="31" t="s">
        <v>603</v>
      </c>
      <c r="J406" s="31" t="s">
        <v>829</v>
      </c>
      <c r="K406" s="31" t="s">
        <v>694</v>
      </c>
      <c r="L406" s="31" t="str">
        <f t="shared" si="84"/>
        <v>Lettera Enciclica</v>
      </c>
      <c r="M406" s="31" t="s">
        <v>579</v>
      </c>
      <c r="O406" s="31" t="s">
        <v>202</v>
      </c>
      <c r="P406" s="31" t="s">
        <v>1046</v>
      </c>
      <c r="Q406" s="31" t="s">
        <v>1932</v>
      </c>
      <c r="R406" s="35" t="str">
        <f t="shared" si="81"/>
        <v>21</v>
      </c>
      <c r="S406" s="35"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5">
        <f t="shared" si="83"/>
        <v>1888</v>
      </c>
      <c r="U406" s="31"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6"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31"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31">
        <v>405</v>
      </c>
      <c r="Y406" s="31" t="str">
        <f t="shared" si="85"/>
        <v>['Leone XIII', 'Enciclica', 'Etsi Cunctas', 'lxiii-enc-etc', '21 dicembre 1888', '21/12/1888', '1888/12/21'],</v>
      </c>
      <c r="Z406" s="31" t="str">
        <f t="shared" si="86"/>
        <v>Etsi Cunctas (21 dicembre 1888) | Leone XIII</v>
      </c>
      <c r="AA406" s="31" t="str">
        <f t="shared" si="87"/>
        <v>Enciclica Etsi Cunctas</v>
      </c>
      <c r="AB406" s="31" t="str">
        <f t="shared" si="88"/>
        <v>Enciclica Etsi Cunctas</v>
      </c>
      <c r="AC406" s="31" t="str">
        <f t="shared" si="89"/>
        <v>Leone XIII, Lettera Enciclica Etsi Cunctas, 21 dicembre 1888</v>
      </c>
      <c r="AD406" s="31" t="str">
        <f t="shared" si="90"/>
        <v>1888-12-21T08:00:00.000+02:00</v>
      </c>
      <c r="AE406" s="31" t="str">
        <f t="shared" si="91"/>
        <v>lxiii-enc-etc</v>
      </c>
      <c r="AF406" s="31" t="str">
        <f t="shared" si="92"/>
        <v>Leone XIII - Lettera Enciclica - Etsi Cunctas</v>
      </c>
    </row>
    <row r="407" spans="2:32" s="31" customFormat="1" x14ac:dyDescent="0.2">
      <c r="B407" s="31">
        <v>256</v>
      </c>
      <c r="C407" s="31" t="s">
        <v>1929</v>
      </c>
      <c r="D407" s="31" t="s">
        <v>723</v>
      </c>
      <c r="E407" s="31" t="s">
        <v>707</v>
      </c>
      <c r="F407" s="31" t="s">
        <v>667</v>
      </c>
      <c r="G407" s="31" t="s">
        <v>666</v>
      </c>
      <c r="H407" s="31" t="str">
        <f t="shared" si="93"/>
        <v>Leone XIII</v>
      </c>
      <c r="I407" s="31" t="s">
        <v>603</v>
      </c>
      <c r="J407" s="31" t="s">
        <v>829</v>
      </c>
      <c r="K407" s="31" t="s">
        <v>694</v>
      </c>
      <c r="L407" s="31" t="str">
        <f t="shared" si="84"/>
        <v>Lettera Enciclica</v>
      </c>
      <c r="M407" s="31" t="s">
        <v>579</v>
      </c>
      <c r="O407" s="31" t="s">
        <v>201</v>
      </c>
      <c r="P407" s="31" t="s">
        <v>3024</v>
      </c>
      <c r="Q407" s="31" t="s">
        <v>1930</v>
      </c>
      <c r="R407" s="35" t="str">
        <f t="shared" si="81"/>
        <v>10</v>
      </c>
      <c r="S407" s="35"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5">
        <f t="shared" si="83"/>
        <v>1888</v>
      </c>
      <c r="U407" s="31"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6"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31"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31">
        <v>406</v>
      </c>
      <c r="Y407" s="31" t="str">
        <f t="shared" si="85"/>
        <v>['Leone XIII', 'Enciclica', 'Quam Aerumnosa', 'lxiii-enc-qae', '10 dicembre 1888', '10/12/1888', '1888/12/10'],</v>
      </c>
      <c r="Z407" s="31" t="str">
        <f t="shared" si="86"/>
        <v>Quam Aerumnosa (10 dicembre 1888) | Leone XIII</v>
      </c>
      <c r="AA407" s="31" t="str">
        <f t="shared" si="87"/>
        <v>Enciclica Quam Aerumnosa</v>
      </c>
      <c r="AB407" s="31" t="str">
        <f t="shared" si="88"/>
        <v>Enciclica Quam Aerumnosa</v>
      </c>
      <c r="AC407" s="31" t="str">
        <f t="shared" si="89"/>
        <v>Leone XIII, Lettera Enciclica Quam Aerumnosa, 10 dicembre 1888</v>
      </c>
      <c r="AD407" s="31" t="str">
        <f t="shared" si="90"/>
        <v>1888-12-10T08:00:00.000+02:00</v>
      </c>
      <c r="AE407" s="31" t="str">
        <f t="shared" si="91"/>
        <v>lxiii-enc-qae</v>
      </c>
      <c r="AF407" s="31" t="str">
        <f t="shared" si="92"/>
        <v>Leone XIII - Lettera Enciclica - Quam Aerumnosa</v>
      </c>
    </row>
    <row r="408" spans="2:32" s="31" customFormat="1" x14ac:dyDescent="0.2">
      <c r="B408" s="31">
        <v>256</v>
      </c>
      <c r="C408" s="31" t="s">
        <v>1927</v>
      </c>
      <c r="D408" s="31" t="s">
        <v>723</v>
      </c>
      <c r="E408" s="31" t="s">
        <v>707</v>
      </c>
      <c r="F408" s="31" t="s">
        <v>667</v>
      </c>
      <c r="G408" s="31" t="s">
        <v>666</v>
      </c>
      <c r="H408" s="31" t="str">
        <f t="shared" si="93"/>
        <v>Leone XIII</v>
      </c>
      <c r="I408" s="31" t="s">
        <v>603</v>
      </c>
      <c r="J408" s="31" t="s">
        <v>829</v>
      </c>
      <c r="K408" s="31" t="s">
        <v>694</v>
      </c>
      <c r="L408" s="31" t="str">
        <f t="shared" si="84"/>
        <v>Lettera Enciclica</v>
      </c>
      <c r="M408" s="31" t="s">
        <v>579</v>
      </c>
      <c r="O408" s="31" t="s">
        <v>200</v>
      </c>
      <c r="P408" s="31" t="s">
        <v>1045</v>
      </c>
      <c r="Q408" s="31" t="s">
        <v>1928</v>
      </c>
      <c r="R408" s="35" t="str">
        <f t="shared" si="81"/>
        <v>25</v>
      </c>
      <c r="S408" s="35"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5">
        <f t="shared" si="83"/>
        <v>1888</v>
      </c>
      <c r="U408" s="31"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6"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31"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31">
        <v>407</v>
      </c>
      <c r="Y408" s="31" t="str">
        <f t="shared" si="85"/>
        <v>['Leone XIII', 'Enciclica', 'Paterna Caritas', 'lxiii-enc-pac', '25 luglio 1888', '25/07/1888', '1888/07/25'],</v>
      </c>
      <c r="Z408" s="31" t="str">
        <f t="shared" si="86"/>
        <v>Paterna Caritas (25 luglio 1888) | Leone XIII</v>
      </c>
      <c r="AA408" s="31" t="str">
        <f t="shared" si="87"/>
        <v>Enciclica Paterna Caritas</v>
      </c>
      <c r="AB408" s="31" t="str">
        <f t="shared" si="88"/>
        <v>Enciclica Paterna Caritas</v>
      </c>
      <c r="AC408" s="31" t="str">
        <f t="shared" si="89"/>
        <v>Leone XIII, Lettera Enciclica Paterna Caritas, 25 luglio 1888</v>
      </c>
      <c r="AD408" s="31" t="str">
        <f t="shared" si="90"/>
        <v>1888-07-25T08:00:00.000+02:00</v>
      </c>
      <c r="AE408" s="31" t="str">
        <f t="shared" si="91"/>
        <v>lxiii-enc-pac</v>
      </c>
      <c r="AF408" s="31" t="str">
        <f t="shared" si="92"/>
        <v>Leone XIII - Lettera Enciclica - Paterna Caritas</v>
      </c>
    </row>
    <row r="409" spans="2:32" s="31" customFormat="1" x14ac:dyDescent="0.2">
      <c r="B409" s="31">
        <v>256</v>
      </c>
      <c r="C409" s="31" t="s">
        <v>1925</v>
      </c>
      <c r="D409" s="31" t="s">
        <v>723</v>
      </c>
      <c r="E409" s="31" t="s">
        <v>707</v>
      </c>
      <c r="F409" s="31" t="s">
        <v>667</v>
      </c>
      <c r="G409" s="31" t="s">
        <v>666</v>
      </c>
      <c r="H409" s="31" t="str">
        <f t="shared" si="93"/>
        <v>Leone XIII</v>
      </c>
      <c r="I409" s="31" t="s">
        <v>603</v>
      </c>
      <c r="J409" s="31" t="s">
        <v>829</v>
      </c>
      <c r="K409" s="31" t="s">
        <v>694</v>
      </c>
      <c r="L409" s="31" t="str">
        <f t="shared" si="84"/>
        <v>Lettera Enciclica</v>
      </c>
      <c r="M409" s="31" t="s">
        <v>579</v>
      </c>
      <c r="O409" s="31" t="s">
        <v>199</v>
      </c>
      <c r="P409" s="31" t="s">
        <v>1044</v>
      </c>
      <c r="Q409" s="31" t="s">
        <v>1926</v>
      </c>
      <c r="R409" s="35" t="str">
        <f t="shared" si="81"/>
        <v>24</v>
      </c>
      <c r="S409" s="35"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5">
        <f t="shared" si="83"/>
        <v>1888</v>
      </c>
      <c r="U409" s="31"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6"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31"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31">
        <v>408</v>
      </c>
      <c r="Y409" s="31" t="str">
        <f t="shared" si="85"/>
        <v>['Leone XIII', 'Enciclica', 'Saepe Nos', 'lxiii-enc-san', '24 giugno 1888', '24/06/1888', '1888/06/24'],</v>
      </c>
      <c r="Z409" s="31" t="str">
        <f t="shared" si="86"/>
        <v>Saepe Nos (24 giugno 1888) | Leone XIII</v>
      </c>
      <c r="AA409" s="31" t="str">
        <f t="shared" si="87"/>
        <v>Enciclica Saepe Nos</v>
      </c>
      <c r="AB409" s="31" t="str">
        <f t="shared" si="88"/>
        <v>Enciclica Saepe Nos</v>
      </c>
      <c r="AC409" s="31" t="str">
        <f t="shared" si="89"/>
        <v>Leone XIII, Lettera Enciclica Saepe Nos, 24 giugno 1888</v>
      </c>
      <c r="AD409" s="31" t="str">
        <f t="shared" si="90"/>
        <v>1888-06-24T08:00:00.000+02:00</v>
      </c>
      <c r="AE409" s="31" t="str">
        <f t="shared" si="91"/>
        <v>lxiii-enc-san</v>
      </c>
      <c r="AF409" s="31" t="str">
        <f t="shared" si="92"/>
        <v>Leone XIII - Lettera Enciclica - Saepe Nos</v>
      </c>
    </row>
    <row r="410" spans="2:32" s="31" customFormat="1" x14ac:dyDescent="0.2">
      <c r="B410" s="31">
        <v>257</v>
      </c>
      <c r="C410" s="31" t="s">
        <v>2325</v>
      </c>
      <c r="D410" s="31" t="s">
        <v>715</v>
      </c>
      <c r="E410" s="31" t="s">
        <v>737</v>
      </c>
      <c r="F410" s="31" t="s">
        <v>664</v>
      </c>
      <c r="G410" s="31" t="s">
        <v>665</v>
      </c>
      <c r="H410" s="31" t="str">
        <f t="shared" si="93"/>
        <v>Pio X</v>
      </c>
      <c r="K410" s="31" t="s">
        <v>827</v>
      </c>
      <c r="L410" s="31" t="str">
        <f t="shared" si="84"/>
        <v>Discorso</v>
      </c>
      <c r="M410" s="31" t="s">
        <v>566</v>
      </c>
      <c r="O410" s="31" t="s">
        <v>3425</v>
      </c>
      <c r="P410" s="31" t="s">
        <v>3426</v>
      </c>
      <c r="Q410" s="40">
        <v>4803</v>
      </c>
      <c r="R410" s="35">
        <f t="shared" ref="R410:R428" si="94">IF(ISERROR(DAY(Q410)),TEXT((LEFT(Q410,2)),"00"),DAY(Q410))</f>
        <v>23</v>
      </c>
      <c r="S410" s="35"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5">
        <f t="shared" si="83"/>
        <v>1913</v>
      </c>
      <c r="U410" s="31"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6"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31"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31">
        <v>409</v>
      </c>
      <c r="Y410" s="31" t="str">
        <f t="shared" si="85"/>
        <v>['Pio X', 'Discorso', 'Ai fedeli convenuti a Roma in occasione del XVI centenario della promulgazione dell'Editto di Costantino', 'pix-dis-edc', '23 febbraio 1913', '23/02/1913', '1913/02/23'],</v>
      </c>
      <c r="Z410" s="31" t="str">
        <f t="shared" si="86"/>
        <v>Ai fedeli convenuti a Roma in occasione del XVI centenario della promulgazione dell'Editto di Costantino (4803) | Pio X</v>
      </c>
      <c r="AA410" s="31" t="str">
        <f t="shared" si="87"/>
        <v>Discorso Ai fedeli convenuti a Roma in occasione del XVI centenario della promulgazione dell'Editto di Costantino</v>
      </c>
      <c r="AB410" s="31" t="str">
        <f t="shared" si="88"/>
        <v>Discorso Ai fedeli convenuti a Roma in occasione del XVI centenario della promulgazione dell'Editto di Costantino</v>
      </c>
      <c r="AC410" s="31" t="str">
        <f t="shared" si="89"/>
        <v>Pio X, Discorso Ai fedeli convenuti a Roma in occasione del XVI centenario della promulgazione dell'Editto di Costantino, 23 febbraio 1913</v>
      </c>
      <c r="AD410" s="31" t="str">
        <f t="shared" si="90"/>
        <v>1913-02-23T08:00:00.000+02:00</v>
      </c>
      <c r="AE410" s="31" t="str">
        <f t="shared" si="91"/>
        <v>pix-dis-edc</v>
      </c>
      <c r="AF410" s="31" t="str">
        <f t="shared" si="92"/>
        <v>Pio X - Discorso - Ai fedeli convenuti a Roma in occasione del XVI centenario della promulgazione dell'Editto di Costantino</v>
      </c>
    </row>
    <row r="411" spans="2:32" s="31" customFormat="1" x14ac:dyDescent="0.2">
      <c r="B411" s="31">
        <v>257</v>
      </c>
      <c r="C411" s="31" t="s">
        <v>2326</v>
      </c>
      <c r="D411" s="31" t="s">
        <v>715</v>
      </c>
      <c r="E411" s="31" t="s">
        <v>737</v>
      </c>
      <c r="F411" s="31" t="s">
        <v>664</v>
      </c>
      <c r="G411" s="31" t="s">
        <v>665</v>
      </c>
      <c r="H411" s="31" t="str">
        <f t="shared" si="93"/>
        <v>Pio X</v>
      </c>
      <c r="K411" s="31" t="s">
        <v>827</v>
      </c>
      <c r="L411" s="31" t="str">
        <f t="shared" si="84"/>
        <v>Discorso</v>
      </c>
      <c r="M411" s="31" t="s">
        <v>566</v>
      </c>
      <c r="O411" s="31" t="s">
        <v>2277</v>
      </c>
      <c r="P411" s="31" t="s">
        <v>3427</v>
      </c>
      <c r="Q411" s="40">
        <v>4802</v>
      </c>
      <c r="R411" s="35">
        <f t="shared" si="94"/>
        <v>22</v>
      </c>
      <c r="S411" s="35"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5">
        <f t="shared" si="83"/>
        <v>1913</v>
      </c>
      <c r="U411" s="31"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6"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31"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31">
        <v>410</v>
      </c>
      <c r="Y411" s="31" t="str">
        <f t="shared" si="85"/>
        <v>['Pio X', 'Discorso', 'Ai genovesi in merito alla presa di possesso dell'Arcidiocesi di Genova da parte del nuovo Arcivescovo', 'pix-dis-aga', '22 febbraio 1913', '22/02/1913', '1913/02/22'],</v>
      </c>
      <c r="Z411" s="31" t="str">
        <f t="shared" si="86"/>
        <v>Ai genovesi in merito alla presa di possesso dell'Arcidiocesi di Genova da parte del nuovo Arcivescovo (4802) | Pio X</v>
      </c>
      <c r="AA411" s="31" t="str">
        <f t="shared" si="87"/>
        <v>Discorso Ai genovesi in merito alla presa di possesso dell'Arcidiocesi di Genova da parte del nuovo Arcivescovo</v>
      </c>
      <c r="AB411" s="31" t="str">
        <f t="shared" si="88"/>
        <v>Discorso Ai genovesi in merito alla presa di possesso dell'Arcidiocesi di Genova da parte del nuovo Arcivescovo</v>
      </c>
      <c r="AC411" s="31" t="str">
        <f t="shared" si="89"/>
        <v>Pio X, Discorso Ai genovesi in merito alla presa di possesso dell'Arcidiocesi di Genova da parte del nuovo Arcivescovo, 22 febbraio 1913</v>
      </c>
      <c r="AD411" s="31" t="str">
        <f t="shared" si="90"/>
        <v>1913-02-22T08:00:00.000+02:00</v>
      </c>
      <c r="AE411" s="31" t="str">
        <f t="shared" si="91"/>
        <v>pix-dis-aga</v>
      </c>
      <c r="AF411" s="31" t="str">
        <f t="shared" si="92"/>
        <v>Pio X - Discorso - Ai genovesi in merito alla presa di possesso dell'Arcidiocesi di Genova da parte del nuovo Arcivescovo</v>
      </c>
    </row>
    <row r="412" spans="2:32" s="31" customFormat="1" x14ac:dyDescent="0.2">
      <c r="B412" s="31">
        <v>257</v>
      </c>
      <c r="C412" s="31" t="s">
        <v>2327</v>
      </c>
      <c r="D412" s="31" t="s">
        <v>715</v>
      </c>
      <c r="E412" s="31" t="s">
        <v>737</v>
      </c>
      <c r="F412" s="31" t="s">
        <v>664</v>
      </c>
      <c r="G412" s="31" t="s">
        <v>665</v>
      </c>
      <c r="H412" s="31" t="str">
        <f t="shared" si="93"/>
        <v>Pio X</v>
      </c>
      <c r="K412" s="31" t="s">
        <v>827</v>
      </c>
      <c r="L412" s="31" t="str">
        <f t="shared" si="84"/>
        <v>Discorso</v>
      </c>
      <c r="M412" s="31" t="s">
        <v>566</v>
      </c>
      <c r="O412" s="31" t="s">
        <v>2278</v>
      </c>
      <c r="P412" s="31" t="s">
        <v>1034</v>
      </c>
      <c r="Q412" s="40">
        <v>4706</v>
      </c>
      <c r="R412" s="35">
        <f t="shared" si="94"/>
        <v>18</v>
      </c>
      <c r="S412" s="35"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5">
        <f t="shared" si="83"/>
        <v>1912</v>
      </c>
      <c r="U412" s="31"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6"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31"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31">
        <v>411</v>
      </c>
      <c r="Y412" s="31" t="str">
        <f t="shared" si="85"/>
        <v>['Pio X', 'Discorso', 'Ai sacerdoti dell'Unione Apostolica in occasione del 50° anniversario della fondazione', 'pix-dis-sua', '18 novembre 1912', '18/11/1912', '1912/11/18'],</v>
      </c>
      <c r="Z412" s="31" t="str">
        <f t="shared" si="86"/>
        <v>Ai sacerdoti dell'Unione Apostolica in occasione del 50° anniversario della fondazione (4706) | Pio X</v>
      </c>
      <c r="AA412" s="31" t="str">
        <f t="shared" si="87"/>
        <v>Discorso Ai sacerdoti dell'Unione Apostolica in occasione del 50° anniversario della fondazione</v>
      </c>
      <c r="AB412" s="31" t="str">
        <f t="shared" si="88"/>
        <v>Discorso Ai sacerdoti dell'Unione Apostolica in occasione del 50° anniversario della fondazione</v>
      </c>
      <c r="AC412" s="31" t="str">
        <f t="shared" si="89"/>
        <v>Pio X, Discorso Ai sacerdoti dell'Unione Apostolica in occasione del 50° anniversario della fondazione, 18 novembre 1912</v>
      </c>
      <c r="AD412" s="31" t="str">
        <f t="shared" si="90"/>
        <v>1912-11-18T08:00:00.000+02:00</v>
      </c>
      <c r="AE412" s="31" t="str">
        <f t="shared" si="91"/>
        <v>pix-dis-sua</v>
      </c>
      <c r="AF412" s="31" t="str">
        <f t="shared" si="92"/>
        <v>Pio X - Discorso - Ai sacerdoti dell'Unione Apostolica in occasione del 50° anniversario della fondazione</v>
      </c>
    </row>
    <row r="413" spans="2:32" s="31" customFormat="1" x14ac:dyDescent="0.2">
      <c r="B413" s="31">
        <v>257</v>
      </c>
      <c r="C413" s="31" t="s">
        <v>2328</v>
      </c>
      <c r="D413" s="31" t="s">
        <v>715</v>
      </c>
      <c r="E413" s="31" t="s">
        <v>737</v>
      </c>
      <c r="F413" s="31" t="s">
        <v>664</v>
      </c>
      <c r="G413" s="31" t="s">
        <v>665</v>
      </c>
      <c r="H413" s="31" t="str">
        <f t="shared" si="93"/>
        <v>Pio X</v>
      </c>
      <c r="K413" s="31" t="s">
        <v>827</v>
      </c>
      <c r="L413" s="31" t="str">
        <f t="shared" si="84"/>
        <v>Discorso</v>
      </c>
      <c r="M413" s="31" t="s">
        <v>566</v>
      </c>
      <c r="O413" s="31" t="s">
        <v>2279</v>
      </c>
      <c r="P413" s="31" t="s">
        <v>3428</v>
      </c>
      <c r="Q413" s="40">
        <v>3270</v>
      </c>
      <c r="R413" s="35">
        <f t="shared" si="94"/>
        <v>13</v>
      </c>
      <c r="S413" s="35"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5">
        <f t="shared" si="83"/>
        <v>1908</v>
      </c>
      <c r="U413" s="31"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6"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31"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31">
        <v>412</v>
      </c>
      <c r="Y413" s="31" t="str">
        <f t="shared" si="85"/>
        <v>['Pio X', 'Discorso', 'Pubblicazione dei Decreti sulle virtù eroiche di Giovanna d'Arco, Giovanni Eudes, Francesco de Capillas, Giovanni Teofano Vénard e Compagni', 'pix-dis-dve', '13 dicembre 1908', '13/12/1908', '1908/12/13'],</v>
      </c>
      <c r="Z413" s="31" t="str">
        <f t="shared" si="86"/>
        <v>Pubblicazione dei Decreti sulle virtù eroiche di Giovanna d'Arco, Giovanni Eudes, Francesco de Capillas, Giovanni Teofano Vénard e Compagni (3270) | Pio X</v>
      </c>
      <c r="AA413" s="31" t="str">
        <f t="shared" si="87"/>
        <v>Discorso Pubblicazione dei Decreti sulle virtù eroiche di Giovanna d'Arco, Giovanni Eudes, Francesco de Capillas, Giovanni Teofano Vénard e Compagni</v>
      </c>
      <c r="AB413" s="31" t="str">
        <f t="shared" si="88"/>
        <v>Discorso Pubblicazione dei Decreti sulle virtù eroiche di Giovanna d'Arco, Giovanni Eudes, Francesco de Capillas, Giovanni Teofano Vénard e Compagni</v>
      </c>
      <c r="AC413" s="31" t="str">
        <f t="shared" si="89"/>
        <v>Pio X, Discorso Pubblicazione dei Decreti sulle virtù eroiche di Giovanna d'Arco, Giovanni Eudes, Francesco de Capillas, Giovanni Teofano Vénard e Compagni, 13 dicembre 1908</v>
      </c>
      <c r="AD413" s="31" t="str">
        <f t="shared" si="90"/>
        <v>1908-12-13T08:00:00.000+02:00</v>
      </c>
      <c r="AE413" s="31" t="str">
        <f t="shared" si="91"/>
        <v>pix-dis-dve</v>
      </c>
      <c r="AF413" s="31" t="str">
        <f t="shared" si="92"/>
        <v>Pio X - Discorso - Pubblicazione dei Decreti sulle virtù eroiche di Giovanna d'Arco, Giovanni Eudes, Francesco de Capillas, Giovanni Teofano Vénard e Compagni</v>
      </c>
    </row>
    <row r="414" spans="2:32" s="31" customFormat="1" x14ac:dyDescent="0.2">
      <c r="B414" s="31">
        <v>257</v>
      </c>
      <c r="C414" s="31" t="s">
        <v>2329</v>
      </c>
      <c r="D414" s="31" t="s">
        <v>715</v>
      </c>
      <c r="E414" s="31" t="s">
        <v>737</v>
      </c>
      <c r="F414" s="31" t="s">
        <v>664</v>
      </c>
      <c r="G414" s="31" t="s">
        <v>665</v>
      </c>
      <c r="H414" s="31" t="str">
        <f t="shared" si="93"/>
        <v>Pio X</v>
      </c>
      <c r="K414" s="31" t="s">
        <v>827</v>
      </c>
      <c r="L414" s="31" t="str">
        <f t="shared" si="84"/>
        <v>Discorso</v>
      </c>
      <c r="M414" s="31" t="s">
        <v>566</v>
      </c>
      <c r="O414" s="31" t="s">
        <v>2280</v>
      </c>
      <c r="P414" s="31" t="s">
        <v>3429</v>
      </c>
      <c r="Q414" s="40">
        <v>3173</v>
      </c>
      <c r="R414" s="35">
        <f t="shared" si="94"/>
        <v>7</v>
      </c>
      <c r="S414" s="35"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5">
        <f t="shared" si="83"/>
        <v>1908</v>
      </c>
      <c r="U414" s="31"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6"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31"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31">
        <v>413</v>
      </c>
      <c r="Y414" s="31" t="str">
        <f t="shared" si="85"/>
        <v>['Pio X', 'Discorso', 'Ai pellegrini francesi', 'pix-dis-apf', '07 settembre 1908', '07/09/1908', '1908/09/07'],</v>
      </c>
      <c r="Z414" s="31" t="str">
        <f t="shared" si="86"/>
        <v>Ai pellegrini francesi (3173) | Pio X</v>
      </c>
      <c r="AA414" s="31" t="str">
        <f t="shared" si="87"/>
        <v>Discorso Ai pellegrini francesi</v>
      </c>
      <c r="AB414" s="31" t="str">
        <f t="shared" si="88"/>
        <v>Discorso Ai pellegrini francesi</v>
      </c>
      <c r="AC414" s="31" t="str">
        <f t="shared" si="89"/>
        <v>Pio X, Discorso Ai pellegrini francesi, 07 settembre 1908</v>
      </c>
      <c r="AD414" s="31" t="str">
        <f t="shared" si="90"/>
        <v>1908-09-07T08:00:00.000+02:00</v>
      </c>
      <c r="AE414" s="31" t="str">
        <f t="shared" si="91"/>
        <v>pix-dis-apf</v>
      </c>
      <c r="AF414" s="31" t="str">
        <f t="shared" si="92"/>
        <v>Pio X - Discorso - Ai pellegrini francesi</v>
      </c>
    </row>
    <row r="415" spans="2:32" s="31" customFormat="1" x14ac:dyDescent="0.2">
      <c r="B415" s="31">
        <v>257</v>
      </c>
      <c r="C415" s="31" t="s">
        <v>2330</v>
      </c>
      <c r="D415" s="31" t="s">
        <v>715</v>
      </c>
      <c r="E415" s="31" t="s">
        <v>737</v>
      </c>
      <c r="F415" s="31" t="s">
        <v>664</v>
      </c>
      <c r="G415" s="31" t="s">
        <v>665</v>
      </c>
      <c r="H415" s="31" t="str">
        <f t="shared" si="93"/>
        <v>Pio X</v>
      </c>
      <c r="K415" s="31" t="s">
        <v>827</v>
      </c>
      <c r="L415" s="31" t="str">
        <f t="shared" si="84"/>
        <v>Discorso</v>
      </c>
      <c r="M415" s="31" t="s">
        <v>566</v>
      </c>
      <c r="O415" s="31" t="s">
        <v>2281</v>
      </c>
      <c r="P415" s="31" t="s">
        <v>3430</v>
      </c>
      <c r="Q415" s="40">
        <v>2966</v>
      </c>
      <c r="R415" s="35">
        <f t="shared" si="94"/>
        <v>13</v>
      </c>
      <c r="S415" s="35"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5">
        <f t="shared" si="83"/>
        <v>1908</v>
      </c>
      <c r="U415" s="31"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6"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31"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31">
        <v>414</v>
      </c>
      <c r="Y415" s="31" t="str">
        <f t="shared" si="85"/>
        <v>['Pio X', 'Discorso', 'Ai prelati orientali giunti a Roma per il XV centenario di San Giovanni Crisostomo', 'pix-dis-apo', '13 febbraio 1908', '13/02/1908', '1908/02/13'],</v>
      </c>
      <c r="Z415" s="31" t="str">
        <f t="shared" si="86"/>
        <v>Ai prelati orientali giunti a Roma per il XV centenario di San Giovanni Crisostomo (2966) | Pio X</v>
      </c>
      <c r="AA415" s="31" t="str">
        <f t="shared" si="87"/>
        <v>Discorso Ai prelati orientali giunti a Roma per il XV centenario di San Giovanni Crisostomo</v>
      </c>
      <c r="AB415" s="31" t="str">
        <f t="shared" si="88"/>
        <v>Discorso Ai prelati orientali giunti a Roma per il XV centenario di San Giovanni Crisostomo</v>
      </c>
      <c r="AC415" s="31" t="str">
        <f t="shared" si="89"/>
        <v>Pio X, Discorso Ai prelati orientali giunti a Roma per il XV centenario di San Giovanni Crisostomo, 13 febbraio 1908</v>
      </c>
      <c r="AD415" s="31" t="str">
        <f t="shared" si="90"/>
        <v>1908-02-13T08:00:00.000+02:00</v>
      </c>
      <c r="AE415" s="31" t="str">
        <f t="shared" si="91"/>
        <v>pix-dis-apo</v>
      </c>
      <c r="AF415" s="31" t="str">
        <f t="shared" si="92"/>
        <v>Pio X - Discorso - Ai prelati orientali giunti a Roma per il XV centenario di San Giovanni Crisostomo</v>
      </c>
    </row>
    <row r="416" spans="2:32" s="31" customFormat="1" x14ac:dyDescent="0.2">
      <c r="B416" s="31">
        <v>257</v>
      </c>
      <c r="C416" s="31" t="s">
        <v>2331</v>
      </c>
      <c r="D416" s="31" t="s">
        <v>715</v>
      </c>
      <c r="E416" s="31" t="s">
        <v>737</v>
      </c>
      <c r="F416" s="31" t="s">
        <v>664</v>
      </c>
      <c r="G416" s="31" t="s">
        <v>665</v>
      </c>
      <c r="H416" s="31" t="str">
        <f t="shared" si="93"/>
        <v>Pio X</v>
      </c>
      <c r="K416" s="31" t="s">
        <v>827</v>
      </c>
      <c r="L416" s="31" t="str">
        <f t="shared" si="84"/>
        <v>Discorso</v>
      </c>
      <c r="M416" s="31" t="s">
        <v>566</v>
      </c>
      <c r="O416" s="31" t="s">
        <v>2282</v>
      </c>
      <c r="P416" s="31" t="s">
        <v>3431</v>
      </c>
      <c r="Q416" s="40">
        <v>2909</v>
      </c>
      <c r="R416" s="35">
        <f t="shared" si="94"/>
        <v>18</v>
      </c>
      <c r="S416" s="35"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5">
        <f t="shared" si="83"/>
        <v>1907</v>
      </c>
      <c r="U416" s="31"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6"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31"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31">
        <v>415</v>
      </c>
      <c r="Y416" s="31" t="str">
        <f t="shared" si="85"/>
        <v>['Pio X', 'Discorso', 'Ai nuovi Cardinali', 'pix-dis-anc', '18 dicembre 1907', '18/12/1907', '1907/12/18'],</v>
      </c>
      <c r="Z416" s="31" t="str">
        <f t="shared" si="86"/>
        <v>Ai nuovi Cardinali (2909) | Pio X</v>
      </c>
      <c r="AA416" s="31" t="str">
        <f t="shared" si="87"/>
        <v>Discorso Ai nuovi Cardinali</v>
      </c>
      <c r="AB416" s="31" t="str">
        <f t="shared" si="88"/>
        <v>Discorso Ai nuovi Cardinali</v>
      </c>
      <c r="AC416" s="31" t="str">
        <f t="shared" si="89"/>
        <v>Pio X, Discorso Ai nuovi Cardinali, 18 dicembre 1907</v>
      </c>
      <c r="AD416" s="31" t="str">
        <f t="shared" si="90"/>
        <v>1907-12-18T08:00:00.000+02:00</v>
      </c>
      <c r="AE416" s="31" t="str">
        <f t="shared" si="91"/>
        <v>pix-dis-anc</v>
      </c>
      <c r="AF416" s="31" t="str">
        <f t="shared" si="92"/>
        <v>Pio X - Discorso - Ai nuovi Cardinali</v>
      </c>
    </row>
    <row r="417" spans="2:32" s="31" customFormat="1" x14ac:dyDescent="0.2">
      <c r="B417" s="31">
        <v>257</v>
      </c>
      <c r="C417" s="31" t="s">
        <v>2332</v>
      </c>
      <c r="D417" s="31" t="s">
        <v>715</v>
      </c>
      <c r="E417" s="31" t="s">
        <v>737</v>
      </c>
      <c r="F417" s="31" t="s">
        <v>664</v>
      </c>
      <c r="G417" s="31" t="s">
        <v>665</v>
      </c>
      <c r="H417" s="31" t="str">
        <f t="shared" si="93"/>
        <v>Pio X</v>
      </c>
      <c r="K417" s="31" t="s">
        <v>827</v>
      </c>
      <c r="L417" s="31" t="str">
        <f t="shared" si="84"/>
        <v>Discorso</v>
      </c>
      <c r="M417" s="31" t="s">
        <v>566</v>
      </c>
      <c r="O417" s="31" t="s">
        <v>2283</v>
      </c>
      <c r="P417" s="31" t="s">
        <v>1008</v>
      </c>
      <c r="Q417" s="40">
        <v>2907</v>
      </c>
      <c r="R417" s="35">
        <f t="shared" si="94"/>
        <v>16</v>
      </c>
      <c r="S417" s="35"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5">
        <f t="shared" si="83"/>
        <v>1907</v>
      </c>
      <c r="U417" s="31"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6"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31"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31">
        <v>416</v>
      </c>
      <c r="Y417" s="31" t="str">
        <f t="shared" si="85"/>
        <v>['Pio X', 'Discorso', 'Relicturus Ecclesiam', 'pix-dis-ree', '16 dicembre 1907', '16/12/1907', '1907/12/16'],</v>
      </c>
      <c r="Z417" s="31" t="str">
        <f t="shared" si="86"/>
        <v>Relicturus Ecclesiam (2907) | Pio X</v>
      </c>
      <c r="AA417" s="31" t="str">
        <f t="shared" si="87"/>
        <v>Discorso Relicturus Ecclesiam</v>
      </c>
      <c r="AB417" s="31" t="str">
        <f t="shared" si="88"/>
        <v>Discorso Relicturus Ecclesiam</v>
      </c>
      <c r="AC417" s="31" t="str">
        <f t="shared" si="89"/>
        <v>Pio X, Discorso Relicturus Ecclesiam, 16 dicembre 1907</v>
      </c>
      <c r="AD417" s="31" t="str">
        <f t="shared" si="90"/>
        <v>1907-12-16T08:00:00.000+02:00</v>
      </c>
      <c r="AE417" s="31" t="str">
        <f t="shared" si="91"/>
        <v>pix-dis-ree</v>
      </c>
      <c r="AF417" s="31" t="str">
        <f t="shared" si="92"/>
        <v>Pio X - Discorso - Relicturus Ecclesiam</v>
      </c>
    </row>
    <row r="418" spans="2:32" s="31" customFormat="1" x14ac:dyDescent="0.2">
      <c r="B418" s="31">
        <v>257</v>
      </c>
      <c r="C418" s="31" t="s">
        <v>2333</v>
      </c>
      <c r="D418" s="31" t="s">
        <v>715</v>
      </c>
      <c r="E418" s="31" t="s">
        <v>737</v>
      </c>
      <c r="F418" s="31" t="s">
        <v>664</v>
      </c>
      <c r="G418" s="31" t="s">
        <v>665</v>
      </c>
      <c r="H418" s="31" t="str">
        <f t="shared" si="93"/>
        <v>Pio X</v>
      </c>
      <c r="K418" s="31" t="s">
        <v>827</v>
      </c>
      <c r="L418" s="31" t="str">
        <f t="shared" si="84"/>
        <v>Discorso</v>
      </c>
      <c r="M418" s="31" t="s">
        <v>566</v>
      </c>
      <c r="O418" s="31" t="s">
        <v>2284</v>
      </c>
      <c r="P418" s="31" t="s">
        <v>3432</v>
      </c>
      <c r="Q418" s="40">
        <v>2858</v>
      </c>
      <c r="R418" s="35">
        <f t="shared" si="94"/>
        <v>28</v>
      </c>
      <c r="S418" s="35"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5">
        <f t="shared" si="83"/>
        <v>1907</v>
      </c>
      <c r="U418" s="31"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6"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31"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31">
        <v>417</v>
      </c>
      <c r="Y418" s="31" t="str">
        <f t="shared" si="85"/>
        <v>['Pio X', 'Discorso', 'Al Comitato centrale direttivo della Lega nazionale tra i padri di famiglia', 'pix-dis-cpf', '28 ottobre 1907', '28/10/1907', '1907/10/28'],</v>
      </c>
      <c r="Z418" s="31" t="str">
        <f t="shared" si="86"/>
        <v>Al Comitato centrale direttivo della Lega nazionale tra i padri di famiglia (2858) | Pio X</v>
      </c>
      <c r="AA418" s="31" t="str">
        <f t="shared" si="87"/>
        <v>Discorso Al Comitato centrale direttivo della Lega nazionale tra i padri di famiglia</v>
      </c>
      <c r="AB418" s="31" t="str">
        <f t="shared" si="88"/>
        <v>Discorso Al Comitato centrale direttivo della Lega nazionale tra i padri di famiglia</v>
      </c>
      <c r="AC418" s="31" t="str">
        <f t="shared" si="89"/>
        <v>Pio X, Discorso Al Comitato centrale direttivo della Lega nazionale tra i padri di famiglia, 28 ottobre 1907</v>
      </c>
      <c r="AD418" s="31" t="str">
        <f t="shared" si="90"/>
        <v>1907-10-28T08:00:00.000+02:00</v>
      </c>
      <c r="AE418" s="31" t="str">
        <f t="shared" si="91"/>
        <v>pix-dis-cpf</v>
      </c>
      <c r="AF418" s="31" t="str">
        <f t="shared" si="92"/>
        <v>Pio X - Discorso - Al Comitato centrale direttivo della Lega nazionale tra i padri di famiglia</v>
      </c>
    </row>
    <row r="419" spans="2:32" s="31" customFormat="1" x14ac:dyDescent="0.2">
      <c r="B419" s="31">
        <v>257</v>
      </c>
      <c r="C419" s="31" t="s">
        <v>2334</v>
      </c>
      <c r="D419" s="31" t="s">
        <v>715</v>
      </c>
      <c r="E419" s="31" t="s">
        <v>737</v>
      </c>
      <c r="F419" s="31" t="s">
        <v>664</v>
      </c>
      <c r="G419" s="31" t="s">
        <v>665</v>
      </c>
      <c r="H419" s="31" t="str">
        <f t="shared" si="93"/>
        <v>Pio X</v>
      </c>
      <c r="K419" s="31" t="s">
        <v>827</v>
      </c>
      <c r="L419" s="31" t="str">
        <f t="shared" si="84"/>
        <v>Discorso</v>
      </c>
      <c r="M419" s="31" t="s">
        <v>566</v>
      </c>
      <c r="O419" s="31" t="s">
        <v>2285</v>
      </c>
      <c r="P419" s="31" t="s">
        <v>3433</v>
      </c>
      <c r="Q419" s="40">
        <v>2838</v>
      </c>
      <c r="R419" s="35">
        <f t="shared" si="94"/>
        <v>8</v>
      </c>
      <c r="S419" s="35"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5">
        <f t="shared" si="83"/>
        <v>1907</v>
      </c>
      <c r="U419" s="31"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6"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31"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31">
        <v>418</v>
      </c>
      <c r="Y419" s="31" t="str">
        <f t="shared" si="85"/>
        <v>['Pio X', 'Discorso', 'Alla legazione straordinaria d'Abissinia', 'pix-dis-lsa', '08 ottobre 1907', '08/10/1907', '1907/10/08'],</v>
      </c>
      <c r="Z419" s="31" t="str">
        <f t="shared" si="86"/>
        <v>Alla legazione straordinaria d'Abissinia (2838) | Pio X</v>
      </c>
      <c r="AA419" s="31" t="str">
        <f t="shared" si="87"/>
        <v>Discorso Alla legazione straordinaria d'Abissinia</v>
      </c>
      <c r="AB419" s="31" t="str">
        <f t="shared" si="88"/>
        <v>Discorso Alla legazione straordinaria d'Abissinia</v>
      </c>
      <c r="AC419" s="31" t="str">
        <f t="shared" si="89"/>
        <v>Pio X, Discorso Alla legazione straordinaria d'Abissinia, 08 ottobre 1907</v>
      </c>
      <c r="AD419" s="31" t="str">
        <f t="shared" si="90"/>
        <v>1907-10-08T08:00:00.000+02:00</v>
      </c>
      <c r="AE419" s="31" t="str">
        <f t="shared" si="91"/>
        <v>pix-dis-lsa</v>
      </c>
      <c r="AF419" s="31" t="str">
        <f t="shared" si="92"/>
        <v>Pio X - Discorso - Alla legazione straordinaria d'Abissinia</v>
      </c>
    </row>
    <row r="420" spans="2:32" s="31" customFormat="1" x14ac:dyDescent="0.2">
      <c r="B420" s="31">
        <v>257</v>
      </c>
      <c r="C420" s="31" t="s">
        <v>2335</v>
      </c>
      <c r="D420" s="31" t="s">
        <v>715</v>
      </c>
      <c r="E420" s="31" t="s">
        <v>737</v>
      </c>
      <c r="F420" s="31" t="s">
        <v>664</v>
      </c>
      <c r="G420" s="31" t="s">
        <v>665</v>
      </c>
      <c r="H420" s="31" t="str">
        <f t="shared" si="93"/>
        <v>Pio X</v>
      </c>
      <c r="K420" s="31" t="s">
        <v>827</v>
      </c>
      <c r="L420" s="31" t="str">
        <f t="shared" si="84"/>
        <v>Discorso</v>
      </c>
      <c r="M420" s="31" t="s">
        <v>566</v>
      </c>
      <c r="O420" s="31" t="s">
        <v>2282</v>
      </c>
      <c r="P420" s="31" t="s">
        <v>1915</v>
      </c>
      <c r="Q420" s="40">
        <v>2664</v>
      </c>
      <c r="R420" s="35">
        <f t="shared" si="94"/>
        <v>17</v>
      </c>
      <c r="S420" s="35"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5">
        <f t="shared" si="83"/>
        <v>1907</v>
      </c>
      <c r="U420" s="31"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6"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31"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31">
        <v>419</v>
      </c>
      <c r="Y420" s="31" t="str">
        <f t="shared" si="85"/>
        <v>['Pio X', 'Discorso', 'Ai nuovi Cardinali', 'pix-dis-nuc', '17 aprile 1907', '17/04/1907', '1907/04/17'],</v>
      </c>
      <c r="Z420" s="31" t="str">
        <f t="shared" si="86"/>
        <v>Ai nuovi Cardinali (2664) | Pio X</v>
      </c>
      <c r="AA420" s="31" t="str">
        <f t="shared" si="87"/>
        <v>Discorso Ai nuovi Cardinali</v>
      </c>
      <c r="AB420" s="31" t="str">
        <f t="shared" si="88"/>
        <v>Discorso Ai nuovi Cardinali</v>
      </c>
      <c r="AC420" s="31" t="str">
        <f t="shared" si="89"/>
        <v>Pio X, Discorso Ai nuovi Cardinali, 17 aprile 1907</v>
      </c>
      <c r="AD420" s="31" t="str">
        <f t="shared" si="90"/>
        <v>1907-04-17T08:00:00.000+02:00</v>
      </c>
      <c r="AE420" s="31" t="str">
        <f t="shared" si="91"/>
        <v>pix-dis-nuc</v>
      </c>
      <c r="AF420" s="31" t="str">
        <f t="shared" si="92"/>
        <v>Pio X - Discorso - Ai nuovi Cardinali</v>
      </c>
    </row>
    <row r="421" spans="2:32" s="31" customFormat="1" x14ac:dyDescent="0.2">
      <c r="B421" s="31">
        <v>257</v>
      </c>
      <c r="C421" s="31" t="s">
        <v>2336</v>
      </c>
      <c r="D421" s="31" t="s">
        <v>715</v>
      </c>
      <c r="E421" s="31" t="s">
        <v>737</v>
      </c>
      <c r="F421" s="31" t="s">
        <v>664</v>
      </c>
      <c r="G421" s="31" t="s">
        <v>665</v>
      </c>
      <c r="H421" s="31" t="str">
        <f t="shared" si="93"/>
        <v>Pio X</v>
      </c>
      <c r="K421" s="31" t="s">
        <v>827</v>
      </c>
      <c r="L421" s="31" t="str">
        <f t="shared" si="84"/>
        <v>Discorso</v>
      </c>
      <c r="M421" s="31" t="s">
        <v>566</v>
      </c>
      <c r="O421" s="31" t="s">
        <v>2286</v>
      </c>
      <c r="P421" s="31" t="s">
        <v>3434</v>
      </c>
      <c r="Q421" s="40">
        <v>2210</v>
      </c>
      <c r="R421" s="35">
        <f t="shared" si="94"/>
        <v>18</v>
      </c>
      <c r="S421" s="35"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5">
        <f t="shared" si="83"/>
        <v>1906</v>
      </c>
      <c r="U421" s="31"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6"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31"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31">
        <v>420</v>
      </c>
      <c r="Y421" s="31" t="str">
        <f t="shared" si="85"/>
        <v>['Pio X', 'Discorso', 'Al Patriarca di Cilicia degli Armeni', 'pix-dis-pca', '18 gennaio 1906', '18/01/1906', '1906/01/18'],</v>
      </c>
      <c r="Z421" s="31" t="str">
        <f t="shared" si="86"/>
        <v>Al Patriarca di Cilicia degli Armeni (2210) | Pio X</v>
      </c>
      <c r="AA421" s="31" t="str">
        <f t="shared" si="87"/>
        <v>Discorso Al Patriarca di Cilicia degli Armeni</v>
      </c>
      <c r="AB421" s="31" t="str">
        <f t="shared" si="88"/>
        <v>Discorso Al Patriarca di Cilicia degli Armeni</v>
      </c>
      <c r="AC421" s="31" t="str">
        <f t="shared" si="89"/>
        <v>Pio X, Discorso Al Patriarca di Cilicia degli Armeni, 18 gennaio 1906</v>
      </c>
      <c r="AD421" s="31" t="str">
        <f t="shared" si="90"/>
        <v>1906-01-18T08:00:00.000+02:00</v>
      </c>
      <c r="AE421" s="31" t="str">
        <f t="shared" si="91"/>
        <v>pix-dis-pca</v>
      </c>
      <c r="AF421" s="31" t="str">
        <f t="shared" si="92"/>
        <v>Pio X - Discorso - Al Patriarca di Cilicia degli Armeni</v>
      </c>
    </row>
    <row r="422" spans="2:32" s="31" customFormat="1" x14ac:dyDescent="0.2">
      <c r="B422" s="31">
        <v>257</v>
      </c>
      <c r="C422" s="31" t="s">
        <v>2337</v>
      </c>
      <c r="D422" s="31" t="s">
        <v>715</v>
      </c>
      <c r="E422" s="31" t="s">
        <v>737</v>
      </c>
      <c r="F422" s="31" t="s">
        <v>664</v>
      </c>
      <c r="G422" s="31" t="s">
        <v>665</v>
      </c>
      <c r="H422" s="31" t="str">
        <f t="shared" si="93"/>
        <v>Pio X</v>
      </c>
      <c r="K422" s="31" t="s">
        <v>827</v>
      </c>
      <c r="L422" s="31" t="str">
        <f t="shared" si="84"/>
        <v>Discorso</v>
      </c>
      <c r="M422" s="31" t="s">
        <v>566</v>
      </c>
      <c r="O422" s="31" t="s">
        <v>2287</v>
      </c>
      <c r="P422" s="31" t="s">
        <v>3435</v>
      </c>
      <c r="Q422" s="40">
        <v>2108</v>
      </c>
      <c r="R422" s="35">
        <f t="shared" si="94"/>
        <v>8</v>
      </c>
      <c r="S422" s="35"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5">
        <f t="shared" si="83"/>
        <v>1905</v>
      </c>
      <c r="U422" s="31"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6"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31"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31">
        <v>421</v>
      </c>
      <c r="Y422" s="31" t="str">
        <f t="shared" si="85"/>
        <v>['Pio X', 'Discorso', 'Ai giovani partecipanti al I convegno sportivo cattolico italiano', 'pix-dis-ics', '08 ottobre 1905', '08/10/1905', '1905/10/08'],</v>
      </c>
      <c r="Z422" s="31" t="str">
        <f t="shared" si="86"/>
        <v>Ai giovani partecipanti al I convegno sportivo cattolico italiano (2108) | Pio X</v>
      </c>
      <c r="AA422" s="31" t="str">
        <f t="shared" si="87"/>
        <v>Discorso Ai giovani partecipanti al I convegno sportivo cattolico italiano</v>
      </c>
      <c r="AB422" s="31" t="str">
        <f t="shared" si="88"/>
        <v>Discorso Ai giovani partecipanti al I convegno sportivo cattolico italiano</v>
      </c>
      <c r="AC422" s="31" t="str">
        <f t="shared" si="89"/>
        <v>Pio X, Discorso Ai giovani partecipanti al I convegno sportivo cattolico italiano, 08 ottobre 1905</v>
      </c>
      <c r="AD422" s="31" t="str">
        <f t="shared" si="90"/>
        <v>1905-10-08T08:00:00.000+02:00</v>
      </c>
      <c r="AE422" s="31" t="str">
        <f t="shared" si="91"/>
        <v>pix-dis-ics</v>
      </c>
      <c r="AF422" s="31" t="str">
        <f t="shared" si="92"/>
        <v>Pio X - Discorso - Ai giovani partecipanti al I convegno sportivo cattolico italiano</v>
      </c>
    </row>
    <row r="423" spans="2:32" s="31" customFormat="1" x14ac:dyDescent="0.2">
      <c r="B423" s="31">
        <v>257</v>
      </c>
      <c r="C423" s="31" t="s">
        <v>2338</v>
      </c>
      <c r="D423" s="31" t="s">
        <v>715</v>
      </c>
      <c r="E423" s="31" t="s">
        <v>737</v>
      </c>
      <c r="F423" s="31" t="s">
        <v>664</v>
      </c>
      <c r="G423" s="31" t="s">
        <v>665</v>
      </c>
      <c r="H423" s="31" t="str">
        <f t="shared" si="93"/>
        <v>Pio X</v>
      </c>
      <c r="K423" s="31" t="s">
        <v>827</v>
      </c>
      <c r="L423" s="31" t="str">
        <f t="shared" si="84"/>
        <v>Discorso</v>
      </c>
      <c r="M423" s="31" t="s">
        <v>566</v>
      </c>
      <c r="O423" s="31" t="s">
        <v>2288</v>
      </c>
      <c r="P423" s="31" t="s">
        <v>3436</v>
      </c>
      <c r="Q423" s="40">
        <v>1982</v>
      </c>
      <c r="R423" s="35">
        <f t="shared" si="94"/>
        <v>4</v>
      </c>
      <c r="S423" s="35"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5">
        <f t="shared" si="83"/>
        <v>1905</v>
      </c>
      <c r="U423" s="31"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6"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31"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31">
        <v>422</v>
      </c>
      <c r="Y423" s="31" t="str">
        <f t="shared" si="85"/>
        <v>['Pio X', 'Discorso', 'Ai partecipanti al XVI Congresso internazionale eucaristico', 'pix-dis-cie', '04 giugno 1905', '04/06/1905', '1905/06/04'],</v>
      </c>
      <c r="Z423" s="31" t="str">
        <f t="shared" si="86"/>
        <v>Ai partecipanti al XVI Congresso internazionale eucaristico (1982) | Pio X</v>
      </c>
      <c r="AA423" s="31" t="str">
        <f t="shared" si="87"/>
        <v>Discorso Ai partecipanti al XVI Congresso internazionale eucaristico</v>
      </c>
      <c r="AB423" s="31" t="str">
        <f t="shared" si="88"/>
        <v>Discorso Ai partecipanti al XVI Congresso internazionale eucaristico</v>
      </c>
      <c r="AC423" s="31" t="str">
        <f t="shared" si="89"/>
        <v>Pio X, Discorso Ai partecipanti al XVI Congresso internazionale eucaristico, 04 giugno 1905</v>
      </c>
      <c r="AD423" s="31" t="str">
        <f t="shared" si="90"/>
        <v>1905-06-04T08:00:00.000+02:00</v>
      </c>
      <c r="AE423" s="31" t="str">
        <f t="shared" si="91"/>
        <v>pix-dis-cie</v>
      </c>
      <c r="AF423" s="31" t="str">
        <f t="shared" si="92"/>
        <v>Pio X - Discorso - Ai partecipanti al XVI Congresso internazionale eucaristico</v>
      </c>
    </row>
    <row r="424" spans="2:32" s="31" customFormat="1" x14ac:dyDescent="0.2">
      <c r="B424" s="31">
        <v>257</v>
      </c>
      <c r="C424" s="31" t="s">
        <v>2339</v>
      </c>
      <c r="D424" s="31" t="s">
        <v>715</v>
      </c>
      <c r="E424" s="31" t="s">
        <v>737</v>
      </c>
      <c r="F424" s="31" t="s">
        <v>664</v>
      </c>
      <c r="G424" s="31" t="s">
        <v>665</v>
      </c>
      <c r="H424" s="31" t="str">
        <f t="shared" si="93"/>
        <v>Pio X</v>
      </c>
      <c r="K424" s="31" t="s">
        <v>827</v>
      </c>
      <c r="L424" s="31" t="str">
        <f t="shared" si="84"/>
        <v>Discorso</v>
      </c>
      <c r="M424" s="31" t="s">
        <v>566</v>
      </c>
      <c r="O424" s="31" t="s">
        <v>2289</v>
      </c>
      <c r="P424" s="31" t="s">
        <v>3437</v>
      </c>
      <c r="Q424" s="40">
        <v>1808</v>
      </c>
      <c r="R424" s="35">
        <f t="shared" si="94"/>
        <v>12</v>
      </c>
      <c r="S424" s="35"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5">
        <f t="shared" si="83"/>
        <v>1904</v>
      </c>
      <c r="U424" s="31"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6"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31"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31">
        <v>423</v>
      </c>
      <c r="Y424" s="31" t="str">
        <f t="shared" si="85"/>
        <v>['Pio X', 'Discorso', 'Io avrei voluto', 'pix-dis-iav', '12 dicembre 1904', '12/12/1904', '1904/12/12'],</v>
      </c>
      <c r="Z424" s="31" t="str">
        <f t="shared" si="86"/>
        <v>Io avrei voluto (1808) | Pio X</v>
      </c>
      <c r="AA424" s="31" t="str">
        <f t="shared" si="87"/>
        <v>Discorso Io avrei voluto</v>
      </c>
      <c r="AB424" s="31" t="str">
        <f t="shared" si="88"/>
        <v>Discorso Io avrei voluto</v>
      </c>
      <c r="AC424" s="31" t="str">
        <f t="shared" si="89"/>
        <v>Pio X, Discorso Io avrei voluto, 12 dicembre 1904</v>
      </c>
      <c r="AD424" s="31" t="str">
        <f t="shared" si="90"/>
        <v>1904-12-12T08:00:00.000+02:00</v>
      </c>
      <c r="AE424" s="31" t="str">
        <f t="shared" si="91"/>
        <v>pix-dis-iav</v>
      </c>
      <c r="AF424" s="31" t="str">
        <f t="shared" si="92"/>
        <v>Pio X - Discorso - Io avrei voluto</v>
      </c>
    </row>
    <row r="425" spans="2:32" s="31" customFormat="1" x14ac:dyDescent="0.2">
      <c r="B425" s="31">
        <v>257</v>
      </c>
      <c r="C425" s="31" t="s">
        <v>2340</v>
      </c>
      <c r="D425" s="31" t="s">
        <v>715</v>
      </c>
      <c r="E425" s="31" t="s">
        <v>737</v>
      </c>
      <c r="F425" s="31" t="s">
        <v>664</v>
      </c>
      <c r="G425" s="31" t="s">
        <v>665</v>
      </c>
      <c r="H425" s="31" t="str">
        <f t="shared" si="93"/>
        <v>Pio X</v>
      </c>
      <c r="K425" s="31" t="s">
        <v>827</v>
      </c>
      <c r="L425" s="31" t="str">
        <f t="shared" si="84"/>
        <v>Discorso</v>
      </c>
      <c r="M425" s="31" t="s">
        <v>566</v>
      </c>
      <c r="O425" s="31" t="s">
        <v>2290</v>
      </c>
      <c r="P425" s="31" t="s">
        <v>965</v>
      </c>
      <c r="Q425" s="40">
        <v>1780</v>
      </c>
      <c r="R425" s="35">
        <f t="shared" si="94"/>
        <v>14</v>
      </c>
      <c r="S425" s="35"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5">
        <f t="shared" si="83"/>
        <v>1904</v>
      </c>
      <c r="U425" s="31"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6"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31"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31">
        <v>424</v>
      </c>
      <c r="Y425" s="31" t="str">
        <f t="shared" si="85"/>
        <v>['Pio X', 'Discorso', 'Duplicem, nostis', 'pix-dis-dun', '14 novembre 1904', '14/11/1904', '1904/11/14'],</v>
      </c>
      <c r="Z425" s="31" t="str">
        <f t="shared" si="86"/>
        <v>Duplicem, nostis (1780) | Pio X</v>
      </c>
      <c r="AA425" s="31" t="str">
        <f t="shared" si="87"/>
        <v>Discorso Duplicem, nostis</v>
      </c>
      <c r="AB425" s="31" t="str">
        <f t="shared" si="88"/>
        <v>Discorso Duplicem, nostis</v>
      </c>
      <c r="AC425" s="31" t="str">
        <f t="shared" si="89"/>
        <v>Pio X, Discorso Duplicem, nostis, 14 novembre 1904</v>
      </c>
      <c r="AD425" s="31" t="str">
        <f t="shared" si="90"/>
        <v>1904-11-14T08:00:00.000+02:00</v>
      </c>
      <c r="AE425" s="31" t="str">
        <f t="shared" si="91"/>
        <v>pix-dis-dun</v>
      </c>
      <c r="AF425" s="31" t="str">
        <f t="shared" si="92"/>
        <v>Pio X - Discorso - Duplicem, nostis</v>
      </c>
    </row>
    <row r="426" spans="2:32" s="31" customFormat="1" x14ac:dyDescent="0.2">
      <c r="B426" s="31">
        <v>257</v>
      </c>
      <c r="C426" s="31" t="s">
        <v>2341</v>
      </c>
      <c r="D426" s="31" t="s">
        <v>715</v>
      </c>
      <c r="E426" s="31" t="s">
        <v>737</v>
      </c>
      <c r="F426" s="31" t="s">
        <v>664</v>
      </c>
      <c r="G426" s="31" t="s">
        <v>665</v>
      </c>
      <c r="H426" s="31" t="str">
        <f t="shared" si="93"/>
        <v>Pio X</v>
      </c>
      <c r="K426" s="31" t="s">
        <v>827</v>
      </c>
      <c r="L426" s="31" t="str">
        <f t="shared" si="84"/>
        <v>Discorso</v>
      </c>
      <c r="M426" s="31" t="s">
        <v>566</v>
      </c>
      <c r="O426" s="31" t="s">
        <v>2291</v>
      </c>
      <c r="P426" s="31" t="s">
        <v>3438</v>
      </c>
      <c r="Q426" s="40">
        <v>1750</v>
      </c>
      <c r="R426" s="35">
        <f t="shared" si="94"/>
        <v>15</v>
      </c>
      <c r="S426" s="35"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5">
        <f t="shared" si="83"/>
        <v>1904</v>
      </c>
      <c r="U426" s="31"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6"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31"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31">
        <v>425</v>
      </c>
      <c r="Y426" s="31" t="str">
        <f t="shared" si="85"/>
        <v>['Pio X', 'Discorso', 'Mi è ben grata', 'pix-dis-mbg', '15 ottobre 1904', '15/10/1904', '1904/10/15'],</v>
      </c>
      <c r="Z426" s="31" t="str">
        <f t="shared" si="86"/>
        <v>Mi è ben grata (1750) | Pio X</v>
      </c>
      <c r="AA426" s="31" t="str">
        <f t="shared" si="87"/>
        <v>Discorso Mi è ben grata</v>
      </c>
      <c r="AB426" s="31" t="str">
        <f t="shared" si="88"/>
        <v>Discorso Mi è ben grata</v>
      </c>
      <c r="AC426" s="31" t="str">
        <f t="shared" si="89"/>
        <v>Pio X, Discorso Mi è ben grata, 15 ottobre 1904</v>
      </c>
      <c r="AD426" s="31" t="str">
        <f t="shared" si="90"/>
        <v>1904-10-15T08:00:00.000+02:00</v>
      </c>
      <c r="AE426" s="31" t="str">
        <f t="shared" si="91"/>
        <v>pix-dis-mbg</v>
      </c>
      <c r="AF426" s="31" t="str">
        <f t="shared" si="92"/>
        <v>Pio X - Discorso - Mi è ben grata</v>
      </c>
    </row>
    <row r="427" spans="2:32" s="31" customFormat="1" x14ac:dyDescent="0.2">
      <c r="B427" s="31">
        <v>257</v>
      </c>
      <c r="C427" s="31" t="s">
        <v>2342</v>
      </c>
      <c r="D427" s="31" t="s">
        <v>715</v>
      </c>
      <c r="E427" s="31" t="s">
        <v>737</v>
      </c>
      <c r="F427" s="31" t="s">
        <v>664</v>
      </c>
      <c r="G427" s="31" t="s">
        <v>665</v>
      </c>
      <c r="H427" s="31" t="str">
        <f t="shared" si="93"/>
        <v>Pio X</v>
      </c>
      <c r="K427" s="31" t="s">
        <v>827</v>
      </c>
      <c r="L427" s="31" t="str">
        <f t="shared" si="84"/>
        <v>Discorso</v>
      </c>
      <c r="M427" s="31" t="s">
        <v>566</v>
      </c>
      <c r="O427" s="31" t="s">
        <v>2292</v>
      </c>
      <c r="P427" s="31" t="s">
        <v>3439</v>
      </c>
      <c r="Q427" s="40">
        <v>1539</v>
      </c>
      <c r="R427" s="35">
        <f t="shared" si="94"/>
        <v>18</v>
      </c>
      <c r="S427" s="35"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5">
        <f t="shared" si="83"/>
        <v>1904</v>
      </c>
      <c r="U427" s="31"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6"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31"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31">
        <v>426</v>
      </c>
      <c r="Y427" s="31" t="str">
        <f t="shared" si="85"/>
        <v>['Pio X', 'Discorso', 'Vota, quae', 'pix-dis-voq', '18 marzo 1904', '18/03/1904', '1904/03/18'],</v>
      </c>
      <c r="Z427" s="31" t="str">
        <f t="shared" si="86"/>
        <v>Vota, quae (1539) | Pio X</v>
      </c>
      <c r="AA427" s="31" t="str">
        <f t="shared" si="87"/>
        <v>Discorso Vota, quae</v>
      </c>
      <c r="AB427" s="31" t="str">
        <f t="shared" si="88"/>
        <v>Discorso Vota, quae</v>
      </c>
      <c r="AC427" s="31" t="str">
        <f t="shared" si="89"/>
        <v>Pio X, Discorso Vota, quae, 18 marzo 1904</v>
      </c>
      <c r="AD427" s="31" t="str">
        <f t="shared" si="90"/>
        <v>1904-03-18T08:00:00.000+02:00</v>
      </c>
      <c r="AE427" s="31" t="str">
        <f t="shared" si="91"/>
        <v>pix-dis-voq</v>
      </c>
      <c r="AF427" s="31" t="str">
        <f t="shared" si="92"/>
        <v>Pio X - Discorso - Vota, quae</v>
      </c>
    </row>
    <row r="428" spans="2:32" s="31" customFormat="1" x14ac:dyDescent="0.2">
      <c r="B428" s="31">
        <v>257</v>
      </c>
      <c r="C428" s="31" t="s">
        <v>2343</v>
      </c>
      <c r="D428" s="31" t="s">
        <v>715</v>
      </c>
      <c r="E428" s="31" t="s">
        <v>737</v>
      </c>
      <c r="F428" s="31" t="s">
        <v>664</v>
      </c>
      <c r="G428" s="31" t="s">
        <v>665</v>
      </c>
      <c r="H428" s="31" t="str">
        <f t="shared" si="93"/>
        <v>Pio X</v>
      </c>
      <c r="K428" s="31" t="s">
        <v>827</v>
      </c>
      <c r="L428" s="31" t="str">
        <f t="shared" si="84"/>
        <v>Discorso</v>
      </c>
      <c r="M428" s="31" t="s">
        <v>566</v>
      </c>
      <c r="O428" s="31" t="s">
        <v>2293</v>
      </c>
      <c r="P428" s="31" t="s">
        <v>3440</v>
      </c>
      <c r="Q428" s="40">
        <v>1479</v>
      </c>
      <c r="R428" s="35">
        <f t="shared" si="94"/>
        <v>18</v>
      </c>
      <c r="S428" s="35"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5">
        <f t="shared" si="83"/>
        <v>1904</v>
      </c>
      <c r="U428" s="31"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6"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31"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31">
        <v>427</v>
      </c>
      <c r="Y428" s="31" t="str">
        <f t="shared" si="85"/>
        <v>['Pio X', 'Discorso', 'Ai membri della Società della Gioventù cattolica', 'pix-dis-sgc', '18 gennaio 1904', '18/01/1904', '1904/01/18'],</v>
      </c>
      <c r="Z428" s="31" t="str">
        <f t="shared" si="86"/>
        <v>Ai membri della Società della Gioventù cattolica (1479) | Pio X</v>
      </c>
      <c r="AA428" s="31" t="str">
        <f t="shared" si="87"/>
        <v>Discorso Ai membri della Società della Gioventù cattolica</v>
      </c>
      <c r="AB428" s="31" t="str">
        <f t="shared" si="88"/>
        <v>Discorso Ai membri della Società della Gioventù cattolica</v>
      </c>
      <c r="AC428" s="31" t="str">
        <f t="shared" si="89"/>
        <v>Pio X, Discorso Ai membri della Società della Gioventù cattolica, 18 gennaio 1904</v>
      </c>
      <c r="AD428" s="31" t="str">
        <f t="shared" si="90"/>
        <v>1904-01-18T08:00:00.000+02:00</v>
      </c>
      <c r="AE428" s="31" t="str">
        <f t="shared" si="91"/>
        <v>pix-dis-sgc</v>
      </c>
      <c r="AF428" s="31" t="str">
        <f t="shared" si="92"/>
        <v>Pio X - Discorso - Ai membri della Società della Gioventù cattolica</v>
      </c>
    </row>
    <row r="429" spans="2:32" s="31" customFormat="1" x14ac:dyDescent="0.2">
      <c r="B429" s="31">
        <v>257</v>
      </c>
      <c r="C429" s="31" t="s">
        <v>2344</v>
      </c>
      <c r="D429" s="31" t="s">
        <v>715</v>
      </c>
      <c r="E429" s="31" t="s">
        <v>737</v>
      </c>
      <c r="F429" s="31" t="s">
        <v>664</v>
      </c>
      <c r="G429" s="31" t="s">
        <v>665</v>
      </c>
      <c r="H429" s="31" t="str">
        <f t="shared" si="93"/>
        <v>Pio X</v>
      </c>
      <c r="K429" s="31" t="s">
        <v>827</v>
      </c>
      <c r="L429" s="31" t="str">
        <f t="shared" si="84"/>
        <v>Discorso</v>
      </c>
      <c r="M429" s="31" t="s">
        <v>566</v>
      </c>
      <c r="O429" s="31" t="s">
        <v>2294</v>
      </c>
      <c r="P429" s="31" t="s">
        <v>3441</v>
      </c>
      <c r="Q429" s="40">
        <v>1453</v>
      </c>
      <c r="R429" s="35">
        <f t="shared" ref="R429:R470" si="95">IF(ISERROR(DAY(Q429)),TEXT((LEFT(Q429,2)),"00"),DAY(Q429))</f>
        <v>23</v>
      </c>
      <c r="S429" s="35"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5">
        <f t="shared" ref="T429:T470" si="96">IF(ISERROR(DAY(Q429)),VALUE(RIGHT(Q429,4)),YEAR(Q429))</f>
        <v>1903</v>
      </c>
      <c r="U429" s="31"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6"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31"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31">
        <v>428</v>
      </c>
      <c r="Y429" s="31" t="str">
        <f t="shared" si="85"/>
        <v>['Pio X', 'Discorso', 'Alla Curia romana in occasione degli auguri natalizi', 'pix-dis-crn', '23 dicembre 1903', '23/12/1903', '1903/12/23'],</v>
      </c>
      <c r="Z429" s="31" t="str">
        <f t="shared" si="86"/>
        <v>Alla Curia romana in occasione degli auguri natalizi (1453) | Pio X</v>
      </c>
      <c r="AA429" s="31" t="str">
        <f t="shared" si="87"/>
        <v>Discorso Alla Curia romana in occasione degli auguri natalizi</v>
      </c>
      <c r="AB429" s="31" t="str">
        <f t="shared" si="88"/>
        <v>Discorso Alla Curia romana in occasione degli auguri natalizi</v>
      </c>
      <c r="AC429" s="31" t="str">
        <f t="shared" si="89"/>
        <v>Pio X, Discorso Alla Curia romana in occasione degli auguri natalizi, 23 dicembre 1903</v>
      </c>
      <c r="AD429" s="31" t="str">
        <f t="shared" si="90"/>
        <v>1903-12-23T08:00:00.000+02:00</v>
      </c>
      <c r="AE429" s="31" t="str">
        <f t="shared" si="91"/>
        <v>pix-dis-crn</v>
      </c>
      <c r="AF429" s="31" t="str">
        <f t="shared" si="92"/>
        <v>Pio X - Discorso - Alla Curia romana in occasione degli auguri natalizi</v>
      </c>
    </row>
    <row r="430" spans="2:32" s="31" customFormat="1" x14ac:dyDescent="0.2">
      <c r="B430" s="31">
        <v>257</v>
      </c>
      <c r="C430" s="31" t="s">
        <v>2345</v>
      </c>
      <c r="D430" s="31" t="s">
        <v>715</v>
      </c>
      <c r="E430" s="31" t="s">
        <v>737</v>
      </c>
      <c r="F430" s="31" t="s">
        <v>664</v>
      </c>
      <c r="G430" s="31" t="s">
        <v>665</v>
      </c>
      <c r="H430" s="31" t="str">
        <f t="shared" si="93"/>
        <v>Pio X</v>
      </c>
      <c r="K430" s="31" t="s">
        <v>827</v>
      </c>
      <c r="L430" s="31" t="str">
        <f t="shared" si="84"/>
        <v>Discorso</v>
      </c>
      <c r="M430" s="31" t="s">
        <v>566</v>
      </c>
      <c r="O430" s="31" t="s">
        <v>2295</v>
      </c>
      <c r="P430" s="31" t="s">
        <v>3442</v>
      </c>
      <c r="Q430" s="40">
        <v>1430</v>
      </c>
      <c r="R430" s="35">
        <f t="shared" si="95"/>
        <v>30</v>
      </c>
      <c r="S430" s="35"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5">
        <f t="shared" si="96"/>
        <v>1903</v>
      </c>
      <c r="U430" s="31"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6"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31"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31">
        <v>429</v>
      </c>
      <c r="Y430" s="31" t="str">
        <f t="shared" si="85"/>
        <v>['Pio X', 'Discorso', 'Alla Società di S. Girolamo per la diffusione dei santi Vangeli', 'pix-dis-ssg', '30 novembre 1903', '30/11/1903', '1903/11/30'],</v>
      </c>
      <c r="Z430" s="31" t="str">
        <f t="shared" si="86"/>
        <v>Alla Società di S. Girolamo per la diffusione dei santi Vangeli (1430) | Pio X</v>
      </c>
      <c r="AA430" s="31" t="str">
        <f t="shared" si="87"/>
        <v>Discorso Alla Società di S. Girolamo per la diffusione dei santi Vangeli</v>
      </c>
      <c r="AB430" s="31" t="str">
        <f t="shared" si="88"/>
        <v>Discorso Alla Società di S. Girolamo per la diffusione dei santi Vangeli</v>
      </c>
      <c r="AC430" s="31" t="str">
        <f t="shared" si="89"/>
        <v>Pio X, Discorso Alla Società di S. Girolamo per la diffusione dei santi Vangeli, 30 novembre 1903</v>
      </c>
      <c r="AD430" s="31" t="str">
        <f t="shared" si="90"/>
        <v>1903-11-30T08:00:00.000+02:00</v>
      </c>
      <c r="AE430" s="31" t="str">
        <f t="shared" si="91"/>
        <v>pix-dis-ssg</v>
      </c>
      <c r="AF430" s="31" t="str">
        <f t="shared" si="92"/>
        <v>Pio X - Discorso - Alla Società di S. Girolamo per la diffusione dei santi Vangeli</v>
      </c>
    </row>
    <row r="431" spans="2:32" s="31" customFormat="1" x14ac:dyDescent="0.2">
      <c r="B431" s="31">
        <v>257</v>
      </c>
      <c r="C431" s="31" t="s">
        <v>2346</v>
      </c>
      <c r="D431" s="31" t="s">
        <v>715</v>
      </c>
      <c r="E431" s="31" t="s">
        <v>737</v>
      </c>
      <c r="F431" s="31" t="s">
        <v>664</v>
      </c>
      <c r="G431" s="31" t="s">
        <v>665</v>
      </c>
      <c r="H431" s="31" t="str">
        <f t="shared" si="93"/>
        <v>Pio X</v>
      </c>
      <c r="K431" s="31" t="s">
        <v>827</v>
      </c>
      <c r="L431" s="31" t="str">
        <f t="shared" si="84"/>
        <v>Discorso</v>
      </c>
      <c r="M431" s="31" t="s">
        <v>566</v>
      </c>
      <c r="O431" s="31" t="s">
        <v>2296</v>
      </c>
      <c r="P431" s="31" t="s">
        <v>3443</v>
      </c>
      <c r="Q431" s="40">
        <v>1388</v>
      </c>
      <c r="R431" s="35">
        <f t="shared" si="95"/>
        <v>19</v>
      </c>
      <c r="S431" s="35"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5">
        <f t="shared" si="96"/>
        <v>1903</v>
      </c>
      <c r="U431" s="31"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6"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31"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31">
        <v>430</v>
      </c>
      <c r="Y431" s="31" t="str">
        <f t="shared" si="85"/>
        <v>['Pio X', 'Discorso', 'Ai fedeli del Veneto', 'pix-dis-fdv', '19 ottobre 1903', '19/10/1903', '1903/10/19'],</v>
      </c>
      <c r="Z431" s="31" t="str">
        <f t="shared" si="86"/>
        <v>Ai fedeli del Veneto (1388) | Pio X</v>
      </c>
      <c r="AA431" s="31" t="str">
        <f t="shared" si="87"/>
        <v>Discorso Ai fedeli del Veneto</v>
      </c>
      <c r="AB431" s="31" t="str">
        <f t="shared" si="88"/>
        <v>Discorso Ai fedeli del Veneto</v>
      </c>
      <c r="AC431" s="31" t="str">
        <f t="shared" si="89"/>
        <v>Pio X, Discorso Ai fedeli del Veneto, 19 ottobre 1903</v>
      </c>
      <c r="AD431" s="31" t="str">
        <f t="shared" si="90"/>
        <v>1903-10-19T08:00:00.000+02:00</v>
      </c>
      <c r="AE431" s="31" t="str">
        <f t="shared" si="91"/>
        <v>pix-dis-fdv</v>
      </c>
      <c r="AF431" s="31" t="str">
        <f t="shared" si="92"/>
        <v>Pio X - Discorso - Ai fedeli del Veneto</v>
      </c>
    </row>
    <row r="432" spans="2:32" s="31" customFormat="1" x14ac:dyDescent="0.2">
      <c r="B432" s="31">
        <v>257</v>
      </c>
      <c r="C432" s="34" t="s">
        <v>2951</v>
      </c>
      <c r="D432" s="31" t="s">
        <v>715</v>
      </c>
      <c r="E432" s="31" t="s">
        <v>737</v>
      </c>
      <c r="F432" s="31" t="s">
        <v>664</v>
      </c>
      <c r="G432" s="31" t="s">
        <v>665</v>
      </c>
      <c r="H432" s="31" t="str">
        <f t="shared" ref="H432" si="97">_xlfn.CONCAT(D432 &amp; " " &amp; E432)</f>
        <v>Pio X</v>
      </c>
      <c r="K432" s="31" t="s">
        <v>827</v>
      </c>
      <c r="L432" s="31" t="str">
        <f t="shared" ref="L432" si="98">IF(J432&lt;&gt;"",_xlfn.CONCAT(J432 &amp; " " &amp; K432),K432)</f>
        <v>Discorso</v>
      </c>
      <c r="M432" s="31" t="s">
        <v>566</v>
      </c>
      <c r="O432" s="31" t="s">
        <v>2952</v>
      </c>
      <c r="P432" s="31" t="s">
        <v>3444</v>
      </c>
      <c r="Q432" s="40">
        <v>1367</v>
      </c>
      <c r="R432" s="35">
        <f t="shared" si="95"/>
        <v>28</v>
      </c>
      <c r="S432" s="35"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5">
        <f t="shared" si="96"/>
        <v>1903</v>
      </c>
      <c r="U432" s="31"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6"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31"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31">
        <v>431</v>
      </c>
      <c r="Y432" s="31" t="str">
        <f t="shared" si="85"/>
        <v>['Pio X', 'Discorso', 'Ai sacerdoti del Pontificio Seminario Francese', 'pix-dis-ssf', '28 settembre 1903', '28/09/1903', '1903/09/28'],</v>
      </c>
      <c r="Z432" s="31" t="str">
        <f t="shared" si="86"/>
        <v>Ai sacerdoti del Pontificio Seminario Francese (1367) | Pio X</v>
      </c>
      <c r="AA432" s="31" t="str">
        <f t="shared" si="87"/>
        <v>Discorso Ai sacerdoti del Pontificio Seminario Francese</v>
      </c>
      <c r="AB432" s="31" t="str">
        <f t="shared" si="88"/>
        <v>Discorso Ai sacerdoti del Pontificio Seminario Francese</v>
      </c>
      <c r="AC432" s="31" t="str">
        <f t="shared" si="89"/>
        <v>Pio X, Discorso Ai sacerdoti del Pontificio Seminario Francese, 28 settembre 1903</v>
      </c>
      <c r="AD432" s="31" t="str">
        <f t="shared" si="90"/>
        <v>1903-09-28T08:00:00.000+02:00</v>
      </c>
      <c r="AE432" s="31" t="str">
        <f t="shared" si="91"/>
        <v>pix-dis-ssf</v>
      </c>
      <c r="AF432" s="31" t="str">
        <f t="shared" si="92"/>
        <v>Pio X - Discorso - Ai sacerdoti del Pontificio Seminario Francese</v>
      </c>
    </row>
    <row r="433" spans="2:32" s="31" customFormat="1" x14ac:dyDescent="0.2">
      <c r="B433" s="31">
        <v>257</v>
      </c>
      <c r="C433" s="31" t="s">
        <v>2347</v>
      </c>
      <c r="D433" s="31" t="s">
        <v>715</v>
      </c>
      <c r="E433" s="31" t="s">
        <v>737</v>
      </c>
      <c r="F433" s="31" t="s">
        <v>664</v>
      </c>
      <c r="G433" s="31" t="s">
        <v>665</v>
      </c>
      <c r="H433" s="31" t="str">
        <f t="shared" si="93"/>
        <v>Pio X</v>
      </c>
      <c r="K433" s="31" t="s">
        <v>553</v>
      </c>
      <c r="L433" s="31" t="str">
        <f t="shared" si="84"/>
        <v>Esortazioni Apostoliche</v>
      </c>
      <c r="M433" s="31" t="s">
        <v>567</v>
      </c>
      <c r="O433" s="31" t="s">
        <v>2297</v>
      </c>
      <c r="P433" s="31" t="s">
        <v>3397</v>
      </c>
      <c r="Q433" s="40">
        <v>3139</v>
      </c>
      <c r="R433" s="35">
        <f t="shared" si="95"/>
        <v>4</v>
      </c>
      <c r="S433" s="35"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5">
        <f t="shared" si="96"/>
        <v>1908</v>
      </c>
      <c r="U433" s="31"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6"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31"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31">
        <v>432</v>
      </c>
      <c r="Y433" s="31" t="str">
        <f t="shared" si="85"/>
        <v>['Pio X', 'Esortazioni Apostoliche', 'Haerent Animo', 'pix-esa-haa', '04 agosto 1908', '04/08/1908', '1908/08/04'],</v>
      </c>
      <c r="Z433" s="31" t="str">
        <f t="shared" si="86"/>
        <v>Haerent Animo (3139) | Pio X</v>
      </c>
      <c r="AA433" s="31" t="str">
        <f t="shared" si="87"/>
        <v>Esortazioni Apostoliche Haerent Animo</v>
      </c>
      <c r="AB433" s="31" t="str">
        <f t="shared" si="88"/>
        <v>Esortazioni Apostoliche Haerent Animo</v>
      </c>
      <c r="AC433" s="31" t="str">
        <f t="shared" si="89"/>
        <v>Pio X, Esortazioni Apostoliche Haerent Animo, 04 agosto 1908</v>
      </c>
      <c r="AD433" s="31" t="str">
        <f t="shared" si="90"/>
        <v>1908-08-04T08:00:00.000+02:00</v>
      </c>
      <c r="AE433" s="31" t="str">
        <f t="shared" si="91"/>
        <v>pix-esa-haa</v>
      </c>
      <c r="AF433" s="31" t="str">
        <f t="shared" si="92"/>
        <v>Pio X - Esortazioni Apostoliche - Haerent Animo</v>
      </c>
    </row>
    <row r="434" spans="2:32" s="31" customFormat="1" x14ac:dyDescent="0.2">
      <c r="B434" s="31">
        <v>257</v>
      </c>
      <c r="C434" s="31" t="s">
        <v>2348</v>
      </c>
      <c r="D434" s="31" t="s">
        <v>715</v>
      </c>
      <c r="E434" s="31" t="s">
        <v>737</v>
      </c>
      <c r="F434" s="31" t="s">
        <v>664</v>
      </c>
      <c r="G434" s="31" t="s">
        <v>665</v>
      </c>
      <c r="H434" s="31" t="str">
        <f t="shared" si="93"/>
        <v>Pio X</v>
      </c>
      <c r="K434" s="31" t="s">
        <v>557</v>
      </c>
      <c r="L434" s="31" t="str">
        <f t="shared" si="84"/>
        <v>Motu Proprio</v>
      </c>
      <c r="M434" s="31" t="s">
        <v>571</v>
      </c>
      <c r="O434" s="31" t="s">
        <v>2298</v>
      </c>
      <c r="P434" s="31" t="s">
        <v>3398</v>
      </c>
      <c r="Q434" s="40">
        <v>4197</v>
      </c>
      <c r="R434" s="35">
        <f t="shared" si="95"/>
        <v>28</v>
      </c>
      <c r="S434" s="35"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5">
        <f t="shared" si="96"/>
        <v>1911</v>
      </c>
      <c r="U434" s="31"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6"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31"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31">
        <v>433</v>
      </c>
      <c r="Y434" s="31" t="str">
        <f t="shared" si="85"/>
        <v>['Pio X', 'Motu Proprio', 'Sull'edificazione di un nuovo Santuario nel territorio di Nettuno come assistenza spirituale della popolazione', 'pix-mpr-nsn', '28 giugno 1911', '28/06/1911', '1911/06/28'],</v>
      </c>
      <c r="Z434" s="31" t="str">
        <f t="shared" si="86"/>
        <v>Sull'edificazione di un nuovo Santuario nel territorio di Nettuno come assistenza spirituale della popolazione (4197) | Pio X</v>
      </c>
      <c r="AA434" s="31" t="str">
        <f t="shared" si="87"/>
        <v>Motu Proprio Sull'edificazione di un nuovo Santuario nel territorio di Nettuno come assistenza spirituale della popolazione</v>
      </c>
      <c r="AB434" s="31" t="str">
        <f t="shared" si="88"/>
        <v>Motu Proprio Sull'edificazione di un nuovo Santuario nel territorio di Nettuno come assistenza spirituale della popolazione</v>
      </c>
      <c r="AC434" s="31" t="str">
        <f t="shared" si="89"/>
        <v>Pio X, Motu Proprio Sull'edificazione di un nuovo Santuario nel territorio di Nettuno come assistenza spirituale della popolazione, 28 giugno 1911</v>
      </c>
      <c r="AD434" s="31" t="str">
        <f t="shared" si="90"/>
        <v>1911-06-28T08:00:00.000+02:00</v>
      </c>
      <c r="AE434" s="31" t="str">
        <f t="shared" si="91"/>
        <v>pix-mpr-nsn</v>
      </c>
      <c r="AF434" s="31" t="str">
        <f t="shared" si="92"/>
        <v>Pio X - Motu Proprio - Sull'edificazione di un nuovo Santuario nel territorio di Nettuno come assistenza spirituale della popolazione</v>
      </c>
    </row>
    <row r="435" spans="2:32" s="31" customFormat="1" x14ac:dyDescent="0.2">
      <c r="B435" s="31">
        <v>257</v>
      </c>
      <c r="C435" s="31" t="s">
        <v>2349</v>
      </c>
      <c r="D435" s="31" t="s">
        <v>715</v>
      </c>
      <c r="E435" s="31" t="s">
        <v>737</v>
      </c>
      <c r="F435" s="31" t="s">
        <v>664</v>
      </c>
      <c r="G435" s="31" t="s">
        <v>665</v>
      </c>
      <c r="H435" s="31" t="str">
        <f t="shared" si="93"/>
        <v>Pio X</v>
      </c>
      <c r="K435" s="31" t="s">
        <v>557</v>
      </c>
      <c r="L435" s="31" t="str">
        <f t="shared" si="84"/>
        <v>Motu Proprio</v>
      </c>
      <c r="M435" s="31" t="s">
        <v>571</v>
      </c>
      <c r="O435" s="31" t="s">
        <v>2299</v>
      </c>
      <c r="P435" s="31" t="s">
        <v>3399</v>
      </c>
      <c r="Q435" s="40">
        <v>2879</v>
      </c>
      <c r="R435" s="35">
        <f t="shared" si="95"/>
        <v>18</v>
      </c>
      <c r="S435" s="35"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5">
        <f t="shared" si="96"/>
        <v>1907</v>
      </c>
      <c r="U435" s="31"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6"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31"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31">
        <v>434</v>
      </c>
      <c r="Y435" s="31" t="str">
        <f t="shared" si="85"/>
        <v>['Pio X', 'Motu Proprio', 'Praestantia Scripturae', 'pix-mpr-prs', '18 novembre 1907', '18/11/1907', '1907/11/18'],</v>
      </c>
      <c r="Z435" s="31" t="str">
        <f t="shared" si="86"/>
        <v>Praestantia Scripturae (2879) | Pio X</v>
      </c>
      <c r="AA435" s="31" t="str">
        <f t="shared" si="87"/>
        <v>Motu Proprio Praestantia Scripturae</v>
      </c>
      <c r="AB435" s="31" t="str">
        <f t="shared" si="88"/>
        <v>Motu Proprio Praestantia Scripturae</v>
      </c>
      <c r="AC435" s="31" t="str">
        <f t="shared" si="89"/>
        <v>Pio X, Motu Proprio Praestantia Scripturae, 18 novembre 1907</v>
      </c>
      <c r="AD435" s="31" t="str">
        <f t="shared" si="90"/>
        <v>1907-11-18T08:00:00.000+02:00</v>
      </c>
      <c r="AE435" s="31" t="str">
        <f t="shared" si="91"/>
        <v>pix-mpr-prs</v>
      </c>
      <c r="AF435" s="31" t="str">
        <f t="shared" si="92"/>
        <v>Pio X - Motu Proprio - Praestantia Scripturae</v>
      </c>
    </row>
    <row r="436" spans="2:32" s="31" customFormat="1" x14ac:dyDescent="0.2">
      <c r="B436" s="31">
        <v>257</v>
      </c>
      <c r="C436" s="31" t="s">
        <v>2350</v>
      </c>
      <c r="D436" s="31" t="s">
        <v>715</v>
      </c>
      <c r="E436" s="31" t="s">
        <v>737</v>
      </c>
      <c r="F436" s="31" t="s">
        <v>664</v>
      </c>
      <c r="G436" s="31" t="s">
        <v>665</v>
      </c>
      <c r="H436" s="31" t="str">
        <f t="shared" si="93"/>
        <v>Pio X</v>
      </c>
      <c r="K436" s="31" t="s">
        <v>557</v>
      </c>
      <c r="L436" s="31" t="str">
        <f t="shared" si="84"/>
        <v>Motu Proprio</v>
      </c>
      <c r="M436" s="31" t="s">
        <v>571</v>
      </c>
      <c r="O436" s="31" t="s">
        <v>2300</v>
      </c>
      <c r="P436" s="31" t="s">
        <v>1910</v>
      </c>
      <c r="Q436" s="40">
        <v>1998</v>
      </c>
      <c r="R436" s="35">
        <f t="shared" si="95"/>
        <v>20</v>
      </c>
      <c r="S436" s="35"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5">
        <f t="shared" si="96"/>
        <v>1905</v>
      </c>
      <c r="U436" s="31"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6"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31"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31">
        <v>435</v>
      </c>
      <c r="Y436" s="31" t="str">
        <f t="shared" si="85"/>
        <v>['Pio X', 'Motu Proprio', 'Tutte le istituzioni', 'pix-mpr-tli', '20 giugno 1905', '20/06/1905', '1905/06/20'],</v>
      </c>
      <c r="Z436" s="31" t="str">
        <f t="shared" si="86"/>
        <v>Tutte le istituzioni (1998) | Pio X</v>
      </c>
      <c r="AA436" s="31" t="str">
        <f t="shared" si="87"/>
        <v>Motu Proprio Tutte le istituzioni</v>
      </c>
      <c r="AB436" s="31" t="str">
        <f t="shared" si="88"/>
        <v>Motu Proprio Tutte le istituzioni</v>
      </c>
      <c r="AC436" s="31" t="str">
        <f t="shared" si="89"/>
        <v>Pio X, Motu Proprio Tutte le istituzioni, 20 giugno 1905</v>
      </c>
      <c r="AD436" s="31" t="str">
        <f t="shared" si="90"/>
        <v>1905-06-20T08:00:00.000+02:00</v>
      </c>
      <c r="AE436" s="31" t="str">
        <f t="shared" si="91"/>
        <v>pix-mpr-tli</v>
      </c>
      <c r="AF436" s="31" t="str">
        <f t="shared" si="92"/>
        <v>Pio X - Motu Proprio - Tutte le istituzioni</v>
      </c>
    </row>
    <row r="437" spans="2:32" s="31" customFormat="1" x14ac:dyDescent="0.2">
      <c r="B437" s="31">
        <v>257</v>
      </c>
      <c r="C437" s="31" t="s">
        <v>2351</v>
      </c>
      <c r="D437" s="31" t="s">
        <v>715</v>
      </c>
      <c r="E437" s="31" t="s">
        <v>737</v>
      </c>
      <c r="F437" s="31" t="s">
        <v>664</v>
      </c>
      <c r="G437" s="31" t="s">
        <v>665</v>
      </c>
      <c r="H437" s="31" t="str">
        <f t="shared" si="93"/>
        <v>Pio X</v>
      </c>
      <c r="K437" s="31" t="s">
        <v>557</v>
      </c>
      <c r="L437" s="31" t="str">
        <f t="shared" si="84"/>
        <v>Motu Proprio</v>
      </c>
      <c r="M437" s="31" t="s">
        <v>571</v>
      </c>
      <c r="O437" s="31" t="s">
        <v>2301</v>
      </c>
      <c r="P437" s="31" t="s">
        <v>3400</v>
      </c>
      <c r="Q437" s="40">
        <v>1971</v>
      </c>
      <c r="R437" s="35">
        <f t="shared" si="95"/>
        <v>24</v>
      </c>
      <c r="S437" s="35"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5">
        <f t="shared" si="96"/>
        <v>1905</v>
      </c>
      <c r="U437" s="31"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6"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31"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31">
        <v>436</v>
      </c>
      <c r="Y437" s="31" t="str">
        <f t="shared" si="85"/>
        <v>['Pio X', 'Motu Proprio', 'Crux pectoralis', 'pix-mpr-crp', '24 maggio 1905', '24/05/1905', '1905/05/24'],</v>
      </c>
      <c r="Z437" s="31" t="str">
        <f t="shared" si="86"/>
        <v>Crux pectoralis (1971) | Pio X</v>
      </c>
      <c r="AA437" s="31" t="str">
        <f t="shared" si="87"/>
        <v>Motu Proprio Crux pectoralis</v>
      </c>
      <c r="AB437" s="31" t="str">
        <f t="shared" si="88"/>
        <v>Motu Proprio Crux pectoralis</v>
      </c>
      <c r="AC437" s="31" t="str">
        <f t="shared" si="89"/>
        <v>Pio X, Motu Proprio Crux pectoralis, 24 maggio 1905</v>
      </c>
      <c r="AD437" s="31" t="str">
        <f t="shared" si="90"/>
        <v>1905-05-24T08:00:00.000+02:00</v>
      </c>
      <c r="AE437" s="31" t="str">
        <f t="shared" si="91"/>
        <v>pix-mpr-crp</v>
      </c>
      <c r="AF437" s="31" t="str">
        <f t="shared" si="92"/>
        <v>Pio X - Motu Proprio - Crux pectoralis</v>
      </c>
    </row>
    <row r="438" spans="2:32" s="31" customFormat="1" x14ac:dyDescent="0.2">
      <c r="B438" s="31">
        <v>257</v>
      </c>
      <c r="C438" s="31" t="s">
        <v>2352</v>
      </c>
      <c r="D438" s="31" t="s">
        <v>715</v>
      </c>
      <c r="E438" s="31" t="s">
        <v>737</v>
      </c>
      <c r="F438" s="31" t="s">
        <v>664</v>
      </c>
      <c r="G438" s="31" t="s">
        <v>665</v>
      </c>
      <c r="H438" s="31" t="str">
        <f t="shared" si="93"/>
        <v>Pio X</v>
      </c>
      <c r="K438" s="31" t="s">
        <v>557</v>
      </c>
      <c r="L438" s="31" t="str">
        <f t="shared" si="84"/>
        <v>Motu Proprio</v>
      </c>
      <c r="M438" s="31" t="s">
        <v>571</v>
      </c>
      <c r="O438" s="31" t="s">
        <v>2302</v>
      </c>
      <c r="P438" s="31" t="s">
        <v>3401</v>
      </c>
      <c r="Q438" s="40">
        <v>1577</v>
      </c>
      <c r="R438" s="35">
        <f t="shared" si="95"/>
        <v>25</v>
      </c>
      <c r="S438" s="35"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5">
        <f t="shared" si="96"/>
        <v>1904</v>
      </c>
      <c r="U438" s="31"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6"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31"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31">
        <v>437</v>
      </c>
      <c r="Y438" s="31" t="str">
        <f t="shared" si="85"/>
        <v>['Pio X', 'Motu Proprio', 'Sull'edizione vaticana dei libri liturgici contenenti le melodie gregoriane', 'pix-mpr-evl', '25 aprile 1904', '25/04/1904', '1904/04/25'],</v>
      </c>
      <c r="Z438" s="31" t="str">
        <f t="shared" si="86"/>
        <v>Sull'edizione vaticana dei libri liturgici contenenti le melodie gregoriane (1577) | Pio X</v>
      </c>
      <c r="AA438" s="31" t="str">
        <f t="shared" si="87"/>
        <v>Motu Proprio Sull'edizione vaticana dei libri liturgici contenenti le melodie gregoriane</v>
      </c>
      <c r="AB438" s="31" t="str">
        <f t="shared" si="88"/>
        <v>Motu Proprio Sull'edizione vaticana dei libri liturgici contenenti le melodie gregoriane</v>
      </c>
      <c r="AC438" s="31" t="str">
        <f t="shared" si="89"/>
        <v>Pio X, Motu Proprio Sull'edizione vaticana dei libri liturgici contenenti le melodie gregoriane, 25 aprile 1904</v>
      </c>
      <c r="AD438" s="31" t="str">
        <f t="shared" si="90"/>
        <v>1904-04-25T08:00:00.000+02:00</v>
      </c>
      <c r="AE438" s="31" t="str">
        <f t="shared" si="91"/>
        <v>pix-mpr-evl</v>
      </c>
      <c r="AF438" s="31" t="str">
        <f t="shared" si="92"/>
        <v>Pio X - Motu Proprio - Sull'edizione vaticana dei libri liturgici contenenti le melodie gregoriane</v>
      </c>
    </row>
    <row r="439" spans="2:32" s="31" customFormat="1" x14ac:dyDescent="0.2">
      <c r="B439" s="31">
        <v>257</v>
      </c>
      <c r="C439" s="31" t="s">
        <v>2353</v>
      </c>
      <c r="D439" s="31" t="s">
        <v>715</v>
      </c>
      <c r="E439" s="31" t="s">
        <v>737</v>
      </c>
      <c r="F439" s="31" t="s">
        <v>664</v>
      </c>
      <c r="G439" s="31" t="s">
        <v>665</v>
      </c>
      <c r="H439" s="31" t="str">
        <f t="shared" si="93"/>
        <v>Pio X</v>
      </c>
      <c r="K439" s="31" t="s">
        <v>557</v>
      </c>
      <c r="L439" s="31" t="str">
        <f t="shared" si="84"/>
        <v>Motu Proprio</v>
      </c>
      <c r="M439" s="31" t="s">
        <v>571</v>
      </c>
      <c r="O439" s="31" t="s">
        <v>2303</v>
      </c>
      <c r="P439" s="31" t="s">
        <v>3018</v>
      </c>
      <c r="Q439" s="40">
        <v>1448</v>
      </c>
      <c r="R439" s="35">
        <f t="shared" si="95"/>
        <v>18</v>
      </c>
      <c r="S439" s="35"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5">
        <f t="shared" si="96"/>
        <v>1903</v>
      </c>
      <c r="U439" s="31"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6"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31"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31">
        <v>438</v>
      </c>
      <c r="Y439" s="31" t="str">
        <f t="shared" si="85"/>
        <v>['Pio X', 'Motu Proprio', 'Fin dalla prima', 'pix-mpr-fdp', '18 dicembre 1903', '18/12/1903', '1903/12/18'],</v>
      </c>
      <c r="Z439" s="31" t="str">
        <f t="shared" si="86"/>
        <v>Fin dalla prima (1448) | Pio X</v>
      </c>
      <c r="AA439" s="31" t="str">
        <f t="shared" si="87"/>
        <v>Motu Proprio Fin dalla prima</v>
      </c>
      <c r="AB439" s="31" t="str">
        <f t="shared" si="88"/>
        <v>Motu Proprio Fin dalla prima</v>
      </c>
      <c r="AC439" s="31" t="str">
        <f t="shared" si="89"/>
        <v>Pio X, Motu Proprio Fin dalla prima, 18 dicembre 1903</v>
      </c>
      <c r="AD439" s="31" t="str">
        <f t="shared" si="90"/>
        <v>1903-12-18T08:00:00.000+02:00</v>
      </c>
      <c r="AE439" s="31" t="str">
        <f t="shared" si="91"/>
        <v>pix-mpr-fdp</v>
      </c>
      <c r="AF439" s="31" t="str">
        <f t="shared" si="92"/>
        <v>Pio X - Motu Proprio - Fin dalla prima</v>
      </c>
    </row>
    <row r="440" spans="2:32" s="31" customFormat="1" x14ac:dyDescent="0.2">
      <c r="B440" s="31">
        <v>257</v>
      </c>
      <c r="C440" s="31" t="s">
        <v>2354</v>
      </c>
      <c r="D440" s="31" t="s">
        <v>715</v>
      </c>
      <c r="E440" s="31" t="s">
        <v>737</v>
      </c>
      <c r="F440" s="31" t="s">
        <v>664</v>
      </c>
      <c r="G440" s="31" t="s">
        <v>665</v>
      </c>
      <c r="H440" s="31" t="str">
        <f t="shared" si="93"/>
        <v>Pio X</v>
      </c>
      <c r="K440" s="31" t="s">
        <v>557</v>
      </c>
      <c r="L440" s="31" t="str">
        <f t="shared" si="84"/>
        <v>Motu Proprio</v>
      </c>
      <c r="M440" s="31" t="s">
        <v>571</v>
      </c>
      <c r="O440" s="31" t="s">
        <v>2304</v>
      </c>
      <c r="P440" s="31" t="s">
        <v>3402</v>
      </c>
      <c r="Q440" s="40">
        <v>1422</v>
      </c>
      <c r="R440" s="35">
        <f t="shared" si="95"/>
        <v>22</v>
      </c>
      <c r="S440" s="35"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5">
        <f t="shared" si="96"/>
        <v>1903</v>
      </c>
      <c r="U440" s="31"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6"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31"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31">
        <v>439</v>
      </c>
      <c r="Y440" s="31" t="str">
        <f t="shared" si="85"/>
        <v>['Pio X', 'Motu Proprio', 'Tra le sollecitudini', 'pix-mpr-tls', '22 novembre 1903', '22/11/1903', '1903/11/22'],</v>
      </c>
      <c r="Z440" s="31" t="str">
        <f t="shared" si="86"/>
        <v>Tra le sollecitudini (1422) | Pio X</v>
      </c>
      <c r="AA440" s="31" t="str">
        <f t="shared" si="87"/>
        <v>Motu Proprio Tra le sollecitudini</v>
      </c>
      <c r="AB440" s="31" t="str">
        <f t="shared" si="88"/>
        <v>Motu Proprio Tra le sollecitudini</v>
      </c>
      <c r="AC440" s="31" t="str">
        <f t="shared" si="89"/>
        <v>Pio X, Motu Proprio Tra le sollecitudini, 22 novembre 1903</v>
      </c>
      <c r="AD440" s="31" t="str">
        <f t="shared" si="90"/>
        <v>1903-11-22T08:00:00.000+02:00</v>
      </c>
      <c r="AE440" s="31" t="str">
        <f t="shared" si="91"/>
        <v>pix-mpr-tls</v>
      </c>
      <c r="AF440" s="31" t="str">
        <f t="shared" si="92"/>
        <v>Pio X - Motu Proprio - Tra le sollecitudini</v>
      </c>
    </row>
    <row r="441" spans="2:32" s="31" customFormat="1" x14ac:dyDescent="0.2">
      <c r="B441" s="31">
        <v>257</v>
      </c>
      <c r="C441" s="31" t="s">
        <v>2355</v>
      </c>
      <c r="D441" s="31" t="s">
        <v>715</v>
      </c>
      <c r="E441" s="31" t="s">
        <v>737</v>
      </c>
      <c r="F441" s="31" t="s">
        <v>664</v>
      </c>
      <c r="G441" s="31" t="s">
        <v>665</v>
      </c>
      <c r="H441" s="31" t="str">
        <f t="shared" si="93"/>
        <v>Pio X</v>
      </c>
      <c r="K441" s="31" t="s">
        <v>830</v>
      </c>
      <c r="L441" s="31" t="str">
        <f t="shared" si="84"/>
        <v>Lettera Apostolica</v>
      </c>
      <c r="M441" s="31" t="s">
        <v>569</v>
      </c>
      <c r="O441" s="31" t="s">
        <v>2305</v>
      </c>
      <c r="P441" s="31" t="s">
        <v>3403</v>
      </c>
      <c r="Q441" s="40">
        <v>1515</v>
      </c>
      <c r="R441" s="35">
        <f t="shared" si="95"/>
        <v>23</v>
      </c>
      <c r="S441" s="35"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5">
        <f t="shared" si="96"/>
        <v>1904</v>
      </c>
      <c r="U441" s="31"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6"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31"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31">
        <v>440</v>
      </c>
      <c r="Y441" s="31" t="str">
        <f t="shared" si="85"/>
        <v>['Pio X', 'Lettera Apostolica', 'Scripturae Sanctae', 'pix-lea-scs', '23 febbraio 1904', '23/02/1904', '1904/02/23'],</v>
      </c>
      <c r="Z441" s="31" t="str">
        <f t="shared" si="86"/>
        <v>Scripturae Sanctae (1515) | Pio X</v>
      </c>
      <c r="AA441" s="31" t="str">
        <f t="shared" si="87"/>
        <v>Lettera Apostolica Scripturae Sanctae</v>
      </c>
      <c r="AB441" s="31" t="str">
        <f t="shared" si="88"/>
        <v>Lettera Apostolica Scripturae Sanctae</v>
      </c>
      <c r="AC441" s="31" t="str">
        <f t="shared" si="89"/>
        <v>Pio X, Lettera Apostolica Scripturae Sanctae, 23 febbraio 1904</v>
      </c>
      <c r="AD441" s="31" t="str">
        <f t="shared" si="90"/>
        <v>1904-02-23T08:00:00.000+02:00</v>
      </c>
      <c r="AE441" s="31" t="str">
        <f t="shared" si="91"/>
        <v>pix-lea-scs</v>
      </c>
      <c r="AF441" s="31" t="str">
        <f t="shared" si="92"/>
        <v>Pio X - Lettera Apostolica - Scripturae Sanctae</v>
      </c>
    </row>
    <row r="442" spans="2:32" s="31" customFormat="1" x14ac:dyDescent="0.2">
      <c r="B442" s="31">
        <v>257</v>
      </c>
      <c r="C442" s="31" t="s">
        <v>2356</v>
      </c>
      <c r="D442" s="31" t="s">
        <v>715</v>
      </c>
      <c r="E442" s="31" t="s">
        <v>737</v>
      </c>
      <c r="F442" s="31" t="s">
        <v>664</v>
      </c>
      <c r="G442" s="31" t="s">
        <v>665</v>
      </c>
      <c r="H442" s="31" t="str">
        <f t="shared" si="93"/>
        <v>Pio X</v>
      </c>
      <c r="I442" s="31" t="s">
        <v>603</v>
      </c>
      <c r="J442" s="31" t="s">
        <v>829</v>
      </c>
      <c r="K442" s="31" t="s">
        <v>694</v>
      </c>
      <c r="L442" s="31" t="str">
        <f t="shared" si="84"/>
        <v>Lettera Enciclica</v>
      </c>
      <c r="M442" s="31" t="s">
        <v>579</v>
      </c>
      <c r="O442" s="31" t="s">
        <v>2306</v>
      </c>
      <c r="P442" s="31" t="s">
        <v>996</v>
      </c>
      <c r="Q442" s="40">
        <v>4651</v>
      </c>
      <c r="R442" s="35" t="str">
        <f t="shared" ref="R442:R455" si="99">IF(ISERROR(DAY(Q442)),TEXT((LEFT(Q442,2)),"00"),TEXT(DAY(Q442),"00"))</f>
        <v>24</v>
      </c>
      <c r="S442" s="35"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5">
        <f t="shared" si="96"/>
        <v>1912</v>
      </c>
      <c r="U442" s="31"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6"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31"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31">
        <v>441</v>
      </c>
      <c r="Y442" s="31" t="str">
        <f t="shared" si="85"/>
        <v>['Pio X', 'Enciclica', 'Singulari quadam', 'pix-enc-siq', '24 settembre 1912', '24/09/1912', '1912/09/24'],</v>
      </c>
      <c r="Z442" s="31" t="str">
        <f t="shared" si="86"/>
        <v>Singulari quadam (4651) | Pio X</v>
      </c>
      <c r="AA442" s="31" t="str">
        <f t="shared" si="87"/>
        <v>Enciclica Singulari quadam</v>
      </c>
      <c r="AB442" s="31" t="str">
        <f t="shared" si="88"/>
        <v>Enciclica Singulari quadam</v>
      </c>
      <c r="AC442" s="31" t="str">
        <f t="shared" si="89"/>
        <v>Pio X, Lettera Enciclica Singulari quadam, 24 settembre 1912</v>
      </c>
      <c r="AD442" s="31" t="str">
        <f t="shared" si="90"/>
        <v>1912-09-24T08:00:00.000+02:00</v>
      </c>
      <c r="AE442" s="31" t="str">
        <f t="shared" si="91"/>
        <v>pix-enc-siq</v>
      </c>
      <c r="AF442" s="31" t="str">
        <f t="shared" si="92"/>
        <v>Pio X - Lettera Enciclica - Singulari quadam</v>
      </c>
    </row>
    <row r="443" spans="2:32" s="31" customFormat="1" x14ac:dyDescent="0.2">
      <c r="B443" s="31">
        <v>257</v>
      </c>
      <c r="C443" s="31" t="s">
        <v>2357</v>
      </c>
      <c r="D443" s="31" t="s">
        <v>715</v>
      </c>
      <c r="E443" s="31" t="s">
        <v>737</v>
      </c>
      <c r="F443" s="31" t="s">
        <v>664</v>
      </c>
      <c r="G443" s="31" t="s">
        <v>665</v>
      </c>
      <c r="H443" s="31" t="str">
        <f t="shared" si="93"/>
        <v>Pio X</v>
      </c>
      <c r="I443" s="31" t="s">
        <v>603</v>
      </c>
      <c r="J443" s="31" t="s">
        <v>829</v>
      </c>
      <c r="K443" s="31" t="s">
        <v>694</v>
      </c>
      <c r="L443" s="31" t="str">
        <f t="shared" si="84"/>
        <v>Lettera Enciclica</v>
      </c>
      <c r="M443" s="31" t="s">
        <v>579</v>
      </c>
      <c r="O443" s="31" t="s">
        <v>170</v>
      </c>
      <c r="P443" s="31" t="s">
        <v>587</v>
      </c>
      <c r="Q443" s="40">
        <v>4542</v>
      </c>
      <c r="R443" s="35" t="str">
        <f t="shared" si="99"/>
        <v>07</v>
      </c>
      <c r="S443" s="35"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5">
        <f t="shared" si="96"/>
        <v>1912</v>
      </c>
      <c r="U443" s="31"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6"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31"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31">
        <v>442</v>
      </c>
      <c r="Y443" s="31" t="str">
        <f t="shared" si="85"/>
        <v>['Pio X', 'Enciclica', 'Lacrimabili Statu', 'pix-enc-las', '07 giugno 1912', '07/06/1912', '1912/06/07'],</v>
      </c>
      <c r="Z443" s="31" t="str">
        <f t="shared" si="86"/>
        <v>Lacrimabili Statu (4542) | Pio X</v>
      </c>
      <c r="AA443" s="31" t="str">
        <f t="shared" si="87"/>
        <v>Enciclica Lacrimabili Statu</v>
      </c>
      <c r="AB443" s="31" t="str">
        <f t="shared" si="88"/>
        <v>Enciclica Lacrimabili Statu</v>
      </c>
      <c r="AC443" s="31" t="str">
        <f t="shared" si="89"/>
        <v>Pio X, Lettera Enciclica Lacrimabili Statu, 07 giugno 1912</v>
      </c>
      <c r="AD443" s="31" t="str">
        <f t="shared" si="90"/>
        <v>1912-06-07T08:00:00.000+02:00</v>
      </c>
      <c r="AE443" s="31" t="str">
        <f t="shared" si="91"/>
        <v>pix-enc-las</v>
      </c>
      <c r="AF443" s="31" t="str">
        <f t="shared" si="92"/>
        <v>Pio X - Lettera Enciclica - Lacrimabili Statu</v>
      </c>
    </row>
    <row r="444" spans="2:32" s="31" customFormat="1" x14ac:dyDescent="0.2">
      <c r="B444" s="31">
        <v>257</v>
      </c>
      <c r="C444" s="31" t="s">
        <v>2358</v>
      </c>
      <c r="D444" s="31" t="s">
        <v>715</v>
      </c>
      <c r="E444" s="31" t="s">
        <v>737</v>
      </c>
      <c r="F444" s="31" t="s">
        <v>664</v>
      </c>
      <c r="G444" s="31" t="s">
        <v>665</v>
      </c>
      <c r="H444" s="31" t="str">
        <f t="shared" si="93"/>
        <v>Pio X</v>
      </c>
      <c r="I444" s="31" t="s">
        <v>603</v>
      </c>
      <c r="J444" s="31" t="s">
        <v>829</v>
      </c>
      <c r="K444" s="31" t="s">
        <v>694</v>
      </c>
      <c r="L444" s="31" t="str">
        <f t="shared" si="84"/>
        <v>Lettera Enciclica</v>
      </c>
      <c r="M444" s="31" t="s">
        <v>579</v>
      </c>
      <c r="O444" s="31" t="s">
        <v>169</v>
      </c>
      <c r="P444" s="31" t="s">
        <v>1038</v>
      </c>
      <c r="Q444" s="40">
        <v>4162</v>
      </c>
      <c r="R444" s="35" t="str">
        <f t="shared" si="99"/>
        <v>24</v>
      </c>
      <c r="S444" s="35"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5">
        <f t="shared" si="96"/>
        <v>1911</v>
      </c>
      <c r="U444" s="31"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6"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31"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31">
        <v>443</v>
      </c>
      <c r="Y444" s="31" t="str">
        <f t="shared" si="85"/>
        <v>['Pio X', 'Enciclica', 'Iamdudum', 'pix-enc-iam', '24 maggio 1911', '24/05/1911', '1911/05/24'],</v>
      </c>
      <c r="Z444" s="31" t="str">
        <f t="shared" si="86"/>
        <v>Iamdudum (4162) | Pio X</v>
      </c>
      <c r="AA444" s="31" t="str">
        <f t="shared" si="87"/>
        <v>Enciclica Iamdudum</v>
      </c>
      <c r="AB444" s="31" t="str">
        <f t="shared" si="88"/>
        <v>Enciclica Iamdudum</v>
      </c>
      <c r="AC444" s="31" t="str">
        <f t="shared" si="89"/>
        <v>Pio X, Lettera Enciclica Iamdudum, 24 maggio 1911</v>
      </c>
      <c r="AD444" s="31" t="str">
        <f t="shared" si="90"/>
        <v>1911-05-24T08:00:00.000+02:00</v>
      </c>
      <c r="AE444" s="31" t="str">
        <f t="shared" si="91"/>
        <v>pix-enc-iam</v>
      </c>
      <c r="AF444" s="31" t="str">
        <f t="shared" si="92"/>
        <v>Pio X - Lettera Enciclica - Iamdudum</v>
      </c>
    </row>
    <row r="445" spans="2:32" s="31" customFormat="1" x14ac:dyDescent="0.2">
      <c r="B445" s="31">
        <v>257</v>
      </c>
      <c r="C445" s="31" t="s">
        <v>2359</v>
      </c>
      <c r="D445" s="31" t="s">
        <v>715</v>
      </c>
      <c r="E445" s="31" t="s">
        <v>737</v>
      </c>
      <c r="F445" s="31" t="s">
        <v>664</v>
      </c>
      <c r="G445" s="31" t="s">
        <v>665</v>
      </c>
      <c r="H445" s="31" t="str">
        <f t="shared" si="93"/>
        <v>Pio X</v>
      </c>
      <c r="I445" s="31" t="s">
        <v>603</v>
      </c>
      <c r="J445" s="31" t="s">
        <v>829</v>
      </c>
      <c r="K445" s="31" t="s">
        <v>694</v>
      </c>
      <c r="L445" s="31" t="str">
        <f t="shared" si="84"/>
        <v>Lettera Enciclica</v>
      </c>
      <c r="M445" s="31" t="s">
        <v>579</v>
      </c>
      <c r="O445" s="31" t="s">
        <v>168</v>
      </c>
      <c r="P445" s="31" t="s">
        <v>3404</v>
      </c>
      <c r="Q445" s="40">
        <v>3799</v>
      </c>
      <c r="R445" s="35" t="str">
        <f t="shared" si="99"/>
        <v>26</v>
      </c>
      <c r="S445" s="35"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5">
        <f t="shared" si="96"/>
        <v>1910</v>
      </c>
      <c r="U445" s="31"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6"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31"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31">
        <v>444</v>
      </c>
      <c r="Y445" s="31" t="str">
        <f t="shared" si="85"/>
        <v>['Pio X', 'Enciclica', 'Editae Saepe', 'pix-enc-eds', '26 maggio 1910', '26/05/1910', '1910/05/26'],</v>
      </c>
      <c r="Z445" s="31" t="str">
        <f t="shared" si="86"/>
        <v>Editae Saepe (3799) | Pio X</v>
      </c>
      <c r="AA445" s="31" t="str">
        <f t="shared" si="87"/>
        <v>Enciclica Editae Saepe</v>
      </c>
      <c r="AB445" s="31" t="str">
        <f t="shared" si="88"/>
        <v>Enciclica Editae Saepe</v>
      </c>
      <c r="AC445" s="31" t="str">
        <f t="shared" si="89"/>
        <v>Pio X, Lettera Enciclica Editae Saepe, 26 maggio 1910</v>
      </c>
      <c r="AD445" s="31" t="str">
        <f t="shared" si="90"/>
        <v>1910-05-26T08:00:00.000+02:00</v>
      </c>
      <c r="AE445" s="31" t="str">
        <f t="shared" si="91"/>
        <v>pix-enc-eds</v>
      </c>
      <c r="AF445" s="31" t="str">
        <f t="shared" si="92"/>
        <v>Pio X - Lettera Enciclica - Editae Saepe</v>
      </c>
    </row>
    <row r="446" spans="2:32" s="31" customFormat="1" x14ac:dyDescent="0.2">
      <c r="B446" s="31">
        <v>257</v>
      </c>
      <c r="C446" s="31" t="s">
        <v>2360</v>
      </c>
      <c r="D446" s="31" t="s">
        <v>715</v>
      </c>
      <c r="E446" s="31" t="s">
        <v>737</v>
      </c>
      <c r="F446" s="31" t="s">
        <v>664</v>
      </c>
      <c r="G446" s="31" t="s">
        <v>665</v>
      </c>
      <c r="H446" s="31" t="str">
        <f t="shared" si="93"/>
        <v>Pio X</v>
      </c>
      <c r="I446" s="31" t="s">
        <v>603</v>
      </c>
      <c r="J446" s="31" t="s">
        <v>829</v>
      </c>
      <c r="K446" s="31" t="s">
        <v>694</v>
      </c>
      <c r="L446" s="31" t="str">
        <f t="shared" si="84"/>
        <v>Lettera Enciclica</v>
      </c>
      <c r="M446" s="31" t="s">
        <v>579</v>
      </c>
      <c r="O446" s="31" t="s">
        <v>167</v>
      </c>
      <c r="P446" s="31" t="s">
        <v>3405</v>
      </c>
      <c r="Q446" s="40">
        <v>3399</v>
      </c>
      <c r="R446" s="35" t="str">
        <f t="shared" si="99"/>
        <v>21</v>
      </c>
      <c r="S446" s="35"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5">
        <f t="shared" si="96"/>
        <v>1909</v>
      </c>
      <c r="U446" s="31"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6"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31"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31">
        <v>445</v>
      </c>
      <c r="Y446" s="31" t="str">
        <f t="shared" si="85"/>
        <v>['Pio X', 'Enciclica', 'Communium Rerum', 'pix-enc-cor', '21 aprile 1909', '21/04/1909', '1909/04/21'],</v>
      </c>
      <c r="Z446" s="31" t="str">
        <f t="shared" si="86"/>
        <v>Communium Rerum (3399) | Pio X</v>
      </c>
      <c r="AA446" s="31" t="str">
        <f t="shared" si="87"/>
        <v>Enciclica Communium Rerum</v>
      </c>
      <c r="AB446" s="31" t="str">
        <f t="shared" si="88"/>
        <v>Enciclica Communium Rerum</v>
      </c>
      <c r="AC446" s="31" t="str">
        <f t="shared" si="89"/>
        <v>Pio X, Lettera Enciclica Communium Rerum, 21 aprile 1909</v>
      </c>
      <c r="AD446" s="31" t="str">
        <f t="shared" si="90"/>
        <v>1909-04-21T08:00:00.000+02:00</v>
      </c>
      <c r="AE446" s="31" t="str">
        <f t="shared" si="91"/>
        <v>pix-enc-cor</v>
      </c>
      <c r="AF446" s="31" t="str">
        <f t="shared" si="92"/>
        <v>Pio X - Lettera Enciclica - Communium Rerum</v>
      </c>
    </row>
    <row r="447" spans="2:32" s="31" customFormat="1" x14ac:dyDescent="0.2">
      <c r="B447" s="31">
        <v>257</v>
      </c>
      <c r="C447" s="31" t="s">
        <v>2361</v>
      </c>
      <c r="D447" s="31" t="s">
        <v>715</v>
      </c>
      <c r="E447" s="31" t="s">
        <v>737</v>
      </c>
      <c r="F447" s="31" t="s">
        <v>664</v>
      </c>
      <c r="G447" s="31" t="s">
        <v>665</v>
      </c>
      <c r="H447" s="31" t="str">
        <f t="shared" si="93"/>
        <v>Pio X</v>
      </c>
      <c r="I447" s="31" t="s">
        <v>603</v>
      </c>
      <c r="J447" s="31" t="s">
        <v>829</v>
      </c>
      <c r="K447" s="31" t="s">
        <v>694</v>
      </c>
      <c r="L447" s="31" t="str">
        <f t="shared" si="84"/>
        <v>Lettera Enciclica</v>
      </c>
      <c r="M447" s="31" t="s">
        <v>579</v>
      </c>
      <c r="O447" s="31" t="s">
        <v>166</v>
      </c>
      <c r="P447" s="31" t="s">
        <v>3406</v>
      </c>
      <c r="Q447" s="40">
        <v>2808</v>
      </c>
      <c r="R447" s="35" t="str">
        <f t="shared" si="99"/>
        <v>08</v>
      </c>
      <c r="S447" s="35"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5">
        <f t="shared" si="96"/>
        <v>1907</v>
      </c>
      <c r="U447" s="31"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6"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31"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31">
        <v>446</v>
      </c>
      <c r="Y447" s="31" t="str">
        <f t="shared" si="85"/>
        <v>['Pio X', 'Enciclica', 'Pascendi Dominici Gregis', 'pix-enc-pdg', '08 settembre 1907', '08/09/1907', '1907/09/08'],</v>
      </c>
      <c r="Z447" s="31" t="str">
        <f t="shared" si="86"/>
        <v>Pascendi Dominici Gregis (2808) | Pio X</v>
      </c>
      <c r="AA447" s="31" t="str">
        <f t="shared" si="87"/>
        <v>Enciclica Pascendi Dominici Gregis</v>
      </c>
      <c r="AB447" s="31" t="str">
        <f t="shared" si="88"/>
        <v>Enciclica Pascendi Dominici Gregis</v>
      </c>
      <c r="AC447" s="31" t="str">
        <f t="shared" si="89"/>
        <v>Pio X, Lettera Enciclica Pascendi Dominici Gregis, 08 settembre 1907</v>
      </c>
      <c r="AD447" s="31" t="str">
        <f t="shared" si="90"/>
        <v>1907-09-08T08:00:00.000+02:00</v>
      </c>
      <c r="AE447" s="31" t="str">
        <f t="shared" si="91"/>
        <v>pix-enc-pdg</v>
      </c>
      <c r="AF447" s="31" t="str">
        <f t="shared" si="92"/>
        <v>Pio X - Lettera Enciclica - Pascendi Dominici Gregis</v>
      </c>
    </row>
    <row r="448" spans="2:32" s="31" customFormat="1" x14ac:dyDescent="0.2">
      <c r="B448" s="31">
        <v>257</v>
      </c>
      <c r="C448" s="31" t="s">
        <v>2362</v>
      </c>
      <c r="D448" s="31" t="s">
        <v>715</v>
      </c>
      <c r="E448" s="31" t="s">
        <v>737</v>
      </c>
      <c r="F448" s="31" t="s">
        <v>664</v>
      </c>
      <c r="G448" s="31" t="s">
        <v>665</v>
      </c>
      <c r="H448" s="31" t="str">
        <f t="shared" si="93"/>
        <v>Pio X</v>
      </c>
      <c r="I448" s="31" t="s">
        <v>603</v>
      </c>
      <c r="J448" s="31" t="s">
        <v>829</v>
      </c>
      <c r="K448" s="31" t="s">
        <v>694</v>
      </c>
      <c r="L448" s="31" t="str">
        <f t="shared" si="84"/>
        <v>Lettera Enciclica</v>
      </c>
      <c r="M448" s="31" t="s">
        <v>579</v>
      </c>
      <c r="O448" s="31" t="s">
        <v>164</v>
      </c>
      <c r="P448" s="31" t="s">
        <v>3407</v>
      </c>
      <c r="Q448" s="40">
        <v>2414</v>
      </c>
      <c r="R448" s="35" t="str">
        <f t="shared" si="99"/>
        <v>10</v>
      </c>
      <c r="S448" s="35"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5">
        <f t="shared" si="96"/>
        <v>1906</v>
      </c>
      <c r="U448" s="31"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6"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31"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31">
        <v>447</v>
      </c>
      <c r="Y448" s="31" t="str">
        <f t="shared" si="85"/>
        <v>['Pio X', 'Enciclica', 'Gravissimo Officii Munere', 'pix-enc-gom', '10 agosto 1906', '10/08/1906', '1906/08/10'],</v>
      </c>
      <c r="Z448" s="31" t="str">
        <f t="shared" si="86"/>
        <v>Gravissimo Officii Munere (2414) | Pio X</v>
      </c>
      <c r="AA448" s="31" t="str">
        <f t="shared" si="87"/>
        <v>Enciclica Gravissimo Officii Munere</v>
      </c>
      <c r="AB448" s="31" t="str">
        <f t="shared" si="88"/>
        <v>Enciclica Gravissimo Officii Munere</v>
      </c>
      <c r="AC448" s="31" t="str">
        <f t="shared" si="89"/>
        <v>Pio X, Lettera Enciclica Gravissimo Officii Munere, 10 agosto 1906</v>
      </c>
      <c r="AD448" s="31" t="str">
        <f t="shared" si="90"/>
        <v>1906-08-10T08:00:00.000+02:00</v>
      </c>
      <c r="AE448" s="31" t="str">
        <f t="shared" si="91"/>
        <v>pix-enc-gom</v>
      </c>
      <c r="AF448" s="31" t="str">
        <f t="shared" si="92"/>
        <v>Pio X - Lettera Enciclica - Gravissimo Officii Munere</v>
      </c>
    </row>
    <row r="449" spans="2:32" s="31" customFormat="1" x14ac:dyDescent="0.2">
      <c r="B449" s="31">
        <v>257</v>
      </c>
      <c r="C449" s="31" t="s">
        <v>2363</v>
      </c>
      <c r="D449" s="31" t="s">
        <v>715</v>
      </c>
      <c r="E449" s="31" t="s">
        <v>737</v>
      </c>
      <c r="F449" s="31" t="s">
        <v>664</v>
      </c>
      <c r="G449" s="31" t="s">
        <v>665</v>
      </c>
      <c r="H449" s="31" t="str">
        <f t="shared" si="93"/>
        <v>Pio X</v>
      </c>
      <c r="I449" s="31" t="s">
        <v>603</v>
      </c>
      <c r="J449" s="31" t="s">
        <v>829</v>
      </c>
      <c r="K449" s="31" t="s">
        <v>694</v>
      </c>
      <c r="L449" s="31" t="str">
        <f t="shared" si="84"/>
        <v>Lettera Enciclica</v>
      </c>
      <c r="M449" s="31" t="s">
        <v>579</v>
      </c>
      <c r="O449" s="31" t="s">
        <v>2307</v>
      </c>
      <c r="P449" s="31" t="s">
        <v>3408</v>
      </c>
      <c r="Q449" s="40">
        <v>2401</v>
      </c>
      <c r="R449" s="35" t="str">
        <f t="shared" si="99"/>
        <v>28</v>
      </c>
      <c r="S449" s="35"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5">
        <f t="shared" si="96"/>
        <v>1906</v>
      </c>
      <c r="U449" s="31"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6"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31"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31">
        <v>448</v>
      </c>
      <c r="Y449" s="31" t="str">
        <f t="shared" si="85"/>
        <v>['Pio X', 'Enciclica', 'Pieni L'Animo', 'pix-enc-pla', '28 luglio 1906', '28/07/1906', '1906/07/28'],</v>
      </c>
      <c r="Z449" s="31" t="str">
        <f t="shared" si="86"/>
        <v>Pieni L'Animo (2401) | Pio X</v>
      </c>
      <c r="AA449" s="31" t="str">
        <f t="shared" si="87"/>
        <v>Enciclica Pieni L'Animo</v>
      </c>
      <c r="AB449" s="31" t="str">
        <f t="shared" si="88"/>
        <v>Enciclica Pieni L'Animo</v>
      </c>
      <c r="AC449" s="31" t="str">
        <f t="shared" si="89"/>
        <v>Pio X, Lettera Enciclica Pieni L'Animo, 28 luglio 1906</v>
      </c>
      <c r="AD449" s="31" t="str">
        <f t="shared" si="90"/>
        <v>1906-07-28T08:00:00.000+02:00</v>
      </c>
      <c r="AE449" s="31" t="str">
        <f t="shared" si="91"/>
        <v>pix-enc-pla</v>
      </c>
      <c r="AF449" s="31" t="str">
        <f t="shared" si="92"/>
        <v>Pio X - Lettera Enciclica - Pieni L'Animo</v>
      </c>
    </row>
    <row r="450" spans="2:32" s="31" customFormat="1" x14ac:dyDescent="0.2">
      <c r="B450" s="31">
        <v>257</v>
      </c>
      <c r="C450" s="31" t="s">
        <v>2364</v>
      </c>
      <c r="D450" s="31" t="s">
        <v>715</v>
      </c>
      <c r="E450" s="31" t="s">
        <v>737</v>
      </c>
      <c r="F450" s="31" t="s">
        <v>664</v>
      </c>
      <c r="G450" s="31" t="s">
        <v>665</v>
      </c>
      <c r="H450" s="31" t="str">
        <f t="shared" si="93"/>
        <v>Pio X</v>
      </c>
      <c r="I450" s="31" t="s">
        <v>603</v>
      </c>
      <c r="J450" s="31" t="s">
        <v>829</v>
      </c>
      <c r="K450" s="31" t="s">
        <v>694</v>
      </c>
      <c r="L450" s="31" t="str">
        <f t="shared" ref="L450:L485" si="100">IF(J450&lt;&gt;"",_xlfn.CONCAT(J450 &amp; " " &amp; K450),K450)</f>
        <v>Lettera Enciclica</v>
      </c>
      <c r="M450" s="31" t="s">
        <v>579</v>
      </c>
      <c r="O450" s="31" t="s">
        <v>161</v>
      </c>
      <c r="P450" s="31" t="s">
        <v>3009</v>
      </c>
      <c r="Q450" s="40">
        <v>2234</v>
      </c>
      <c r="R450" s="35" t="str">
        <f t="shared" si="99"/>
        <v>11</v>
      </c>
      <c r="S450" s="35"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5">
        <f t="shared" si="96"/>
        <v>1906</v>
      </c>
      <c r="U450" s="31"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6"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31"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31">
        <v>449</v>
      </c>
      <c r="Y450" s="31" t="str">
        <f t="shared" ref="Y450:Y513" si="101">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31" t="str">
        <f t="shared" ref="Z450:Z513" si="102">_xlfn.CONCAT(O450 &amp; " (" &amp; Q450 &amp; ") | " &amp; D450 &amp; " " &amp; E450)</f>
        <v>Vehementer Nos (2234) | Pio X</v>
      </c>
      <c r="AA450" s="31" t="str">
        <f t="shared" ref="AA450:AA513" si="103">_xlfn.CONCAT(K450 &amp; " " &amp; O450)</f>
        <v>Enciclica Vehementer Nos</v>
      </c>
      <c r="AB450" s="31" t="str">
        <f t="shared" ref="AB450:AB513" si="104">_xlfn.CONCAT(K450 &amp; " " &amp; O450)</f>
        <v>Enciclica Vehementer Nos</v>
      </c>
      <c r="AC450" s="31" t="str">
        <f t="shared" ref="AC450:AC513" si="105">_xlfn.CONCAT(H450 &amp; ", " &amp; L450 &amp; " " &amp; O450 &amp; ", " &amp; LEFT(U450,2) &amp; " " &amp; TEXT(VALUE(MID(U450,4,2))*29,"mmmm") &amp; " " &amp; RIGHT(U450,4))</f>
        <v>Pio X, Lettera Enciclica Vehementer Nos, 11 febbraio 1906</v>
      </c>
      <c r="AD450" s="31" t="str">
        <f t="shared" ref="AD450:AD513" si="106">_xlfn.CONCAT(RIGHT(U450,4) &amp; "-" &amp; MID(U450,4,2) &amp; "-" &amp; LEFT(U450,2) &amp; "T08:00:00.000+02:00")</f>
        <v>1906-02-11T08:00:00.000+02:00</v>
      </c>
      <c r="AE450" s="31" t="str">
        <f t="shared" si="91"/>
        <v>pix-enc-ven</v>
      </c>
      <c r="AF450" s="31" t="str">
        <f t="shared" si="92"/>
        <v>Pio X - Lettera Enciclica - Vehementer Nos</v>
      </c>
    </row>
    <row r="451" spans="2:32" s="31" customFormat="1" x14ac:dyDescent="0.2">
      <c r="B451" s="31">
        <v>257</v>
      </c>
      <c r="C451" s="31" t="s">
        <v>2365</v>
      </c>
      <c r="D451" s="31" t="s">
        <v>715</v>
      </c>
      <c r="E451" s="31" t="s">
        <v>737</v>
      </c>
      <c r="F451" s="31" t="s">
        <v>664</v>
      </c>
      <c r="G451" s="31" t="s">
        <v>665</v>
      </c>
      <c r="H451" s="31" t="str">
        <f t="shared" si="93"/>
        <v>Pio X</v>
      </c>
      <c r="I451" s="31" t="s">
        <v>603</v>
      </c>
      <c r="J451" s="31" t="s">
        <v>829</v>
      </c>
      <c r="K451" s="31" t="s">
        <v>694</v>
      </c>
      <c r="L451" s="31" t="str">
        <f t="shared" si="100"/>
        <v>Lettera Enciclica</v>
      </c>
      <c r="M451" s="31" t="s">
        <v>579</v>
      </c>
      <c r="O451" s="31" t="s">
        <v>2308</v>
      </c>
      <c r="P451" s="31" t="s">
        <v>3409</v>
      </c>
      <c r="Q451" s="40">
        <v>1989</v>
      </c>
      <c r="R451" s="35" t="str">
        <f t="shared" si="99"/>
        <v>11</v>
      </c>
      <c r="S451" s="35"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5">
        <f t="shared" si="96"/>
        <v>1905</v>
      </c>
      <c r="U451" s="31"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6"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31"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31">
        <v>450</v>
      </c>
      <c r="Y451" s="31" t="str">
        <f t="shared" si="101"/>
        <v>['Pio X', 'Enciclica', 'Il fermo proposito', 'pix-enc-ifp', '11 giugno 1905', '11/06/1905', '1905/06/11'],</v>
      </c>
      <c r="Z451" s="31" t="str">
        <f t="shared" si="102"/>
        <v>Il fermo proposito (1989) | Pio X</v>
      </c>
      <c r="AA451" s="31" t="str">
        <f t="shared" si="103"/>
        <v>Enciclica Il fermo proposito</v>
      </c>
      <c r="AB451" s="31" t="str">
        <f t="shared" si="104"/>
        <v>Enciclica Il fermo proposito</v>
      </c>
      <c r="AC451" s="31" t="str">
        <f t="shared" si="105"/>
        <v>Pio X, Lettera Enciclica Il fermo proposito, 11 giugno 1905</v>
      </c>
      <c r="AD451" s="31" t="str">
        <f t="shared" si="106"/>
        <v>1905-06-11T08:00:00.000+02:00</v>
      </c>
      <c r="AE451" s="31" t="str">
        <f t="shared" ref="AE451:AE486" si="107">_xlfn.CONCAT(F451 &amp; "-" &amp; M451 &amp; "-" &amp; P451)</f>
        <v>pix-enc-ifp</v>
      </c>
      <c r="AF451" s="31" t="str">
        <f t="shared" ref="AF451:AF486" si="108">_xlfn.CONCAT(H451 &amp; " - " &amp; L451 &amp; " - " &amp; O451)</f>
        <v>Pio X - Lettera Enciclica - Il fermo proposito</v>
      </c>
    </row>
    <row r="452" spans="2:32" s="31" customFormat="1" x14ac:dyDescent="0.2">
      <c r="B452" s="31">
        <v>257</v>
      </c>
      <c r="C452" s="31" t="s">
        <v>2366</v>
      </c>
      <c r="D452" s="31" t="s">
        <v>715</v>
      </c>
      <c r="E452" s="31" t="s">
        <v>737</v>
      </c>
      <c r="F452" s="31" t="s">
        <v>664</v>
      </c>
      <c r="G452" s="31" t="s">
        <v>665</v>
      </c>
      <c r="H452" s="31" t="str">
        <f t="shared" si="93"/>
        <v>Pio X</v>
      </c>
      <c r="I452" s="31" t="s">
        <v>603</v>
      </c>
      <c r="J452" s="31" t="s">
        <v>829</v>
      </c>
      <c r="K452" s="31" t="s">
        <v>694</v>
      </c>
      <c r="L452" s="31" t="str">
        <f t="shared" si="100"/>
        <v>Lettera Enciclica</v>
      </c>
      <c r="M452" s="31" t="s">
        <v>579</v>
      </c>
      <c r="O452" s="31" t="s">
        <v>159</v>
      </c>
      <c r="P452" s="31" t="s">
        <v>3410</v>
      </c>
      <c r="Q452" s="40">
        <v>1932</v>
      </c>
      <c r="R452" s="35" t="str">
        <f t="shared" si="99"/>
        <v>15</v>
      </c>
      <c r="S452" s="35"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5">
        <f t="shared" si="96"/>
        <v>1905</v>
      </c>
      <c r="U452" s="31"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6"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31"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31">
        <v>451</v>
      </c>
      <c r="Y452" s="31" t="str">
        <f t="shared" si="101"/>
        <v>['Pio X', 'Enciclica', 'Acerbo Nimis', 'pix-enc-acn', '15 aprile 1905', '15/04/1905', '1905/04/15'],</v>
      </c>
      <c r="Z452" s="31" t="str">
        <f t="shared" si="102"/>
        <v>Acerbo Nimis (1932) | Pio X</v>
      </c>
      <c r="AA452" s="31" t="str">
        <f t="shared" si="103"/>
        <v>Enciclica Acerbo Nimis</v>
      </c>
      <c r="AB452" s="31" t="str">
        <f t="shared" si="104"/>
        <v>Enciclica Acerbo Nimis</v>
      </c>
      <c r="AC452" s="31" t="str">
        <f t="shared" si="105"/>
        <v>Pio X, Lettera Enciclica Acerbo Nimis, 15 aprile 1905</v>
      </c>
      <c r="AD452" s="31" t="str">
        <f t="shared" si="106"/>
        <v>1905-04-15T08:00:00.000+02:00</v>
      </c>
      <c r="AE452" s="31" t="str">
        <f t="shared" si="107"/>
        <v>pix-enc-acn</v>
      </c>
      <c r="AF452" s="31" t="str">
        <f t="shared" si="108"/>
        <v>Pio X - Lettera Enciclica - Acerbo Nimis</v>
      </c>
    </row>
    <row r="453" spans="2:32" s="31" customFormat="1" x14ac:dyDescent="0.2">
      <c r="B453" s="31">
        <v>257</v>
      </c>
      <c r="C453" s="31" t="s">
        <v>2367</v>
      </c>
      <c r="D453" s="31" t="s">
        <v>715</v>
      </c>
      <c r="E453" s="31" t="s">
        <v>737</v>
      </c>
      <c r="F453" s="31" t="s">
        <v>664</v>
      </c>
      <c r="G453" s="31" t="s">
        <v>665</v>
      </c>
      <c r="H453" s="31" t="str">
        <f t="shared" si="93"/>
        <v>Pio X</v>
      </c>
      <c r="I453" s="31" t="s">
        <v>603</v>
      </c>
      <c r="J453" s="31" t="s">
        <v>829</v>
      </c>
      <c r="K453" s="31" t="s">
        <v>694</v>
      </c>
      <c r="L453" s="31" t="str">
        <f t="shared" si="100"/>
        <v>Lettera Enciclica</v>
      </c>
      <c r="M453" s="31" t="s">
        <v>579</v>
      </c>
      <c r="O453" s="31" t="s">
        <v>158</v>
      </c>
      <c r="P453" s="31" t="s">
        <v>3411</v>
      </c>
      <c r="Q453" s="40">
        <v>1533</v>
      </c>
      <c r="R453" s="35" t="str">
        <f t="shared" si="99"/>
        <v>12</v>
      </c>
      <c r="S453" s="35"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5">
        <f t="shared" si="96"/>
        <v>1904</v>
      </c>
      <c r="U453" s="31"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6"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31"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31">
        <v>452</v>
      </c>
      <c r="Y453" s="31" t="str">
        <f t="shared" si="101"/>
        <v>['Pio X', 'Enciclica', 'Iucunda Sane', 'pix-enc-ius', '12 marzo 1904', '12/03/1904', '1904/03/12'],</v>
      </c>
      <c r="Z453" s="31" t="str">
        <f t="shared" si="102"/>
        <v>Iucunda Sane (1533) | Pio X</v>
      </c>
      <c r="AA453" s="31" t="str">
        <f t="shared" si="103"/>
        <v>Enciclica Iucunda Sane</v>
      </c>
      <c r="AB453" s="31" t="str">
        <f t="shared" si="104"/>
        <v>Enciclica Iucunda Sane</v>
      </c>
      <c r="AC453" s="31" t="str">
        <f t="shared" si="105"/>
        <v>Pio X, Lettera Enciclica Iucunda Sane, 12 marzo 1904</v>
      </c>
      <c r="AD453" s="31" t="str">
        <f t="shared" si="106"/>
        <v>1904-03-12T08:00:00.000+02:00</v>
      </c>
      <c r="AE453" s="31" t="str">
        <f t="shared" si="107"/>
        <v>pix-enc-ius</v>
      </c>
      <c r="AF453" s="31" t="str">
        <f t="shared" si="108"/>
        <v>Pio X - Lettera Enciclica - Iucunda Sane</v>
      </c>
    </row>
    <row r="454" spans="2:32" s="31" customFormat="1" x14ac:dyDescent="0.2">
      <c r="B454" s="31">
        <v>257</v>
      </c>
      <c r="C454" s="31" t="s">
        <v>2368</v>
      </c>
      <c r="D454" s="31" t="s">
        <v>715</v>
      </c>
      <c r="E454" s="31" t="s">
        <v>737</v>
      </c>
      <c r="F454" s="31" t="s">
        <v>664</v>
      </c>
      <c r="G454" s="31" t="s">
        <v>665</v>
      </c>
      <c r="H454" s="31" t="str">
        <f t="shared" si="93"/>
        <v>Pio X</v>
      </c>
      <c r="I454" s="31" t="s">
        <v>603</v>
      </c>
      <c r="J454" s="31" t="s">
        <v>829</v>
      </c>
      <c r="K454" s="31" t="s">
        <v>694</v>
      </c>
      <c r="L454" s="31" t="str">
        <f t="shared" si="100"/>
        <v>Lettera Enciclica</v>
      </c>
      <c r="M454" s="31" t="s">
        <v>579</v>
      </c>
      <c r="O454" s="31" t="s">
        <v>2309</v>
      </c>
      <c r="P454" s="31" t="s">
        <v>1069</v>
      </c>
      <c r="Q454" s="40">
        <v>1494</v>
      </c>
      <c r="R454" s="35" t="str">
        <f t="shared" si="99"/>
        <v>02</v>
      </c>
      <c r="S454" s="35"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5">
        <f t="shared" si="96"/>
        <v>1904</v>
      </c>
      <c r="U454" s="31"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6"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31"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31">
        <v>453</v>
      </c>
      <c r="Y454" s="31" t="str">
        <f t="shared" si="101"/>
        <v>['Pio X', 'Enciclica', 'Ad diem illum laetissimum', 'pix-enc-adi', '02 febbraio 1904', '02/02/1904', '1904/02/02'],</v>
      </c>
      <c r="Z454" s="31" t="str">
        <f t="shared" si="102"/>
        <v>Ad diem illum laetissimum (1494) | Pio X</v>
      </c>
      <c r="AA454" s="31" t="str">
        <f t="shared" si="103"/>
        <v>Enciclica Ad diem illum laetissimum</v>
      </c>
      <c r="AB454" s="31" t="str">
        <f t="shared" si="104"/>
        <v>Enciclica Ad diem illum laetissimum</v>
      </c>
      <c r="AC454" s="31" t="str">
        <f t="shared" si="105"/>
        <v>Pio X, Lettera Enciclica Ad diem illum laetissimum, 02 febbraio 1904</v>
      </c>
      <c r="AD454" s="31" t="str">
        <f t="shared" si="106"/>
        <v>1904-02-02T08:00:00.000+02:00</v>
      </c>
      <c r="AE454" s="31" t="str">
        <f t="shared" si="107"/>
        <v>pix-enc-adi</v>
      </c>
      <c r="AF454" s="31" t="str">
        <f t="shared" si="108"/>
        <v>Pio X - Lettera Enciclica - Ad diem illum laetissimum</v>
      </c>
    </row>
    <row r="455" spans="2:32" s="31" customFormat="1" x14ac:dyDescent="0.2">
      <c r="B455" s="31">
        <v>257</v>
      </c>
      <c r="C455" s="31" t="s">
        <v>2369</v>
      </c>
      <c r="D455" s="31" t="s">
        <v>715</v>
      </c>
      <c r="E455" s="31" t="s">
        <v>737</v>
      </c>
      <c r="F455" s="31" t="s">
        <v>664</v>
      </c>
      <c r="G455" s="31" t="s">
        <v>665</v>
      </c>
      <c r="H455" s="31" t="str">
        <f t="shared" si="93"/>
        <v>Pio X</v>
      </c>
      <c r="I455" s="31" t="s">
        <v>603</v>
      </c>
      <c r="J455" s="31" t="s">
        <v>829</v>
      </c>
      <c r="K455" s="31" t="s">
        <v>694</v>
      </c>
      <c r="L455" s="31" t="str">
        <f t="shared" si="100"/>
        <v>Lettera Enciclica</v>
      </c>
      <c r="M455" s="31" t="s">
        <v>579</v>
      </c>
      <c r="O455" s="31" t="s">
        <v>156</v>
      </c>
      <c r="P455" s="31" t="s">
        <v>3412</v>
      </c>
      <c r="Q455" s="40">
        <v>1373</v>
      </c>
      <c r="R455" s="35" t="str">
        <f t="shared" si="99"/>
        <v>04</v>
      </c>
      <c r="S455" s="35"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5">
        <f t="shared" si="96"/>
        <v>1903</v>
      </c>
      <c r="U455" s="31"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6"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31"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31">
        <v>454</v>
      </c>
      <c r="Y455" s="31" t="str">
        <f t="shared" si="101"/>
        <v>['Pio X', 'Enciclica', 'E Supremi', 'pix-enc-esu', '04 ottobre 1903', '04/10/1903', '1903/10/04'],</v>
      </c>
      <c r="Z455" s="31" t="str">
        <f t="shared" si="102"/>
        <v>E Supremi (1373) | Pio X</v>
      </c>
      <c r="AA455" s="31" t="str">
        <f t="shared" si="103"/>
        <v>Enciclica E Supremi</v>
      </c>
      <c r="AB455" s="31" t="str">
        <f t="shared" si="104"/>
        <v>Enciclica E Supremi</v>
      </c>
      <c r="AC455" s="31" t="str">
        <f t="shared" si="105"/>
        <v>Pio X, Lettera Enciclica E Supremi, 04 ottobre 1903</v>
      </c>
      <c r="AD455" s="31" t="str">
        <f t="shared" si="106"/>
        <v>1903-10-04T08:00:00.000+02:00</v>
      </c>
      <c r="AE455" s="31" t="str">
        <f t="shared" si="107"/>
        <v>pix-enc-esu</v>
      </c>
      <c r="AF455" s="31" t="str">
        <f t="shared" si="108"/>
        <v>Pio X - Lettera Enciclica - E Supremi</v>
      </c>
    </row>
    <row r="456" spans="2:32" s="31" customFormat="1" x14ac:dyDescent="0.2">
      <c r="B456" s="31">
        <v>257</v>
      </c>
      <c r="C456" s="31" t="s">
        <v>2370</v>
      </c>
      <c r="D456" s="31" t="s">
        <v>715</v>
      </c>
      <c r="E456" s="31" t="s">
        <v>737</v>
      </c>
      <c r="F456" s="31" t="s">
        <v>664</v>
      </c>
      <c r="G456" s="31" t="s">
        <v>665</v>
      </c>
      <c r="H456" s="31" t="str">
        <f t="shared" si="93"/>
        <v>Pio X</v>
      </c>
      <c r="K456" s="31" t="s">
        <v>829</v>
      </c>
      <c r="L456" s="31" t="str">
        <f t="shared" si="100"/>
        <v>Lettera</v>
      </c>
      <c r="M456" s="31" t="s">
        <v>568</v>
      </c>
      <c r="O456" s="31" t="s">
        <v>2310</v>
      </c>
      <c r="P456" s="31" t="s">
        <v>976</v>
      </c>
      <c r="Q456" s="40">
        <v>4675</v>
      </c>
      <c r="R456" s="35">
        <f t="shared" si="95"/>
        <v>18</v>
      </c>
      <c r="S456" s="35"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5">
        <f t="shared" si="96"/>
        <v>1912</v>
      </c>
      <c r="U456" s="31"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6"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31"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31">
        <v>455</v>
      </c>
      <c r="Y456" s="31" t="str">
        <f t="shared" si="101"/>
        <v>['Pio X', 'Lettera', 'Al Card. Pietro Respighi', 'pix-let-cpr', '18 ottobre 1912', '18/10/1912', '1912/10/18'],</v>
      </c>
      <c r="Z456" s="31" t="str">
        <f t="shared" si="102"/>
        <v>Al Card. Pietro Respighi (4675) | Pio X</v>
      </c>
      <c r="AA456" s="31" t="str">
        <f t="shared" si="103"/>
        <v>Lettera Al Card. Pietro Respighi</v>
      </c>
      <c r="AB456" s="31" t="str">
        <f t="shared" si="104"/>
        <v>Lettera Al Card. Pietro Respighi</v>
      </c>
      <c r="AC456" s="31" t="str">
        <f t="shared" si="105"/>
        <v>Pio X, Lettera Al Card. Pietro Respighi, 18 ottobre 1912</v>
      </c>
      <c r="AD456" s="31" t="str">
        <f t="shared" si="106"/>
        <v>1912-10-18T08:00:00.000+02:00</v>
      </c>
      <c r="AE456" s="31" t="str">
        <f t="shared" si="107"/>
        <v>pix-let-cpr</v>
      </c>
      <c r="AF456" s="31" t="str">
        <f t="shared" si="108"/>
        <v>Pio X - Lettera - Al Card. Pietro Respighi</v>
      </c>
    </row>
    <row r="457" spans="2:32" s="31" customFormat="1" x14ac:dyDescent="0.2">
      <c r="B457" s="31">
        <v>257</v>
      </c>
      <c r="C457" s="31" t="s">
        <v>2371</v>
      </c>
      <c r="D457" s="31" t="s">
        <v>715</v>
      </c>
      <c r="E457" s="31" t="s">
        <v>737</v>
      </c>
      <c r="F457" s="31" t="s">
        <v>664</v>
      </c>
      <c r="G457" s="31" t="s">
        <v>665</v>
      </c>
      <c r="H457" s="31" t="str">
        <f t="shared" ref="H457:H474" si="109">_xlfn.CONCAT(D457 &amp; " " &amp; E457)</f>
        <v>Pio X</v>
      </c>
      <c r="K457" s="31" t="s">
        <v>829</v>
      </c>
      <c r="L457" s="31" t="str">
        <f t="shared" si="100"/>
        <v>Lettera</v>
      </c>
      <c r="M457" s="31" t="s">
        <v>568</v>
      </c>
      <c r="O457" s="31" t="s">
        <v>2311</v>
      </c>
      <c r="P457" s="31" t="s">
        <v>3413</v>
      </c>
      <c r="Q457" s="40">
        <v>3814</v>
      </c>
      <c r="R457" s="35">
        <f t="shared" si="95"/>
        <v>10</v>
      </c>
      <c r="S457" s="35"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5">
        <f t="shared" si="96"/>
        <v>1910</v>
      </c>
      <c r="U457" s="31"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6"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31"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31">
        <v>456</v>
      </c>
      <c r="Y457" s="31" t="str">
        <f t="shared" si="101"/>
        <v>['Pio X', 'Lettera', 'Anno quinquagesimo', 'pix-let-anq', '10 giugno 1910', '10/06/1910', '1910/06/10'],</v>
      </c>
      <c r="Z457" s="31" t="str">
        <f t="shared" si="102"/>
        <v>Anno quinquagesimo (3814) | Pio X</v>
      </c>
      <c r="AA457" s="31" t="str">
        <f t="shared" si="103"/>
        <v>Lettera Anno quinquagesimo</v>
      </c>
      <c r="AB457" s="31" t="str">
        <f t="shared" si="104"/>
        <v>Lettera Anno quinquagesimo</v>
      </c>
      <c r="AC457" s="31" t="str">
        <f t="shared" si="105"/>
        <v>Pio X, Lettera Anno quinquagesimo, 10 giugno 1910</v>
      </c>
      <c r="AD457" s="31" t="str">
        <f t="shared" si="106"/>
        <v>1910-06-10T08:00:00.000+02:00</v>
      </c>
      <c r="AE457" s="31" t="str">
        <f t="shared" si="107"/>
        <v>pix-let-anq</v>
      </c>
      <c r="AF457" s="31" t="str">
        <f t="shared" si="108"/>
        <v>Pio X - Lettera - Anno quinquagesimo</v>
      </c>
    </row>
    <row r="458" spans="2:32" s="31" customFormat="1" x14ac:dyDescent="0.2">
      <c r="B458" s="31">
        <v>257</v>
      </c>
      <c r="C458" s="31" t="s">
        <v>2372</v>
      </c>
      <c r="D458" s="31" t="s">
        <v>715</v>
      </c>
      <c r="E458" s="31" t="s">
        <v>737</v>
      </c>
      <c r="F458" s="31" t="s">
        <v>664</v>
      </c>
      <c r="G458" s="31" t="s">
        <v>665</v>
      </c>
      <c r="H458" s="31" t="str">
        <f t="shared" si="109"/>
        <v>Pio X</v>
      </c>
      <c r="K458" s="31" t="s">
        <v>829</v>
      </c>
      <c r="L458" s="31" t="str">
        <f t="shared" si="100"/>
        <v>Lettera</v>
      </c>
      <c r="M458" s="31" t="s">
        <v>568</v>
      </c>
      <c r="O458" s="31" t="s">
        <v>2312</v>
      </c>
      <c r="P458" s="31" t="s">
        <v>3414</v>
      </c>
      <c r="Q458" s="40">
        <v>3702</v>
      </c>
      <c r="R458" s="35">
        <f t="shared" si="95"/>
        <v>18</v>
      </c>
      <c r="S458" s="35"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5">
        <f t="shared" si="96"/>
        <v>1910</v>
      </c>
      <c r="U458" s="31"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6"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31"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31">
        <v>457</v>
      </c>
      <c r="Y458" s="31" t="str">
        <f t="shared" si="101"/>
        <v>['Pio X', 'Lettera', 'A Mons. Francesco Saverio Haberl, Prelato domestico di S.S. e Presidente generale dell'Associazione "Santa Cecilia" di Germania, Ratisbona', 'pix-let-mfh', '18 febbraio 1910', '18/02/1910', '1910/02/18'],</v>
      </c>
      <c r="Z458" s="31" t="str">
        <f t="shared" si="102"/>
        <v>A Mons. Francesco Saverio Haberl, Prelato domestico di S.S. e Presidente generale dell'Associazione "Santa Cecilia" di Germania, Ratisbona (3702) | Pio X</v>
      </c>
      <c r="AA458" s="31" t="str">
        <f t="shared" si="103"/>
        <v>Lettera A Mons. Francesco Saverio Haberl, Prelato domestico di S.S. e Presidente generale dell'Associazione "Santa Cecilia" di Germania, Ratisbona</v>
      </c>
      <c r="AB458" s="31" t="str">
        <f t="shared" si="104"/>
        <v>Lettera A Mons. Francesco Saverio Haberl, Prelato domestico di S.S. e Presidente generale dell'Associazione "Santa Cecilia" di Germania, Ratisbona</v>
      </c>
      <c r="AC458" s="31" t="str">
        <f t="shared" si="105"/>
        <v>Pio X, Lettera A Mons. Francesco Saverio Haberl, Prelato domestico di S.S. e Presidente generale dell'Associazione "Santa Cecilia" di Germania, Ratisbona, 18 febbraio 1910</v>
      </c>
      <c r="AD458" s="31" t="str">
        <f t="shared" si="106"/>
        <v>1910-02-18T08:00:00.000+02:00</v>
      </c>
      <c r="AE458" s="31" t="str">
        <f t="shared" si="107"/>
        <v>pix-let-mfh</v>
      </c>
      <c r="AF458" s="31" t="str">
        <f t="shared" si="108"/>
        <v>Pio X - Lettera - A Mons. Francesco Saverio Haberl, Prelato domestico di S.S. e Presidente generale dell'Associazione "Santa Cecilia" di Germania, Ratisbona</v>
      </c>
    </row>
    <row r="459" spans="2:32" s="31" customFormat="1" x14ac:dyDescent="0.2">
      <c r="B459" s="31">
        <v>257</v>
      </c>
      <c r="C459" s="31" t="s">
        <v>2373</v>
      </c>
      <c r="D459" s="31" t="s">
        <v>715</v>
      </c>
      <c r="E459" s="31" t="s">
        <v>737</v>
      </c>
      <c r="F459" s="31" t="s">
        <v>664</v>
      </c>
      <c r="G459" s="31" t="s">
        <v>665</v>
      </c>
      <c r="H459" s="31" t="str">
        <f t="shared" si="109"/>
        <v>Pio X</v>
      </c>
      <c r="K459" s="31" t="s">
        <v>829</v>
      </c>
      <c r="L459" s="31" t="str">
        <f t="shared" si="100"/>
        <v>Lettera</v>
      </c>
      <c r="M459" s="31" t="s">
        <v>568</v>
      </c>
      <c r="O459" s="31" t="s">
        <v>2313</v>
      </c>
      <c r="P459" s="31" t="s">
        <v>3415</v>
      </c>
      <c r="Q459" s="40">
        <v>2577</v>
      </c>
      <c r="R459" s="35">
        <f t="shared" si="95"/>
        <v>20</v>
      </c>
      <c r="S459" s="35"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5">
        <f t="shared" si="96"/>
        <v>1907</v>
      </c>
      <c r="U459" s="31"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6"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31"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31">
        <v>458</v>
      </c>
      <c r="Y459" s="31" t="str">
        <f t="shared" si="101"/>
        <v>['Pio X', 'Lettera', 'Ai componenti la direzione provvisoria dell' Unione economico sociale per i cattolici italiani', 'pix-let-cue', '20 gennaio 1907', '20/01/1907', '1907/01/20'],</v>
      </c>
      <c r="Z459" s="31" t="str">
        <f t="shared" si="102"/>
        <v>Ai componenti la direzione provvisoria dell' Unione economico sociale per i cattolici italiani (2577) | Pio X</v>
      </c>
      <c r="AA459" s="31" t="str">
        <f t="shared" si="103"/>
        <v>Lettera Ai componenti la direzione provvisoria dell' Unione economico sociale per i cattolici italiani</v>
      </c>
      <c r="AB459" s="31" t="str">
        <f t="shared" si="104"/>
        <v>Lettera Ai componenti la direzione provvisoria dell' Unione economico sociale per i cattolici italiani</v>
      </c>
      <c r="AC459" s="31" t="str">
        <f t="shared" si="105"/>
        <v>Pio X, Lettera Ai componenti la direzione provvisoria dell' Unione economico sociale per i cattolici italiani, 20 gennaio 1907</v>
      </c>
      <c r="AD459" s="31" t="str">
        <f t="shared" si="106"/>
        <v>1907-01-20T08:00:00.000+02:00</v>
      </c>
      <c r="AE459" s="31" t="str">
        <f t="shared" si="107"/>
        <v>pix-let-cue</v>
      </c>
      <c r="AF459" s="31" t="str">
        <f t="shared" si="108"/>
        <v>Pio X - Lettera - Ai componenti la direzione provvisoria dell' Unione economico sociale per i cattolici italiani</v>
      </c>
    </row>
    <row r="460" spans="2:32" s="31" customFormat="1" x14ac:dyDescent="0.2">
      <c r="B460" s="31">
        <v>257</v>
      </c>
      <c r="C460" s="31" t="s">
        <v>2374</v>
      </c>
      <c r="D460" s="31" t="s">
        <v>715</v>
      </c>
      <c r="E460" s="31" t="s">
        <v>737</v>
      </c>
      <c r="F460" s="31" t="s">
        <v>664</v>
      </c>
      <c r="G460" s="31" t="s">
        <v>665</v>
      </c>
      <c r="H460" s="31" t="str">
        <f t="shared" si="109"/>
        <v>Pio X</v>
      </c>
      <c r="K460" s="31" t="s">
        <v>829</v>
      </c>
      <c r="L460" s="31" t="str">
        <f t="shared" si="100"/>
        <v>Lettera</v>
      </c>
      <c r="M460" s="31" t="s">
        <v>568</v>
      </c>
      <c r="O460" s="31" t="s">
        <v>2314</v>
      </c>
      <c r="P460" s="31" t="s">
        <v>3416</v>
      </c>
      <c r="Q460" s="40">
        <v>2506</v>
      </c>
      <c r="R460" s="35">
        <f t="shared" si="95"/>
        <v>10</v>
      </c>
      <c r="S460" s="35"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5">
        <f t="shared" si="96"/>
        <v>1906</v>
      </c>
      <c r="U460" s="31"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6"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31"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31">
        <v>459</v>
      </c>
      <c r="Y460" s="31" t="str">
        <f t="shared" si="101"/>
        <v>['Pio X', 'Lettera', 'Le condizioni dolorose', 'pix-let-lcd', '10 novembre 1906', '10/11/1906', '1906/11/10'],</v>
      </c>
      <c r="Z460" s="31" t="str">
        <f t="shared" si="102"/>
        <v>Le condizioni dolorose (2506) | Pio X</v>
      </c>
      <c r="AA460" s="31" t="str">
        <f t="shared" si="103"/>
        <v>Lettera Le condizioni dolorose</v>
      </c>
      <c r="AB460" s="31" t="str">
        <f t="shared" si="104"/>
        <v>Lettera Le condizioni dolorose</v>
      </c>
      <c r="AC460" s="31" t="str">
        <f t="shared" si="105"/>
        <v>Pio X, Lettera Le condizioni dolorose, 10 novembre 1906</v>
      </c>
      <c r="AD460" s="31" t="str">
        <f t="shared" si="106"/>
        <v>1906-11-10T08:00:00.000+02:00</v>
      </c>
      <c r="AE460" s="31" t="str">
        <f t="shared" si="107"/>
        <v>pix-let-lcd</v>
      </c>
      <c r="AF460" s="31" t="str">
        <f t="shared" si="108"/>
        <v>Pio X - Lettera - Le condizioni dolorose</v>
      </c>
    </row>
    <row r="461" spans="2:32" s="31" customFormat="1" x14ac:dyDescent="0.2">
      <c r="B461" s="31">
        <v>257</v>
      </c>
      <c r="C461" s="31" t="s">
        <v>2375</v>
      </c>
      <c r="D461" s="31" t="s">
        <v>715</v>
      </c>
      <c r="E461" s="31" t="s">
        <v>737</v>
      </c>
      <c r="F461" s="31" t="s">
        <v>664</v>
      </c>
      <c r="G461" s="31" t="s">
        <v>665</v>
      </c>
      <c r="H461" s="31" t="str">
        <f t="shared" si="109"/>
        <v>Pio X</v>
      </c>
      <c r="K461" s="31" t="s">
        <v>829</v>
      </c>
      <c r="L461" s="31" t="str">
        <f t="shared" si="100"/>
        <v>Lettera</v>
      </c>
      <c r="M461" s="31" t="s">
        <v>568</v>
      </c>
      <c r="O461" s="31" t="s">
        <v>2315</v>
      </c>
      <c r="P461" s="31" t="s">
        <v>3417</v>
      </c>
      <c r="Q461" s="40">
        <v>2250</v>
      </c>
      <c r="R461" s="35">
        <f t="shared" si="95"/>
        <v>27</v>
      </c>
      <c r="S461" s="35"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5">
        <f t="shared" si="96"/>
        <v>1906</v>
      </c>
      <c r="U461" s="31"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6"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31"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31">
        <v>460</v>
      </c>
      <c r="Y461" s="31" t="str">
        <f t="shared" si="101"/>
        <v>['Pio X', 'Lettera', 'Al Cardinale Ferrari, Arcivescovo di Milano', 'pix-let-cfm', '27 febbraio 1906', '27/02/1906', '1906/02/27'],</v>
      </c>
      <c r="Z461" s="31" t="str">
        <f t="shared" si="102"/>
        <v>Al Cardinale Ferrari, Arcivescovo di Milano (2250) | Pio X</v>
      </c>
      <c r="AA461" s="31" t="str">
        <f t="shared" si="103"/>
        <v>Lettera Al Cardinale Ferrari, Arcivescovo di Milano</v>
      </c>
      <c r="AB461" s="31" t="str">
        <f t="shared" si="104"/>
        <v>Lettera Al Cardinale Ferrari, Arcivescovo di Milano</v>
      </c>
      <c r="AC461" s="31" t="str">
        <f t="shared" si="105"/>
        <v>Pio X, Lettera Al Cardinale Ferrari, Arcivescovo di Milano, 27 febbraio 1906</v>
      </c>
      <c r="AD461" s="31" t="str">
        <f t="shared" si="106"/>
        <v>1906-02-27T08:00:00.000+02:00</v>
      </c>
      <c r="AE461" s="31" t="str">
        <f t="shared" si="107"/>
        <v>pix-let-cfm</v>
      </c>
      <c r="AF461" s="31" t="str">
        <f t="shared" si="108"/>
        <v>Pio X - Lettera - Al Cardinale Ferrari, Arcivescovo di Milano</v>
      </c>
    </row>
    <row r="462" spans="2:32" s="31" customFormat="1" x14ac:dyDescent="0.2">
      <c r="B462" s="31">
        <v>257</v>
      </c>
      <c r="C462" s="31" t="s">
        <v>2376</v>
      </c>
      <c r="D462" s="31" t="s">
        <v>715</v>
      </c>
      <c r="E462" s="31" t="s">
        <v>737</v>
      </c>
      <c r="F462" s="31" t="s">
        <v>664</v>
      </c>
      <c r="G462" s="31" t="s">
        <v>665</v>
      </c>
      <c r="H462" s="31" t="str">
        <f t="shared" si="109"/>
        <v>Pio X</v>
      </c>
      <c r="K462" s="31" t="s">
        <v>829</v>
      </c>
      <c r="L462" s="31" t="str">
        <f t="shared" si="100"/>
        <v>Lettera</v>
      </c>
      <c r="M462" s="31" t="s">
        <v>568</v>
      </c>
      <c r="O462" s="31" t="s">
        <v>2316</v>
      </c>
      <c r="P462" s="31" t="s">
        <v>1607</v>
      </c>
      <c r="Q462" s="40">
        <v>2045</v>
      </c>
      <c r="R462" s="35">
        <f t="shared" si="95"/>
        <v>6</v>
      </c>
      <c r="S462" s="35"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5">
        <f t="shared" si="96"/>
        <v>1905</v>
      </c>
      <c r="U462" s="31"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6"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31"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31">
        <v>461</v>
      </c>
      <c r="Y462" s="31" t="str">
        <f t="shared" si="101"/>
        <v>['Pio X', 'Lettera', 'Al Cardinale Pietro Respighi, sui sacerdoti di altre Diocesi che dimorano a Roma', 'pix-let-prr', '06 agosto 1905', '06/08/1905', '1905/08/06'],</v>
      </c>
      <c r="Z462" s="31" t="str">
        <f t="shared" si="102"/>
        <v>Al Cardinale Pietro Respighi, sui sacerdoti di altre Diocesi che dimorano a Roma (2045) | Pio X</v>
      </c>
      <c r="AA462" s="31" t="str">
        <f t="shared" si="103"/>
        <v>Lettera Al Cardinale Pietro Respighi, sui sacerdoti di altre Diocesi che dimorano a Roma</v>
      </c>
      <c r="AB462" s="31" t="str">
        <f t="shared" si="104"/>
        <v>Lettera Al Cardinale Pietro Respighi, sui sacerdoti di altre Diocesi che dimorano a Roma</v>
      </c>
      <c r="AC462" s="31" t="str">
        <f t="shared" si="105"/>
        <v>Pio X, Lettera Al Cardinale Pietro Respighi, sui sacerdoti di altre Diocesi che dimorano a Roma, 06 agosto 1905</v>
      </c>
      <c r="AD462" s="31" t="str">
        <f t="shared" si="106"/>
        <v>1905-08-06T08:00:00.000+02:00</v>
      </c>
      <c r="AE462" s="31" t="str">
        <f t="shared" si="107"/>
        <v>pix-let-prr</v>
      </c>
      <c r="AF462" s="31" t="str">
        <f t="shared" si="108"/>
        <v>Pio X - Lettera - Al Cardinale Pietro Respighi, sui sacerdoti di altre Diocesi che dimorano a Roma</v>
      </c>
    </row>
    <row r="463" spans="2:32" s="31" customFormat="1" x14ac:dyDescent="0.2">
      <c r="B463" s="31">
        <v>257</v>
      </c>
      <c r="C463" s="31" t="s">
        <v>2377</v>
      </c>
      <c r="D463" s="31" t="s">
        <v>715</v>
      </c>
      <c r="E463" s="31" t="s">
        <v>737</v>
      </c>
      <c r="F463" s="31" t="s">
        <v>664</v>
      </c>
      <c r="G463" s="31" t="s">
        <v>665</v>
      </c>
      <c r="H463" s="31" t="str">
        <f t="shared" si="109"/>
        <v>Pio X</v>
      </c>
      <c r="K463" s="31" t="s">
        <v>829</v>
      </c>
      <c r="L463" s="31" t="str">
        <f t="shared" si="100"/>
        <v>Lettera</v>
      </c>
      <c r="M463" s="31" t="s">
        <v>568</v>
      </c>
      <c r="O463" s="31" t="s">
        <v>2317</v>
      </c>
      <c r="P463" s="31" t="s">
        <v>1048</v>
      </c>
      <c r="Q463" s="40">
        <v>2040</v>
      </c>
      <c r="R463" s="35">
        <f t="shared" si="95"/>
        <v>1</v>
      </c>
      <c r="S463" s="35"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5">
        <f t="shared" si="96"/>
        <v>1905</v>
      </c>
      <c r="U463" s="31"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6"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31"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31">
        <v>462</v>
      </c>
      <c r="Y463" s="31" t="str">
        <f t="shared" si="101"/>
        <v>['Pio X', 'Lettera', 'Sull'Azione Cattolica', 'pix-let-sac', '01 agosto 1905', '01/08/1905', '1905/08/01'],</v>
      </c>
      <c r="Z463" s="31" t="str">
        <f t="shared" si="102"/>
        <v>Sull'Azione Cattolica (2040) | Pio X</v>
      </c>
      <c r="AA463" s="31" t="str">
        <f t="shared" si="103"/>
        <v>Lettera Sull'Azione Cattolica</v>
      </c>
      <c r="AB463" s="31" t="str">
        <f t="shared" si="104"/>
        <v>Lettera Sull'Azione Cattolica</v>
      </c>
      <c r="AC463" s="31" t="str">
        <f t="shared" si="105"/>
        <v>Pio X, Lettera Sull'Azione Cattolica, 01 agosto 1905</v>
      </c>
      <c r="AD463" s="31" t="str">
        <f t="shared" si="106"/>
        <v>1905-08-01T08:00:00.000+02:00</v>
      </c>
      <c r="AE463" s="31" t="str">
        <f t="shared" si="107"/>
        <v>pix-let-sac</v>
      </c>
      <c r="AF463" s="31" t="str">
        <f t="shared" si="108"/>
        <v>Pio X - Lettera - Sull'Azione Cattolica</v>
      </c>
    </row>
    <row r="464" spans="2:32" s="31" customFormat="1" x14ac:dyDescent="0.2">
      <c r="B464" s="31">
        <v>257</v>
      </c>
      <c r="C464" s="31" t="s">
        <v>2378</v>
      </c>
      <c r="D464" s="31" t="s">
        <v>715</v>
      </c>
      <c r="E464" s="31" t="s">
        <v>737</v>
      </c>
      <c r="F464" s="31" t="s">
        <v>664</v>
      </c>
      <c r="G464" s="31" t="s">
        <v>665</v>
      </c>
      <c r="H464" s="31" t="str">
        <f t="shared" si="109"/>
        <v>Pio X</v>
      </c>
      <c r="K464" s="31" t="s">
        <v>829</v>
      </c>
      <c r="L464" s="31" t="str">
        <f t="shared" si="100"/>
        <v>Lettera</v>
      </c>
      <c r="M464" s="31" t="s">
        <v>568</v>
      </c>
      <c r="O464" s="31" t="s">
        <v>2318</v>
      </c>
      <c r="P464" s="31" t="s">
        <v>3418</v>
      </c>
      <c r="Q464" s="40">
        <v>2001</v>
      </c>
      <c r="R464" s="35">
        <f t="shared" si="95"/>
        <v>23</v>
      </c>
      <c r="S464" s="35"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5">
        <f t="shared" si="96"/>
        <v>1905</v>
      </c>
      <c r="U464" s="31"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6"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31"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31">
        <v>463</v>
      </c>
      <c r="Y464" s="31" t="str">
        <f t="shared" si="101"/>
        <v>['Pio X', 'Lettera', 'Al Cardinale Rampolla del Tindaro, Arciprete della Basilica Vaticana', 'pix-let-crt', '23 giugno 1905', '23/06/1905', '1905/06/23'],</v>
      </c>
      <c r="Z464" s="31" t="str">
        <f t="shared" si="102"/>
        <v>Al Cardinale Rampolla del Tindaro, Arciprete della Basilica Vaticana (2001) | Pio X</v>
      </c>
      <c r="AA464" s="31" t="str">
        <f t="shared" si="103"/>
        <v>Lettera Al Cardinale Rampolla del Tindaro, Arciprete della Basilica Vaticana</v>
      </c>
      <c r="AB464" s="31" t="str">
        <f t="shared" si="104"/>
        <v>Lettera Al Cardinale Rampolla del Tindaro, Arciprete della Basilica Vaticana</v>
      </c>
      <c r="AC464" s="31" t="str">
        <f t="shared" si="105"/>
        <v>Pio X, Lettera Al Cardinale Rampolla del Tindaro, Arciprete della Basilica Vaticana, 23 giugno 1905</v>
      </c>
      <c r="AD464" s="31" t="str">
        <f t="shared" si="106"/>
        <v>1905-06-23T08:00:00.000+02:00</v>
      </c>
      <c r="AE464" s="31" t="str">
        <f t="shared" si="107"/>
        <v>pix-let-crt</v>
      </c>
      <c r="AF464" s="31" t="str">
        <f t="shared" si="108"/>
        <v>Pio X - Lettera - Al Cardinale Rampolla del Tindaro, Arciprete della Basilica Vaticana</v>
      </c>
    </row>
    <row r="465" spans="2:32" s="31" customFormat="1" x14ac:dyDescent="0.2">
      <c r="B465" s="31">
        <v>257</v>
      </c>
      <c r="C465" s="31" t="s">
        <v>2379</v>
      </c>
      <c r="D465" s="31" t="s">
        <v>715</v>
      </c>
      <c r="E465" s="31" t="s">
        <v>737</v>
      </c>
      <c r="F465" s="31" t="s">
        <v>664</v>
      </c>
      <c r="G465" s="31" t="s">
        <v>665</v>
      </c>
      <c r="H465" s="31" t="str">
        <f t="shared" si="109"/>
        <v>Pio X</v>
      </c>
      <c r="K465" s="31" t="s">
        <v>829</v>
      </c>
      <c r="L465" s="31" t="str">
        <f t="shared" si="100"/>
        <v>Lettera</v>
      </c>
      <c r="M465" s="31" t="s">
        <v>568</v>
      </c>
      <c r="O465" s="31" t="s">
        <v>2319</v>
      </c>
      <c r="P465" s="31" t="s">
        <v>3419</v>
      </c>
      <c r="Q465" s="40">
        <v>1992</v>
      </c>
      <c r="R465" s="35">
        <f t="shared" si="95"/>
        <v>14</v>
      </c>
      <c r="S465" s="35"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5">
        <f t="shared" si="96"/>
        <v>1905</v>
      </c>
      <c r="U465" s="31"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6"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31"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31">
        <v>464</v>
      </c>
      <c r="Y465" s="31" t="str">
        <f t="shared" si="101"/>
        <v>['Pio X', 'Lettera', 'Il Pontefice prescrive alle Diocesi della Provincia di Roma il nuovo Compendio del Catechismo', 'pix-let-ncc', '14 giugno 1905', '14/06/1905', '1905/06/14'],</v>
      </c>
      <c r="Z465" s="31" t="str">
        <f t="shared" si="102"/>
        <v>Il Pontefice prescrive alle Diocesi della Provincia di Roma il nuovo Compendio del Catechismo (1992) | Pio X</v>
      </c>
      <c r="AA465" s="31" t="str">
        <f t="shared" si="103"/>
        <v>Lettera Il Pontefice prescrive alle Diocesi della Provincia di Roma il nuovo Compendio del Catechismo</v>
      </c>
      <c r="AB465" s="31" t="str">
        <f t="shared" si="104"/>
        <v>Lettera Il Pontefice prescrive alle Diocesi della Provincia di Roma il nuovo Compendio del Catechismo</v>
      </c>
      <c r="AC465" s="31" t="str">
        <f t="shared" si="105"/>
        <v>Pio X, Lettera Il Pontefice prescrive alle Diocesi della Provincia di Roma il nuovo Compendio del Catechismo, 14 giugno 1905</v>
      </c>
      <c r="AD465" s="31" t="str">
        <f t="shared" si="106"/>
        <v>1905-06-14T08:00:00.000+02:00</v>
      </c>
      <c r="AE465" s="31" t="str">
        <f t="shared" si="107"/>
        <v>pix-let-ncc</v>
      </c>
      <c r="AF465" s="31" t="str">
        <f t="shared" si="108"/>
        <v>Pio X - Lettera - Il Pontefice prescrive alle Diocesi della Provincia di Roma il nuovo Compendio del Catechismo</v>
      </c>
    </row>
    <row r="466" spans="2:32" s="31" customFormat="1" x14ac:dyDescent="0.2">
      <c r="B466" s="31">
        <v>257</v>
      </c>
      <c r="C466" s="31" t="s">
        <v>2380</v>
      </c>
      <c r="D466" s="31" t="s">
        <v>715</v>
      </c>
      <c r="E466" s="31" t="s">
        <v>737</v>
      </c>
      <c r="F466" s="31" t="s">
        <v>664</v>
      </c>
      <c r="G466" s="31" t="s">
        <v>665</v>
      </c>
      <c r="H466" s="31" t="str">
        <f t="shared" si="109"/>
        <v>Pio X</v>
      </c>
      <c r="K466" s="31" t="s">
        <v>829</v>
      </c>
      <c r="L466" s="31" t="str">
        <f t="shared" si="100"/>
        <v>Lettera</v>
      </c>
      <c r="M466" s="31" t="s">
        <v>568</v>
      </c>
      <c r="O466" s="31" t="s">
        <v>2320</v>
      </c>
      <c r="P466" s="31" t="s">
        <v>3420</v>
      </c>
      <c r="Q466" s="40">
        <v>1887</v>
      </c>
      <c r="R466" s="35">
        <f t="shared" si="95"/>
        <v>1</v>
      </c>
      <c r="S466" s="35"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5">
        <f t="shared" si="96"/>
        <v>1905</v>
      </c>
      <c r="U466" s="31"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6"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31"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31">
        <v>465</v>
      </c>
      <c r="Y466" s="31" t="str">
        <f t="shared" si="101"/>
        <v>['Pio X', 'Lettera', 'Contro i Democratici cristiani autonomi', 'pix-let-dca', '01 marzo 1905', '01/03/1905', '1905/03/01'],</v>
      </c>
      <c r="Z466" s="31" t="str">
        <f t="shared" si="102"/>
        <v>Contro i Democratici cristiani autonomi (1887) | Pio X</v>
      </c>
      <c r="AA466" s="31" t="str">
        <f t="shared" si="103"/>
        <v>Lettera Contro i Democratici cristiani autonomi</v>
      </c>
      <c r="AB466" s="31" t="str">
        <f t="shared" si="104"/>
        <v>Lettera Contro i Democratici cristiani autonomi</v>
      </c>
      <c r="AC466" s="31" t="str">
        <f t="shared" si="105"/>
        <v>Pio X, Lettera Contro i Democratici cristiani autonomi, 01 marzo 1905</v>
      </c>
      <c r="AD466" s="31" t="str">
        <f t="shared" si="106"/>
        <v>1905-03-01T08:00:00.000+02:00</v>
      </c>
      <c r="AE466" s="31" t="str">
        <f t="shared" si="107"/>
        <v>pix-let-dca</v>
      </c>
      <c r="AF466" s="31" t="str">
        <f t="shared" si="108"/>
        <v>Pio X - Lettera - Contro i Democratici cristiani autonomi</v>
      </c>
    </row>
    <row r="467" spans="2:32" s="31" customFormat="1" x14ac:dyDescent="0.2">
      <c r="B467" s="31">
        <v>257</v>
      </c>
      <c r="C467" s="31" t="s">
        <v>2381</v>
      </c>
      <c r="D467" s="31" t="s">
        <v>715</v>
      </c>
      <c r="E467" s="31" t="s">
        <v>737</v>
      </c>
      <c r="F467" s="31" t="s">
        <v>664</v>
      </c>
      <c r="G467" s="31" t="s">
        <v>665</v>
      </c>
      <c r="H467" s="31" t="str">
        <f t="shared" si="109"/>
        <v>Pio X</v>
      </c>
      <c r="K467" s="31" t="s">
        <v>829</v>
      </c>
      <c r="L467" s="31" t="str">
        <f t="shared" si="100"/>
        <v>Lettera</v>
      </c>
      <c r="M467" s="31" t="s">
        <v>568</v>
      </c>
      <c r="O467" s="31" t="s">
        <v>2321</v>
      </c>
      <c r="P467" s="31" t="s">
        <v>3421</v>
      </c>
      <c r="Q467" s="40">
        <v>1864</v>
      </c>
      <c r="R467" s="35">
        <f t="shared" si="95"/>
        <v>6</v>
      </c>
      <c r="S467" s="35"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5">
        <f t="shared" si="96"/>
        <v>1905</v>
      </c>
      <c r="U467" s="31"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6"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31"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31">
        <v>466</v>
      </c>
      <c r="Y467" s="31" t="str">
        <f t="shared" si="101"/>
        <v>['Pio X', 'Lettera', 'A Vincenzo Sardi', 'pix-let-avs', '06 febbraio 1905', '06/02/1905', '1905/02/06'],</v>
      </c>
      <c r="Z467" s="31" t="str">
        <f t="shared" si="102"/>
        <v>A Vincenzo Sardi (1864) | Pio X</v>
      </c>
      <c r="AA467" s="31" t="str">
        <f t="shared" si="103"/>
        <v>Lettera A Vincenzo Sardi</v>
      </c>
      <c r="AB467" s="31" t="str">
        <f t="shared" si="104"/>
        <v>Lettera A Vincenzo Sardi</v>
      </c>
      <c r="AC467" s="31" t="str">
        <f t="shared" si="105"/>
        <v>Pio X, Lettera A Vincenzo Sardi, 06 febbraio 1905</v>
      </c>
      <c r="AD467" s="31" t="str">
        <f t="shared" si="106"/>
        <v>1905-02-06T08:00:00.000+02:00</v>
      </c>
      <c r="AE467" s="31" t="str">
        <f t="shared" si="107"/>
        <v>pix-let-avs</v>
      </c>
      <c r="AF467" s="31" t="str">
        <f t="shared" si="108"/>
        <v>Pio X - Lettera - A Vincenzo Sardi</v>
      </c>
    </row>
    <row r="468" spans="2:32" s="31" customFormat="1" x14ac:dyDescent="0.2">
      <c r="B468" s="31">
        <v>257</v>
      </c>
      <c r="C468" s="31" t="s">
        <v>2382</v>
      </c>
      <c r="D468" s="31" t="s">
        <v>715</v>
      </c>
      <c r="E468" s="31" t="s">
        <v>737</v>
      </c>
      <c r="F468" s="31" t="s">
        <v>664</v>
      </c>
      <c r="G468" s="31" t="s">
        <v>665</v>
      </c>
      <c r="H468" s="31" t="str">
        <f t="shared" si="109"/>
        <v>Pio X</v>
      </c>
      <c r="K468" s="31" t="s">
        <v>829</v>
      </c>
      <c r="L468" s="31" t="str">
        <f t="shared" si="100"/>
        <v>Lettera</v>
      </c>
      <c r="M468" s="31" t="s">
        <v>568</v>
      </c>
      <c r="O468" s="31" t="s">
        <v>2322</v>
      </c>
      <c r="P468" s="31" t="s">
        <v>3422</v>
      </c>
      <c r="Q468" s="40">
        <v>1839</v>
      </c>
      <c r="R468" s="35">
        <f t="shared" si="95"/>
        <v>12</v>
      </c>
      <c r="S468" s="35"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5">
        <f t="shared" si="96"/>
        <v>1905</v>
      </c>
      <c r="U468" s="31"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6"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31"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31">
        <v>467</v>
      </c>
      <c r="Y468" s="31" t="str">
        <f t="shared" si="101"/>
        <v>['Pio X', 'Lettera', 'Fra i molti e gravi uffici', 'pix-let-mgu', '12 gennaio 1905', '12/01/1905', '1905/01/12'],</v>
      </c>
      <c r="Z468" s="31" t="str">
        <f t="shared" si="102"/>
        <v>Fra i molti e gravi uffici (1839) | Pio X</v>
      </c>
      <c r="AA468" s="31" t="str">
        <f t="shared" si="103"/>
        <v>Lettera Fra i molti e gravi uffici</v>
      </c>
      <c r="AB468" s="31" t="str">
        <f t="shared" si="104"/>
        <v>Lettera Fra i molti e gravi uffici</v>
      </c>
      <c r="AC468" s="31" t="str">
        <f t="shared" si="105"/>
        <v>Pio X, Lettera Fra i molti e gravi uffici, 12 gennaio 1905</v>
      </c>
      <c r="AD468" s="31" t="str">
        <f t="shared" si="106"/>
        <v>1905-01-12T08:00:00.000+02:00</v>
      </c>
      <c r="AE468" s="31" t="str">
        <f t="shared" si="107"/>
        <v>pix-let-mgu</v>
      </c>
      <c r="AF468" s="31" t="str">
        <f t="shared" si="108"/>
        <v>Pio X - Lettera - Fra i molti e gravi uffici</v>
      </c>
    </row>
    <row r="469" spans="2:32" s="31" customFormat="1" x14ac:dyDescent="0.2">
      <c r="B469" s="31">
        <v>257</v>
      </c>
      <c r="C469" s="31" t="s">
        <v>2383</v>
      </c>
      <c r="D469" s="31" t="s">
        <v>715</v>
      </c>
      <c r="E469" s="31" t="s">
        <v>737</v>
      </c>
      <c r="F469" s="31" t="s">
        <v>664</v>
      </c>
      <c r="G469" s="31" t="s">
        <v>665</v>
      </c>
      <c r="H469" s="31" t="str">
        <f t="shared" si="109"/>
        <v>Pio X</v>
      </c>
      <c r="K469" s="31" t="s">
        <v>829</v>
      </c>
      <c r="L469" s="31" t="str">
        <f t="shared" si="100"/>
        <v>Lettera</v>
      </c>
      <c r="M469" s="31" t="s">
        <v>568</v>
      </c>
      <c r="O469" s="31" t="s">
        <v>2323</v>
      </c>
      <c r="P469" s="31" t="s">
        <v>3423</v>
      </c>
      <c r="Q469" s="40">
        <v>1726</v>
      </c>
      <c r="R469" s="35">
        <f t="shared" si="95"/>
        <v>21</v>
      </c>
      <c r="S469" s="35"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5">
        <f t="shared" si="96"/>
        <v>1904</v>
      </c>
      <c r="U469" s="31"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6"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31"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31">
        <v>468</v>
      </c>
      <c r="Y469" s="31" t="str">
        <f t="shared" si="101"/>
        <v>['Pio X', 'Lettera', 'La protesta del Papa contro il Congresso del libero pensiero', 'pix-let-ppl', '21 settembre 1904', '21/09/1904', '1904/09/21'],</v>
      </c>
      <c r="Z469" s="31" t="str">
        <f t="shared" si="102"/>
        <v>La protesta del Papa contro il Congresso del libero pensiero (1726) | Pio X</v>
      </c>
      <c r="AA469" s="31" t="str">
        <f t="shared" si="103"/>
        <v>Lettera La protesta del Papa contro il Congresso del libero pensiero</v>
      </c>
      <c r="AB469" s="31" t="str">
        <f t="shared" si="104"/>
        <v>Lettera La protesta del Papa contro il Congresso del libero pensiero</v>
      </c>
      <c r="AC469" s="31" t="str">
        <f t="shared" si="105"/>
        <v>Pio X, Lettera La protesta del Papa contro il Congresso del libero pensiero, 21 settembre 1904</v>
      </c>
      <c r="AD469" s="31" t="str">
        <f t="shared" si="106"/>
        <v>1904-09-21T08:00:00.000+02:00</v>
      </c>
      <c r="AE469" s="31" t="str">
        <f t="shared" si="107"/>
        <v>pix-let-ppl</v>
      </c>
      <c r="AF469" s="31" t="str">
        <f t="shared" si="108"/>
        <v>Pio X - Lettera - La protesta del Papa contro il Congresso del libero pensiero</v>
      </c>
    </row>
    <row r="470" spans="2:32" s="31" customFormat="1" x14ac:dyDescent="0.2">
      <c r="B470" s="31">
        <v>257</v>
      </c>
      <c r="C470" s="31" t="s">
        <v>2384</v>
      </c>
      <c r="D470" s="31" t="s">
        <v>715</v>
      </c>
      <c r="E470" s="31" t="s">
        <v>737</v>
      </c>
      <c r="F470" s="31" t="s">
        <v>664</v>
      </c>
      <c r="G470" s="31" t="s">
        <v>665</v>
      </c>
      <c r="H470" s="31" t="str">
        <f t="shared" si="109"/>
        <v>Pio X</v>
      </c>
      <c r="K470" s="31" t="s">
        <v>829</v>
      </c>
      <c r="L470" s="31" t="str">
        <f t="shared" si="100"/>
        <v>Lettera</v>
      </c>
      <c r="M470" s="31" t="s">
        <v>568</v>
      </c>
      <c r="O470" s="31" t="s">
        <v>2324</v>
      </c>
      <c r="P470" s="31" t="s">
        <v>3424</v>
      </c>
      <c r="Q470" s="40">
        <v>1446</v>
      </c>
      <c r="R470" s="35">
        <f t="shared" si="95"/>
        <v>16</v>
      </c>
      <c r="S470" s="35"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5">
        <f t="shared" si="96"/>
        <v>1903</v>
      </c>
      <c r="U470" s="31"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6"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31"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31">
        <v>469</v>
      </c>
      <c r="Y470" s="31" t="str">
        <f t="shared" si="101"/>
        <v>['Pio X', 'Lettera', 'Alla Principessa del Belgio, Enrichetta, Duchessa di Vendôme', 'pix-let-pbe', '16 dicembre 1903', '16/12/1903', '1903/12/16'],</v>
      </c>
      <c r="Z470" s="31" t="str">
        <f t="shared" si="102"/>
        <v>Alla Principessa del Belgio, Enrichetta, Duchessa di Vendôme (1446) | Pio X</v>
      </c>
      <c r="AA470" s="31" t="str">
        <f t="shared" si="103"/>
        <v>Lettera Alla Principessa del Belgio, Enrichetta, Duchessa di Vendôme</v>
      </c>
      <c r="AB470" s="31" t="str">
        <f t="shared" si="104"/>
        <v>Lettera Alla Principessa del Belgio, Enrichetta, Duchessa di Vendôme</v>
      </c>
      <c r="AC470" s="31" t="str">
        <f t="shared" si="105"/>
        <v>Pio X, Lettera Alla Principessa del Belgio, Enrichetta, Duchessa di Vendôme, 16 dicembre 1903</v>
      </c>
      <c r="AD470" s="31" t="str">
        <f t="shared" si="106"/>
        <v>1903-12-16T08:00:00.000+02:00</v>
      </c>
      <c r="AE470" s="31" t="str">
        <f t="shared" si="107"/>
        <v>pix-let-pbe</v>
      </c>
      <c r="AF470" s="31" t="str">
        <f t="shared" si="108"/>
        <v>Pio X - Lettera - Alla Principessa del Belgio, Enrichetta, Duchessa di Vendôme</v>
      </c>
    </row>
    <row r="471" spans="2:32" s="31" customFormat="1" x14ac:dyDescent="0.2">
      <c r="B471" s="31">
        <v>258</v>
      </c>
      <c r="C471" s="31" t="s">
        <v>3032</v>
      </c>
      <c r="D471" s="31" t="s">
        <v>699</v>
      </c>
      <c r="E471" s="31" t="s">
        <v>738</v>
      </c>
      <c r="F471" s="31" t="s">
        <v>608</v>
      </c>
      <c r="G471" s="31" t="s">
        <v>609</v>
      </c>
      <c r="H471" s="31" t="str">
        <f t="shared" si="109"/>
        <v>Benedetto XV</v>
      </c>
      <c r="K471" s="31" t="s">
        <v>824</v>
      </c>
      <c r="L471" s="31" t="str">
        <f t="shared" si="100"/>
        <v>Bolla</v>
      </c>
      <c r="M471" s="31" t="s">
        <v>564</v>
      </c>
      <c r="O471" s="31" t="s">
        <v>3026</v>
      </c>
      <c r="P471" s="31" t="s">
        <v>3030</v>
      </c>
      <c r="Q471" s="40">
        <v>7442</v>
      </c>
      <c r="R471" s="35">
        <f t="shared" ref="R471:R529" si="110">IF(ISERROR(DAY(Q471)),TEXT((LEFT(Q471,2)),"00"),DAY(Q471))</f>
        <v>16</v>
      </c>
      <c r="S471" s="35"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5">
        <f t="shared" ref="T471:T529" si="111">IF(ISERROR(DAY(Q471)),VALUE(RIGHT(Q471,4)),YEAR(Q471))</f>
        <v>1920</v>
      </c>
      <c r="U471" s="31"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6"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31"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31">
        <v>498</v>
      </c>
      <c r="Y471" s="31" t="str">
        <f t="shared" si="101"/>
        <v>['Benedetto XV', 'Bolla', 'Divina disponente', 'bxv-bol-did', '16 maggio 1920', '16/05/1920', '1920/05/16'],</v>
      </c>
      <c r="Z471" s="31" t="str">
        <f t="shared" si="102"/>
        <v>Divina disponente (7442) | Benedetto XV</v>
      </c>
      <c r="AA471" s="31" t="str">
        <f t="shared" si="103"/>
        <v>Bolla Divina disponente</v>
      </c>
      <c r="AB471" s="31" t="str">
        <f t="shared" si="104"/>
        <v>Bolla Divina disponente</v>
      </c>
      <c r="AC471" s="31" t="str">
        <f t="shared" si="105"/>
        <v>Benedetto XV, Bolla Divina disponente, 16 maggio 1920</v>
      </c>
      <c r="AD471" s="31" t="str">
        <f t="shared" si="106"/>
        <v>1920-05-16T08:00:00.000+02:00</v>
      </c>
      <c r="AE471" s="31" t="str">
        <f t="shared" si="107"/>
        <v>bxv-bol-did</v>
      </c>
      <c r="AF471" s="31" t="str">
        <f t="shared" si="108"/>
        <v>Benedetto XV - Bolla - Divina disponente</v>
      </c>
    </row>
    <row r="472" spans="2:32" s="31" customFormat="1" x14ac:dyDescent="0.2">
      <c r="B472" s="31">
        <v>258</v>
      </c>
      <c r="C472" s="31" t="s">
        <v>3033</v>
      </c>
      <c r="D472" s="31" t="s">
        <v>699</v>
      </c>
      <c r="E472" s="31" t="s">
        <v>738</v>
      </c>
      <c r="F472" s="31" t="s">
        <v>608</v>
      </c>
      <c r="G472" s="31" t="s">
        <v>609</v>
      </c>
      <c r="H472" s="31" t="str">
        <f t="shared" si="109"/>
        <v>Benedetto XV</v>
      </c>
      <c r="K472" s="31" t="s">
        <v>824</v>
      </c>
      <c r="L472" s="31" t="str">
        <f t="shared" si="100"/>
        <v>Bolla</v>
      </c>
      <c r="M472" s="31" t="s">
        <v>564</v>
      </c>
      <c r="O472" s="31" t="s">
        <v>3027</v>
      </c>
      <c r="P472" s="31" t="s">
        <v>3031</v>
      </c>
      <c r="Q472" s="40">
        <v>7074</v>
      </c>
      <c r="R472" s="35">
        <f t="shared" si="110"/>
        <v>14</v>
      </c>
      <c r="S472" s="35"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5">
        <f t="shared" si="111"/>
        <v>1919</v>
      </c>
      <c r="U472" s="31"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6"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31"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31">
        <v>499</v>
      </c>
      <c r="Y472" s="31" t="str">
        <f t="shared" si="101"/>
        <v>['Benedetto XV', 'Bolla', 'Sedis huius', 'bxv-bol-seh', '14 maggio 1919', '14/05/1919', '1919/05/14'],</v>
      </c>
      <c r="Z472" s="31" t="str">
        <f t="shared" si="102"/>
        <v>Sedis huius (7074) | Benedetto XV</v>
      </c>
      <c r="AA472" s="31" t="str">
        <f t="shared" si="103"/>
        <v>Bolla Sedis huius</v>
      </c>
      <c r="AB472" s="31" t="str">
        <f t="shared" si="104"/>
        <v>Bolla Sedis huius</v>
      </c>
      <c r="AC472" s="31" t="str">
        <f t="shared" si="105"/>
        <v>Benedetto XV, Bolla Sedis huius, 14 maggio 1919</v>
      </c>
      <c r="AD472" s="31" t="str">
        <f t="shared" si="106"/>
        <v>1919-05-14T08:00:00.000+02:00</v>
      </c>
      <c r="AE472" s="31" t="str">
        <f t="shared" si="107"/>
        <v>bxv-bol-seh</v>
      </c>
      <c r="AF472" s="31" t="str">
        <f t="shared" si="108"/>
        <v>Benedetto XV - Bolla - Sedis huius</v>
      </c>
    </row>
    <row r="473" spans="2:32" s="31" customFormat="1" x14ac:dyDescent="0.2">
      <c r="B473" s="31">
        <v>258</v>
      </c>
      <c r="C473" s="31" t="s">
        <v>3034</v>
      </c>
      <c r="D473" s="31" t="s">
        <v>699</v>
      </c>
      <c r="E473" s="31" t="s">
        <v>738</v>
      </c>
      <c r="F473" s="31" t="s">
        <v>608</v>
      </c>
      <c r="G473" s="31" t="s">
        <v>609</v>
      </c>
      <c r="H473" s="31" t="str">
        <f t="shared" si="109"/>
        <v>Benedetto XV</v>
      </c>
      <c r="K473" s="31" t="s">
        <v>824</v>
      </c>
      <c r="L473" s="31" t="str">
        <f t="shared" si="100"/>
        <v>Bolla</v>
      </c>
      <c r="M473" s="31" t="s">
        <v>564</v>
      </c>
      <c r="O473" s="31" t="s">
        <v>3028</v>
      </c>
      <c r="P473" s="31" t="s">
        <v>2960</v>
      </c>
      <c r="Q473" s="40">
        <v>6357</v>
      </c>
      <c r="R473" s="35">
        <f t="shared" si="110"/>
        <v>27</v>
      </c>
      <c r="S473" s="35"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5">
        <f t="shared" si="111"/>
        <v>1917</v>
      </c>
      <c r="U473" s="31"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6"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31"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31">
        <v>500</v>
      </c>
      <c r="Y473" s="31" t="str">
        <f t="shared" si="101"/>
        <v>['Benedetto XV', 'Bolla', 'Providentissima Mater', 'bxv-bol-prm', '27 maggio 1917', '27/05/1917', '1917/05/27'],</v>
      </c>
      <c r="Z473" s="31" t="str">
        <f t="shared" si="102"/>
        <v>Providentissima Mater (6357) | Benedetto XV</v>
      </c>
      <c r="AA473" s="31" t="str">
        <f t="shared" si="103"/>
        <v>Bolla Providentissima Mater</v>
      </c>
      <c r="AB473" s="31" t="str">
        <f t="shared" si="104"/>
        <v>Bolla Providentissima Mater</v>
      </c>
      <c r="AC473" s="31" t="str">
        <f t="shared" si="105"/>
        <v>Benedetto XV, Bolla Providentissima Mater, 27 maggio 1917</v>
      </c>
      <c r="AD473" s="31" t="str">
        <f t="shared" si="106"/>
        <v>1917-05-27T08:00:00.000+02:00</v>
      </c>
      <c r="AE473" s="31" t="str">
        <f t="shared" si="107"/>
        <v>bxv-bol-prm</v>
      </c>
      <c r="AF473" s="31" t="str">
        <f t="shared" si="108"/>
        <v>Benedetto XV - Bolla - Providentissima Mater</v>
      </c>
    </row>
    <row r="474" spans="2:32" s="31" customFormat="1" x14ac:dyDescent="0.2">
      <c r="B474" s="31">
        <v>258</v>
      </c>
      <c r="C474" s="31" t="s">
        <v>3035</v>
      </c>
      <c r="D474" s="31" t="s">
        <v>699</v>
      </c>
      <c r="E474" s="31" t="s">
        <v>738</v>
      </c>
      <c r="F474" s="31" t="s">
        <v>608</v>
      </c>
      <c r="G474" s="31" t="s">
        <v>609</v>
      </c>
      <c r="H474" s="31" t="str">
        <f t="shared" si="109"/>
        <v>Benedetto XV</v>
      </c>
      <c r="K474" s="31" t="s">
        <v>824</v>
      </c>
      <c r="L474" s="31" t="str">
        <f t="shared" si="100"/>
        <v>Bolla</v>
      </c>
      <c r="M474" s="31" t="s">
        <v>564</v>
      </c>
      <c r="O474" s="31" t="s">
        <v>3029</v>
      </c>
      <c r="P474" s="31" t="s">
        <v>1004</v>
      </c>
      <c r="Q474" s="40">
        <v>5701</v>
      </c>
      <c r="R474" s="35">
        <f t="shared" si="110"/>
        <v>10</v>
      </c>
      <c r="S474" s="35"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5">
        <f t="shared" si="111"/>
        <v>1915</v>
      </c>
      <c r="U474" s="31"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6"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31"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31">
        <v>501</v>
      </c>
      <c r="Y474" s="31" t="str">
        <f t="shared" si="101"/>
        <v>['Benedetto XV', 'Bolla', 'Incruentum Altaris', 'bxv-bol-ina', '10 agosto 1915', '10/08/1915', '1915/08/10'],</v>
      </c>
      <c r="Z474" s="31" t="str">
        <f t="shared" si="102"/>
        <v>Incruentum Altaris (5701) | Benedetto XV</v>
      </c>
      <c r="AA474" s="31" t="str">
        <f t="shared" si="103"/>
        <v>Bolla Incruentum Altaris</v>
      </c>
      <c r="AB474" s="31" t="str">
        <f t="shared" si="104"/>
        <v>Bolla Incruentum Altaris</v>
      </c>
      <c r="AC474" s="31" t="str">
        <f t="shared" si="105"/>
        <v>Benedetto XV, Bolla Incruentum Altaris, 10 agosto 1915</v>
      </c>
      <c r="AD474" s="31" t="str">
        <f t="shared" si="106"/>
        <v>1915-08-10T08:00:00.000+02:00</v>
      </c>
      <c r="AE474" s="31" t="str">
        <f t="shared" si="107"/>
        <v>bxv-bol-ina</v>
      </c>
      <c r="AF474" s="31" t="str">
        <f t="shared" si="108"/>
        <v>Benedetto XV - Bolla - Incruentum Altaris</v>
      </c>
    </row>
    <row r="475" spans="2:32" s="31" customFormat="1" x14ac:dyDescent="0.2">
      <c r="B475" s="31">
        <v>258</v>
      </c>
      <c r="C475" s="31" t="s">
        <v>3036</v>
      </c>
      <c r="D475" s="31" t="s">
        <v>699</v>
      </c>
      <c r="E475" s="31" t="s">
        <v>738</v>
      </c>
      <c r="F475" s="31" t="s">
        <v>608</v>
      </c>
      <c r="G475" s="31" t="s">
        <v>609</v>
      </c>
      <c r="H475" s="31" t="str">
        <f t="shared" ref="H475:H483" si="112">_xlfn.CONCAT(D475 &amp; " " &amp; E475)</f>
        <v>Benedetto XV</v>
      </c>
      <c r="K475" s="31" t="s">
        <v>825</v>
      </c>
      <c r="L475" s="31" t="str">
        <f t="shared" si="100"/>
        <v>Breve</v>
      </c>
      <c r="M475" s="31" t="s">
        <v>577</v>
      </c>
      <c r="O475" s="31" t="s">
        <v>3045</v>
      </c>
      <c r="P475" s="31" t="s">
        <v>3053</v>
      </c>
      <c r="Q475" s="40">
        <v>7574</v>
      </c>
      <c r="R475" s="35">
        <f t="shared" si="110"/>
        <v>25</v>
      </c>
      <c r="S475" s="35"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5">
        <f t="shared" si="111"/>
        <v>1920</v>
      </c>
      <c r="U475" s="31"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6"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31"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31">
        <v>502</v>
      </c>
      <c r="Y475" s="31" t="str">
        <f t="shared" si="101"/>
        <v>['Benedetto XV', 'Breve', 'Quod nobis in condendo, che attribuisce al Pontificio Istituto il potere di conferire lauree dottorali nelle discipline ecclesiastiche riguardanti i cristiani d’Oriente', 'bxv-bre-qnc', '25 settembre 1920', '25/09/1920', '1920/09/25'],</v>
      </c>
      <c r="Z475" s="31" t="str">
        <f t="shared" si="102"/>
        <v>Quod nobis in condendo, che attribuisce al Pontificio Istituto il potere di conferire lauree dottorali nelle discipline ecclesiastiche riguardanti i cristiani d’Oriente (7574) | Benedetto XV</v>
      </c>
      <c r="AA475" s="31" t="str">
        <f t="shared" si="103"/>
        <v>Breve Quod nobis in condendo, che attribuisce al Pontificio Istituto il potere di conferire lauree dottorali nelle discipline ecclesiastiche riguardanti i cristiani d’Oriente</v>
      </c>
      <c r="AB475" s="31" t="str">
        <f t="shared" si="104"/>
        <v>Breve Quod nobis in condendo, che attribuisce al Pontificio Istituto il potere di conferire lauree dottorali nelle discipline ecclesiastiche riguardanti i cristiani d’Oriente</v>
      </c>
      <c r="AC475" s="31" t="str">
        <f t="shared" si="105"/>
        <v>Benedetto XV, Breve Quod nobis in condendo, che attribuisce al Pontificio Istituto il potere di conferire lauree dottorali nelle discipline ecclesiastiche riguardanti i cristiani d’Oriente, 25 settembre 1920</v>
      </c>
      <c r="AD475" s="31" t="str">
        <f t="shared" si="106"/>
        <v>1920-09-25T08:00:00.000+02:00</v>
      </c>
      <c r="AE475" s="31" t="str">
        <f t="shared" si="107"/>
        <v>bxv-bre-qnc</v>
      </c>
      <c r="AF475" s="31" t="str">
        <f t="shared" si="108"/>
        <v>Benedetto XV - Breve - Quod nobis in condendo, che attribuisce al Pontificio Istituto il potere di conferire lauree dottorali nelle discipline ecclesiastiche riguardanti i cristiani d’Oriente</v>
      </c>
    </row>
    <row r="476" spans="2:32" s="31" customFormat="1" x14ac:dyDescent="0.2">
      <c r="B476" s="31">
        <v>258</v>
      </c>
      <c r="C476" s="31" t="s">
        <v>3037</v>
      </c>
      <c r="D476" s="31" t="s">
        <v>699</v>
      </c>
      <c r="E476" s="31" t="s">
        <v>738</v>
      </c>
      <c r="F476" s="31" t="s">
        <v>608</v>
      </c>
      <c r="G476" s="31" t="s">
        <v>609</v>
      </c>
      <c r="H476" s="31" t="str">
        <f t="shared" si="112"/>
        <v>Benedetto XV</v>
      </c>
      <c r="K476" s="31" t="s">
        <v>825</v>
      </c>
      <c r="L476" s="31" t="str">
        <f t="shared" si="100"/>
        <v>Breve</v>
      </c>
      <c r="M476" s="31" t="s">
        <v>577</v>
      </c>
      <c r="O476" s="31" t="s">
        <v>3361</v>
      </c>
      <c r="P476" s="31" t="s">
        <v>3054</v>
      </c>
      <c r="Q476" s="40">
        <v>7463</v>
      </c>
      <c r="R476" s="35">
        <f t="shared" si="110"/>
        <v>6</v>
      </c>
      <c r="S476" s="35"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5">
        <f t="shared" si="111"/>
        <v>1920</v>
      </c>
      <c r="U476" s="31"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6"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31"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31">
        <v>503</v>
      </c>
      <c r="Y476" s="31" t="str">
        <f t="shared" si="101"/>
        <v>['Benedetto XV', 'Breve', 'In Africam quisnam, sul martirio subito in Uganda fra il 1885 e il 1887 dai ventidue negri torturati e condannati a morte in quanto cattolici', 'bxv-bre-iaq', '06 giugno 1920', '06/06/1920', '1920/06/06'],</v>
      </c>
      <c r="Z476" s="31" t="str">
        <f t="shared" si="102"/>
        <v>In Africam quisnam, sul martirio subito in Uganda fra il 1885 e il 1887 dai ventidue negri torturati e condannati a morte in quanto cattolici (7463) | Benedetto XV</v>
      </c>
      <c r="AA476" s="31" t="str">
        <f t="shared" si="103"/>
        <v>Breve In Africam quisnam, sul martirio subito in Uganda fra il 1885 e il 1887 dai ventidue negri torturati e condannati a morte in quanto cattolici</v>
      </c>
      <c r="AB476" s="31" t="str">
        <f t="shared" si="104"/>
        <v>Breve In Africam quisnam, sul martirio subito in Uganda fra il 1885 e il 1887 dai ventidue negri torturati e condannati a morte in quanto cattolici</v>
      </c>
      <c r="AC476" s="31" t="str">
        <f t="shared" si="105"/>
        <v>Benedetto XV, Breve In Africam quisnam, sul martirio subito in Uganda fra il 1885 e il 1887 dai ventidue negri torturati e condannati a morte in quanto cattolici, 06 giugno 1920</v>
      </c>
      <c r="AD476" s="31" t="str">
        <f t="shared" si="106"/>
        <v>1920-06-06T08:00:00.000+02:00</v>
      </c>
      <c r="AE476" s="31" t="str">
        <f t="shared" si="107"/>
        <v>bxv-bre-iaq</v>
      </c>
      <c r="AF476" s="31" t="str">
        <f t="shared" si="108"/>
        <v>Benedetto XV - Breve - In Africam quisnam, sul martirio subito in Uganda fra il 1885 e il 1887 dai ventidue negri torturati e condannati a morte in quanto cattolici</v>
      </c>
    </row>
    <row r="477" spans="2:32" s="31" customFormat="1" x14ac:dyDescent="0.2">
      <c r="B477" s="31">
        <v>258</v>
      </c>
      <c r="C477" s="31" t="s">
        <v>3038</v>
      </c>
      <c r="D477" s="31" t="s">
        <v>699</v>
      </c>
      <c r="E477" s="31" t="s">
        <v>738</v>
      </c>
      <c r="F477" s="31" t="s">
        <v>608</v>
      </c>
      <c r="G477" s="31" t="s">
        <v>609</v>
      </c>
      <c r="H477" s="31" t="str">
        <f t="shared" si="112"/>
        <v>Benedetto XV</v>
      </c>
      <c r="K477" s="31" t="s">
        <v>825</v>
      </c>
      <c r="L477" s="31" t="str">
        <f t="shared" si="100"/>
        <v>Breve</v>
      </c>
      <c r="M477" s="31" t="s">
        <v>577</v>
      </c>
      <c r="O477" s="31" t="s">
        <v>3046</v>
      </c>
      <c r="P477" s="31" t="s">
        <v>1902</v>
      </c>
      <c r="Q477" s="40">
        <v>6310</v>
      </c>
      <c r="R477" s="35">
        <f t="shared" si="110"/>
        <v>10</v>
      </c>
      <c r="S477" s="35"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5">
        <f t="shared" si="111"/>
        <v>1917</v>
      </c>
      <c r="U477" s="31"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6"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31"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31">
        <v>504</v>
      </c>
      <c r="Y477" s="31" t="str">
        <f t="shared" si="101"/>
        <v>['Benedetto XV', 'Breve', 'Quod Ioannes con il quale viene dichiarata Beata la venerabile serva di Dio Anna di San Bartolomeo', 'bxv-bre-qui', '10 aprile 1917', '10/04/1917', '1917/04/10'],</v>
      </c>
      <c r="Z477" s="31" t="str">
        <f t="shared" si="102"/>
        <v>Quod Ioannes con il quale viene dichiarata Beata la venerabile serva di Dio Anna di San Bartolomeo (6310) | Benedetto XV</v>
      </c>
      <c r="AA477" s="31" t="str">
        <f t="shared" si="103"/>
        <v>Breve Quod Ioannes con il quale viene dichiarata Beata la venerabile serva di Dio Anna di San Bartolomeo</v>
      </c>
      <c r="AB477" s="31" t="str">
        <f t="shared" si="104"/>
        <v>Breve Quod Ioannes con il quale viene dichiarata Beata la venerabile serva di Dio Anna di San Bartolomeo</v>
      </c>
      <c r="AC477" s="31" t="str">
        <f t="shared" si="105"/>
        <v>Benedetto XV, Breve Quod Ioannes con il quale viene dichiarata Beata la venerabile serva di Dio Anna di San Bartolomeo, 10 aprile 1917</v>
      </c>
      <c r="AD477" s="31" t="str">
        <f t="shared" si="106"/>
        <v>1917-04-10T08:00:00.000+02:00</v>
      </c>
      <c r="AE477" s="31" t="str">
        <f t="shared" si="107"/>
        <v>bxv-bre-qui</v>
      </c>
      <c r="AF477" s="31" t="str">
        <f t="shared" si="108"/>
        <v>Benedetto XV - Breve - Quod Ioannes con il quale viene dichiarata Beata la venerabile serva di Dio Anna di San Bartolomeo</v>
      </c>
    </row>
    <row r="478" spans="2:32" s="31" customFormat="1" x14ac:dyDescent="0.2">
      <c r="B478" s="31">
        <v>258</v>
      </c>
      <c r="C478" s="31" t="s">
        <v>3039</v>
      </c>
      <c r="D478" s="31" t="s">
        <v>699</v>
      </c>
      <c r="E478" s="31" t="s">
        <v>738</v>
      </c>
      <c r="F478" s="31" t="s">
        <v>608</v>
      </c>
      <c r="G478" s="31" t="s">
        <v>609</v>
      </c>
      <c r="H478" s="31" t="str">
        <f t="shared" si="112"/>
        <v>Benedetto XV</v>
      </c>
      <c r="K478" s="31" t="s">
        <v>825</v>
      </c>
      <c r="L478" s="31" t="str">
        <f t="shared" si="100"/>
        <v>Breve</v>
      </c>
      <c r="M478" s="31" t="s">
        <v>577</v>
      </c>
      <c r="O478" s="31" t="s">
        <v>3047</v>
      </c>
      <c r="P478" s="31" t="s">
        <v>3055</v>
      </c>
      <c r="Q478" s="40">
        <v>6140</v>
      </c>
      <c r="R478" s="35">
        <f t="shared" si="110"/>
        <v>22</v>
      </c>
      <c r="S478" s="35"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5">
        <f t="shared" si="111"/>
        <v>1916</v>
      </c>
      <c r="U478" s="31"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6"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31"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31">
        <v>505</v>
      </c>
      <c r="Y478" s="31" t="str">
        <f t="shared" si="101"/>
        <v>['Benedetto XV', 'Breve', 'Centesimo Hodie in occasione del primo centenario della fondazione della Milizia Pontificia con il quale il Pontefice onora il vessillo del Corpo decorandolo di due medaglie d’oro', 'bxv-bre-ceh', '22 ottobre 1916', '22/10/1916', '1916/10/22'],</v>
      </c>
      <c r="Z478" s="31" t="str">
        <f t="shared" si="102"/>
        <v>Centesimo Hodie in occasione del primo centenario della fondazione della Milizia Pontificia con il quale il Pontefice onora il vessillo del Corpo decorandolo di due medaglie d’oro (6140) | Benedetto XV</v>
      </c>
      <c r="AA478" s="31" t="str">
        <f t="shared" si="103"/>
        <v>Breve Centesimo Hodie in occasione del primo centenario della fondazione della Milizia Pontificia con il quale il Pontefice onora il vessillo del Corpo decorandolo di due medaglie d’oro</v>
      </c>
      <c r="AB478" s="31" t="str">
        <f t="shared" si="104"/>
        <v>Breve Centesimo Hodie in occasione del primo centenario della fondazione della Milizia Pontificia con il quale il Pontefice onora il vessillo del Corpo decorandolo di due medaglie d’oro</v>
      </c>
      <c r="AC478" s="31" t="str">
        <f t="shared" si="105"/>
        <v>Benedetto XV, Breve Centesimo Hodie in occasione del primo centenario della fondazione della Milizia Pontificia con il quale il Pontefice onora il vessillo del Corpo decorandolo di due medaglie d’oro, 22 ottobre 1916</v>
      </c>
      <c r="AD478" s="31" t="str">
        <f t="shared" si="106"/>
        <v>1916-10-22T08:00:00.000+02:00</v>
      </c>
      <c r="AE478" s="31" t="str">
        <f t="shared" si="107"/>
        <v>bxv-bre-ceh</v>
      </c>
      <c r="AF478" s="31" t="str">
        <f t="shared" si="108"/>
        <v>Benedetto XV - Breve - Centesimo Hodie in occasione del primo centenario della fondazione della Milizia Pontificia con il quale il Pontefice onora il vessillo del Corpo decorandolo di due medaglie d’oro</v>
      </c>
    </row>
    <row r="479" spans="2:32" s="31" customFormat="1" x14ac:dyDescent="0.2">
      <c r="B479" s="31">
        <v>258</v>
      </c>
      <c r="C479" s="31" t="s">
        <v>3040</v>
      </c>
      <c r="D479" s="31" t="s">
        <v>699</v>
      </c>
      <c r="E479" s="31" t="s">
        <v>738</v>
      </c>
      <c r="F479" s="31" t="s">
        <v>608</v>
      </c>
      <c r="G479" s="31" t="s">
        <v>609</v>
      </c>
      <c r="H479" s="31" t="str">
        <f t="shared" si="112"/>
        <v>Benedetto XV</v>
      </c>
      <c r="K479" s="31" t="s">
        <v>825</v>
      </c>
      <c r="L479" s="31" t="str">
        <f t="shared" si="100"/>
        <v>Breve</v>
      </c>
      <c r="M479" s="31" t="s">
        <v>577</v>
      </c>
      <c r="O479" s="31" t="s">
        <v>3048</v>
      </c>
      <c r="P479" s="31" t="s">
        <v>3056</v>
      </c>
      <c r="Q479" s="40">
        <v>6140</v>
      </c>
      <c r="R479" s="35">
        <f t="shared" si="110"/>
        <v>22</v>
      </c>
      <c r="S479" s="35"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5">
        <f t="shared" si="111"/>
        <v>1916</v>
      </c>
      <c r="U479" s="31"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6"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31"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31">
        <v>506</v>
      </c>
      <c r="Y479" s="31" t="str">
        <f t="shared" si="101"/>
        <v>['Benedetto XV', 'Breve', 'Cum Centesimus in occasione del primo centenario della fondazione della Milizia Pontificia', 'bxv-bre-cuc', '22 ottobre 1916', '22/10/1916', '1916/10/22'],</v>
      </c>
      <c r="Z479" s="31" t="str">
        <f t="shared" si="102"/>
        <v>Cum Centesimus in occasione del primo centenario della fondazione della Milizia Pontificia (6140) | Benedetto XV</v>
      </c>
      <c r="AA479" s="31" t="str">
        <f t="shared" si="103"/>
        <v>Breve Cum Centesimus in occasione del primo centenario della fondazione della Milizia Pontificia</v>
      </c>
      <c r="AB479" s="31" t="str">
        <f t="shared" si="104"/>
        <v>Breve Cum Centesimus in occasione del primo centenario della fondazione della Milizia Pontificia</v>
      </c>
      <c r="AC479" s="31" t="str">
        <f t="shared" si="105"/>
        <v>Benedetto XV, Breve Cum Centesimus in occasione del primo centenario della fondazione della Milizia Pontificia, 22 ottobre 1916</v>
      </c>
      <c r="AD479" s="31" t="str">
        <f t="shared" si="106"/>
        <v>1916-10-22T08:00:00.000+02:00</v>
      </c>
      <c r="AE479" s="31" t="str">
        <f t="shared" si="107"/>
        <v>bxv-bre-cuc</v>
      </c>
      <c r="AF479" s="31" t="str">
        <f t="shared" si="108"/>
        <v>Benedetto XV - Breve - Cum Centesimus in occasione del primo centenario della fondazione della Milizia Pontificia</v>
      </c>
    </row>
    <row r="480" spans="2:32" s="31" customFormat="1" x14ac:dyDescent="0.2">
      <c r="B480" s="31">
        <v>258</v>
      </c>
      <c r="C480" s="31" t="s">
        <v>3041</v>
      </c>
      <c r="D480" s="31" t="s">
        <v>699</v>
      </c>
      <c r="E480" s="31" t="s">
        <v>738</v>
      </c>
      <c r="F480" s="31" t="s">
        <v>608</v>
      </c>
      <c r="G480" s="31" t="s">
        <v>609</v>
      </c>
      <c r="H480" s="31" t="str">
        <f t="shared" si="112"/>
        <v>Benedetto XV</v>
      </c>
      <c r="K480" s="31" t="s">
        <v>825</v>
      </c>
      <c r="L480" s="31" t="str">
        <f t="shared" si="100"/>
        <v>Breve</v>
      </c>
      <c r="M480" s="31" t="s">
        <v>577</v>
      </c>
      <c r="O480" s="31" t="s">
        <v>3049</v>
      </c>
      <c r="P480" s="31" t="s">
        <v>3057</v>
      </c>
      <c r="Q480" s="40">
        <v>6072</v>
      </c>
      <c r="R480" s="35">
        <f t="shared" si="110"/>
        <v>15</v>
      </c>
      <c r="S480" s="35"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5">
        <f t="shared" si="111"/>
        <v>1916</v>
      </c>
      <c r="U480" s="31"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6"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31"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31">
        <v>507</v>
      </c>
      <c r="Y480" s="31" t="str">
        <f t="shared" si="101"/>
        <v>['Benedetto XV', 'Breve', 'Cum Biblia Sacra con il quale vengono promulgate le norme che debbono regolare il funzionamento dei tre Istituti di studi biblici operanti in Roma, e i rapporti fra loro intercorrenti', 'bxv-bre-cbs', '15 agosto 1916', '15/08/1916', '1916/08/15'],</v>
      </c>
      <c r="Z480" s="31" t="str">
        <f t="shared" si="102"/>
        <v>Cum Biblia Sacra con il quale vengono promulgate le norme che debbono regolare il funzionamento dei tre Istituti di studi biblici operanti in Roma, e i rapporti fra loro intercorrenti (6072) | Benedetto XV</v>
      </c>
      <c r="AA480" s="31" t="str">
        <f t="shared" si="103"/>
        <v>Breve Cum Biblia Sacra con il quale vengono promulgate le norme che debbono regolare il funzionamento dei tre Istituti di studi biblici operanti in Roma, e i rapporti fra loro intercorrenti</v>
      </c>
      <c r="AB480" s="31" t="str">
        <f t="shared" si="104"/>
        <v>Breve Cum Biblia Sacra con il quale vengono promulgate le norme che debbono regolare il funzionamento dei tre Istituti di studi biblici operanti in Roma, e i rapporti fra loro intercorrenti</v>
      </c>
      <c r="AC480" s="31" t="str">
        <f t="shared" si="105"/>
        <v>Benedetto XV, Breve Cum Biblia Sacra con il quale vengono promulgate le norme che debbono regolare il funzionamento dei tre Istituti di studi biblici operanti in Roma, e i rapporti fra loro intercorrenti, 15 agosto 1916</v>
      </c>
      <c r="AD480" s="31" t="str">
        <f t="shared" si="106"/>
        <v>1916-08-15T08:00:00.000+02:00</v>
      </c>
      <c r="AE480" s="31" t="str">
        <f t="shared" si="107"/>
        <v>bxv-bre-cbs</v>
      </c>
      <c r="AF480" s="31" t="str">
        <f t="shared" si="108"/>
        <v>Benedetto XV - Breve - Cum Biblia Sacra con il quale vengono promulgate le norme che debbono regolare il funzionamento dei tre Istituti di studi biblici operanti in Roma, e i rapporti fra loro intercorrenti</v>
      </c>
    </row>
    <row r="481" spans="2:32" s="31" customFormat="1" x14ac:dyDescent="0.2">
      <c r="B481" s="31">
        <v>258</v>
      </c>
      <c r="C481" s="31" t="s">
        <v>3042</v>
      </c>
      <c r="D481" s="31" t="s">
        <v>699</v>
      </c>
      <c r="E481" s="31" t="s">
        <v>738</v>
      </c>
      <c r="F481" s="31" t="s">
        <v>608</v>
      </c>
      <c r="G481" s="31" t="s">
        <v>609</v>
      </c>
      <c r="H481" s="31" t="str">
        <f t="shared" si="112"/>
        <v>Benedetto XV</v>
      </c>
      <c r="K481" s="31" t="s">
        <v>825</v>
      </c>
      <c r="L481" s="31" t="str">
        <f t="shared" si="100"/>
        <v>Breve</v>
      </c>
      <c r="M481" s="31" t="s">
        <v>577</v>
      </c>
      <c r="O481" s="31" t="s">
        <v>3050</v>
      </c>
      <c r="P481" s="31" t="s">
        <v>1914</v>
      </c>
      <c r="Q481" s="40">
        <v>5950</v>
      </c>
      <c r="R481" s="35">
        <f t="shared" si="110"/>
        <v>15</v>
      </c>
      <c r="S481" s="35"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5">
        <f t="shared" si="111"/>
        <v>1916</v>
      </c>
      <c r="U481" s="31"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6"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31"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31">
        <v>508</v>
      </c>
      <c r="Y481" s="31" t="str">
        <f t="shared" si="101"/>
        <v>['Benedetto XV', 'Breve', 'Cum Catholicae Ecclesiae con il quale si intende agevolare l’unione dei Cristiani d’Oriente alla Chiesa di Roma', 'bxv-bre-cce', '15 aprile 1916', '15/04/1916', '1916/04/15'],</v>
      </c>
      <c r="Z481" s="31" t="str">
        <f t="shared" si="102"/>
        <v>Cum Catholicae Ecclesiae con il quale si intende agevolare l’unione dei Cristiani d’Oriente alla Chiesa di Roma (5950) | Benedetto XV</v>
      </c>
      <c r="AA481" s="31" t="str">
        <f t="shared" si="103"/>
        <v>Breve Cum Catholicae Ecclesiae con il quale si intende agevolare l’unione dei Cristiani d’Oriente alla Chiesa di Roma</v>
      </c>
      <c r="AB481" s="31" t="str">
        <f t="shared" si="104"/>
        <v>Breve Cum Catholicae Ecclesiae con il quale si intende agevolare l’unione dei Cristiani d’Oriente alla Chiesa di Roma</v>
      </c>
      <c r="AC481" s="31" t="str">
        <f t="shared" si="105"/>
        <v>Benedetto XV, Breve Cum Catholicae Ecclesiae con il quale si intende agevolare l’unione dei Cristiani d’Oriente alla Chiesa di Roma, 15 aprile 1916</v>
      </c>
      <c r="AD481" s="31" t="str">
        <f t="shared" si="106"/>
        <v>1916-04-15T08:00:00.000+02:00</v>
      </c>
      <c r="AE481" s="31" t="str">
        <f t="shared" si="107"/>
        <v>bxv-bre-cce</v>
      </c>
      <c r="AF481" s="31" t="str">
        <f t="shared" si="108"/>
        <v>Benedetto XV - Breve - Cum Catholicae Ecclesiae con il quale si intende agevolare l’unione dei Cristiani d’Oriente alla Chiesa di Roma</v>
      </c>
    </row>
    <row r="482" spans="2:32" s="31" customFormat="1" x14ac:dyDescent="0.2">
      <c r="B482" s="31">
        <v>258</v>
      </c>
      <c r="C482" s="31" t="s">
        <v>3043</v>
      </c>
      <c r="D482" s="31" t="s">
        <v>699</v>
      </c>
      <c r="E482" s="31" t="s">
        <v>738</v>
      </c>
      <c r="F482" s="31" t="s">
        <v>608</v>
      </c>
      <c r="G482" s="31" t="s">
        <v>609</v>
      </c>
      <c r="H482" s="31" t="str">
        <f t="shared" si="112"/>
        <v>Benedetto XV</v>
      </c>
      <c r="K482" s="31" t="s">
        <v>825</v>
      </c>
      <c r="L482" s="31" t="str">
        <f t="shared" si="100"/>
        <v>Breve</v>
      </c>
      <c r="M482" s="31" t="s">
        <v>577</v>
      </c>
      <c r="O482" s="31" t="s">
        <v>3051</v>
      </c>
      <c r="P482" s="31" t="s">
        <v>3058</v>
      </c>
      <c r="Q482" s="40">
        <v>5900</v>
      </c>
      <c r="R482" s="35">
        <f t="shared" si="110"/>
        <v>25</v>
      </c>
      <c r="S482" s="35"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5">
        <f t="shared" si="111"/>
        <v>1916</v>
      </c>
      <c r="U482" s="31"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6"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31"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31">
        <v>509</v>
      </c>
      <c r="Y482" s="31"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31" t="str">
        <f t="shared" si="102"/>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31" t="str">
        <f t="shared" si="103"/>
        <v>Breve Romanorum Pontificum con il quale vengono concesse particolari indulgenze ai fedeli che, nell’ambito di specifiche pratiche di pietà, invocheranno da Dio la concordia dei Governanti Cristiani, l’estirpazione delle eresie e la conversione dei peccatori</v>
      </c>
      <c r="AB482" s="31" t="str">
        <f t="shared" si="104"/>
        <v>Breve Romanorum Pontificum con il quale vengono concesse particolari indulgenze ai fedeli che, nell’ambito di specifiche pratiche di pietà, invocheranno da Dio la concordia dei Governanti Cristiani, l’estirpazione delle eresie e la conversione dei peccatori</v>
      </c>
      <c r="AC482" s="31" t="str">
        <f t="shared" si="105"/>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31" t="str">
        <f t="shared" si="106"/>
        <v>1916-02-25T08:00:00.000+02:00</v>
      </c>
      <c r="AE482" s="31" t="str">
        <f t="shared" si="107"/>
        <v>bxv-bre-rop</v>
      </c>
      <c r="AF482" s="31" t="str">
        <f t="shared" si="108"/>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31" customFormat="1" x14ac:dyDescent="0.2">
      <c r="B483" s="31">
        <v>258</v>
      </c>
      <c r="C483" s="31" t="s">
        <v>3044</v>
      </c>
      <c r="D483" s="31" t="s">
        <v>699</v>
      </c>
      <c r="E483" s="31" t="s">
        <v>738</v>
      </c>
      <c r="F483" s="31" t="s">
        <v>608</v>
      </c>
      <c r="G483" s="31" t="s">
        <v>609</v>
      </c>
      <c r="H483" s="31" t="str">
        <f t="shared" si="112"/>
        <v>Benedetto XV</v>
      </c>
      <c r="K483" s="31" t="s">
        <v>825</v>
      </c>
      <c r="L483" s="31" t="str">
        <f t="shared" si="100"/>
        <v>Breve</v>
      </c>
      <c r="M483" s="31" t="s">
        <v>577</v>
      </c>
      <c r="O483" s="31" t="s">
        <v>3052</v>
      </c>
      <c r="P483" s="31" t="s">
        <v>3059</v>
      </c>
      <c r="Q483" s="40">
        <v>5836</v>
      </c>
      <c r="R483" s="35">
        <f t="shared" si="110"/>
        <v>23</v>
      </c>
      <c r="S483" s="35"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5">
        <f t="shared" si="111"/>
        <v>1915</v>
      </c>
      <c r="U483" s="31"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6"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31"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31">
        <v>510</v>
      </c>
      <c r="Y483" s="31" t="str">
        <f t="shared" si="101"/>
        <v>['Benedetto XV', 'Breve', 'Divinum Praeceptum con il quale si concede al Seminario Arcivescovile di Buenos Aires il potere di conferire titoli accademici in Filosofia e Sacra Teologia', 'bxv-bre-dip', '23 dicembre 1915', '23/12/1915', '1915/12/23'],</v>
      </c>
      <c r="Z483" s="31" t="str">
        <f t="shared" si="102"/>
        <v>Divinum Praeceptum con il quale si concede al Seminario Arcivescovile di Buenos Aires il potere di conferire titoli accademici in Filosofia e Sacra Teologia (5836) | Benedetto XV</v>
      </c>
      <c r="AA483" s="31" t="str">
        <f t="shared" si="103"/>
        <v>Breve Divinum Praeceptum con il quale si concede al Seminario Arcivescovile di Buenos Aires il potere di conferire titoli accademici in Filosofia e Sacra Teologia</v>
      </c>
      <c r="AB483" s="31" t="str">
        <f t="shared" si="104"/>
        <v>Breve Divinum Praeceptum con il quale si concede al Seminario Arcivescovile di Buenos Aires il potere di conferire titoli accademici in Filosofia e Sacra Teologia</v>
      </c>
      <c r="AC483" s="31" t="str">
        <f t="shared" si="105"/>
        <v>Benedetto XV, Breve Divinum Praeceptum con il quale si concede al Seminario Arcivescovile di Buenos Aires il potere di conferire titoli accademici in Filosofia e Sacra Teologia, 23 dicembre 1915</v>
      </c>
      <c r="AD483" s="31" t="str">
        <f t="shared" si="106"/>
        <v>1915-12-23T08:00:00.000+02:00</v>
      </c>
      <c r="AE483" s="31" t="str">
        <f t="shared" si="107"/>
        <v>bxv-bre-dip</v>
      </c>
      <c r="AF483" s="31" t="str">
        <f t="shared" si="108"/>
        <v>Benedetto XV - Breve - Divinum Praeceptum con il quale si concede al Seminario Arcivescovile di Buenos Aires il potere di conferire titoli accademici in Filosofia e Sacra Teologia</v>
      </c>
    </row>
    <row r="484" spans="2:32" s="31" customFormat="1" x14ac:dyDescent="0.2">
      <c r="B484" s="31">
        <v>258</v>
      </c>
      <c r="C484" s="31" t="s">
        <v>3060</v>
      </c>
      <c r="D484" s="31" t="s">
        <v>699</v>
      </c>
      <c r="E484" s="31" t="s">
        <v>738</v>
      </c>
      <c r="F484" s="31" t="s">
        <v>608</v>
      </c>
      <c r="G484" s="31" t="s">
        <v>609</v>
      </c>
      <c r="H484" s="31" t="str">
        <f t="shared" ref="H484" si="113">_xlfn.CONCAT(D484 &amp; " " &amp; E484)</f>
        <v>Benedetto XV</v>
      </c>
      <c r="K484" s="31" t="s">
        <v>826</v>
      </c>
      <c r="L484" s="31" t="str">
        <f t="shared" si="100"/>
        <v>Costituzione Apostolica</v>
      </c>
      <c r="M484" s="31" t="s">
        <v>565</v>
      </c>
      <c r="O484" s="31" t="s">
        <v>3029</v>
      </c>
      <c r="P484" s="31" t="s">
        <v>1004</v>
      </c>
      <c r="Q484" s="40">
        <v>5701</v>
      </c>
      <c r="R484" s="35">
        <f t="shared" si="110"/>
        <v>10</v>
      </c>
      <c r="S484" s="35"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5">
        <f t="shared" si="111"/>
        <v>1915</v>
      </c>
      <c r="U484" s="31"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6"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31"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31">
        <v>511</v>
      </c>
      <c r="Y484" s="31" t="str">
        <f t="shared" si="101"/>
        <v>['Benedetto XV', 'Costituzione Apostolica', 'Incruentum Altaris', 'bxv-coa-ina', '10 agosto 1915', '10/08/1915', '1915/08/10'],</v>
      </c>
      <c r="Z484" s="31" t="str">
        <f t="shared" si="102"/>
        <v>Incruentum Altaris (5701) | Benedetto XV</v>
      </c>
      <c r="AA484" s="31" t="str">
        <f t="shared" si="103"/>
        <v>Costituzione Apostolica Incruentum Altaris</v>
      </c>
      <c r="AB484" s="31" t="str">
        <f t="shared" si="104"/>
        <v>Costituzione Apostolica Incruentum Altaris</v>
      </c>
      <c r="AC484" s="31" t="str">
        <f t="shared" si="105"/>
        <v>Benedetto XV, Costituzione Apostolica Incruentum Altaris, 10 agosto 1915</v>
      </c>
      <c r="AD484" s="31" t="str">
        <f t="shared" si="106"/>
        <v>1915-08-10T08:00:00.000+02:00</v>
      </c>
      <c r="AE484" s="31" t="str">
        <f t="shared" si="107"/>
        <v>bxv-coa-ina</v>
      </c>
      <c r="AF484" s="31" t="str">
        <f t="shared" si="108"/>
        <v>Benedetto XV - Costituzione Apostolica - Incruentum Altaris</v>
      </c>
    </row>
    <row r="485" spans="2:32" s="31" customFormat="1" x14ac:dyDescent="0.2">
      <c r="B485" s="31">
        <v>258</v>
      </c>
      <c r="C485" s="31" t="s">
        <v>3062</v>
      </c>
      <c r="D485" s="31" t="s">
        <v>699</v>
      </c>
      <c r="E485" s="31" t="s">
        <v>738</v>
      </c>
      <c r="F485" s="31" t="s">
        <v>608</v>
      </c>
      <c r="G485" s="31" t="s">
        <v>609</v>
      </c>
      <c r="H485" s="31" t="str">
        <f t="shared" ref="H485:H496" si="114">_xlfn.CONCAT(D485 &amp; " " &amp; E485)</f>
        <v>Benedetto XV</v>
      </c>
      <c r="I485" s="31" t="s">
        <v>603</v>
      </c>
      <c r="J485" s="31" t="s">
        <v>829</v>
      </c>
      <c r="K485" s="31" t="s">
        <v>694</v>
      </c>
      <c r="L485" s="31" t="str">
        <f t="shared" si="100"/>
        <v>Lettera Enciclica</v>
      </c>
      <c r="M485" s="31" t="s">
        <v>579</v>
      </c>
      <c r="O485" s="31" t="s">
        <v>154</v>
      </c>
      <c r="P485" s="31" t="s">
        <v>649</v>
      </c>
      <c r="Q485" s="40">
        <v>7851</v>
      </c>
      <c r="R485" s="35">
        <f t="shared" si="110"/>
        <v>29</v>
      </c>
      <c r="S485" s="35"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5">
        <f t="shared" si="111"/>
        <v>1921</v>
      </c>
      <c r="U485" s="31"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6"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31"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31">
        <v>512</v>
      </c>
      <c r="Y485" s="31" t="str">
        <f t="shared" si="101"/>
        <v>['Benedetto XV', 'Enciclica', 'Fausto Appetente Die', 'bxv-enc-fad', '29 giugno 1921', '29/06/1921', '1921/06/29'],</v>
      </c>
      <c r="Z485" s="31" t="str">
        <f t="shared" si="102"/>
        <v>Fausto Appetente Die (7851) | Benedetto XV</v>
      </c>
      <c r="AA485" s="31" t="str">
        <f t="shared" si="103"/>
        <v>Enciclica Fausto Appetente Die</v>
      </c>
      <c r="AB485" s="31" t="str">
        <f t="shared" si="104"/>
        <v>Enciclica Fausto Appetente Die</v>
      </c>
      <c r="AC485" s="31" t="str">
        <f t="shared" si="105"/>
        <v>Benedetto XV, Lettera Enciclica Fausto Appetente Die, 29 giugno 1921</v>
      </c>
      <c r="AD485" s="31" t="str">
        <f t="shared" si="106"/>
        <v>1921-06-29T08:00:00.000+02:00</v>
      </c>
      <c r="AE485" s="31" t="str">
        <f t="shared" si="107"/>
        <v>bxv-enc-fad</v>
      </c>
      <c r="AF485" s="31" t="str">
        <f t="shared" si="108"/>
        <v>Benedetto XV - Lettera Enciclica - Fausto Appetente Die</v>
      </c>
    </row>
    <row r="486" spans="2:32" s="31" customFormat="1" x14ac:dyDescent="0.2">
      <c r="B486" s="31">
        <v>258</v>
      </c>
      <c r="C486" s="31" t="s">
        <v>3063</v>
      </c>
      <c r="D486" s="31" t="s">
        <v>699</v>
      </c>
      <c r="E486" s="31" t="s">
        <v>738</v>
      </c>
      <c r="F486" s="31" t="s">
        <v>608</v>
      </c>
      <c r="G486" s="31" t="s">
        <v>609</v>
      </c>
      <c r="H486" s="31" t="str">
        <f t="shared" si="114"/>
        <v>Benedetto XV</v>
      </c>
      <c r="I486" s="31" t="s">
        <v>603</v>
      </c>
      <c r="J486" s="31" t="s">
        <v>829</v>
      </c>
      <c r="K486" s="31" t="s">
        <v>694</v>
      </c>
      <c r="L486" s="31" t="str">
        <f t="shared" ref="L486:L549" si="115">IF(J486&lt;&gt;"",_xlfn.CONCAT(J486 &amp; " " &amp; K486),K486)</f>
        <v>Lettera Enciclica</v>
      </c>
      <c r="M486" s="31" t="s">
        <v>579</v>
      </c>
      <c r="O486" s="31" t="s">
        <v>3363</v>
      </c>
      <c r="P486" s="31" t="s">
        <v>648</v>
      </c>
      <c r="Q486" s="40">
        <v>7791</v>
      </c>
      <c r="R486" s="35">
        <f t="shared" si="110"/>
        <v>30</v>
      </c>
      <c r="S486" s="35"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5">
        <f t="shared" si="111"/>
        <v>1921</v>
      </c>
      <c r="U486" s="31"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6"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31"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31">
        <v>513</v>
      </c>
      <c r="Y486" s="31" t="str">
        <f t="shared" si="101"/>
        <v>['Benedetto XV', 'Enciclica', 'In Praeclara Summorum, Lettera in occasione del VI centenario della morte di Dante Alighieri', 'bxv-enc-ips', '30 aprile 1921', '30/04/1921', '1921/04/30'],</v>
      </c>
      <c r="Z486" s="31" t="str">
        <f t="shared" si="102"/>
        <v>In Praeclara Summorum, Lettera in occasione del VI centenario della morte di Dante Alighieri (7791) | Benedetto XV</v>
      </c>
      <c r="AA486" s="31" t="str">
        <f t="shared" si="103"/>
        <v>Enciclica In Praeclara Summorum, Lettera in occasione del VI centenario della morte di Dante Alighieri</v>
      </c>
      <c r="AB486" s="31" t="str">
        <f t="shared" si="104"/>
        <v>Enciclica In Praeclara Summorum, Lettera in occasione del VI centenario della morte di Dante Alighieri</v>
      </c>
      <c r="AC486" s="31" t="str">
        <f t="shared" si="105"/>
        <v>Benedetto XV, Lettera Enciclica In Praeclara Summorum, Lettera in occasione del VI centenario della morte di Dante Alighieri, 30 aprile 1921</v>
      </c>
      <c r="AD486" s="31" t="str">
        <f t="shared" si="106"/>
        <v>1921-04-30T08:00:00.000+02:00</v>
      </c>
      <c r="AE486" s="31" t="str">
        <f t="shared" si="107"/>
        <v>bxv-enc-ips</v>
      </c>
      <c r="AF486" s="31" t="str">
        <f t="shared" si="108"/>
        <v>Benedetto XV - Lettera Enciclica - In Praeclara Summorum, Lettera in occasione del VI centenario della morte di Dante Alighieri</v>
      </c>
    </row>
    <row r="487" spans="2:32" s="31" customFormat="1" x14ac:dyDescent="0.2">
      <c r="B487" s="31">
        <v>258</v>
      </c>
      <c r="C487" s="31" t="s">
        <v>3064</v>
      </c>
      <c r="D487" s="31" t="s">
        <v>699</v>
      </c>
      <c r="E487" s="31" t="s">
        <v>738</v>
      </c>
      <c r="F487" s="31" t="s">
        <v>608</v>
      </c>
      <c r="G487" s="31" t="s">
        <v>609</v>
      </c>
      <c r="H487" s="31" t="str">
        <f t="shared" si="114"/>
        <v>Benedetto XV</v>
      </c>
      <c r="I487" s="31" t="s">
        <v>603</v>
      </c>
      <c r="J487" s="31" t="s">
        <v>829</v>
      </c>
      <c r="K487" s="31" t="s">
        <v>694</v>
      </c>
      <c r="L487" s="31" t="str">
        <f t="shared" si="115"/>
        <v>Lettera Enciclica</v>
      </c>
      <c r="M487" s="31" t="s">
        <v>579</v>
      </c>
      <c r="O487" s="31" t="s">
        <v>152</v>
      </c>
      <c r="P487" s="31" t="s">
        <v>652</v>
      </c>
      <c r="Q487" s="40">
        <v>7677</v>
      </c>
      <c r="R487" s="35">
        <f t="shared" si="110"/>
        <v>6</v>
      </c>
      <c r="S487" s="35"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5">
        <f t="shared" si="111"/>
        <v>1921</v>
      </c>
      <c r="U487" s="31"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6"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31"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31">
        <v>514</v>
      </c>
      <c r="Y487" s="31" t="str">
        <f t="shared" si="101"/>
        <v>['Benedetto XV', 'Enciclica', 'Sacra Propediem', 'bxv-enc-sap', '06 gennaio 1921', '06/01/1921', '1921/01/06'],</v>
      </c>
      <c r="Z487" s="31" t="str">
        <f t="shared" si="102"/>
        <v>Sacra Propediem (7677) | Benedetto XV</v>
      </c>
      <c r="AA487" s="31" t="str">
        <f t="shared" si="103"/>
        <v>Enciclica Sacra Propediem</v>
      </c>
      <c r="AB487" s="31" t="str">
        <f t="shared" si="104"/>
        <v>Enciclica Sacra Propediem</v>
      </c>
      <c r="AC487" s="31" t="str">
        <f t="shared" si="105"/>
        <v>Benedetto XV, Lettera Enciclica Sacra Propediem, 06 gennaio 1921</v>
      </c>
      <c r="AD487" s="31" t="str">
        <f t="shared" si="106"/>
        <v>1921-01-06T08:00:00.000+02:00</v>
      </c>
      <c r="AE487" s="31" t="str">
        <f t="shared" ref="AE487:AE550" si="116">_xlfn.CONCAT(F487 &amp; "-" &amp; M487 &amp; "-" &amp; P487)</f>
        <v>bxv-enc-sap</v>
      </c>
      <c r="AF487" s="31" t="str">
        <f t="shared" ref="AF487:AF550" si="117">_xlfn.CONCAT(H487 &amp; " - " &amp; L487 &amp; " - " &amp; O487)</f>
        <v>Benedetto XV - Lettera Enciclica - Sacra Propediem</v>
      </c>
    </row>
    <row r="488" spans="2:32" s="31" customFormat="1" x14ac:dyDescent="0.2">
      <c r="B488" s="31">
        <v>258</v>
      </c>
      <c r="C488" s="31" t="s">
        <v>3065</v>
      </c>
      <c r="D488" s="31" t="s">
        <v>699</v>
      </c>
      <c r="E488" s="31" t="s">
        <v>738</v>
      </c>
      <c r="F488" s="31" t="s">
        <v>608</v>
      </c>
      <c r="G488" s="31" t="s">
        <v>609</v>
      </c>
      <c r="H488" s="31" t="str">
        <f t="shared" si="114"/>
        <v>Benedetto XV</v>
      </c>
      <c r="I488" s="31" t="s">
        <v>603</v>
      </c>
      <c r="J488" s="31" t="s">
        <v>829</v>
      </c>
      <c r="K488" s="31" t="s">
        <v>694</v>
      </c>
      <c r="L488" s="31" t="str">
        <f t="shared" si="115"/>
        <v>Lettera Enciclica</v>
      </c>
      <c r="M488" s="31" t="s">
        <v>579</v>
      </c>
      <c r="O488" s="31" t="s">
        <v>151</v>
      </c>
      <c r="P488" s="31" t="s">
        <v>647</v>
      </c>
      <c r="Q488" s="40">
        <v>7641</v>
      </c>
      <c r="R488" s="35">
        <f t="shared" si="110"/>
        <v>1</v>
      </c>
      <c r="S488" s="35"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5">
        <f t="shared" si="111"/>
        <v>1920</v>
      </c>
      <c r="U488" s="31"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6"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31"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31">
        <v>515</v>
      </c>
      <c r="Y488" s="31" t="str">
        <f t="shared" si="101"/>
        <v>['Benedetto XV', 'Enciclica', 'Annus Iam Plenus', 'bxv-enc-aip', '01 dicembre 1920', '01/12/1920', '1920/12/01'],</v>
      </c>
      <c r="Z488" s="31" t="str">
        <f t="shared" si="102"/>
        <v>Annus Iam Plenus (7641) | Benedetto XV</v>
      </c>
      <c r="AA488" s="31" t="str">
        <f t="shared" si="103"/>
        <v>Enciclica Annus Iam Plenus</v>
      </c>
      <c r="AB488" s="31" t="str">
        <f t="shared" si="104"/>
        <v>Enciclica Annus Iam Plenus</v>
      </c>
      <c r="AC488" s="31" t="str">
        <f t="shared" si="105"/>
        <v>Benedetto XV, Lettera Enciclica Annus Iam Plenus, 01 dicembre 1920</v>
      </c>
      <c r="AD488" s="31" t="str">
        <f t="shared" si="106"/>
        <v>1920-12-01T08:00:00.000+02:00</v>
      </c>
      <c r="AE488" s="31" t="str">
        <f t="shared" si="116"/>
        <v>bxv-enc-aip</v>
      </c>
      <c r="AF488" s="31" t="str">
        <f t="shared" si="117"/>
        <v>Benedetto XV - Lettera Enciclica - Annus Iam Plenus</v>
      </c>
    </row>
    <row r="489" spans="2:32" s="31" customFormat="1" x14ac:dyDescent="0.2">
      <c r="B489" s="31">
        <v>258</v>
      </c>
      <c r="C489" s="31" t="s">
        <v>3066</v>
      </c>
      <c r="D489" s="31" t="s">
        <v>699</v>
      </c>
      <c r="E489" s="31" t="s">
        <v>738</v>
      </c>
      <c r="F489" s="31" t="s">
        <v>608</v>
      </c>
      <c r="G489" s="31" t="s">
        <v>609</v>
      </c>
      <c r="H489" s="31" t="str">
        <f t="shared" si="114"/>
        <v>Benedetto XV</v>
      </c>
      <c r="I489" s="31" t="s">
        <v>603</v>
      </c>
      <c r="J489" s="31" t="s">
        <v>829</v>
      </c>
      <c r="K489" s="31" t="s">
        <v>694</v>
      </c>
      <c r="L489" s="31" t="str">
        <f t="shared" si="115"/>
        <v>Lettera Enciclica</v>
      </c>
      <c r="M489" s="31" t="s">
        <v>579</v>
      </c>
      <c r="O489" s="31" t="s">
        <v>150</v>
      </c>
      <c r="P489" s="31" t="s">
        <v>646</v>
      </c>
      <c r="Q489" s="40">
        <v>7584</v>
      </c>
      <c r="R489" s="35">
        <f t="shared" si="110"/>
        <v>5</v>
      </c>
      <c r="S489" s="35"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5">
        <f t="shared" si="111"/>
        <v>1920</v>
      </c>
      <c r="U489" s="31"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6"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31"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31">
        <v>516</v>
      </c>
      <c r="Y489" s="31" t="str">
        <f t="shared" si="101"/>
        <v>['Benedetto XV', 'Enciclica', 'Principi Apostolorum Petro', 'bxv-enc-pap', '05 ottobre 1920', '05/10/1920', '1920/10/05'],</v>
      </c>
      <c r="Z489" s="31" t="str">
        <f t="shared" si="102"/>
        <v>Principi Apostolorum Petro (7584) | Benedetto XV</v>
      </c>
      <c r="AA489" s="31" t="str">
        <f t="shared" si="103"/>
        <v>Enciclica Principi Apostolorum Petro</v>
      </c>
      <c r="AB489" s="31" t="str">
        <f t="shared" si="104"/>
        <v>Enciclica Principi Apostolorum Petro</v>
      </c>
      <c r="AC489" s="31" t="str">
        <f t="shared" si="105"/>
        <v>Benedetto XV, Lettera Enciclica Principi Apostolorum Petro, 05 ottobre 1920</v>
      </c>
      <c r="AD489" s="31" t="str">
        <f t="shared" si="106"/>
        <v>1920-10-05T08:00:00.000+02:00</v>
      </c>
      <c r="AE489" s="31" t="str">
        <f t="shared" si="116"/>
        <v>bxv-enc-pap</v>
      </c>
      <c r="AF489" s="31" t="str">
        <f t="shared" si="117"/>
        <v>Benedetto XV - Lettera Enciclica - Principi Apostolorum Petro</v>
      </c>
    </row>
    <row r="490" spans="2:32" s="31" customFormat="1" x14ac:dyDescent="0.2">
      <c r="B490" s="31">
        <v>258</v>
      </c>
      <c r="C490" s="31" t="s">
        <v>3067</v>
      </c>
      <c r="D490" s="31" t="s">
        <v>699</v>
      </c>
      <c r="E490" s="31" t="s">
        <v>738</v>
      </c>
      <c r="F490" s="31" t="s">
        <v>608</v>
      </c>
      <c r="G490" s="31" t="s">
        <v>609</v>
      </c>
      <c r="H490" s="31" t="str">
        <f t="shared" si="114"/>
        <v>Benedetto XV</v>
      </c>
      <c r="I490" s="31" t="s">
        <v>603</v>
      </c>
      <c r="J490" s="31" t="s">
        <v>829</v>
      </c>
      <c r="K490" s="31" t="s">
        <v>694</v>
      </c>
      <c r="L490" s="31" t="str">
        <f t="shared" si="115"/>
        <v>Lettera Enciclica</v>
      </c>
      <c r="M490" s="31" t="s">
        <v>579</v>
      </c>
      <c r="O490" s="31" t="s">
        <v>149</v>
      </c>
      <c r="P490" s="31" t="s">
        <v>651</v>
      </c>
      <c r="Q490" s="40">
        <v>7564</v>
      </c>
      <c r="R490" s="35">
        <f t="shared" si="110"/>
        <v>15</v>
      </c>
      <c r="S490" s="35"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5">
        <f t="shared" si="111"/>
        <v>1920</v>
      </c>
      <c r="U490" s="31"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6"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31"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31">
        <v>517</v>
      </c>
      <c r="Y490" s="31" t="str">
        <f t="shared" si="101"/>
        <v>['Benedetto XV', 'Enciclica', 'Spiritus Paraclitus', 'bxv-enc-spp', '15 settembre 1920', '15/09/1920', '1920/09/15'],</v>
      </c>
      <c r="Z490" s="31" t="str">
        <f t="shared" si="102"/>
        <v>Spiritus Paraclitus (7564) | Benedetto XV</v>
      </c>
      <c r="AA490" s="31" t="str">
        <f t="shared" si="103"/>
        <v>Enciclica Spiritus Paraclitus</v>
      </c>
      <c r="AB490" s="31" t="str">
        <f t="shared" si="104"/>
        <v>Enciclica Spiritus Paraclitus</v>
      </c>
      <c r="AC490" s="31" t="str">
        <f t="shared" si="105"/>
        <v>Benedetto XV, Lettera Enciclica Spiritus Paraclitus, 15 settembre 1920</v>
      </c>
      <c r="AD490" s="31" t="str">
        <f t="shared" si="106"/>
        <v>1920-09-15T08:00:00.000+02:00</v>
      </c>
      <c r="AE490" s="31" t="str">
        <f t="shared" si="116"/>
        <v>bxv-enc-spp</v>
      </c>
      <c r="AF490" s="31" t="str">
        <f t="shared" si="117"/>
        <v>Benedetto XV - Lettera Enciclica - Spiritus Paraclitus</v>
      </c>
    </row>
    <row r="491" spans="2:32" s="31" customFormat="1" x14ac:dyDescent="0.2">
      <c r="B491" s="31">
        <v>258</v>
      </c>
      <c r="C491" s="31" t="s">
        <v>3068</v>
      </c>
      <c r="D491" s="31" t="s">
        <v>699</v>
      </c>
      <c r="E491" s="31" t="s">
        <v>738</v>
      </c>
      <c r="F491" s="31" t="s">
        <v>608</v>
      </c>
      <c r="G491" s="31" t="s">
        <v>609</v>
      </c>
      <c r="H491" s="31" t="str">
        <f t="shared" si="114"/>
        <v>Benedetto XV</v>
      </c>
      <c r="I491" s="31" t="s">
        <v>603</v>
      </c>
      <c r="J491" s="31" t="s">
        <v>829</v>
      </c>
      <c r="K491" s="31" t="s">
        <v>694</v>
      </c>
      <c r="L491" s="31" t="str">
        <f t="shared" si="115"/>
        <v>Lettera Enciclica</v>
      </c>
      <c r="M491" s="31" t="s">
        <v>579</v>
      </c>
      <c r="O491" s="31" t="s">
        <v>3061</v>
      </c>
      <c r="P491" s="31" t="s">
        <v>3077</v>
      </c>
      <c r="Q491" s="40">
        <v>7449</v>
      </c>
      <c r="R491" s="35">
        <f t="shared" si="110"/>
        <v>23</v>
      </c>
      <c r="S491" s="35"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5">
        <f t="shared" si="111"/>
        <v>1920</v>
      </c>
      <c r="U491" s="31"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6"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31"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31">
        <v>518</v>
      </c>
      <c r="Y491" s="31" t="str">
        <f t="shared" si="101"/>
        <v>['Benedetto XV', 'Enciclica', 'Pacem, Dei Munus Pulcherrimum', 'bxv-enc-pdm', '23 maggio 1920', '23/05/1920', '1920/05/23'],</v>
      </c>
      <c r="Z491" s="31" t="str">
        <f t="shared" si="102"/>
        <v>Pacem, Dei Munus Pulcherrimum (7449) | Benedetto XV</v>
      </c>
      <c r="AA491" s="31" t="str">
        <f t="shared" si="103"/>
        <v>Enciclica Pacem, Dei Munus Pulcherrimum</v>
      </c>
      <c r="AB491" s="31" t="str">
        <f t="shared" si="104"/>
        <v>Enciclica Pacem, Dei Munus Pulcherrimum</v>
      </c>
      <c r="AC491" s="31" t="str">
        <f t="shared" si="105"/>
        <v>Benedetto XV, Lettera Enciclica Pacem, Dei Munus Pulcherrimum, 23 maggio 1920</v>
      </c>
      <c r="AD491" s="31" t="str">
        <f t="shared" si="106"/>
        <v>1920-05-23T08:00:00.000+02:00</v>
      </c>
      <c r="AE491" s="31" t="str">
        <f t="shared" si="116"/>
        <v>bxv-enc-pdm</v>
      </c>
      <c r="AF491" s="31" t="str">
        <f t="shared" si="117"/>
        <v>Benedetto XV - Lettera Enciclica - Pacem, Dei Munus Pulcherrimum</v>
      </c>
    </row>
    <row r="492" spans="2:32" s="31" customFormat="1" x14ac:dyDescent="0.2">
      <c r="B492" s="31">
        <v>258</v>
      </c>
      <c r="C492" s="31" t="s">
        <v>3069</v>
      </c>
      <c r="D492" s="31" t="s">
        <v>699</v>
      </c>
      <c r="E492" s="31" t="s">
        <v>738</v>
      </c>
      <c r="F492" s="31" t="s">
        <v>608</v>
      </c>
      <c r="G492" s="31" t="s">
        <v>609</v>
      </c>
      <c r="H492" s="31" t="str">
        <f t="shared" si="114"/>
        <v>Benedetto XV</v>
      </c>
      <c r="I492" s="31" t="s">
        <v>603</v>
      </c>
      <c r="J492" s="31" t="s">
        <v>829</v>
      </c>
      <c r="K492" s="31" t="s">
        <v>694</v>
      </c>
      <c r="L492" s="31" t="str">
        <f t="shared" si="115"/>
        <v>Lettera Enciclica</v>
      </c>
      <c r="M492" s="31" t="s">
        <v>579</v>
      </c>
      <c r="O492" s="31" t="s">
        <v>147</v>
      </c>
      <c r="P492" s="31" t="s">
        <v>645</v>
      </c>
      <c r="Q492" s="40">
        <v>7268</v>
      </c>
      <c r="R492" s="35">
        <f t="shared" si="110"/>
        <v>24</v>
      </c>
      <c r="S492" s="35"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5">
        <f t="shared" si="111"/>
        <v>1919</v>
      </c>
      <c r="U492" s="31"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6"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31"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31">
        <v>519</v>
      </c>
      <c r="Y492" s="31" t="str">
        <f t="shared" si="101"/>
        <v>['Benedetto XV', 'Enciclica', 'Paterno Iam Diu', 'bxv-enc-pid', '24 novembre 1919', '24/11/1919', '1919/11/24'],</v>
      </c>
      <c r="Z492" s="31" t="str">
        <f t="shared" si="102"/>
        <v>Paterno Iam Diu (7268) | Benedetto XV</v>
      </c>
      <c r="AA492" s="31" t="str">
        <f t="shared" si="103"/>
        <v>Enciclica Paterno Iam Diu</v>
      </c>
      <c r="AB492" s="31" t="str">
        <f t="shared" si="104"/>
        <v>Enciclica Paterno Iam Diu</v>
      </c>
      <c r="AC492" s="31" t="str">
        <f t="shared" si="105"/>
        <v>Benedetto XV, Lettera Enciclica Paterno Iam Diu, 24 novembre 1919</v>
      </c>
      <c r="AD492" s="31" t="str">
        <f t="shared" si="106"/>
        <v>1919-11-24T08:00:00.000+02:00</v>
      </c>
      <c r="AE492" s="31" t="str">
        <f t="shared" si="116"/>
        <v>bxv-enc-pid</v>
      </c>
      <c r="AF492" s="31" t="str">
        <f t="shared" si="117"/>
        <v>Benedetto XV - Lettera Enciclica - Paterno Iam Diu</v>
      </c>
    </row>
    <row r="493" spans="2:32" s="31" customFormat="1" x14ac:dyDescent="0.2">
      <c r="B493" s="31">
        <v>258</v>
      </c>
      <c r="C493" s="31" t="s">
        <v>3070</v>
      </c>
      <c r="D493" s="31" t="s">
        <v>699</v>
      </c>
      <c r="E493" s="31" t="s">
        <v>738</v>
      </c>
      <c r="F493" s="31" t="s">
        <v>608</v>
      </c>
      <c r="G493" s="31" t="s">
        <v>609</v>
      </c>
      <c r="H493" s="31" t="str">
        <f t="shared" si="114"/>
        <v>Benedetto XV</v>
      </c>
      <c r="I493" s="31" t="s">
        <v>603</v>
      </c>
      <c r="J493" s="31" t="s">
        <v>829</v>
      </c>
      <c r="K493" s="31" t="s">
        <v>694</v>
      </c>
      <c r="L493" s="31" t="str">
        <f t="shared" si="115"/>
        <v>Lettera Enciclica</v>
      </c>
      <c r="M493" s="31" t="s">
        <v>579</v>
      </c>
      <c r="O493" s="31" t="s">
        <v>146</v>
      </c>
      <c r="P493" s="31" t="s">
        <v>644</v>
      </c>
      <c r="Q493" s="40">
        <v>7074</v>
      </c>
      <c r="R493" s="35">
        <f t="shared" si="110"/>
        <v>14</v>
      </c>
      <c r="S493" s="35"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5">
        <f t="shared" si="111"/>
        <v>1919</v>
      </c>
      <c r="U493" s="31"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6"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31"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31">
        <v>520</v>
      </c>
      <c r="Y493" s="31" t="str">
        <f t="shared" si="101"/>
        <v>['Benedetto XV', 'Enciclica', 'In Hac Tanta', 'bxv-enc-iht', '14 maggio 1919', '14/05/1919', '1919/05/14'],</v>
      </c>
      <c r="Z493" s="31" t="str">
        <f t="shared" si="102"/>
        <v>In Hac Tanta (7074) | Benedetto XV</v>
      </c>
      <c r="AA493" s="31" t="str">
        <f t="shared" si="103"/>
        <v>Enciclica In Hac Tanta</v>
      </c>
      <c r="AB493" s="31" t="str">
        <f t="shared" si="104"/>
        <v>Enciclica In Hac Tanta</v>
      </c>
      <c r="AC493" s="31" t="str">
        <f t="shared" si="105"/>
        <v>Benedetto XV, Lettera Enciclica In Hac Tanta, 14 maggio 1919</v>
      </c>
      <c r="AD493" s="31" t="str">
        <f t="shared" si="106"/>
        <v>1919-05-14T08:00:00.000+02:00</v>
      </c>
      <c r="AE493" s="31" t="str">
        <f t="shared" si="116"/>
        <v>bxv-enc-iht</v>
      </c>
      <c r="AF493" s="31" t="str">
        <f t="shared" si="117"/>
        <v>Benedetto XV - Lettera Enciclica - In Hac Tanta</v>
      </c>
    </row>
    <row r="494" spans="2:32" s="31" customFormat="1" x14ac:dyDescent="0.2">
      <c r="B494" s="31">
        <v>258</v>
      </c>
      <c r="C494" s="31" t="s">
        <v>3071</v>
      </c>
      <c r="D494" s="31" t="s">
        <v>699</v>
      </c>
      <c r="E494" s="31" t="s">
        <v>738</v>
      </c>
      <c r="F494" s="31" t="s">
        <v>608</v>
      </c>
      <c r="G494" s="31" t="s">
        <v>609</v>
      </c>
      <c r="H494" s="31" t="str">
        <f t="shared" si="114"/>
        <v>Benedetto XV</v>
      </c>
      <c r="I494" s="31" t="s">
        <v>603</v>
      </c>
      <c r="J494" s="31" t="s">
        <v>829</v>
      </c>
      <c r="K494" s="31" t="s">
        <v>694</v>
      </c>
      <c r="L494" s="31" t="str">
        <f t="shared" si="115"/>
        <v>Lettera Enciclica</v>
      </c>
      <c r="M494" s="31" t="s">
        <v>579</v>
      </c>
      <c r="O494" s="31" t="s">
        <v>145</v>
      </c>
      <c r="P494" s="31" t="s">
        <v>643</v>
      </c>
      <c r="Q494" s="40">
        <v>6910</v>
      </c>
      <c r="R494" s="35">
        <f t="shared" si="110"/>
        <v>1</v>
      </c>
      <c r="S494" s="35"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5">
        <f t="shared" si="111"/>
        <v>1918</v>
      </c>
      <c r="U494" s="31"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6"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31"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31">
        <v>521</v>
      </c>
      <c r="Y494" s="31" t="str">
        <f t="shared" si="101"/>
        <v>['Benedetto XV', 'Enciclica', 'Quod Iam Diu', 'bxv-enc-qid', '01 dicembre 1918', '01/12/1918', '1918/12/01'],</v>
      </c>
      <c r="Z494" s="31" t="str">
        <f t="shared" si="102"/>
        <v>Quod Iam Diu (6910) | Benedetto XV</v>
      </c>
      <c r="AA494" s="31" t="str">
        <f t="shared" si="103"/>
        <v>Enciclica Quod Iam Diu</v>
      </c>
      <c r="AB494" s="31" t="str">
        <f t="shared" si="104"/>
        <v>Enciclica Quod Iam Diu</v>
      </c>
      <c r="AC494" s="31" t="str">
        <f t="shared" si="105"/>
        <v>Benedetto XV, Lettera Enciclica Quod Iam Diu, 01 dicembre 1918</v>
      </c>
      <c r="AD494" s="31" t="str">
        <f t="shared" si="106"/>
        <v>1918-12-01T08:00:00.000+02:00</v>
      </c>
      <c r="AE494" s="31" t="str">
        <f t="shared" si="116"/>
        <v>bxv-enc-qid</v>
      </c>
      <c r="AF494" s="31" t="str">
        <f t="shared" si="117"/>
        <v>Benedetto XV - Lettera Enciclica - Quod Iam Diu</v>
      </c>
    </row>
    <row r="495" spans="2:32" s="31" customFormat="1" x14ac:dyDescent="0.2">
      <c r="B495" s="31">
        <v>258</v>
      </c>
      <c r="C495" s="31" t="s">
        <v>3072</v>
      </c>
      <c r="D495" s="31" t="s">
        <v>699</v>
      </c>
      <c r="E495" s="31" t="s">
        <v>738</v>
      </c>
      <c r="F495" s="31" t="s">
        <v>608</v>
      </c>
      <c r="G495" s="31" t="s">
        <v>609</v>
      </c>
      <c r="H495" s="31" t="str">
        <f t="shared" si="114"/>
        <v>Benedetto XV</v>
      </c>
      <c r="I495" s="31" t="s">
        <v>603</v>
      </c>
      <c r="J495" s="31" t="s">
        <v>829</v>
      </c>
      <c r="K495" s="31" t="s">
        <v>694</v>
      </c>
      <c r="L495" s="31" t="str">
        <f t="shared" si="115"/>
        <v>Lettera Enciclica</v>
      </c>
      <c r="M495" s="31" t="s">
        <v>579</v>
      </c>
      <c r="O495" s="31" t="s">
        <v>144</v>
      </c>
      <c r="P495" s="31" t="s">
        <v>642</v>
      </c>
      <c r="Q495" s="40">
        <v>6376</v>
      </c>
      <c r="R495" s="35">
        <f t="shared" si="110"/>
        <v>15</v>
      </c>
      <c r="S495" s="35"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5">
        <f t="shared" si="111"/>
        <v>1917</v>
      </c>
      <c r="U495" s="31"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6"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31"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31">
        <v>522</v>
      </c>
      <c r="Y495" s="31" t="str">
        <f t="shared" si="101"/>
        <v>['Benedetto XV', 'Enciclica', 'Humani Generis Redemptionem', 'bxv-enc-hgr', '15 giugno 1917', '15/06/1917', '1917/06/15'],</v>
      </c>
      <c r="Z495" s="31" t="str">
        <f t="shared" si="102"/>
        <v>Humani Generis Redemptionem (6376) | Benedetto XV</v>
      </c>
      <c r="AA495" s="31" t="str">
        <f t="shared" si="103"/>
        <v>Enciclica Humani Generis Redemptionem</v>
      </c>
      <c r="AB495" s="31" t="str">
        <f t="shared" si="104"/>
        <v>Enciclica Humani Generis Redemptionem</v>
      </c>
      <c r="AC495" s="31" t="str">
        <f t="shared" si="105"/>
        <v>Benedetto XV, Lettera Enciclica Humani Generis Redemptionem, 15 giugno 1917</v>
      </c>
      <c r="AD495" s="31" t="str">
        <f t="shared" si="106"/>
        <v>1917-06-15T08:00:00.000+02:00</v>
      </c>
      <c r="AE495" s="31" t="str">
        <f t="shared" si="116"/>
        <v>bxv-enc-hgr</v>
      </c>
      <c r="AF495" s="31" t="str">
        <f t="shared" si="117"/>
        <v>Benedetto XV - Lettera Enciclica - Humani Generis Redemptionem</v>
      </c>
    </row>
    <row r="496" spans="2:32" s="31" customFormat="1" x14ac:dyDescent="0.2">
      <c r="B496" s="31">
        <v>258</v>
      </c>
      <c r="C496" s="31" t="s">
        <v>3073</v>
      </c>
      <c r="D496" s="31" t="s">
        <v>699</v>
      </c>
      <c r="E496" s="31" t="s">
        <v>738</v>
      </c>
      <c r="F496" s="31" t="s">
        <v>608</v>
      </c>
      <c r="G496" s="31" t="s">
        <v>609</v>
      </c>
      <c r="H496" s="31" t="str">
        <f t="shared" si="114"/>
        <v>Benedetto XV</v>
      </c>
      <c r="I496" s="31" t="s">
        <v>603</v>
      </c>
      <c r="J496" s="31" t="s">
        <v>829</v>
      </c>
      <c r="K496" s="31" t="s">
        <v>694</v>
      </c>
      <c r="L496" s="31" t="str">
        <f t="shared" si="115"/>
        <v>Lettera Enciclica</v>
      </c>
      <c r="M496" s="31" t="s">
        <v>579</v>
      </c>
      <c r="O496" s="31" t="s">
        <v>143</v>
      </c>
      <c r="P496" s="31" t="s">
        <v>641</v>
      </c>
      <c r="Q496" s="40">
        <v>5419</v>
      </c>
      <c r="R496" s="35">
        <f t="shared" si="110"/>
        <v>1</v>
      </c>
      <c r="S496" s="35"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5">
        <f t="shared" si="111"/>
        <v>1914</v>
      </c>
      <c r="U496" s="31"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6"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31"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31">
        <v>523</v>
      </c>
      <c r="Y496" s="31" t="str">
        <f t="shared" si="101"/>
        <v>['Benedetto XV', 'Enciclica', 'Ad Beatissimi Apostolorum', 'bxv-enc-aba', '01 novembre 1914', '01/11/1914', '1914/11/01'],</v>
      </c>
      <c r="Z496" s="31" t="str">
        <f t="shared" si="102"/>
        <v>Ad Beatissimi Apostolorum (5419) | Benedetto XV</v>
      </c>
      <c r="AA496" s="31" t="str">
        <f t="shared" si="103"/>
        <v>Enciclica Ad Beatissimi Apostolorum</v>
      </c>
      <c r="AB496" s="31" t="str">
        <f t="shared" si="104"/>
        <v>Enciclica Ad Beatissimi Apostolorum</v>
      </c>
      <c r="AC496" s="31" t="str">
        <f t="shared" si="105"/>
        <v>Benedetto XV, Lettera Enciclica Ad Beatissimi Apostolorum, 01 novembre 1914</v>
      </c>
      <c r="AD496" s="31" t="str">
        <f t="shared" si="106"/>
        <v>1914-11-01T08:00:00.000+02:00</v>
      </c>
      <c r="AE496" s="31" t="str">
        <f t="shared" si="116"/>
        <v>bxv-enc-aba</v>
      </c>
      <c r="AF496" s="31" t="str">
        <f t="shared" si="117"/>
        <v>Benedetto XV - Lettera Enciclica - Ad Beatissimi Apostolorum</v>
      </c>
    </row>
    <row r="497" spans="2:32" s="31" customFormat="1" x14ac:dyDescent="0.2">
      <c r="B497" s="31">
        <v>258</v>
      </c>
      <c r="C497" s="31" t="s">
        <v>3075</v>
      </c>
      <c r="D497" s="31" t="s">
        <v>699</v>
      </c>
      <c r="E497" s="31" t="s">
        <v>738</v>
      </c>
      <c r="F497" s="31" t="s">
        <v>608</v>
      </c>
      <c r="G497" s="31" t="s">
        <v>609</v>
      </c>
      <c r="H497" s="31" t="str">
        <f t="shared" ref="H497:H498" si="118">_xlfn.CONCAT(D497 &amp; " " &amp; E497)</f>
        <v>Benedetto XV</v>
      </c>
      <c r="K497" s="31" t="s">
        <v>830</v>
      </c>
      <c r="L497" s="31" t="str">
        <f t="shared" si="115"/>
        <v>Lettera Apostolica</v>
      </c>
      <c r="M497" s="31" t="s">
        <v>569</v>
      </c>
      <c r="O497" s="31" t="s">
        <v>3026</v>
      </c>
      <c r="P497" s="31" t="s">
        <v>3030</v>
      </c>
      <c r="Q497" s="40">
        <v>7442</v>
      </c>
      <c r="R497" s="35">
        <f t="shared" si="110"/>
        <v>16</v>
      </c>
      <c r="S497" s="35"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5">
        <f t="shared" si="111"/>
        <v>1920</v>
      </c>
      <c r="U497" s="31"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6"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31"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31">
        <v>524</v>
      </c>
      <c r="Y497" s="31" t="str">
        <f t="shared" si="101"/>
        <v>['Benedetto XV', 'Lettera Apostolica', 'Divina disponente', 'bxv-lea-did', '16 maggio 1920', '16/05/1920', '1920/05/16'],</v>
      </c>
      <c r="Z497" s="31" t="str">
        <f t="shared" si="102"/>
        <v>Divina disponente (7442) | Benedetto XV</v>
      </c>
      <c r="AA497" s="31" t="str">
        <f t="shared" si="103"/>
        <v>Lettera Apostolica Divina disponente</v>
      </c>
      <c r="AB497" s="31" t="str">
        <f t="shared" si="104"/>
        <v>Lettera Apostolica Divina disponente</v>
      </c>
      <c r="AC497" s="31" t="str">
        <f t="shared" si="105"/>
        <v>Benedetto XV, Lettera Apostolica Divina disponente, 16 maggio 1920</v>
      </c>
      <c r="AD497" s="31" t="str">
        <f t="shared" si="106"/>
        <v>1920-05-16T08:00:00.000+02:00</v>
      </c>
      <c r="AE497" s="31" t="str">
        <f t="shared" si="116"/>
        <v>bxv-lea-did</v>
      </c>
      <c r="AF497" s="31" t="str">
        <f t="shared" si="117"/>
        <v>Benedetto XV - Lettera Apostolica - Divina disponente</v>
      </c>
    </row>
    <row r="498" spans="2:32" s="31" customFormat="1" x14ac:dyDescent="0.2">
      <c r="B498" s="31">
        <v>258</v>
      </c>
      <c r="C498" s="31" t="s">
        <v>3076</v>
      </c>
      <c r="D498" s="31" t="s">
        <v>699</v>
      </c>
      <c r="E498" s="31" t="s">
        <v>738</v>
      </c>
      <c r="F498" s="31" t="s">
        <v>608</v>
      </c>
      <c r="G498" s="31" t="s">
        <v>609</v>
      </c>
      <c r="H498" s="31" t="str">
        <f t="shared" si="118"/>
        <v>Benedetto XV</v>
      </c>
      <c r="K498" s="31" t="s">
        <v>830</v>
      </c>
      <c r="L498" s="31" t="str">
        <f t="shared" si="115"/>
        <v>Lettera Apostolica</v>
      </c>
      <c r="M498" s="31" t="s">
        <v>569</v>
      </c>
      <c r="O498" s="31" t="s">
        <v>3074</v>
      </c>
      <c r="P498" s="31" t="s">
        <v>3078</v>
      </c>
      <c r="Q498" s="40">
        <v>7274</v>
      </c>
      <c r="R498" s="35">
        <f t="shared" si="110"/>
        <v>30</v>
      </c>
      <c r="S498" s="35"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5">
        <f t="shared" si="111"/>
        <v>1919</v>
      </c>
      <c r="U498" s="31"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6"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31"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31">
        <v>525</v>
      </c>
      <c r="Y498" s="31" t="str">
        <f t="shared" si="101"/>
        <v>['Benedetto XV', 'Lettera Apostolica', 'Maximum illud', 'bxv-lea-mai', '30 novembre 1919', '30/11/1919', '1919/11/30'],</v>
      </c>
      <c r="Z498" s="31" t="str">
        <f t="shared" si="102"/>
        <v>Maximum illud (7274) | Benedetto XV</v>
      </c>
      <c r="AA498" s="31" t="str">
        <f t="shared" si="103"/>
        <v>Lettera Apostolica Maximum illud</v>
      </c>
      <c r="AB498" s="31" t="str">
        <f t="shared" si="104"/>
        <v>Lettera Apostolica Maximum illud</v>
      </c>
      <c r="AC498" s="31" t="str">
        <f t="shared" si="105"/>
        <v>Benedetto XV, Lettera Apostolica Maximum illud, 30 novembre 1919</v>
      </c>
      <c r="AD498" s="31" t="str">
        <f t="shared" si="106"/>
        <v>1919-11-30T08:00:00.000+02:00</v>
      </c>
      <c r="AE498" s="31" t="str">
        <f t="shared" si="116"/>
        <v>bxv-lea-mai</v>
      </c>
      <c r="AF498" s="31" t="str">
        <f t="shared" si="117"/>
        <v>Benedetto XV - Lettera Apostolica - Maximum illud</v>
      </c>
    </row>
    <row r="499" spans="2:32" s="31" customFormat="1" x14ac:dyDescent="0.2">
      <c r="B499" s="31">
        <v>258</v>
      </c>
      <c r="C499" s="31" t="s">
        <v>3084</v>
      </c>
      <c r="D499" s="31" t="s">
        <v>699</v>
      </c>
      <c r="E499" s="31" t="s">
        <v>738</v>
      </c>
      <c r="F499" s="31" t="s">
        <v>608</v>
      </c>
      <c r="G499" s="31" t="s">
        <v>609</v>
      </c>
      <c r="H499" s="31" t="str">
        <f t="shared" ref="H499:H501" si="119">_xlfn.CONCAT(D499 &amp; " " &amp; E499)</f>
        <v>Benedetto XV</v>
      </c>
      <c r="K499" s="31" t="s">
        <v>828</v>
      </c>
      <c r="L499" s="31" t="str">
        <f t="shared" si="115"/>
        <v>Esortazione Apostolica</v>
      </c>
      <c r="M499" s="31" t="s">
        <v>567</v>
      </c>
      <c r="O499" s="31" t="s">
        <v>3079</v>
      </c>
      <c r="P499" s="31" t="s">
        <v>3082</v>
      </c>
      <c r="Q499" s="40">
        <v>6423</v>
      </c>
      <c r="R499" s="35">
        <f t="shared" si="110"/>
        <v>1</v>
      </c>
      <c r="S499" s="35"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5">
        <f t="shared" si="111"/>
        <v>1917</v>
      </c>
      <c r="U499" s="31"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6"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31"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31">
        <v>526</v>
      </c>
      <c r="Y499" s="31" t="str">
        <f t="shared" si="101"/>
        <v>['Benedetto XV', 'Esortazione Apostolica', 'Dès le début ai Capi dei popoli belligeranti invitandoli a trovare la via per una pace «giusta e duratura»', 'bxv-esa-dld', '01 agosto 1917', '01/08/1917', '1917/08/01'],</v>
      </c>
      <c r="Z499" s="31" t="str">
        <f t="shared" si="102"/>
        <v>Dès le début ai Capi dei popoli belligeranti invitandoli a trovare la via per una pace «giusta e duratura» (6423) | Benedetto XV</v>
      </c>
      <c r="AA499" s="31" t="str">
        <f t="shared" si="103"/>
        <v>Esortazione Apostolica Dès le début ai Capi dei popoli belligeranti invitandoli a trovare la via per una pace «giusta e duratura»</v>
      </c>
      <c r="AB499" s="31" t="str">
        <f t="shared" si="104"/>
        <v>Esortazione Apostolica Dès le début ai Capi dei popoli belligeranti invitandoli a trovare la via per una pace «giusta e duratura»</v>
      </c>
      <c r="AC499" s="31" t="str">
        <f t="shared" si="105"/>
        <v>Benedetto XV, Esortazione Apostolica Dès le début ai Capi dei popoli belligeranti invitandoli a trovare la via per una pace «giusta e duratura», 01 agosto 1917</v>
      </c>
      <c r="AD499" s="31" t="str">
        <f t="shared" si="106"/>
        <v>1917-08-01T08:00:00.000+02:00</v>
      </c>
      <c r="AE499" s="31" t="str">
        <f t="shared" si="116"/>
        <v>bxv-esa-dld</v>
      </c>
      <c r="AF499" s="31" t="str">
        <f t="shared" si="117"/>
        <v>Benedetto XV - Esortazione Apostolica - Dès le début ai Capi dei popoli belligeranti invitandoli a trovare la via per una pace «giusta e duratura»</v>
      </c>
    </row>
    <row r="500" spans="2:32" s="31" customFormat="1" x14ac:dyDescent="0.2">
      <c r="B500" s="31">
        <v>258</v>
      </c>
      <c r="C500" s="31" t="s">
        <v>3085</v>
      </c>
      <c r="D500" s="31" t="s">
        <v>699</v>
      </c>
      <c r="E500" s="31" t="s">
        <v>738</v>
      </c>
      <c r="F500" s="31" t="s">
        <v>608</v>
      </c>
      <c r="G500" s="31" t="s">
        <v>609</v>
      </c>
      <c r="H500" s="31" t="str">
        <f t="shared" si="119"/>
        <v>Benedetto XV</v>
      </c>
      <c r="K500" s="31" t="s">
        <v>828</v>
      </c>
      <c r="L500" s="31" t="str">
        <f t="shared" si="115"/>
        <v>Esortazione Apostolica</v>
      </c>
      <c r="M500" s="31" t="s">
        <v>567</v>
      </c>
      <c r="O500" s="31" t="s">
        <v>3080</v>
      </c>
      <c r="P500" s="31" t="s">
        <v>3083</v>
      </c>
      <c r="Q500" s="40">
        <v>5688</v>
      </c>
      <c r="R500" s="35">
        <f t="shared" si="110"/>
        <v>28</v>
      </c>
      <c r="S500" s="35"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5">
        <f t="shared" si="111"/>
        <v>1915</v>
      </c>
      <c r="U500" s="31"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6"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31"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31">
        <v>527</v>
      </c>
      <c r="Y500" s="31" t="str">
        <f t="shared" si="101"/>
        <v>['Benedetto XV', 'Esortazione Apostolica', 'Allorché fummo chiamati, ai popoli belligeranti e ai loro reggitori nel primo anniversario dello scoppio della guerra', 'bxv-esa-afc', '28 luglio 1915', '28/07/1915', '1915/07/28'],</v>
      </c>
      <c r="Z500" s="31" t="str">
        <f t="shared" si="102"/>
        <v>Allorché fummo chiamati, ai popoli belligeranti e ai loro reggitori nel primo anniversario dello scoppio della guerra (5688) | Benedetto XV</v>
      </c>
      <c r="AA500" s="31" t="str">
        <f t="shared" si="103"/>
        <v>Esortazione Apostolica Allorché fummo chiamati, ai popoli belligeranti e ai loro reggitori nel primo anniversario dello scoppio della guerra</v>
      </c>
      <c r="AB500" s="31" t="str">
        <f t="shared" si="104"/>
        <v>Esortazione Apostolica Allorché fummo chiamati, ai popoli belligeranti e ai loro reggitori nel primo anniversario dello scoppio della guerra</v>
      </c>
      <c r="AC500" s="31" t="str">
        <f t="shared" si="105"/>
        <v>Benedetto XV, Esortazione Apostolica Allorché fummo chiamati, ai popoli belligeranti e ai loro reggitori nel primo anniversario dello scoppio della guerra, 28 luglio 1915</v>
      </c>
      <c r="AD500" s="31" t="str">
        <f t="shared" si="106"/>
        <v>1915-07-28T08:00:00.000+02:00</v>
      </c>
      <c r="AE500" s="31" t="str">
        <f t="shared" si="116"/>
        <v>bxv-esa-afc</v>
      </c>
      <c r="AF500" s="31" t="str">
        <f t="shared" si="117"/>
        <v>Benedetto XV - Esortazione Apostolica - Allorché fummo chiamati, ai popoli belligeranti e ai loro reggitori nel primo anniversario dello scoppio della guerra</v>
      </c>
    </row>
    <row r="501" spans="2:32" s="31" customFormat="1" x14ac:dyDescent="0.2">
      <c r="B501" s="31">
        <v>258</v>
      </c>
      <c r="C501" s="31" t="s">
        <v>3086</v>
      </c>
      <c r="D501" s="31" t="s">
        <v>699</v>
      </c>
      <c r="E501" s="31" t="s">
        <v>738</v>
      </c>
      <c r="F501" s="31" t="s">
        <v>608</v>
      </c>
      <c r="G501" s="31" t="s">
        <v>609</v>
      </c>
      <c r="H501" s="31" t="str">
        <f t="shared" si="119"/>
        <v>Benedetto XV</v>
      </c>
      <c r="K501" s="31" t="s">
        <v>828</v>
      </c>
      <c r="L501" s="31" t="str">
        <f t="shared" si="115"/>
        <v>Esortazione Apostolica</v>
      </c>
      <c r="M501" s="31" t="s">
        <v>567</v>
      </c>
      <c r="O501" s="31" t="s">
        <v>3081</v>
      </c>
      <c r="P501" s="31" t="s">
        <v>610</v>
      </c>
      <c r="Q501" s="40">
        <v>5365</v>
      </c>
      <c r="R501" s="35">
        <f t="shared" si="110"/>
        <v>8</v>
      </c>
      <c r="S501" s="35"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5">
        <f t="shared" si="111"/>
        <v>1914</v>
      </c>
      <c r="U501" s="31"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6"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31"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31">
        <v>528</v>
      </c>
      <c r="Y501" s="31" t="str">
        <f t="shared" si="101"/>
        <v>['Benedetto XV', 'Esortazione Apostolica', 'Ubi Primum a tutti i cattolici del mondo', 'bxv-esa-ubp', '08 settembre 1914', '08/09/1914', '1914/09/08'],</v>
      </c>
      <c r="Z501" s="31" t="str">
        <f t="shared" si="102"/>
        <v>Ubi Primum a tutti i cattolici del mondo (5365) | Benedetto XV</v>
      </c>
      <c r="AA501" s="31" t="str">
        <f t="shared" si="103"/>
        <v>Esortazione Apostolica Ubi Primum a tutti i cattolici del mondo</v>
      </c>
      <c r="AB501" s="31" t="str">
        <f t="shared" si="104"/>
        <v>Esortazione Apostolica Ubi Primum a tutti i cattolici del mondo</v>
      </c>
      <c r="AC501" s="31" t="str">
        <f t="shared" si="105"/>
        <v>Benedetto XV, Esortazione Apostolica Ubi Primum a tutti i cattolici del mondo, 08 settembre 1914</v>
      </c>
      <c r="AD501" s="31" t="str">
        <f t="shared" si="106"/>
        <v>1914-09-08T08:00:00.000+02:00</v>
      </c>
      <c r="AE501" s="31" t="str">
        <f t="shared" si="116"/>
        <v>bxv-esa-ubp</v>
      </c>
      <c r="AF501" s="31" t="str">
        <f t="shared" si="117"/>
        <v>Benedetto XV - Esortazione Apostolica - Ubi Primum a tutti i cattolici del mondo</v>
      </c>
    </row>
    <row r="502" spans="2:32" s="31" customFormat="1" x14ac:dyDescent="0.2">
      <c r="B502" s="31">
        <v>258</v>
      </c>
      <c r="C502" s="31" t="s">
        <v>3087</v>
      </c>
      <c r="D502" s="31" t="s">
        <v>699</v>
      </c>
      <c r="E502" s="31" t="s">
        <v>738</v>
      </c>
      <c r="F502" s="31" t="s">
        <v>608</v>
      </c>
      <c r="G502" s="31" t="s">
        <v>609</v>
      </c>
      <c r="H502" s="31" t="str">
        <f t="shared" ref="H502:H512" si="120">_xlfn.CONCAT(D502 &amp; " " &amp; E502)</f>
        <v>Benedetto XV</v>
      </c>
      <c r="K502" s="31" t="s">
        <v>557</v>
      </c>
      <c r="L502" s="31" t="str">
        <f t="shared" si="115"/>
        <v>Motu Proprio</v>
      </c>
      <c r="M502" s="31" t="s">
        <v>571</v>
      </c>
      <c r="O502" s="31" t="s">
        <v>3098</v>
      </c>
      <c r="P502" s="31" t="s">
        <v>3109</v>
      </c>
      <c r="Q502" s="40">
        <v>7512</v>
      </c>
      <c r="R502" s="35">
        <f t="shared" si="110"/>
        <v>25</v>
      </c>
      <c r="S502" s="35"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5">
        <f t="shared" si="111"/>
        <v>1920</v>
      </c>
      <c r="U502" s="31"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6"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31"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31">
        <v>529</v>
      </c>
      <c r="Y502" s="31" t="str">
        <f t="shared" si="101"/>
        <v>['Benedetto XV', 'Motu Proprio', 'Bonum Sane, sulla devozione a San Giuseppe da mezzo secolo Patrono della Chiesa cattolica', 'bxv-mpr-bos', '25 luglio 1920', '25/07/1920', '1920/07/25'],</v>
      </c>
      <c r="Z502" s="31" t="str">
        <f t="shared" si="102"/>
        <v>Bonum Sane, sulla devozione a San Giuseppe da mezzo secolo Patrono della Chiesa cattolica (7512) | Benedetto XV</v>
      </c>
      <c r="AA502" s="31" t="str">
        <f t="shared" si="103"/>
        <v>Motu Proprio Bonum Sane, sulla devozione a San Giuseppe da mezzo secolo Patrono della Chiesa cattolica</v>
      </c>
      <c r="AB502" s="31" t="str">
        <f t="shared" si="104"/>
        <v>Motu Proprio Bonum Sane, sulla devozione a San Giuseppe da mezzo secolo Patrono della Chiesa cattolica</v>
      </c>
      <c r="AC502" s="31" t="str">
        <f t="shared" si="105"/>
        <v>Benedetto XV, Motu Proprio Bonum Sane, sulla devozione a San Giuseppe da mezzo secolo Patrono della Chiesa cattolica, 25 luglio 1920</v>
      </c>
      <c r="AD502" s="31" t="str">
        <f t="shared" si="106"/>
        <v>1920-07-25T08:00:00.000+02:00</v>
      </c>
      <c r="AE502" s="31" t="str">
        <f t="shared" si="116"/>
        <v>bxv-mpr-bos</v>
      </c>
      <c r="AF502" s="31" t="str">
        <f t="shared" si="117"/>
        <v>Benedetto XV - Motu Proprio - Bonum Sane, sulla devozione a San Giuseppe da mezzo secolo Patrono della Chiesa cattolica</v>
      </c>
    </row>
    <row r="503" spans="2:32" s="31" customFormat="1" x14ac:dyDescent="0.2">
      <c r="B503" s="31">
        <v>258</v>
      </c>
      <c r="C503" s="31" t="s">
        <v>3088</v>
      </c>
      <c r="D503" s="31" t="s">
        <v>699</v>
      </c>
      <c r="E503" s="31" t="s">
        <v>738</v>
      </c>
      <c r="F503" s="31" t="s">
        <v>608</v>
      </c>
      <c r="G503" s="31" t="s">
        <v>609</v>
      </c>
      <c r="H503" s="31" t="str">
        <f t="shared" si="120"/>
        <v>Benedetto XV</v>
      </c>
      <c r="K503" s="31" t="s">
        <v>557</v>
      </c>
      <c r="L503" s="31" t="str">
        <f t="shared" si="115"/>
        <v>Motu Proprio</v>
      </c>
      <c r="M503" s="31" t="s">
        <v>571</v>
      </c>
      <c r="O503" s="31" t="s">
        <v>3099</v>
      </c>
      <c r="P503" s="31" t="s">
        <v>3110</v>
      </c>
      <c r="Q503" s="40">
        <v>6704</v>
      </c>
      <c r="R503" s="35">
        <f t="shared" si="110"/>
        <v>9</v>
      </c>
      <c r="S503" s="35"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5">
        <f t="shared" si="111"/>
        <v>1918</v>
      </c>
      <c r="U503" s="31"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6"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31"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31">
        <v>530</v>
      </c>
      <c r="Y503" s="31" t="str">
        <f t="shared" si="101"/>
        <v>['Benedetto XV', 'Motu Proprio', 'Quartus Iam Annus con il quale viene disposto che in tutto il mondo il 29 giugno 1918, festa dei Santi Pietro e Paolo, i sacerdoti celebrino la Messa chiedendo espressamente la pace', 'bxv-mpr-qia', '09 maggio 1918', '09/05/1918', '1918/05/09'],</v>
      </c>
      <c r="Z503" s="31" t="str">
        <f t="shared" si="102"/>
        <v>Quartus Iam Annus con il quale viene disposto che in tutto il mondo il 29 giugno 1918, festa dei Santi Pietro e Paolo, i sacerdoti celebrino la Messa chiedendo espressamente la pace (6704) | Benedetto XV</v>
      </c>
      <c r="AA503" s="31" t="str">
        <f t="shared" si="103"/>
        <v>Motu Proprio Quartus Iam Annus con il quale viene disposto che in tutto il mondo il 29 giugno 1918, festa dei Santi Pietro e Paolo, i sacerdoti celebrino la Messa chiedendo espressamente la pace</v>
      </c>
      <c r="AB503" s="31" t="str">
        <f t="shared" si="104"/>
        <v>Motu Proprio Quartus Iam Annus con il quale viene disposto che in tutto il mondo il 29 giugno 1918, festa dei Santi Pietro e Paolo, i sacerdoti celebrino la Messa chiedendo espressamente la pace</v>
      </c>
      <c r="AC503" s="31" t="str">
        <f t="shared" si="105"/>
        <v>Benedetto XV, Motu Proprio Quartus Iam Annus con il quale viene disposto che in tutto il mondo il 29 giugno 1918, festa dei Santi Pietro e Paolo, i sacerdoti celebrino la Messa chiedendo espressamente la pace, 09 maggio 1918</v>
      </c>
      <c r="AD503" s="31" t="str">
        <f t="shared" si="106"/>
        <v>1918-05-09T08:00:00.000+02:00</v>
      </c>
      <c r="AE503" s="31" t="str">
        <f t="shared" si="116"/>
        <v>bxv-mpr-qia</v>
      </c>
      <c r="AF503" s="31" t="str">
        <f t="shared" si="117"/>
        <v>Benedetto XV - Motu Proprio - Quartus Iam Annus con il quale viene disposto che in tutto il mondo il 29 giugno 1918, festa dei Santi Pietro e Paolo, i sacerdoti celebrino la Messa chiedendo espressamente la pace</v>
      </c>
    </row>
    <row r="504" spans="2:32" s="31" customFormat="1" x14ac:dyDescent="0.2">
      <c r="B504" s="31">
        <v>258</v>
      </c>
      <c r="C504" s="31" t="s">
        <v>3089</v>
      </c>
      <c r="D504" s="31" t="s">
        <v>699</v>
      </c>
      <c r="E504" s="31" t="s">
        <v>738</v>
      </c>
      <c r="F504" s="31" t="s">
        <v>608</v>
      </c>
      <c r="G504" s="31" t="s">
        <v>609</v>
      </c>
      <c r="H504" s="31" t="str">
        <f t="shared" si="120"/>
        <v>Benedetto XV</v>
      </c>
      <c r="K504" s="31" t="s">
        <v>557</v>
      </c>
      <c r="L504" s="31" t="str">
        <f t="shared" si="115"/>
        <v>Motu Proprio</v>
      </c>
      <c r="M504" s="31" t="s">
        <v>571</v>
      </c>
      <c r="O504" s="31" t="s">
        <v>3100</v>
      </c>
      <c r="P504" s="31" t="s">
        <v>3111</v>
      </c>
      <c r="Q504" s="40">
        <v>6498</v>
      </c>
      <c r="R504" s="35">
        <f t="shared" si="110"/>
        <v>15</v>
      </c>
      <c r="S504" s="35"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5">
        <f t="shared" si="111"/>
        <v>1917</v>
      </c>
      <c r="U504" s="31"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6"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31"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31">
        <v>531</v>
      </c>
      <c r="Y504" s="31" t="str">
        <f t="shared" si="101"/>
        <v>['Benedetto XV', 'Motu Proprio', 'Orientis Catholici con il quale viene istituito in Roma un Istituto culturale pontificio per l’approfondimento e lo sviluppo degli studi orientali', 'bxv-mpr-orc', '15 ottobre 1917', '15/10/1917', '1917/10/15'],</v>
      </c>
      <c r="Z504" s="31" t="str">
        <f t="shared" si="102"/>
        <v>Orientis Catholici con il quale viene istituito in Roma un Istituto culturale pontificio per l’approfondimento e lo sviluppo degli studi orientali (6498) | Benedetto XV</v>
      </c>
      <c r="AA504" s="31" t="str">
        <f t="shared" si="103"/>
        <v>Motu Proprio Orientis Catholici con il quale viene istituito in Roma un Istituto culturale pontificio per l’approfondimento e lo sviluppo degli studi orientali</v>
      </c>
      <c r="AB504" s="31" t="str">
        <f t="shared" si="104"/>
        <v>Motu Proprio Orientis Catholici con il quale viene istituito in Roma un Istituto culturale pontificio per l’approfondimento e lo sviluppo degli studi orientali</v>
      </c>
      <c r="AC504" s="31" t="str">
        <f t="shared" si="105"/>
        <v>Benedetto XV, Motu Proprio Orientis Catholici con il quale viene istituito in Roma un Istituto culturale pontificio per l’approfondimento e lo sviluppo degli studi orientali, 15 ottobre 1917</v>
      </c>
      <c r="AD504" s="31" t="str">
        <f t="shared" si="106"/>
        <v>1917-10-15T08:00:00.000+02:00</v>
      </c>
      <c r="AE504" s="31" t="str">
        <f t="shared" si="116"/>
        <v>bxv-mpr-orc</v>
      </c>
      <c r="AF504" s="31" t="str">
        <f t="shared" si="117"/>
        <v>Benedetto XV - Motu Proprio - Orientis Catholici con il quale viene istituito in Roma un Istituto culturale pontificio per l’approfondimento e lo sviluppo degli studi orientali</v>
      </c>
    </row>
    <row r="505" spans="2:32" s="31" customFormat="1" x14ac:dyDescent="0.2">
      <c r="B505" s="31">
        <v>258</v>
      </c>
      <c r="C505" s="31" t="s">
        <v>3090</v>
      </c>
      <c r="D505" s="31" t="s">
        <v>699</v>
      </c>
      <c r="E505" s="31" t="s">
        <v>738</v>
      </c>
      <c r="F505" s="31" t="s">
        <v>608</v>
      </c>
      <c r="G505" s="31" t="s">
        <v>609</v>
      </c>
      <c r="H505" s="31" t="str">
        <f t="shared" si="120"/>
        <v>Benedetto XV</v>
      </c>
      <c r="K505" s="31" t="s">
        <v>557</v>
      </c>
      <c r="L505" s="31" t="str">
        <f t="shared" si="115"/>
        <v>Motu Proprio</v>
      </c>
      <c r="M505" s="31" t="s">
        <v>571</v>
      </c>
      <c r="O505" s="31" t="s">
        <v>3101</v>
      </c>
      <c r="P505" s="31" t="s">
        <v>3112</v>
      </c>
      <c r="Q505" s="40">
        <v>6468</v>
      </c>
      <c r="R505" s="35">
        <f t="shared" si="110"/>
        <v>15</v>
      </c>
      <c r="S505" s="35"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5">
        <f t="shared" si="111"/>
        <v>1917</v>
      </c>
      <c r="U505" s="31"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6"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31"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31">
        <v>532</v>
      </c>
      <c r="Y505" s="31" t="str">
        <f t="shared" si="101"/>
        <v>['Benedetto XV', 'Motu Proprio', 'Cum Iuris Canonici con il quale viene istituita una Commissione di Cardinali alla quale spetta il diritto di pronunciarsi sull’interpretazione autentica dei canoni', 'bxv-mpr-cic', '15 settembre 1917', '15/09/1917', '1917/09/15'],</v>
      </c>
      <c r="Z505" s="31" t="str">
        <f t="shared" si="102"/>
        <v>Cum Iuris Canonici con il quale viene istituita una Commissione di Cardinali alla quale spetta il diritto di pronunciarsi sull’interpretazione autentica dei canoni (6468) | Benedetto XV</v>
      </c>
      <c r="AA505" s="31" t="str">
        <f t="shared" si="103"/>
        <v>Motu Proprio Cum Iuris Canonici con il quale viene istituita una Commissione di Cardinali alla quale spetta il diritto di pronunciarsi sull’interpretazione autentica dei canoni</v>
      </c>
      <c r="AB505" s="31" t="str">
        <f t="shared" si="104"/>
        <v>Motu Proprio Cum Iuris Canonici con il quale viene istituita una Commissione di Cardinali alla quale spetta il diritto di pronunciarsi sull’interpretazione autentica dei canoni</v>
      </c>
      <c r="AC505" s="31" t="str">
        <f t="shared" si="105"/>
        <v>Benedetto XV, Motu Proprio Cum Iuris Canonici con il quale viene istituita una Commissione di Cardinali alla quale spetta il diritto di pronunciarsi sull’interpretazione autentica dei canoni, 15 settembre 1917</v>
      </c>
      <c r="AD505" s="31" t="str">
        <f t="shared" si="106"/>
        <v>1917-09-15T08:00:00.000+02:00</v>
      </c>
      <c r="AE505" s="31" t="str">
        <f t="shared" si="116"/>
        <v>bxv-mpr-cic</v>
      </c>
      <c r="AF505" s="31" t="str">
        <f t="shared" si="117"/>
        <v>Benedetto XV - Motu Proprio - Cum Iuris Canonici con il quale viene istituita una Commissione di Cardinali alla quale spetta il diritto di pronunciarsi sull’interpretazione autentica dei canoni</v>
      </c>
    </row>
    <row r="506" spans="2:32" s="31" customFormat="1" x14ac:dyDescent="0.2">
      <c r="B506" s="31">
        <v>258</v>
      </c>
      <c r="C506" s="31" t="s">
        <v>3091</v>
      </c>
      <c r="D506" s="31" t="s">
        <v>699</v>
      </c>
      <c r="E506" s="31" t="s">
        <v>738</v>
      </c>
      <c r="F506" s="31" t="s">
        <v>608</v>
      </c>
      <c r="G506" s="31" t="s">
        <v>609</v>
      </c>
      <c r="H506" s="31" t="str">
        <f t="shared" si="120"/>
        <v>Benedetto XV</v>
      </c>
      <c r="K506" s="31" t="s">
        <v>557</v>
      </c>
      <c r="L506" s="31" t="str">
        <f t="shared" si="115"/>
        <v>Motu Proprio</v>
      </c>
      <c r="M506" s="31" t="s">
        <v>571</v>
      </c>
      <c r="O506" s="31" t="s">
        <v>3102</v>
      </c>
      <c r="P506" s="31" t="s">
        <v>2956</v>
      </c>
      <c r="Q506" s="40">
        <v>6331</v>
      </c>
      <c r="R506" s="35">
        <f t="shared" si="110"/>
        <v>1</v>
      </c>
      <c r="S506" s="35"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5">
        <f t="shared" si="111"/>
        <v>1917</v>
      </c>
      <c r="U506" s="31"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6"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31"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31">
        <v>533</v>
      </c>
      <c r="Y506" s="31" t="str">
        <f t="shared" si="101"/>
        <v>['Benedetto XV', 'Motu Proprio', 'Dei Providentis con il quale viene istituita la Sacra Congregazione per la Chiesa Orientale', 'bxv-mpr-dep', '01 maggio 1917', '01/05/1917', '1917/05/01'],</v>
      </c>
      <c r="Z506" s="31" t="str">
        <f t="shared" si="102"/>
        <v>Dei Providentis con il quale viene istituita la Sacra Congregazione per la Chiesa Orientale (6331) | Benedetto XV</v>
      </c>
      <c r="AA506" s="31" t="str">
        <f t="shared" si="103"/>
        <v>Motu Proprio Dei Providentis con il quale viene istituita la Sacra Congregazione per la Chiesa Orientale</v>
      </c>
      <c r="AB506" s="31" t="str">
        <f t="shared" si="104"/>
        <v>Motu Proprio Dei Providentis con il quale viene istituita la Sacra Congregazione per la Chiesa Orientale</v>
      </c>
      <c r="AC506" s="31" t="str">
        <f t="shared" si="105"/>
        <v>Benedetto XV, Motu Proprio Dei Providentis con il quale viene istituita la Sacra Congregazione per la Chiesa Orientale, 01 maggio 1917</v>
      </c>
      <c r="AD506" s="31" t="str">
        <f t="shared" si="106"/>
        <v>1917-05-01T08:00:00.000+02:00</v>
      </c>
      <c r="AE506" s="31" t="str">
        <f t="shared" si="116"/>
        <v>bxv-mpr-dep</v>
      </c>
      <c r="AF506" s="31" t="str">
        <f t="shared" si="117"/>
        <v>Benedetto XV - Motu Proprio - Dei Providentis con il quale viene istituita la Sacra Congregazione per la Chiesa Orientale</v>
      </c>
    </row>
    <row r="507" spans="2:32" s="31" customFormat="1" x14ac:dyDescent="0.2">
      <c r="B507" s="31">
        <v>258</v>
      </c>
      <c r="C507" s="31" t="s">
        <v>3092</v>
      </c>
      <c r="D507" s="31" t="s">
        <v>699</v>
      </c>
      <c r="E507" s="31" t="s">
        <v>738</v>
      </c>
      <c r="F507" s="31" t="s">
        <v>608</v>
      </c>
      <c r="G507" s="31" t="s">
        <v>609</v>
      </c>
      <c r="H507" s="31" t="str">
        <f t="shared" si="120"/>
        <v>Benedetto XV</v>
      </c>
      <c r="K507" s="31" t="s">
        <v>557</v>
      </c>
      <c r="L507" s="31" t="str">
        <f t="shared" si="115"/>
        <v>Motu Proprio</v>
      </c>
      <c r="M507" s="31" t="s">
        <v>571</v>
      </c>
      <c r="O507" s="31" t="s">
        <v>3103</v>
      </c>
      <c r="P507" s="31" t="s">
        <v>1920</v>
      </c>
      <c r="Q507" s="40">
        <v>6308</v>
      </c>
      <c r="R507" s="35">
        <f t="shared" si="110"/>
        <v>8</v>
      </c>
      <c r="S507" s="35"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5">
        <f t="shared" si="111"/>
        <v>1917</v>
      </c>
      <c r="U507" s="31"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6"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31"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31">
        <v>534</v>
      </c>
      <c r="Y507" s="31" t="str">
        <f t="shared" si="101"/>
        <v>['Benedetto XV', 'Motu Proprio', 'Nobilissimam Sacrarum con il quale si dispone l’assegnazione dell’Almo Collegio Capranicense di Roma alla Patriarcale Basilica Liberiana', 'bxv-mpr-nos', '08 aprile 1917', '08/04/1917', '1917/04/08'],</v>
      </c>
      <c r="Z507" s="31" t="str">
        <f t="shared" si="102"/>
        <v>Nobilissimam Sacrarum con il quale si dispone l’assegnazione dell’Almo Collegio Capranicense di Roma alla Patriarcale Basilica Liberiana (6308) | Benedetto XV</v>
      </c>
      <c r="AA507" s="31" t="str">
        <f t="shared" si="103"/>
        <v>Motu Proprio Nobilissimam Sacrarum con il quale si dispone l’assegnazione dell’Almo Collegio Capranicense di Roma alla Patriarcale Basilica Liberiana</v>
      </c>
      <c r="AB507" s="31" t="str">
        <f t="shared" si="104"/>
        <v>Motu Proprio Nobilissimam Sacrarum con il quale si dispone l’assegnazione dell’Almo Collegio Capranicense di Roma alla Patriarcale Basilica Liberiana</v>
      </c>
      <c r="AC507" s="31" t="str">
        <f t="shared" si="105"/>
        <v>Benedetto XV, Motu Proprio Nobilissimam Sacrarum con il quale si dispone l’assegnazione dell’Almo Collegio Capranicense di Roma alla Patriarcale Basilica Liberiana, 08 aprile 1917</v>
      </c>
      <c r="AD507" s="31" t="str">
        <f t="shared" si="106"/>
        <v>1917-04-08T08:00:00.000+02:00</v>
      </c>
      <c r="AE507" s="31" t="str">
        <f t="shared" si="116"/>
        <v>bxv-mpr-nos</v>
      </c>
      <c r="AF507" s="31" t="str">
        <f t="shared" si="117"/>
        <v>Benedetto XV - Motu Proprio - Nobilissimam Sacrarum con il quale si dispone l’assegnazione dell’Almo Collegio Capranicense di Roma alla Patriarcale Basilica Liberiana</v>
      </c>
    </row>
    <row r="508" spans="2:32" s="31" customFormat="1" x14ac:dyDescent="0.2">
      <c r="B508" s="31">
        <v>258</v>
      </c>
      <c r="C508" s="31" t="s">
        <v>3093</v>
      </c>
      <c r="D508" s="31" t="s">
        <v>699</v>
      </c>
      <c r="E508" s="31" t="s">
        <v>738</v>
      </c>
      <c r="F508" s="31" t="s">
        <v>608</v>
      </c>
      <c r="G508" s="31" t="s">
        <v>609</v>
      </c>
      <c r="H508" s="31" t="str">
        <f t="shared" si="120"/>
        <v>Benedetto XV</v>
      </c>
      <c r="K508" s="31" t="s">
        <v>557</v>
      </c>
      <c r="L508" s="31" t="str">
        <f t="shared" si="115"/>
        <v>Motu Proprio</v>
      </c>
      <c r="M508" s="31" t="s">
        <v>571</v>
      </c>
      <c r="O508" s="31" t="s">
        <v>3104</v>
      </c>
      <c r="P508" s="31" t="s">
        <v>3113</v>
      </c>
      <c r="Q508" s="40">
        <v>6294</v>
      </c>
      <c r="R508" s="35">
        <f t="shared" si="110"/>
        <v>25</v>
      </c>
      <c r="S508" s="35"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5">
        <f t="shared" si="111"/>
        <v>1917</v>
      </c>
      <c r="U508" s="31"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6"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31"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31">
        <v>535</v>
      </c>
      <c r="Y508" s="31" t="str">
        <f t="shared" si="101"/>
        <v>['Benedetto XV', 'Motu Proprio', 'Alloquentes Proxime con il quale si decide la fusione delle Sacre Congregazioni dell’Indice e del Sant’Uffizio e affidata alla Penitenzieria Apostolica la materia riguardante le Indulgenze', 'bxv-mpr-alp', '25 marzo 1917', '25/03/1917', '1917/03/25'],</v>
      </c>
      <c r="Z508" s="31" t="str">
        <f t="shared" si="102"/>
        <v>Alloquentes Proxime con il quale si decide la fusione delle Sacre Congregazioni dell’Indice e del Sant’Uffizio e affidata alla Penitenzieria Apostolica la materia riguardante le Indulgenze (6294) | Benedetto XV</v>
      </c>
      <c r="AA508" s="31" t="str">
        <f t="shared" si="103"/>
        <v>Motu Proprio Alloquentes Proxime con il quale si decide la fusione delle Sacre Congregazioni dell’Indice e del Sant’Uffizio e affidata alla Penitenzieria Apostolica la materia riguardante le Indulgenze</v>
      </c>
      <c r="AB508" s="31" t="str">
        <f t="shared" si="104"/>
        <v>Motu Proprio Alloquentes Proxime con il quale si decide la fusione delle Sacre Congregazioni dell’Indice e del Sant’Uffizio e affidata alla Penitenzieria Apostolica la materia riguardante le Indulgenze</v>
      </c>
      <c r="AC508" s="31" t="str">
        <f t="shared" si="105"/>
        <v>Benedetto XV, Motu Proprio Alloquentes Proxime con il quale si decide la fusione delle Sacre Congregazioni dell’Indice e del Sant’Uffizio e affidata alla Penitenzieria Apostolica la materia riguardante le Indulgenze, 25 marzo 1917</v>
      </c>
      <c r="AD508" s="31" t="str">
        <f t="shared" si="106"/>
        <v>1917-03-25T08:00:00.000+02:00</v>
      </c>
      <c r="AE508" s="31" t="str">
        <f t="shared" si="116"/>
        <v>bxv-mpr-alp</v>
      </c>
      <c r="AF508" s="31" t="str">
        <f t="shared" si="117"/>
        <v>Benedetto XV - Motu Proprio - Alloquentes Proxime con il quale si decide la fusione delle Sacre Congregazioni dell’Indice e del Sant’Uffizio e affidata alla Penitenzieria Apostolica la materia riguardante le Indulgenze</v>
      </c>
    </row>
    <row r="509" spans="2:32" s="31" customFormat="1" x14ac:dyDescent="0.2">
      <c r="B509" s="31">
        <v>258</v>
      </c>
      <c r="C509" s="31" t="s">
        <v>3094</v>
      </c>
      <c r="D509" s="31" t="s">
        <v>699</v>
      </c>
      <c r="E509" s="31" t="s">
        <v>738</v>
      </c>
      <c r="F509" s="31" t="s">
        <v>608</v>
      </c>
      <c r="G509" s="31" t="s">
        <v>609</v>
      </c>
      <c r="H509" s="31" t="str">
        <f t="shared" si="120"/>
        <v>Benedetto XV</v>
      </c>
      <c r="K509" s="31" t="s">
        <v>557</v>
      </c>
      <c r="L509" s="31" t="str">
        <f t="shared" si="115"/>
        <v>Motu Proprio</v>
      </c>
      <c r="M509" s="31" t="s">
        <v>571</v>
      </c>
      <c r="O509" s="31" t="s">
        <v>3105</v>
      </c>
      <c r="P509" s="31" t="s">
        <v>3114</v>
      </c>
      <c r="Q509" s="40">
        <v>5787</v>
      </c>
      <c r="R509" s="35">
        <f t="shared" si="110"/>
        <v>4</v>
      </c>
      <c r="S509" s="35"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5">
        <f t="shared" si="111"/>
        <v>1915</v>
      </c>
      <c r="U509" s="31"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6"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31"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31">
        <v>536</v>
      </c>
      <c r="Y509" s="31" t="str">
        <f t="shared" si="101"/>
        <v>['Benedetto XV', 'Motu Proprio', 'Seminaria Clericorum con il quale si dispone la nascita della Sacra Congregazione dei Seminari e delle Università degli studi', 'bxv-mpr-sec', '04 novembre 1915', '04/11/1915', '1915/11/04'],</v>
      </c>
      <c r="Z509" s="31" t="str">
        <f t="shared" si="102"/>
        <v>Seminaria Clericorum con il quale si dispone la nascita della Sacra Congregazione dei Seminari e delle Università degli studi (5787) | Benedetto XV</v>
      </c>
      <c r="AA509" s="31" t="str">
        <f t="shared" si="103"/>
        <v>Motu Proprio Seminaria Clericorum con il quale si dispone la nascita della Sacra Congregazione dei Seminari e delle Università degli studi</v>
      </c>
      <c r="AB509" s="31" t="str">
        <f t="shared" si="104"/>
        <v>Motu Proprio Seminaria Clericorum con il quale si dispone la nascita della Sacra Congregazione dei Seminari e delle Università degli studi</v>
      </c>
      <c r="AC509" s="31" t="str">
        <f t="shared" si="105"/>
        <v>Benedetto XV, Motu Proprio Seminaria Clericorum con il quale si dispone la nascita della Sacra Congregazione dei Seminari e delle Università degli studi, 04 novembre 1915</v>
      </c>
      <c r="AD509" s="31" t="str">
        <f t="shared" si="106"/>
        <v>1915-11-04T08:00:00.000+02:00</v>
      </c>
      <c r="AE509" s="31" t="str">
        <f t="shared" si="116"/>
        <v>bxv-mpr-sec</v>
      </c>
      <c r="AF509" s="31" t="str">
        <f t="shared" si="117"/>
        <v>Benedetto XV - Motu Proprio - Seminaria Clericorum con il quale si dispone la nascita della Sacra Congregazione dei Seminari e delle Università degli studi</v>
      </c>
    </row>
    <row r="510" spans="2:32" s="31" customFormat="1" x14ac:dyDescent="0.2">
      <c r="B510" s="31">
        <v>258</v>
      </c>
      <c r="C510" s="31" t="s">
        <v>3095</v>
      </c>
      <c r="D510" s="31" t="s">
        <v>699</v>
      </c>
      <c r="E510" s="31" t="s">
        <v>738</v>
      </c>
      <c r="F510" s="31" t="s">
        <v>608</v>
      </c>
      <c r="G510" s="31" t="s">
        <v>609</v>
      </c>
      <c r="H510" s="31" t="str">
        <f t="shared" si="120"/>
        <v>Benedetto XV</v>
      </c>
      <c r="K510" s="31" t="s">
        <v>557</v>
      </c>
      <c r="L510" s="31" t="str">
        <f t="shared" si="115"/>
        <v>Motu Proprio</v>
      </c>
      <c r="M510" s="31" t="s">
        <v>571</v>
      </c>
      <c r="O510" s="31" t="s">
        <v>3106</v>
      </c>
      <c r="P510" s="31" t="s">
        <v>3115</v>
      </c>
      <c r="Q510" s="40">
        <v>5738</v>
      </c>
      <c r="R510" s="35">
        <f t="shared" si="110"/>
        <v>16</v>
      </c>
      <c r="S510" s="35"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5">
        <f t="shared" si="111"/>
        <v>1915</v>
      </c>
      <c r="U510" s="31"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6"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31"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31">
        <v>537</v>
      </c>
      <c r="Y510" s="31"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31" t="str">
        <f t="shared" si="102"/>
        <v>Quandoquidem in iis con il quale si ribadisce che dovranno essere sottoposti all’esame della Suprema Congregazione del Santo Ufficio soltanto i documenti relativi alle Indulgenze che siano concesse ai fedeli di tutto il mondo cattolico (5738) | Benedetto XV</v>
      </c>
      <c r="AA510" s="31" t="str">
        <f t="shared" si="103"/>
        <v>Motu Proprio Quandoquidem in iis con il quale si ribadisce che dovranno essere sottoposti all’esame della Suprema Congregazione del Santo Ufficio soltanto i documenti relativi alle Indulgenze che siano concesse ai fedeli di tutto il mondo cattolico</v>
      </c>
      <c r="AB510" s="31" t="str">
        <f t="shared" si="104"/>
        <v>Motu Proprio Quandoquidem in iis con il quale si ribadisce che dovranno essere sottoposti all’esame della Suprema Congregazione del Santo Ufficio soltanto i documenti relativi alle Indulgenze che siano concesse ai fedeli di tutto il mondo cattolico</v>
      </c>
      <c r="AC510" s="31" t="str">
        <f t="shared" si="105"/>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31" t="str">
        <f t="shared" si="106"/>
        <v>1915-09-16T08:00:00.000+02:00</v>
      </c>
      <c r="AE510" s="31" t="str">
        <f t="shared" si="116"/>
        <v>bxv-mpr-qii</v>
      </c>
      <c r="AF510" s="31" t="str">
        <f t="shared" si="117"/>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31" customFormat="1" x14ac:dyDescent="0.2">
      <c r="B511" s="31">
        <v>258</v>
      </c>
      <c r="C511" s="31" t="s">
        <v>3096</v>
      </c>
      <c r="D511" s="31" t="s">
        <v>699</v>
      </c>
      <c r="E511" s="31" t="s">
        <v>738</v>
      </c>
      <c r="F511" s="31" t="s">
        <v>608</v>
      </c>
      <c r="G511" s="31" t="s">
        <v>609</v>
      </c>
      <c r="H511" s="31" t="str">
        <f t="shared" si="120"/>
        <v>Benedetto XV</v>
      </c>
      <c r="K511" s="31" t="s">
        <v>557</v>
      </c>
      <c r="L511" s="31" t="str">
        <f t="shared" si="115"/>
        <v>Motu Proprio</v>
      </c>
      <c r="M511" s="31" t="s">
        <v>571</v>
      </c>
      <c r="O511" s="31" t="s">
        <v>3107</v>
      </c>
      <c r="P511" s="31" t="s">
        <v>3116</v>
      </c>
      <c r="Q511" s="40">
        <v>5479</v>
      </c>
      <c r="R511" s="35">
        <f t="shared" si="110"/>
        <v>31</v>
      </c>
      <c r="S511" s="35"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5">
        <f t="shared" si="111"/>
        <v>1914</v>
      </c>
      <c r="U511" s="31"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6"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31"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31">
        <v>538</v>
      </c>
      <c r="Y511" s="31"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31" t="str">
        <f t="shared" si="102"/>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31" t="str">
        <f t="shared" si="103"/>
        <v>Motu Proprio Non multo post con il quale vengono impartite nuove regole relative agli studi ed agli esami di dottrina che gli alunni dovranno sostenere per conseguire la laurea di dottore e l’iscrizione fra i membri dell’Accademia romana di San Tommaso d’Aquino</v>
      </c>
      <c r="AB511" s="31" t="str">
        <f t="shared" si="104"/>
        <v>Motu Proprio Non multo post con il quale vengono impartite nuove regole relative agli studi ed agli esami di dottrina che gli alunni dovranno sostenere per conseguire la laurea di dottore e l’iscrizione fra i membri dell’Accademia romana di San Tommaso d’Aquino</v>
      </c>
      <c r="AC511" s="31" t="str">
        <f t="shared" si="105"/>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31" t="str">
        <f t="shared" si="106"/>
        <v>1914-12-31T08:00:00.000+02:00</v>
      </c>
      <c r="AE511" s="31" t="str">
        <f t="shared" si="116"/>
        <v>bxv-mpr-nmp</v>
      </c>
      <c r="AF511" s="31" t="str">
        <f t="shared" si="117"/>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31" customFormat="1" x14ac:dyDescent="0.2">
      <c r="B512" s="31">
        <v>258</v>
      </c>
      <c r="C512" s="31" t="s">
        <v>3097</v>
      </c>
      <c r="D512" s="31" t="s">
        <v>699</v>
      </c>
      <c r="E512" s="31" t="s">
        <v>738</v>
      </c>
      <c r="F512" s="31" t="s">
        <v>608</v>
      </c>
      <c r="G512" s="31" t="s">
        <v>609</v>
      </c>
      <c r="H512" s="31" t="str">
        <f t="shared" si="120"/>
        <v>Benedetto XV</v>
      </c>
      <c r="K512" s="31" t="s">
        <v>557</v>
      </c>
      <c r="L512" s="31" t="str">
        <f t="shared" si="115"/>
        <v>Motu Proprio</v>
      </c>
      <c r="M512" s="31" t="s">
        <v>571</v>
      </c>
      <c r="O512" s="31" t="s">
        <v>3108</v>
      </c>
      <c r="P512" s="31" t="s">
        <v>3117</v>
      </c>
      <c r="Q512" s="40">
        <v>5441</v>
      </c>
      <c r="R512" s="35">
        <f t="shared" si="110"/>
        <v>23</v>
      </c>
      <c r="S512" s="35"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5">
        <f t="shared" si="111"/>
        <v>1914</v>
      </c>
      <c r="U512" s="31"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6"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31"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31">
        <v>539</v>
      </c>
      <c r="Y512" s="31" t="str">
        <f t="shared" si="101"/>
        <v>['Benedetto XV', 'Motu Proprio', 'Consilium a Decessore con il quale la Commissione per la revisione della versione «Vulgata » dei Libri Sacri viene onorata del titolo di « Pontificia »', 'bxv-mpr-cad', '23 novembre 1914', '23/11/1914', '1914/11/23'],</v>
      </c>
      <c r="Z512" s="31" t="str">
        <f t="shared" si="102"/>
        <v>Consilium a Decessore con il quale la Commissione per la revisione della versione «Vulgata » dei Libri Sacri viene onorata del titolo di « Pontificia » (5441) | Benedetto XV</v>
      </c>
      <c r="AA512" s="31" t="str">
        <f t="shared" si="103"/>
        <v>Motu Proprio Consilium a Decessore con il quale la Commissione per la revisione della versione «Vulgata » dei Libri Sacri viene onorata del titolo di « Pontificia »</v>
      </c>
      <c r="AB512" s="31" t="str">
        <f t="shared" si="104"/>
        <v>Motu Proprio Consilium a Decessore con il quale la Commissione per la revisione della versione «Vulgata » dei Libri Sacri viene onorata del titolo di « Pontificia »</v>
      </c>
      <c r="AC512" s="31" t="str">
        <f t="shared" si="105"/>
        <v>Benedetto XV, Motu Proprio Consilium a Decessore con il quale la Commissione per la revisione della versione «Vulgata » dei Libri Sacri viene onorata del titolo di « Pontificia », 23 novembre 1914</v>
      </c>
      <c r="AD512" s="31" t="str">
        <f t="shared" si="106"/>
        <v>1914-11-23T08:00:00.000+02:00</v>
      </c>
      <c r="AE512" s="31" t="str">
        <f t="shared" si="116"/>
        <v>bxv-mpr-cad</v>
      </c>
      <c r="AF512" s="31" t="str">
        <f t="shared" si="117"/>
        <v>Benedetto XV - Motu Proprio - Consilium a Decessore con il quale la Commissione per la revisione della versione «Vulgata » dei Libri Sacri viene onorata del titolo di « Pontificia »</v>
      </c>
    </row>
    <row r="513" spans="2:32" s="31" customFormat="1" x14ac:dyDescent="0.2">
      <c r="B513" s="31">
        <v>258</v>
      </c>
      <c r="C513" s="31" t="s">
        <v>3118</v>
      </c>
      <c r="D513" s="31" t="s">
        <v>699</v>
      </c>
      <c r="E513" s="31" t="s">
        <v>738</v>
      </c>
      <c r="F513" s="31" t="s">
        <v>608</v>
      </c>
      <c r="G513" s="31" t="s">
        <v>609</v>
      </c>
      <c r="H513" s="31" t="str">
        <f t="shared" ref="H513" si="121">_xlfn.CONCAT(D513 &amp; " " &amp; E513)</f>
        <v>Benedetto XV</v>
      </c>
      <c r="K513" s="31" t="s">
        <v>833</v>
      </c>
      <c r="L513" s="31" t="str">
        <f t="shared" si="115"/>
        <v>Omelia</v>
      </c>
      <c r="M513" s="31" t="s">
        <v>572</v>
      </c>
      <c r="O513" s="31" t="s">
        <v>3119</v>
      </c>
      <c r="P513" s="31" t="s">
        <v>3120</v>
      </c>
      <c r="Q513" s="40">
        <v>6056</v>
      </c>
      <c r="R513" s="35">
        <f t="shared" si="110"/>
        <v>30</v>
      </c>
      <c r="S513" s="35"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5">
        <f t="shared" si="111"/>
        <v>1916</v>
      </c>
      <c r="U513" s="31"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6"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31"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31">
        <v>540</v>
      </c>
      <c r="Y513" s="31" t="str">
        <f t="shared" si="101"/>
        <v>['Benedetto XV', 'Omelia', 'Incontro con i bambini di Roma', 'bxv-ome-ibr', '30 luglio 1916', '30/07/1916', '1916/07/30'],</v>
      </c>
      <c r="Z513" s="31" t="str">
        <f t="shared" si="102"/>
        <v>Incontro con i bambini di Roma (6056) | Benedetto XV</v>
      </c>
      <c r="AA513" s="31" t="str">
        <f t="shared" si="103"/>
        <v>Omelia Incontro con i bambini di Roma</v>
      </c>
      <c r="AB513" s="31" t="str">
        <f t="shared" si="104"/>
        <v>Omelia Incontro con i bambini di Roma</v>
      </c>
      <c r="AC513" s="31" t="str">
        <f t="shared" si="105"/>
        <v>Benedetto XV, Omelia Incontro con i bambini di Roma, 30 luglio 1916</v>
      </c>
      <c r="AD513" s="31" t="str">
        <f t="shared" si="106"/>
        <v>1916-07-30T08:00:00.000+02:00</v>
      </c>
      <c r="AE513" s="31" t="str">
        <f t="shared" si="116"/>
        <v>bxv-ome-ibr</v>
      </c>
      <c r="AF513" s="31" t="str">
        <f t="shared" si="117"/>
        <v>Benedetto XV - Omelia - Incontro con i bambini di Roma</v>
      </c>
    </row>
    <row r="514" spans="2:32" s="31" customFormat="1" x14ac:dyDescent="0.2">
      <c r="B514" s="31">
        <v>258</v>
      </c>
      <c r="C514" s="31" t="s">
        <v>3137</v>
      </c>
      <c r="D514" s="31" t="s">
        <v>699</v>
      </c>
      <c r="E514" s="31" t="s">
        <v>738</v>
      </c>
      <c r="F514" s="31" t="s">
        <v>608</v>
      </c>
      <c r="G514" s="31" t="s">
        <v>609</v>
      </c>
      <c r="H514" s="31" t="str">
        <f t="shared" ref="H514:H533" si="122">_xlfn.CONCAT(D514 &amp; " " &amp; E514)</f>
        <v>Benedetto XV</v>
      </c>
      <c r="K514" s="31" t="s">
        <v>827</v>
      </c>
      <c r="L514" s="31" t="str">
        <f t="shared" si="115"/>
        <v>Discorso</v>
      </c>
      <c r="M514" s="31" t="s">
        <v>566</v>
      </c>
      <c r="O514" s="31" t="s">
        <v>3121</v>
      </c>
      <c r="P514" s="31" t="s">
        <v>3157</v>
      </c>
      <c r="Q514" s="40">
        <v>8029</v>
      </c>
      <c r="R514" s="35">
        <f t="shared" si="110"/>
        <v>24</v>
      </c>
      <c r="S514" s="35"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5">
        <f t="shared" si="111"/>
        <v>1921</v>
      </c>
      <c r="U514" s="31"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6"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31"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31">
        <v>541</v>
      </c>
      <c r="Y514" s="31" t="str">
        <f t="shared" ref="Y514:Y577" si="123">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31" t="str">
        <f t="shared" ref="Z514:Z577" si="124">_xlfn.CONCAT(O514 &amp; " (" &amp; Q514 &amp; ") | " &amp; D514 &amp; " " &amp; E514)</f>
        <v>Ai membri della Curia e della Prelatura Romana per la presentazione degli auguri natalizi (8029) | Benedetto XV</v>
      </c>
      <c r="AA514" s="31" t="str">
        <f t="shared" ref="AA514:AA577" si="125">_xlfn.CONCAT(K514 &amp; " " &amp; O514)</f>
        <v>Discorso Ai membri della Curia e della Prelatura Romana per la presentazione degli auguri natalizi</v>
      </c>
      <c r="AB514" s="31" t="str">
        <f t="shared" ref="AB514:AB577" si="126">_xlfn.CONCAT(K514 &amp; " " &amp; O514)</f>
        <v>Discorso Ai membri della Curia e della Prelatura Romana per la presentazione degli auguri natalizi</v>
      </c>
      <c r="AC514" s="31" t="str">
        <f t="shared" ref="AC514:AC577" si="127">_xlfn.CONCAT(H514 &amp; ", " &amp; L514 &amp; " " &amp; O514 &amp; ", " &amp; LEFT(U514,2) &amp; " " &amp; TEXT(VALUE(MID(U514,4,2))*29,"mmmm") &amp; " " &amp; RIGHT(U514,4))</f>
        <v>Benedetto XV, Discorso Ai membri della Curia e della Prelatura Romana per la presentazione degli auguri natalizi, 24 dicembre 1921</v>
      </c>
      <c r="AD514" s="31" t="str">
        <f t="shared" ref="AD514:AD577" si="128">_xlfn.CONCAT(RIGHT(U514,4) &amp; "-" &amp; MID(U514,4,2) &amp; "-" &amp; LEFT(U514,2) &amp; "T08:00:00.000+02:00")</f>
        <v>1921-12-24T08:00:00.000+02:00</v>
      </c>
      <c r="AE514" s="31" t="str">
        <f t="shared" si="116"/>
        <v>bxv-dis-mdc</v>
      </c>
      <c r="AF514" s="31" t="str">
        <f t="shared" si="117"/>
        <v>Benedetto XV - Discorso - Ai membri della Curia e della Prelatura Romana per la presentazione degli auguri natalizi</v>
      </c>
    </row>
    <row r="515" spans="2:32" s="31" customFormat="1" x14ac:dyDescent="0.2">
      <c r="B515" s="31">
        <v>258</v>
      </c>
      <c r="C515" s="31" t="s">
        <v>3138</v>
      </c>
      <c r="D515" s="31" t="s">
        <v>699</v>
      </c>
      <c r="E515" s="31" t="s">
        <v>738</v>
      </c>
      <c r="F515" s="31" t="s">
        <v>608</v>
      </c>
      <c r="G515" s="31" t="s">
        <v>609</v>
      </c>
      <c r="H515" s="31" t="str">
        <f t="shared" si="122"/>
        <v>Benedetto XV</v>
      </c>
      <c r="K515" s="31" t="s">
        <v>827</v>
      </c>
      <c r="L515" s="31" t="str">
        <f t="shared" si="115"/>
        <v>Discorso</v>
      </c>
      <c r="M515" s="31" t="s">
        <v>566</v>
      </c>
      <c r="O515" s="31" t="s">
        <v>3122</v>
      </c>
      <c r="P515" s="31" t="s">
        <v>3162</v>
      </c>
      <c r="Q515" s="40">
        <v>7996</v>
      </c>
      <c r="R515" s="35">
        <f t="shared" si="110"/>
        <v>21</v>
      </c>
      <c r="S515" s="35"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5">
        <f t="shared" si="111"/>
        <v>1921</v>
      </c>
      <c r="U515" s="31"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6"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31"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31">
        <v>542</v>
      </c>
      <c r="Y515" s="31" t="str">
        <f t="shared" si="123"/>
        <v>['Benedetto XV', 'Discorso', 'Ai Cardinali riuniti in Concistoro Segreto in occasione della Conferenza internazionale di Washington per il disarmo', 'bxv-dis-ciw', '21 novembre 1921', '21/11/1921', '1921/11/21'],</v>
      </c>
      <c r="Z515" s="31" t="str">
        <f t="shared" si="124"/>
        <v>Ai Cardinali riuniti in Concistoro Segreto in occasione della Conferenza internazionale di Washington per il disarmo (7996) | Benedetto XV</v>
      </c>
      <c r="AA515" s="31" t="str">
        <f t="shared" si="125"/>
        <v>Discorso Ai Cardinali riuniti in Concistoro Segreto in occasione della Conferenza internazionale di Washington per il disarmo</v>
      </c>
      <c r="AB515" s="31" t="str">
        <f t="shared" si="126"/>
        <v>Discorso Ai Cardinali riuniti in Concistoro Segreto in occasione della Conferenza internazionale di Washington per il disarmo</v>
      </c>
      <c r="AC515" s="31" t="str">
        <f t="shared" si="127"/>
        <v>Benedetto XV, Discorso Ai Cardinali riuniti in Concistoro Segreto in occasione della Conferenza internazionale di Washington per il disarmo, 21 novembre 1921</v>
      </c>
      <c r="AD515" s="31" t="str">
        <f t="shared" si="128"/>
        <v>1921-11-21T08:00:00.000+02:00</v>
      </c>
      <c r="AE515" s="31" t="str">
        <f t="shared" si="116"/>
        <v>bxv-dis-ciw</v>
      </c>
      <c r="AF515" s="31" t="str">
        <f t="shared" si="117"/>
        <v>Benedetto XV - Discorso - Ai Cardinali riuniti in Concistoro Segreto in occasione della Conferenza internazionale di Washington per il disarmo</v>
      </c>
    </row>
    <row r="516" spans="2:32" s="31" customFormat="1" x14ac:dyDescent="0.2">
      <c r="B516" s="31">
        <v>258</v>
      </c>
      <c r="C516" s="31" t="s">
        <v>3139</v>
      </c>
      <c r="D516" s="31" t="s">
        <v>699</v>
      </c>
      <c r="E516" s="31" t="s">
        <v>738</v>
      </c>
      <c r="F516" s="31" t="s">
        <v>608</v>
      </c>
      <c r="G516" s="31" t="s">
        <v>609</v>
      </c>
      <c r="H516" s="31" t="str">
        <f t="shared" si="122"/>
        <v>Benedetto XV</v>
      </c>
      <c r="K516" s="31" t="s">
        <v>827</v>
      </c>
      <c r="L516" s="31" t="str">
        <f t="shared" si="115"/>
        <v>Discorso</v>
      </c>
      <c r="M516" s="31" t="s">
        <v>566</v>
      </c>
      <c r="O516" s="31" t="s">
        <v>3123</v>
      </c>
      <c r="P516" s="31" t="s">
        <v>3158</v>
      </c>
      <c r="Q516" s="40">
        <v>7933</v>
      </c>
      <c r="R516" s="35">
        <f t="shared" si="110"/>
        <v>19</v>
      </c>
      <c r="S516" s="35"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5">
        <f t="shared" si="111"/>
        <v>1921</v>
      </c>
      <c r="U516" s="31"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6"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31"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31">
        <v>543</v>
      </c>
      <c r="Y516" s="31" t="str">
        <f t="shared" si="123"/>
        <v>['Benedetto XV', 'Discorso', 'Ai Terziari francescani in occasione del Congresso internazionale per il settimo centenario dell'istituzione del Terzo Ordine Francescano', 'bxv-dis-atf', '19 settembre 1921', '19/09/1921', '1921/09/19'],</v>
      </c>
      <c r="Z516" s="31" t="str">
        <f t="shared" si="124"/>
        <v>Ai Terziari francescani in occasione del Congresso internazionale per il settimo centenario dell'istituzione del Terzo Ordine Francescano (7933) | Benedetto XV</v>
      </c>
      <c r="AA516" s="31" t="str">
        <f t="shared" si="125"/>
        <v>Discorso Ai Terziari francescani in occasione del Congresso internazionale per il settimo centenario dell'istituzione del Terzo Ordine Francescano</v>
      </c>
      <c r="AB516" s="31" t="str">
        <f t="shared" si="126"/>
        <v>Discorso Ai Terziari francescani in occasione del Congresso internazionale per il settimo centenario dell'istituzione del Terzo Ordine Francescano</v>
      </c>
      <c r="AC516" s="31" t="str">
        <f t="shared" si="127"/>
        <v>Benedetto XV, Discorso Ai Terziari francescani in occasione del Congresso internazionale per il settimo centenario dell'istituzione del Terzo Ordine Francescano, 19 settembre 1921</v>
      </c>
      <c r="AD516" s="31" t="str">
        <f t="shared" si="128"/>
        <v>1921-09-19T08:00:00.000+02:00</v>
      </c>
      <c r="AE516" s="31" t="str">
        <f t="shared" si="116"/>
        <v>bxv-dis-atf</v>
      </c>
      <c r="AF516" s="31" t="str">
        <f t="shared" si="117"/>
        <v>Benedetto XV - Discorso - Ai Terziari francescani in occasione del Congresso internazionale per il settimo centenario dell'istituzione del Terzo Ordine Francescano</v>
      </c>
    </row>
    <row r="517" spans="2:32" s="31" customFormat="1" x14ac:dyDescent="0.2">
      <c r="B517" s="31">
        <v>258</v>
      </c>
      <c r="C517" s="31" t="s">
        <v>3140</v>
      </c>
      <c r="D517" s="31" t="s">
        <v>699</v>
      </c>
      <c r="E517" s="31" t="s">
        <v>738</v>
      </c>
      <c r="F517" s="31" t="s">
        <v>608</v>
      </c>
      <c r="G517" s="31" t="s">
        <v>609</v>
      </c>
      <c r="H517" s="31" t="str">
        <f t="shared" si="122"/>
        <v>Benedetto XV</v>
      </c>
      <c r="K517" s="31" t="s">
        <v>827</v>
      </c>
      <c r="L517" s="31" t="str">
        <f t="shared" si="115"/>
        <v>Discorso</v>
      </c>
      <c r="M517" s="31" t="s">
        <v>566</v>
      </c>
      <c r="O517" s="31" t="s">
        <v>3364</v>
      </c>
      <c r="P517" s="31" t="s">
        <v>3159</v>
      </c>
      <c r="Q517" s="40">
        <v>7897</v>
      </c>
      <c r="R517" s="35">
        <f t="shared" si="110"/>
        <v>14</v>
      </c>
      <c r="S517" s="35"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5">
        <f t="shared" si="111"/>
        <v>1921</v>
      </c>
      <c r="U517" s="31"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6"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31"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31">
        <v>544</v>
      </c>
      <c r="Y517" s="31" t="str">
        <f t="shared" si="123"/>
        <v>['Benedetto XV', 'Discorso', 'Discorso al termine della lettura del della Sacra Congregazione dei Riti sulle «virtù esercitate in grado eroico» dalla Serva di Dio Teresa del Bambin Gesù', 'bxv-dis-dtb', '14 agosto 1921', '14/08/1921', '1921/08/14'],</v>
      </c>
      <c r="Z517" s="31" t="str">
        <f t="shared" si="124"/>
        <v>Discorso al termine della lettura del della Sacra Congregazione dei Riti sulle «virtù esercitate in grado eroico» dalla Serva di Dio Teresa del Bambin Gesù (7897) | Benedetto XV</v>
      </c>
      <c r="AA517" s="31" t="str">
        <f t="shared" si="125"/>
        <v>Discorso Discorso al termine della lettura del della Sacra Congregazione dei Riti sulle «virtù esercitate in grado eroico» dalla Serva di Dio Teresa del Bambin Gesù</v>
      </c>
      <c r="AB517" s="31" t="str">
        <f t="shared" si="126"/>
        <v>Discorso Discorso al termine della lettura del della Sacra Congregazione dei Riti sulle «virtù esercitate in grado eroico» dalla Serva di Dio Teresa del Bambin Gesù</v>
      </c>
      <c r="AC517" s="31" t="str">
        <f t="shared" si="127"/>
        <v>Benedetto XV, Discorso Discorso al termine della lettura del della Sacra Congregazione dei Riti sulle «virtù esercitate in grado eroico» dalla Serva di Dio Teresa del Bambin Gesù, 14 agosto 1921</v>
      </c>
      <c r="AD517" s="31" t="str">
        <f t="shared" si="128"/>
        <v>1921-08-14T08:00:00.000+02:00</v>
      </c>
      <c r="AE517" s="31" t="str">
        <f t="shared" si="116"/>
        <v>bxv-dis-dtb</v>
      </c>
      <c r="AF517" s="31" t="str">
        <f t="shared" si="117"/>
        <v>Benedetto XV - Discorso - Discorso al termine della lettura del della Sacra Congregazione dei Riti sulle «virtù esercitate in grado eroico» dalla Serva di Dio Teresa del Bambin Gesù</v>
      </c>
    </row>
    <row r="518" spans="2:32" s="31" customFormat="1" x14ac:dyDescent="0.2">
      <c r="B518" s="31">
        <v>258</v>
      </c>
      <c r="C518" s="31" t="s">
        <v>3141</v>
      </c>
      <c r="D518" s="31" t="s">
        <v>699</v>
      </c>
      <c r="E518" s="31" t="s">
        <v>738</v>
      </c>
      <c r="F518" s="31" t="s">
        <v>608</v>
      </c>
      <c r="G518" s="31" t="s">
        <v>609</v>
      </c>
      <c r="H518" s="31" t="str">
        <f t="shared" si="122"/>
        <v>Benedetto XV</v>
      </c>
      <c r="K518" s="31" t="s">
        <v>827</v>
      </c>
      <c r="L518" s="31" t="str">
        <f t="shared" si="115"/>
        <v>Discorso</v>
      </c>
      <c r="M518" s="31" t="s">
        <v>566</v>
      </c>
      <c r="O518" s="31" t="s">
        <v>3365</v>
      </c>
      <c r="P518" s="31" t="s">
        <v>3160</v>
      </c>
      <c r="Q518" s="40">
        <v>7862</v>
      </c>
      <c r="R518" s="35">
        <f t="shared" si="110"/>
        <v>10</v>
      </c>
      <c r="S518" s="35"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5">
        <f t="shared" si="111"/>
        <v>1921</v>
      </c>
      <c r="U518" s="31"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6"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31"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31">
        <v>545</v>
      </c>
      <c r="Y518" s="31" t="str">
        <f t="shared" si="123"/>
        <v>['Benedetto XV', 'Discorso', 'Discorso al termine della lettura del della Sacra Congregazione dei Riti sulle «virtù esercitate in grado eroico» dal Servo di Dio Andrea Uberto Fournet', 'bxv-dis-daf', '10 luglio 1921', '10/07/1921', '1921/07/10'],</v>
      </c>
      <c r="Z518" s="31" t="str">
        <f t="shared" si="124"/>
        <v>Discorso al termine della lettura del della Sacra Congregazione dei Riti sulle «virtù esercitate in grado eroico» dal Servo di Dio Andrea Uberto Fournet (7862) | Benedetto XV</v>
      </c>
      <c r="AA518" s="31" t="str">
        <f t="shared" si="125"/>
        <v>Discorso Discorso al termine della lettura del della Sacra Congregazione dei Riti sulle «virtù esercitate in grado eroico» dal Servo di Dio Andrea Uberto Fournet</v>
      </c>
      <c r="AB518" s="31" t="str">
        <f t="shared" si="126"/>
        <v>Discorso Discorso al termine della lettura del della Sacra Congregazione dei Riti sulle «virtù esercitate in grado eroico» dal Servo di Dio Andrea Uberto Fournet</v>
      </c>
      <c r="AC518" s="31" t="str">
        <f t="shared" si="127"/>
        <v>Benedetto XV, Discorso Discorso al termine della lettura del della Sacra Congregazione dei Riti sulle «virtù esercitate in grado eroico» dal Servo di Dio Andrea Uberto Fournet, 10 luglio 1921</v>
      </c>
      <c r="AD518" s="31" t="str">
        <f t="shared" si="128"/>
        <v>1921-07-10T08:00:00.000+02:00</v>
      </c>
      <c r="AE518" s="31" t="str">
        <f t="shared" si="116"/>
        <v>bxv-dis-daf</v>
      </c>
      <c r="AF518" s="31" t="str">
        <f t="shared" si="117"/>
        <v>Benedetto XV - Discorso - Discorso al termine della lettura del della Sacra Congregazione dei Riti sulle «virtù esercitate in grado eroico» dal Servo di Dio Andrea Uberto Fournet</v>
      </c>
    </row>
    <row r="519" spans="2:32" s="31" customFormat="1" x14ac:dyDescent="0.2">
      <c r="B519" s="31">
        <v>258</v>
      </c>
      <c r="C519" s="31" t="s">
        <v>3142</v>
      </c>
      <c r="D519" s="31" t="s">
        <v>699</v>
      </c>
      <c r="E519" s="31" t="s">
        <v>738</v>
      </c>
      <c r="F519" s="31" t="s">
        <v>608</v>
      </c>
      <c r="G519" s="31" t="s">
        <v>609</v>
      </c>
      <c r="H519" s="31" t="str">
        <f t="shared" si="122"/>
        <v>Benedetto XV</v>
      </c>
      <c r="K519" s="31" t="s">
        <v>827</v>
      </c>
      <c r="L519" s="31" t="str">
        <f t="shared" si="115"/>
        <v>Discorso</v>
      </c>
      <c r="M519" s="31" t="s">
        <v>566</v>
      </c>
      <c r="O519" s="31" t="s">
        <v>3124</v>
      </c>
      <c r="P519" s="31" t="s">
        <v>3161</v>
      </c>
      <c r="Q519" s="40">
        <v>7837</v>
      </c>
      <c r="R519" s="35">
        <f t="shared" si="110"/>
        <v>15</v>
      </c>
      <c r="S519" s="35"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5">
        <f t="shared" si="111"/>
        <v>1921</v>
      </c>
      <c r="U519" s="31"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6"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31"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31">
        <v>546</v>
      </c>
      <c r="Y519" s="31" t="str">
        <f t="shared" si="123"/>
        <v>['Benedetto XV', 'Discorso', 'Imposizione della berretta cardinalizia a tre nuovi cardinali - Parole del Santo Padre', 'bxv-dis-ibc', '15 giugno 1921', '15/06/1921', '1921/06/15'],</v>
      </c>
      <c r="Z519" s="31" t="str">
        <f t="shared" si="124"/>
        <v>Imposizione della berretta cardinalizia a tre nuovi cardinali - Parole del Santo Padre (7837) | Benedetto XV</v>
      </c>
      <c r="AA519" s="31" t="str">
        <f t="shared" si="125"/>
        <v>Discorso Imposizione della berretta cardinalizia a tre nuovi cardinali - Parole del Santo Padre</v>
      </c>
      <c r="AB519" s="31" t="str">
        <f t="shared" si="126"/>
        <v>Discorso Imposizione della berretta cardinalizia a tre nuovi cardinali - Parole del Santo Padre</v>
      </c>
      <c r="AC519" s="31" t="str">
        <f t="shared" si="127"/>
        <v>Benedetto XV, Discorso Imposizione della berretta cardinalizia a tre nuovi cardinali - Parole del Santo Padre, 15 giugno 1921</v>
      </c>
      <c r="AD519" s="31" t="str">
        <f t="shared" si="128"/>
        <v>1921-06-15T08:00:00.000+02:00</v>
      </c>
      <c r="AE519" s="31" t="str">
        <f t="shared" si="116"/>
        <v>bxv-dis-ibc</v>
      </c>
      <c r="AF519" s="31" t="str">
        <f t="shared" si="117"/>
        <v>Benedetto XV - Discorso - Imposizione della berretta cardinalizia a tre nuovi cardinali - Parole del Santo Padre</v>
      </c>
    </row>
    <row r="520" spans="2:32" s="31" customFormat="1" x14ac:dyDescent="0.2">
      <c r="B520" s="31">
        <v>258</v>
      </c>
      <c r="C520" s="31" t="s">
        <v>3143</v>
      </c>
      <c r="D520" s="31" t="s">
        <v>699</v>
      </c>
      <c r="E520" s="31" t="s">
        <v>738</v>
      </c>
      <c r="F520" s="31" t="s">
        <v>608</v>
      </c>
      <c r="G520" s="31" t="s">
        <v>609</v>
      </c>
      <c r="H520" s="31" t="str">
        <f t="shared" si="122"/>
        <v>Benedetto XV</v>
      </c>
      <c r="K520" s="31" t="s">
        <v>827</v>
      </c>
      <c r="L520" s="31" t="str">
        <f t="shared" si="115"/>
        <v>Discorso</v>
      </c>
      <c r="M520" s="31" t="s">
        <v>566</v>
      </c>
      <c r="O520" s="31" t="s">
        <v>3125</v>
      </c>
      <c r="P520" s="31" t="s">
        <v>3163</v>
      </c>
      <c r="Q520" s="40">
        <v>7835</v>
      </c>
      <c r="R520" s="35">
        <f t="shared" si="110"/>
        <v>13</v>
      </c>
      <c r="S520" s="35"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5">
        <f t="shared" si="111"/>
        <v>1921</v>
      </c>
      <c r="U520" s="31"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6"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31"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31">
        <v>547</v>
      </c>
      <c r="Y520" s="31" t="str">
        <f t="shared" si="123"/>
        <v>['Benedetto XV', 'Discorso', 'Ai cardinali riuniti in Concistoro Segreto, sulle sorti del Cattolicesimo in Palestina', 'bxv-dis-scp', '13 giugno 1921', '13/06/1921', '1921/06/13'],</v>
      </c>
      <c r="Z520" s="31" t="str">
        <f t="shared" si="124"/>
        <v>Ai cardinali riuniti in Concistoro Segreto, sulle sorti del Cattolicesimo in Palestina (7835) | Benedetto XV</v>
      </c>
      <c r="AA520" s="31" t="str">
        <f t="shared" si="125"/>
        <v>Discorso Ai cardinali riuniti in Concistoro Segreto, sulle sorti del Cattolicesimo in Palestina</v>
      </c>
      <c r="AB520" s="31" t="str">
        <f t="shared" si="126"/>
        <v>Discorso Ai cardinali riuniti in Concistoro Segreto, sulle sorti del Cattolicesimo in Palestina</v>
      </c>
      <c r="AC520" s="31" t="str">
        <f t="shared" si="127"/>
        <v>Benedetto XV, Discorso Ai cardinali riuniti in Concistoro Segreto, sulle sorti del Cattolicesimo in Palestina, 13 giugno 1921</v>
      </c>
      <c r="AD520" s="31" t="str">
        <f t="shared" si="128"/>
        <v>1921-06-13T08:00:00.000+02:00</v>
      </c>
      <c r="AE520" s="31" t="str">
        <f t="shared" si="116"/>
        <v>bxv-dis-scp</v>
      </c>
      <c r="AF520" s="31" t="str">
        <f t="shared" si="117"/>
        <v>Benedetto XV - Discorso - Ai cardinali riuniti in Concistoro Segreto, sulle sorti del Cattolicesimo in Palestina</v>
      </c>
    </row>
    <row r="521" spans="2:32" s="31" customFormat="1" x14ac:dyDescent="0.2">
      <c r="B521" s="31">
        <v>258</v>
      </c>
      <c r="C521" s="31" t="s">
        <v>3144</v>
      </c>
      <c r="D521" s="31" t="s">
        <v>699</v>
      </c>
      <c r="E521" s="31" t="s">
        <v>738</v>
      </c>
      <c r="F521" s="31" t="s">
        <v>608</v>
      </c>
      <c r="G521" s="31" t="s">
        <v>609</v>
      </c>
      <c r="H521" s="31" t="str">
        <f t="shared" si="122"/>
        <v>Benedetto XV</v>
      </c>
      <c r="K521" s="31" t="s">
        <v>827</v>
      </c>
      <c r="L521" s="31" t="str">
        <f t="shared" si="115"/>
        <v>Discorso</v>
      </c>
      <c r="M521" s="31" t="s">
        <v>566</v>
      </c>
      <c r="O521" s="31" t="s">
        <v>3126</v>
      </c>
      <c r="P521" s="31" t="s">
        <v>3164</v>
      </c>
      <c r="Q521" s="40">
        <v>7737</v>
      </c>
      <c r="R521" s="35">
        <f t="shared" si="110"/>
        <v>7</v>
      </c>
      <c r="S521" s="35"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5">
        <f t="shared" si="111"/>
        <v>1921</v>
      </c>
      <c r="U521" s="31"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6"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31"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31">
        <v>548</v>
      </c>
      <c r="Y521" s="31" t="str">
        <f t="shared" si="123"/>
        <v>['Benedetto XV', 'Discorso', 'Ai cardinali riuniti in Concistoro Segreto, in occasione del settecentesimo anniversario dell’istituzione del Terzo Ordine Francescano', 'bxv-dis-sto', '07 marzo 1921', '07/03/1921', '1921/03/07'],</v>
      </c>
      <c r="Z521" s="31" t="str">
        <f t="shared" si="124"/>
        <v>Ai cardinali riuniti in Concistoro Segreto, in occasione del settecentesimo anniversario dell’istituzione del Terzo Ordine Francescano (7737) | Benedetto XV</v>
      </c>
      <c r="AA521" s="31" t="str">
        <f t="shared" si="125"/>
        <v>Discorso Ai cardinali riuniti in Concistoro Segreto, in occasione del settecentesimo anniversario dell’istituzione del Terzo Ordine Francescano</v>
      </c>
      <c r="AB521" s="31" t="str">
        <f t="shared" si="126"/>
        <v>Discorso Ai cardinali riuniti in Concistoro Segreto, in occasione del settecentesimo anniversario dell’istituzione del Terzo Ordine Francescano</v>
      </c>
      <c r="AC521" s="31" t="str">
        <f t="shared" si="127"/>
        <v>Benedetto XV, Discorso Ai cardinali riuniti in Concistoro Segreto, in occasione del settecentesimo anniversario dell’istituzione del Terzo Ordine Francescano, 07 marzo 1921</v>
      </c>
      <c r="AD521" s="31" t="str">
        <f t="shared" si="128"/>
        <v>1921-03-07T08:00:00.000+02:00</v>
      </c>
      <c r="AE521" s="31" t="str">
        <f t="shared" si="116"/>
        <v>bxv-dis-sto</v>
      </c>
      <c r="AF521" s="31" t="str">
        <f t="shared" si="117"/>
        <v>Benedetto XV - Discorso - Ai cardinali riuniti in Concistoro Segreto, in occasione del settecentesimo anniversario dell’istituzione del Terzo Ordine Francescano</v>
      </c>
    </row>
    <row r="522" spans="2:32" s="31" customFormat="1" x14ac:dyDescent="0.2">
      <c r="B522" s="31">
        <v>258</v>
      </c>
      <c r="C522" s="31" t="s">
        <v>3145</v>
      </c>
      <c r="D522" s="31" t="s">
        <v>699</v>
      </c>
      <c r="E522" s="31" t="s">
        <v>738</v>
      </c>
      <c r="F522" s="31" t="s">
        <v>608</v>
      </c>
      <c r="G522" s="31" t="s">
        <v>609</v>
      </c>
      <c r="H522" s="31" t="str">
        <f t="shared" si="122"/>
        <v>Benedetto XV</v>
      </c>
      <c r="K522" s="31" t="s">
        <v>827</v>
      </c>
      <c r="L522" s="31" t="str">
        <f t="shared" si="115"/>
        <v>Discorso</v>
      </c>
      <c r="M522" s="31" t="s">
        <v>566</v>
      </c>
      <c r="O522" s="31" t="s">
        <v>3366</v>
      </c>
      <c r="P522" s="31" t="s">
        <v>3165</v>
      </c>
      <c r="Q522" s="40">
        <v>7729</v>
      </c>
      <c r="R522" s="35">
        <f t="shared" si="110"/>
        <v>27</v>
      </c>
      <c r="S522" s="35"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5">
        <f t="shared" si="111"/>
        <v>1921</v>
      </c>
      <c r="U522" s="31"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6"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31"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31">
        <v>549</v>
      </c>
      <c r="Y522" s="31" t="str">
        <f t="shared" si="123"/>
        <v>['Benedetto XV', 'Discorso', 'Discorso al termine della lettura del della Sacra Congregazione dei Riti sulle «virtù esercitate in grado eroico» dal Servo di Dio Giuseppe Cafasso', 'bxv-dis-dgc', '27 febbraio 1921', '27/02/1921', '1921/02/27'],</v>
      </c>
      <c r="Z522" s="31" t="str">
        <f t="shared" si="124"/>
        <v>Discorso al termine della lettura del della Sacra Congregazione dei Riti sulle «virtù esercitate in grado eroico» dal Servo di Dio Giuseppe Cafasso (7729) | Benedetto XV</v>
      </c>
      <c r="AA522" s="31" t="str">
        <f t="shared" si="125"/>
        <v>Discorso Discorso al termine della lettura del della Sacra Congregazione dei Riti sulle «virtù esercitate in grado eroico» dal Servo di Dio Giuseppe Cafasso</v>
      </c>
      <c r="AB522" s="31" t="str">
        <f t="shared" si="126"/>
        <v>Discorso Discorso al termine della lettura del della Sacra Congregazione dei Riti sulle «virtù esercitate in grado eroico» dal Servo di Dio Giuseppe Cafasso</v>
      </c>
      <c r="AC522" s="31" t="str">
        <f t="shared" si="127"/>
        <v>Benedetto XV, Discorso Discorso al termine della lettura del della Sacra Congregazione dei Riti sulle «virtù esercitate in grado eroico» dal Servo di Dio Giuseppe Cafasso, 27 febbraio 1921</v>
      </c>
      <c r="AD522" s="31" t="str">
        <f t="shared" si="128"/>
        <v>1921-02-27T08:00:00.000+02:00</v>
      </c>
      <c r="AE522" s="31" t="str">
        <f t="shared" si="116"/>
        <v>bxv-dis-dgc</v>
      </c>
      <c r="AF522" s="31" t="str">
        <f t="shared" si="117"/>
        <v>Benedetto XV - Discorso - Discorso al termine della lettura del della Sacra Congregazione dei Riti sulle «virtù esercitate in grado eroico» dal Servo di Dio Giuseppe Cafasso</v>
      </c>
    </row>
    <row r="523" spans="2:32" s="31" customFormat="1" x14ac:dyDescent="0.2">
      <c r="B523" s="31">
        <v>258</v>
      </c>
      <c r="C523" s="31" t="s">
        <v>3146</v>
      </c>
      <c r="D523" s="31" t="s">
        <v>699</v>
      </c>
      <c r="E523" s="31" t="s">
        <v>738</v>
      </c>
      <c r="F523" s="31" t="s">
        <v>608</v>
      </c>
      <c r="G523" s="31" t="s">
        <v>609</v>
      </c>
      <c r="H523" s="31" t="str">
        <f t="shared" si="122"/>
        <v>Benedetto XV</v>
      </c>
      <c r="K523" s="31" t="s">
        <v>827</v>
      </c>
      <c r="L523" s="31" t="str">
        <f t="shared" si="115"/>
        <v>Discorso</v>
      </c>
      <c r="M523" s="31" t="s">
        <v>566</v>
      </c>
      <c r="O523" s="31" t="s">
        <v>3127</v>
      </c>
      <c r="P523" s="31" t="s">
        <v>3166</v>
      </c>
      <c r="Q523" s="40">
        <v>7709</v>
      </c>
      <c r="R523" s="35">
        <f t="shared" si="110"/>
        <v>7</v>
      </c>
      <c r="S523" s="35"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5">
        <f t="shared" si="111"/>
        <v>1921</v>
      </c>
      <c r="U523" s="31"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6"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31"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31">
        <v>550</v>
      </c>
      <c r="Y523" s="31" t="str">
        <f t="shared" si="123"/>
        <v>['Benedetto XV', 'Discorso', 'Ai parroci e ai predicatori quaresimalisti di Roma', 'bxv-dis-ppq', '07 febbraio 1921', '07/02/1921', '1921/02/07'],</v>
      </c>
      <c r="Z523" s="31" t="str">
        <f t="shared" si="124"/>
        <v>Ai parroci e ai predicatori quaresimalisti di Roma (7709) | Benedetto XV</v>
      </c>
      <c r="AA523" s="31" t="str">
        <f t="shared" si="125"/>
        <v>Discorso Ai parroci e ai predicatori quaresimalisti di Roma</v>
      </c>
      <c r="AB523" s="31" t="str">
        <f t="shared" si="126"/>
        <v>Discorso Ai parroci e ai predicatori quaresimalisti di Roma</v>
      </c>
      <c r="AC523" s="31" t="str">
        <f t="shared" si="127"/>
        <v>Benedetto XV, Discorso Ai parroci e ai predicatori quaresimalisti di Roma, 07 febbraio 1921</v>
      </c>
      <c r="AD523" s="31" t="str">
        <f t="shared" si="128"/>
        <v>1921-02-07T08:00:00.000+02:00</v>
      </c>
      <c r="AE523" s="31" t="str">
        <f t="shared" si="116"/>
        <v>bxv-dis-ppq</v>
      </c>
      <c r="AF523" s="31" t="str">
        <f t="shared" si="117"/>
        <v>Benedetto XV - Discorso - Ai parroci e ai predicatori quaresimalisti di Roma</v>
      </c>
    </row>
    <row r="524" spans="2:32" s="31" customFormat="1" x14ac:dyDescent="0.2">
      <c r="B524" s="31">
        <v>258</v>
      </c>
      <c r="C524" s="31" t="s">
        <v>3147</v>
      </c>
      <c r="D524" s="31" t="s">
        <v>699</v>
      </c>
      <c r="E524" s="31" t="s">
        <v>738</v>
      </c>
      <c r="F524" s="31" t="s">
        <v>608</v>
      </c>
      <c r="G524" s="31" t="s">
        <v>609</v>
      </c>
      <c r="H524" s="31" t="str">
        <f t="shared" si="122"/>
        <v>Benedetto XV</v>
      </c>
      <c r="K524" s="31" t="s">
        <v>827</v>
      </c>
      <c r="L524" s="31" t="str">
        <f t="shared" si="115"/>
        <v>Discorso</v>
      </c>
      <c r="M524" s="31" t="s">
        <v>566</v>
      </c>
      <c r="O524" s="31" t="s">
        <v>3128</v>
      </c>
      <c r="P524" s="31" t="s">
        <v>3167</v>
      </c>
      <c r="Q524" s="40">
        <v>7664</v>
      </c>
      <c r="R524" s="35">
        <f t="shared" si="110"/>
        <v>24</v>
      </c>
      <c r="S524" s="35"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5">
        <f t="shared" si="111"/>
        <v>1920</v>
      </c>
      <c r="U524" s="31"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6"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31"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31">
        <v>551</v>
      </c>
      <c r="Y524" s="31" t="str">
        <f t="shared" si="123"/>
        <v>['Benedetto XV', 'Discorso', 'Ai Cardinali di Santa Romana Chiesa in risposta agli auguri natalizi espressi dal Cardinale Decano Vincenzo Vannutelli', 'bxv-dis-csc', '24 dicembre 1920', '24/12/1920', '1920/12/24'],</v>
      </c>
      <c r="Z524" s="31" t="str">
        <f t="shared" si="124"/>
        <v>Ai Cardinali di Santa Romana Chiesa in risposta agli auguri natalizi espressi dal Cardinale Decano Vincenzo Vannutelli (7664) | Benedetto XV</v>
      </c>
      <c r="AA524" s="31" t="str">
        <f t="shared" si="125"/>
        <v>Discorso Ai Cardinali di Santa Romana Chiesa in risposta agli auguri natalizi espressi dal Cardinale Decano Vincenzo Vannutelli</v>
      </c>
      <c r="AB524" s="31" t="str">
        <f t="shared" si="126"/>
        <v>Discorso Ai Cardinali di Santa Romana Chiesa in risposta agli auguri natalizi espressi dal Cardinale Decano Vincenzo Vannutelli</v>
      </c>
      <c r="AC524" s="31" t="str">
        <f t="shared" si="127"/>
        <v>Benedetto XV, Discorso Ai Cardinali di Santa Romana Chiesa in risposta agli auguri natalizi espressi dal Cardinale Decano Vincenzo Vannutelli, 24 dicembre 1920</v>
      </c>
      <c r="AD524" s="31" t="str">
        <f t="shared" si="128"/>
        <v>1920-12-24T08:00:00.000+02:00</v>
      </c>
      <c r="AE524" s="31" t="str">
        <f t="shared" si="116"/>
        <v>bxv-dis-csc</v>
      </c>
      <c r="AF524" s="31" t="str">
        <f t="shared" si="117"/>
        <v>Benedetto XV - Discorso - Ai Cardinali di Santa Romana Chiesa in risposta agli auguri natalizi espressi dal Cardinale Decano Vincenzo Vannutelli</v>
      </c>
    </row>
    <row r="525" spans="2:32" s="31" customFormat="1" x14ac:dyDescent="0.2">
      <c r="B525" s="31">
        <v>258</v>
      </c>
      <c r="C525" s="31" t="s">
        <v>3148</v>
      </c>
      <c r="D525" s="31" t="s">
        <v>699</v>
      </c>
      <c r="E525" s="31" t="s">
        <v>738</v>
      </c>
      <c r="F525" s="31" t="s">
        <v>608</v>
      </c>
      <c r="G525" s="31" t="s">
        <v>609</v>
      </c>
      <c r="H525" s="31" t="str">
        <f t="shared" si="122"/>
        <v>Benedetto XV</v>
      </c>
      <c r="K525" s="31" t="s">
        <v>827</v>
      </c>
      <c r="L525" s="31" t="str">
        <f t="shared" si="115"/>
        <v>Discorso</v>
      </c>
      <c r="M525" s="31" t="s">
        <v>566</v>
      </c>
      <c r="O525" s="31" t="s">
        <v>3129</v>
      </c>
      <c r="P525" s="31" t="s">
        <v>3168</v>
      </c>
      <c r="Q525" s="40">
        <v>7656</v>
      </c>
      <c r="R525" s="35">
        <f t="shared" si="110"/>
        <v>16</v>
      </c>
      <c r="S525" s="35"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5">
        <f t="shared" si="111"/>
        <v>1920</v>
      </c>
      <c r="U525" s="31"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6"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31"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31">
        <v>552</v>
      </c>
      <c r="Y525" s="31" t="str">
        <f t="shared" si="123"/>
        <v>['Benedetto XV', 'Discorso', 'durante il Concistoro segreto', 'bxv-dis-dcs', '16 dicembre 1920', '16/12/1920', '1920/12/16'],</v>
      </c>
      <c r="Z525" s="31" t="str">
        <f t="shared" si="124"/>
        <v>durante il Concistoro segreto (7656) | Benedetto XV</v>
      </c>
      <c r="AA525" s="31" t="str">
        <f t="shared" si="125"/>
        <v>Discorso durante il Concistoro segreto</v>
      </c>
      <c r="AB525" s="31" t="str">
        <f t="shared" si="126"/>
        <v>Discorso durante il Concistoro segreto</v>
      </c>
      <c r="AC525" s="31" t="str">
        <f t="shared" si="127"/>
        <v>Benedetto XV, Discorso durante il Concistoro segreto, 16 dicembre 1920</v>
      </c>
      <c r="AD525" s="31" t="str">
        <f t="shared" si="128"/>
        <v>1920-12-16T08:00:00.000+02:00</v>
      </c>
      <c r="AE525" s="31" t="str">
        <f t="shared" si="116"/>
        <v>bxv-dis-dcs</v>
      </c>
      <c r="AF525" s="31" t="str">
        <f t="shared" si="117"/>
        <v>Benedetto XV - Discorso - durante il Concistoro segreto</v>
      </c>
    </row>
    <row r="526" spans="2:32" s="31" customFormat="1" x14ac:dyDescent="0.2">
      <c r="B526" s="31">
        <v>258</v>
      </c>
      <c r="C526" s="31" t="s">
        <v>3149</v>
      </c>
      <c r="D526" s="31" t="s">
        <v>699</v>
      </c>
      <c r="E526" s="31" t="s">
        <v>738</v>
      </c>
      <c r="F526" s="31" t="s">
        <v>608</v>
      </c>
      <c r="G526" s="31" t="s">
        <v>609</v>
      </c>
      <c r="H526" s="31" t="str">
        <f t="shared" si="122"/>
        <v>Benedetto XV</v>
      </c>
      <c r="K526" s="31" t="s">
        <v>827</v>
      </c>
      <c r="L526" s="31" t="str">
        <f t="shared" si="115"/>
        <v>Discorso</v>
      </c>
      <c r="M526" s="31" t="s">
        <v>566</v>
      </c>
      <c r="O526" s="31" t="s">
        <v>3130</v>
      </c>
      <c r="P526" s="31" t="s">
        <v>3169</v>
      </c>
      <c r="Q526" s="40">
        <v>7425</v>
      </c>
      <c r="R526" s="35">
        <f t="shared" si="110"/>
        <v>29</v>
      </c>
      <c r="S526" s="35"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5">
        <f t="shared" si="111"/>
        <v>1920</v>
      </c>
      <c r="U526" s="31"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6"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31"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31">
        <v>553</v>
      </c>
      <c r="Y526" s="31" t="str">
        <f t="shared" si="123"/>
        <v>['Benedetto XV', 'Discorso', 'Ai dirigenti delle Giunte Diocesane dell'Unione Popolare e dell'Azione Cattolica Italiana, in occasione del IV Congresso delle Giunte Diocesane', 'bxv-dis-dgd', '29 aprile 1920', '29/04/1920', '1920/04/29'],</v>
      </c>
      <c r="Z526" s="31" t="str">
        <f t="shared" si="124"/>
        <v>Ai dirigenti delle Giunte Diocesane dell'Unione Popolare e dell'Azione Cattolica Italiana, in occasione del IV Congresso delle Giunte Diocesane (7425) | Benedetto XV</v>
      </c>
      <c r="AA526" s="31" t="str">
        <f t="shared" si="125"/>
        <v>Discorso Ai dirigenti delle Giunte Diocesane dell'Unione Popolare e dell'Azione Cattolica Italiana, in occasione del IV Congresso delle Giunte Diocesane</v>
      </c>
      <c r="AB526" s="31" t="str">
        <f t="shared" si="126"/>
        <v>Discorso Ai dirigenti delle Giunte Diocesane dell'Unione Popolare e dell'Azione Cattolica Italiana, in occasione del IV Congresso delle Giunte Diocesane</v>
      </c>
      <c r="AC526" s="31" t="str">
        <f t="shared" si="127"/>
        <v>Benedetto XV, Discorso Ai dirigenti delle Giunte Diocesane dell'Unione Popolare e dell'Azione Cattolica Italiana, in occasione del IV Congresso delle Giunte Diocesane, 29 aprile 1920</v>
      </c>
      <c r="AD526" s="31" t="str">
        <f t="shared" si="128"/>
        <v>1920-04-29T08:00:00.000+02:00</v>
      </c>
      <c r="AE526" s="31" t="str">
        <f t="shared" si="116"/>
        <v>bxv-dis-dgd</v>
      </c>
      <c r="AF526" s="31" t="str">
        <f t="shared" si="117"/>
        <v>Benedetto XV - Discorso - Ai dirigenti delle Giunte Diocesane dell'Unione Popolare e dell'Azione Cattolica Italiana, in occasione del IV Congresso delle Giunte Diocesane</v>
      </c>
    </row>
    <row r="527" spans="2:32" s="31" customFormat="1" x14ac:dyDescent="0.2">
      <c r="B527" s="31">
        <v>258</v>
      </c>
      <c r="C527" s="31" t="s">
        <v>3150</v>
      </c>
      <c r="D527" s="31" t="s">
        <v>699</v>
      </c>
      <c r="E527" s="31" t="s">
        <v>738</v>
      </c>
      <c r="F527" s="31" t="s">
        <v>608</v>
      </c>
      <c r="G527" s="31" t="s">
        <v>609</v>
      </c>
      <c r="H527" s="31" t="str">
        <f t="shared" si="122"/>
        <v>Benedetto XV</v>
      </c>
      <c r="K527" s="31" t="s">
        <v>827</v>
      </c>
      <c r="L527" s="31" t="str">
        <f t="shared" si="115"/>
        <v>Discorso</v>
      </c>
      <c r="M527" s="31" t="s">
        <v>566</v>
      </c>
      <c r="O527" s="31" t="s">
        <v>3127</v>
      </c>
      <c r="P527" s="31" t="s">
        <v>3170</v>
      </c>
      <c r="Q527" s="40">
        <v>7352</v>
      </c>
      <c r="R527" s="35">
        <f t="shared" si="110"/>
        <v>16</v>
      </c>
      <c r="S527" s="35"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5">
        <f t="shared" si="111"/>
        <v>1920</v>
      </c>
      <c r="U527" s="31"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6"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31"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31">
        <v>554</v>
      </c>
      <c r="Y527" s="31" t="str">
        <f t="shared" si="123"/>
        <v>['Benedetto XV', 'Discorso', 'Ai parroci e ai predicatori quaresimalisti di Roma', 'bxv-dis-ppr', '16 febbraio 1920', '16/02/1920', '1920/02/16'],</v>
      </c>
      <c r="Z527" s="31" t="str">
        <f t="shared" si="124"/>
        <v>Ai parroci e ai predicatori quaresimalisti di Roma (7352) | Benedetto XV</v>
      </c>
      <c r="AA527" s="31" t="str">
        <f t="shared" si="125"/>
        <v>Discorso Ai parroci e ai predicatori quaresimalisti di Roma</v>
      </c>
      <c r="AB527" s="31" t="str">
        <f t="shared" si="126"/>
        <v>Discorso Ai parroci e ai predicatori quaresimalisti di Roma</v>
      </c>
      <c r="AC527" s="31" t="str">
        <f t="shared" si="127"/>
        <v>Benedetto XV, Discorso Ai parroci e ai predicatori quaresimalisti di Roma, 16 febbraio 1920</v>
      </c>
      <c r="AD527" s="31" t="str">
        <f t="shared" si="128"/>
        <v>1920-02-16T08:00:00.000+02:00</v>
      </c>
      <c r="AE527" s="31" t="str">
        <f t="shared" si="116"/>
        <v>bxv-dis-ppr</v>
      </c>
      <c r="AF527" s="31" t="str">
        <f t="shared" si="117"/>
        <v>Benedetto XV - Discorso - Ai parroci e ai predicatori quaresimalisti di Roma</v>
      </c>
    </row>
    <row r="528" spans="2:32" s="31" customFormat="1" x14ac:dyDescent="0.2">
      <c r="B528" s="31">
        <v>258</v>
      </c>
      <c r="C528" s="31" t="s">
        <v>3151</v>
      </c>
      <c r="D528" s="31" t="s">
        <v>699</v>
      </c>
      <c r="E528" s="31" t="s">
        <v>738</v>
      </c>
      <c r="F528" s="31" t="s">
        <v>608</v>
      </c>
      <c r="G528" s="31" t="s">
        <v>609</v>
      </c>
      <c r="H528" s="31" t="str">
        <f t="shared" si="122"/>
        <v>Benedetto XV</v>
      </c>
      <c r="K528" s="31" t="s">
        <v>827</v>
      </c>
      <c r="L528" s="31" t="str">
        <f t="shared" si="115"/>
        <v>Discorso</v>
      </c>
      <c r="M528" s="31" t="s">
        <v>566</v>
      </c>
      <c r="O528" s="31" t="s">
        <v>3131</v>
      </c>
      <c r="P528" s="31" t="s">
        <v>3171</v>
      </c>
      <c r="Q528" s="40">
        <v>7312</v>
      </c>
      <c r="R528" s="35">
        <f t="shared" si="110"/>
        <v>7</v>
      </c>
      <c r="S528" s="35"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5">
        <f t="shared" si="111"/>
        <v>1920</v>
      </c>
      <c r="U528" s="31"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6"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31"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31">
        <v>555</v>
      </c>
      <c r="Y528" s="31" t="str">
        <f t="shared" si="123"/>
        <v>['Benedetto XV', 'Discorso', 'Ai Congressisti della Gioventù Cattolica Italiana, in occasione dell'organizzazione del loro primo Congresso Nazionale', 'bxv-dis-cgc', '07 gennaio 1920', '07/01/1920', '1920/01/07'],</v>
      </c>
      <c r="Z528" s="31" t="str">
        <f t="shared" si="124"/>
        <v>Ai Congressisti della Gioventù Cattolica Italiana, in occasione dell'organizzazione del loro primo Congresso Nazionale (7312) | Benedetto XV</v>
      </c>
      <c r="AA528" s="31" t="str">
        <f t="shared" si="125"/>
        <v>Discorso Ai Congressisti della Gioventù Cattolica Italiana, in occasione dell'organizzazione del loro primo Congresso Nazionale</v>
      </c>
      <c r="AB528" s="31" t="str">
        <f t="shared" si="126"/>
        <v>Discorso Ai Congressisti della Gioventù Cattolica Italiana, in occasione dell'organizzazione del loro primo Congresso Nazionale</v>
      </c>
      <c r="AC528" s="31" t="str">
        <f t="shared" si="127"/>
        <v>Benedetto XV, Discorso Ai Congressisti della Gioventù Cattolica Italiana, in occasione dell'organizzazione del loro primo Congresso Nazionale, 07 gennaio 1920</v>
      </c>
      <c r="AD528" s="31" t="str">
        <f t="shared" si="128"/>
        <v>1920-01-07T08:00:00.000+02:00</v>
      </c>
      <c r="AE528" s="31" t="str">
        <f t="shared" si="116"/>
        <v>bxv-dis-cgc</v>
      </c>
      <c r="AF528" s="31" t="str">
        <f t="shared" si="117"/>
        <v>Benedetto XV - Discorso - Ai Congressisti della Gioventù Cattolica Italiana, in occasione dell'organizzazione del loro primo Congresso Nazionale</v>
      </c>
    </row>
    <row r="529" spans="2:32" s="31" customFormat="1" x14ac:dyDescent="0.2">
      <c r="B529" s="31">
        <v>258</v>
      </c>
      <c r="C529" s="31" t="s">
        <v>3152</v>
      </c>
      <c r="D529" s="31" t="s">
        <v>699</v>
      </c>
      <c r="E529" s="31" t="s">
        <v>738</v>
      </c>
      <c r="F529" s="31" t="s">
        <v>608</v>
      </c>
      <c r="G529" s="31" t="s">
        <v>609</v>
      </c>
      <c r="H529" s="31" t="str">
        <f t="shared" si="122"/>
        <v>Benedetto XV</v>
      </c>
      <c r="K529" s="31" t="s">
        <v>827</v>
      </c>
      <c r="L529" s="31" t="str">
        <f t="shared" si="115"/>
        <v>Discorso</v>
      </c>
      <c r="M529" s="31" t="s">
        <v>566</v>
      </c>
      <c r="O529" s="31" t="s">
        <v>3132</v>
      </c>
      <c r="P529" s="31" t="s">
        <v>3172</v>
      </c>
      <c r="Q529" s="40">
        <v>7298</v>
      </c>
      <c r="R529" s="35">
        <f t="shared" si="110"/>
        <v>24</v>
      </c>
      <c r="S529" s="35"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5">
        <f t="shared" si="111"/>
        <v>1919</v>
      </c>
      <c r="U529" s="31"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6"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31"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31">
        <v>556</v>
      </c>
      <c r="Y529" s="31" t="str">
        <f t="shared" si="123"/>
        <v>['Benedetto XV', 'Discorso', 'Ai Cardinali di Santa Romana Chiesa in risposta agli auguri natalizi', 'bxv-dis-csr', '24 dicembre 1919', '24/12/1919', '1919/12/24'],</v>
      </c>
      <c r="Z529" s="31" t="str">
        <f t="shared" si="124"/>
        <v>Ai Cardinali di Santa Romana Chiesa in risposta agli auguri natalizi (7298) | Benedetto XV</v>
      </c>
      <c r="AA529" s="31" t="str">
        <f t="shared" si="125"/>
        <v>Discorso Ai Cardinali di Santa Romana Chiesa in risposta agli auguri natalizi</v>
      </c>
      <c r="AB529" s="31" t="str">
        <f t="shared" si="126"/>
        <v>Discorso Ai Cardinali di Santa Romana Chiesa in risposta agli auguri natalizi</v>
      </c>
      <c r="AC529" s="31" t="str">
        <f t="shared" si="127"/>
        <v>Benedetto XV, Discorso Ai Cardinali di Santa Romana Chiesa in risposta agli auguri natalizi, 24 dicembre 1919</v>
      </c>
      <c r="AD529" s="31" t="str">
        <f t="shared" si="128"/>
        <v>1919-12-24T08:00:00.000+02:00</v>
      </c>
      <c r="AE529" s="31" t="str">
        <f t="shared" si="116"/>
        <v>bxv-dis-csr</v>
      </c>
      <c r="AF529" s="31" t="str">
        <f t="shared" si="117"/>
        <v>Benedetto XV - Discorso - Ai Cardinali di Santa Romana Chiesa in risposta agli auguri natalizi</v>
      </c>
    </row>
    <row r="530" spans="2:32" s="31" customFormat="1" x14ac:dyDescent="0.2">
      <c r="B530" s="31">
        <v>258</v>
      </c>
      <c r="C530" s="31" t="s">
        <v>3153</v>
      </c>
      <c r="D530" s="31" t="s">
        <v>699</v>
      </c>
      <c r="E530" s="31" t="s">
        <v>738</v>
      </c>
      <c r="F530" s="31" t="s">
        <v>608</v>
      </c>
      <c r="G530" s="31" t="s">
        <v>609</v>
      </c>
      <c r="H530" s="31" t="str">
        <f t="shared" si="122"/>
        <v>Benedetto XV</v>
      </c>
      <c r="K530" s="31" t="s">
        <v>827</v>
      </c>
      <c r="L530" s="31" t="str">
        <f t="shared" si="115"/>
        <v>Discorso</v>
      </c>
      <c r="M530" s="31" t="s">
        <v>566</v>
      </c>
      <c r="O530" s="31" t="s">
        <v>3133</v>
      </c>
      <c r="P530" s="31" t="s">
        <v>3173</v>
      </c>
      <c r="Q530" s="40">
        <v>7235</v>
      </c>
      <c r="R530" s="35">
        <f t="shared" ref="R530:R593" si="129">IF(ISERROR(DAY(Q530)),TEXT((LEFT(Q530,2)),"00"),DAY(Q530))</f>
        <v>22</v>
      </c>
      <c r="S530" s="35"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5">
        <f t="shared" ref="T530:T593" si="130">IF(ISERROR(DAY(Q530)),VALUE(RIGHT(Q530,4)),YEAR(Q530))</f>
        <v>1919</v>
      </c>
      <c r="U530" s="31"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6"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31"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31">
        <v>557</v>
      </c>
      <c r="Y530" s="31" t="str">
        <f t="shared" si="123"/>
        <v>['Benedetto XV', 'Discorso', 'Alle dirigenti dell'Unione femminile Cattolica italiana, sulla possibilità per le donne di svolgere il proprio apostolato anche al di fuori delle mura domestiche', 'bxv-dis-duf', '22 ottobre 1919', '22/10/1919', '1919/10/22'],</v>
      </c>
      <c r="Z530" s="31" t="str">
        <f t="shared" si="124"/>
        <v>Alle dirigenti dell'Unione femminile Cattolica italiana, sulla possibilità per le donne di svolgere il proprio apostolato anche al di fuori delle mura domestiche (7235) | Benedetto XV</v>
      </c>
      <c r="AA530" s="31" t="str">
        <f t="shared" si="125"/>
        <v>Discorso Alle dirigenti dell'Unione femminile Cattolica italiana, sulla possibilità per le donne di svolgere il proprio apostolato anche al di fuori delle mura domestiche</v>
      </c>
      <c r="AB530" s="31" t="str">
        <f t="shared" si="126"/>
        <v>Discorso Alle dirigenti dell'Unione femminile Cattolica italiana, sulla possibilità per le donne di svolgere il proprio apostolato anche al di fuori delle mura domestiche</v>
      </c>
      <c r="AC530" s="31" t="str">
        <f t="shared" si="127"/>
        <v>Benedetto XV, Discorso Alle dirigenti dell'Unione femminile Cattolica italiana, sulla possibilità per le donne di svolgere il proprio apostolato anche al di fuori delle mura domestiche, 22 ottobre 1919</v>
      </c>
      <c r="AD530" s="31" t="str">
        <f t="shared" si="128"/>
        <v>1919-10-22T08:00:00.000+02:00</v>
      </c>
      <c r="AE530" s="31" t="str">
        <f t="shared" si="116"/>
        <v>bxv-dis-duf</v>
      </c>
      <c r="AF530" s="31" t="str">
        <f t="shared" si="117"/>
        <v>Benedetto XV - Discorso - Alle dirigenti dell'Unione femminile Cattolica italiana, sulla possibilità per le donne di svolgere il proprio apostolato anche al di fuori delle mura domestiche</v>
      </c>
    </row>
    <row r="531" spans="2:32" s="31" customFormat="1" x14ac:dyDescent="0.2">
      <c r="B531" s="31">
        <v>258</v>
      </c>
      <c r="C531" s="31" t="s">
        <v>3154</v>
      </c>
      <c r="D531" s="31" t="s">
        <v>699</v>
      </c>
      <c r="E531" s="31" t="s">
        <v>738</v>
      </c>
      <c r="F531" s="31" t="s">
        <v>608</v>
      </c>
      <c r="G531" s="31" t="s">
        <v>609</v>
      </c>
      <c r="H531" s="31" t="str">
        <f t="shared" si="122"/>
        <v>Benedetto XV</v>
      </c>
      <c r="K531" s="31" t="s">
        <v>827</v>
      </c>
      <c r="L531" s="31" t="str">
        <f t="shared" si="115"/>
        <v>Discorso</v>
      </c>
      <c r="M531" s="31" t="s">
        <v>566</v>
      </c>
      <c r="O531" s="31" t="s">
        <v>3134</v>
      </c>
      <c r="P531" s="31" t="s">
        <v>3174</v>
      </c>
      <c r="Q531" s="40">
        <v>7124</v>
      </c>
      <c r="R531" s="35">
        <f t="shared" si="129"/>
        <v>3</v>
      </c>
      <c r="S531" s="35"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5">
        <f t="shared" si="130"/>
        <v>1919</v>
      </c>
      <c r="U531" s="31"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6"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31"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31">
        <v>558</v>
      </c>
      <c r="Y531" s="31" t="str">
        <f t="shared" si="123"/>
        <v>['Benedetto XV', 'Discorso', 'Nobis quidem durante il Concistoro segreto', 'bxv-dis-nqc', '03 luglio 1919', '03/07/1919', '1919/07/03'],</v>
      </c>
      <c r="Z531" s="31" t="str">
        <f t="shared" si="124"/>
        <v>Nobis quidem durante il Concistoro segreto (7124) | Benedetto XV</v>
      </c>
      <c r="AA531" s="31" t="str">
        <f t="shared" si="125"/>
        <v>Discorso Nobis quidem durante il Concistoro segreto</v>
      </c>
      <c r="AB531" s="31" t="str">
        <f t="shared" si="126"/>
        <v>Discorso Nobis quidem durante il Concistoro segreto</v>
      </c>
      <c r="AC531" s="31" t="str">
        <f t="shared" si="127"/>
        <v>Benedetto XV, Discorso Nobis quidem durante il Concistoro segreto, 03 luglio 1919</v>
      </c>
      <c r="AD531" s="31" t="str">
        <f t="shared" si="128"/>
        <v>1919-07-03T08:00:00.000+02:00</v>
      </c>
      <c r="AE531" s="31" t="str">
        <f t="shared" si="116"/>
        <v>bxv-dis-nqc</v>
      </c>
      <c r="AF531" s="31" t="str">
        <f t="shared" si="117"/>
        <v>Benedetto XV - Discorso - Nobis quidem durante il Concistoro segreto</v>
      </c>
    </row>
    <row r="532" spans="2:32" s="31" customFormat="1" x14ac:dyDescent="0.2">
      <c r="B532" s="31">
        <v>258</v>
      </c>
      <c r="C532" s="31" t="s">
        <v>3155</v>
      </c>
      <c r="D532" s="31" t="s">
        <v>699</v>
      </c>
      <c r="E532" s="31" t="s">
        <v>738</v>
      </c>
      <c r="F532" s="31" t="s">
        <v>608</v>
      </c>
      <c r="G532" s="31" t="s">
        <v>609</v>
      </c>
      <c r="H532" s="31" t="str">
        <f t="shared" si="122"/>
        <v>Benedetto XV</v>
      </c>
      <c r="K532" s="31" t="s">
        <v>827</v>
      </c>
      <c r="L532" s="31" t="str">
        <f t="shared" si="115"/>
        <v>Discorso</v>
      </c>
      <c r="M532" s="31" t="s">
        <v>566</v>
      </c>
      <c r="O532" s="31" t="s">
        <v>3135</v>
      </c>
      <c r="P532" s="31" t="s">
        <v>3175</v>
      </c>
      <c r="Q532" s="40">
        <v>7009</v>
      </c>
      <c r="R532" s="35">
        <f t="shared" si="129"/>
        <v>10</v>
      </c>
      <c r="S532" s="35"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5">
        <f t="shared" si="130"/>
        <v>1919</v>
      </c>
      <c r="U532" s="31"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6"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31"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31">
        <v>559</v>
      </c>
      <c r="Y532" s="31" t="str">
        <f t="shared" si="123"/>
        <v>['Benedetto XV', 'Discorso', 'Antequam ordinem ai cardinali durante il Concistoro Segreto nel Palazzo Vaticano', 'bxv-dis-aoc', '10 marzo 1919', '10/03/1919', '1919/03/10'],</v>
      </c>
      <c r="Z532" s="31" t="str">
        <f t="shared" si="124"/>
        <v>Antequam ordinem ai cardinali durante il Concistoro Segreto nel Palazzo Vaticano (7009) | Benedetto XV</v>
      </c>
      <c r="AA532" s="31" t="str">
        <f t="shared" si="125"/>
        <v>Discorso Antequam ordinem ai cardinali durante il Concistoro Segreto nel Palazzo Vaticano</v>
      </c>
      <c r="AB532" s="31" t="str">
        <f t="shared" si="126"/>
        <v>Discorso Antequam ordinem ai cardinali durante il Concistoro Segreto nel Palazzo Vaticano</v>
      </c>
      <c r="AC532" s="31" t="str">
        <f t="shared" si="127"/>
        <v>Benedetto XV, Discorso Antequam ordinem ai cardinali durante il Concistoro Segreto nel Palazzo Vaticano, 10 marzo 1919</v>
      </c>
      <c r="AD532" s="31" t="str">
        <f t="shared" si="128"/>
        <v>1919-03-10T08:00:00.000+02:00</v>
      </c>
      <c r="AE532" s="31" t="str">
        <f t="shared" si="116"/>
        <v>bxv-dis-aoc</v>
      </c>
      <c r="AF532" s="31" t="str">
        <f t="shared" si="117"/>
        <v>Benedetto XV - Discorso - Antequam ordinem ai cardinali durante il Concistoro Segreto nel Palazzo Vaticano</v>
      </c>
    </row>
    <row r="533" spans="2:32" s="31" customFormat="1" x14ac:dyDescent="0.2">
      <c r="B533" s="31">
        <v>258</v>
      </c>
      <c r="C533" s="31" t="s">
        <v>3156</v>
      </c>
      <c r="D533" s="31" t="s">
        <v>699</v>
      </c>
      <c r="E533" s="31" t="s">
        <v>738</v>
      </c>
      <c r="F533" s="31" t="s">
        <v>608</v>
      </c>
      <c r="G533" s="31" t="s">
        <v>609</v>
      </c>
      <c r="H533" s="31" t="str">
        <f t="shared" si="122"/>
        <v>Benedetto XV</v>
      </c>
      <c r="K533" s="31" t="s">
        <v>827</v>
      </c>
      <c r="L533" s="31" t="str">
        <f t="shared" si="115"/>
        <v>Discorso</v>
      </c>
      <c r="M533" s="31" t="s">
        <v>566</v>
      </c>
      <c r="O533" s="31" t="s">
        <v>3136</v>
      </c>
      <c r="P533" s="31" t="s">
        <v>3176</v>
      </c>
      <c r="Q533" s="40">
        <v>7009</v>
      </c>
      <c r="R533" s="35">
        <f t="shared" si="129"/>
        <v>10</v>
      </c>
      <c r="S533" s="35"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5">
        <f t="shared" si="130"/>
        <v>1919</v>
      </c>
      <c r="U533" s="31"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6"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31"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31">
        <v>560</v>
      </c>
      <c r="Y533" s="31" t="str">
        <f t="shared" si="123"/>
        <v>['Benedetto XV', 'Discorso', 'Les veuves alle vedove francesi di guerra venute a Roma in pellegrinaggio', 'bxv-dis-avf', '10 marzo 1919', '10/03/1919', '1919/03/10'],</v>
      </c>
      <c r="Z533" s="31" t="str">
        <f t="shared" si="124"/>
        <v>Les veuves alle vedove francesi di guerra venute a Roma in pellegrinaggio (7009) | Benedetto XV</v>
      </c>
      <c r="AA533" s="31" t="str">
        <f t="shared" si="125"/>
        <v>Discorso Les veuves alle vedove francesi di guerra venute a Roma in pellegrinaggio</v>
      </c>
      <c r="AB533" s="31" t="str">
        <f t="shared" si="126"/>
        <v>Discorso Les veuves alle vedove francesi di guerra venute a Roma in pellegrinaggio</v>
      </c>
      <c r="AC533" s="31" t="str">
        <f t="shared" si="127"/>
        <v>Benedetto XV, Discorso Les veuves alle vedove francesi di guerra venute a Roma in pellegrinaggio, 10 marzo 1919</v>
      </c>
      <c r="AD533" s="31" t="str">
        <f t="shared" si="128"/>
        <v>1919-03-10T08:00:00.000+02:00</v>
      </c>
      <c r="AE533" s="31" t="str">
        <f t="shared" si="116"/>
        <v>bxv-dis-avf</v>
      </c>
      <c r="AF533" s="31" t="str">
        <f t="shared" si="117"/>
        <v>Benedetto XV - Discorso - Les veuves alle vedove francesi di guerra venute a Roma in pellegrinaggio</v>
      </c>
    </row>
    <row r="534" spans="2:32" s="31" customFormat="1" x14ac:dyDescent="0.2">
      <c r="B534" s="31">
        <v>258</v>
      </c>
      <c r="C534" s="31" t="s">
        <v>3177</v>
      </c>
      <c r="D534" s="31" t="s">
        <v>699</v>
      </c>
      <c r="E534" s="31" t="s">
        <v>738</v>
      </c>
      <c r="F534" s="31" t="s">
        <v>608</v>
      </c>
      <c r="G534" s="31" t="s">
        <v>609</v>
      </c>
      <c r="H534" s="31" t="str">
        <f t="shared" ref="H534:H553" si="131">_xlfn.CONCAT(D534 &amp; " " &amp; E534)</f>
        <v>Benedetto XV</v>
      </c>
      <c r="K534" s="31" t="s">
        <v>827</v>
      </c>
      <c r="L534" s="31" t="str">
        <f t="shared" si="115"/>
        <v>Discorso</v>
      </c>
      <c r="M534" s="31" t="s">
        <v>566</v>
      </c>
      <c r="O534" s="31" t="s">
        <v>3197</v>
      </c>
      <c r="P534" s="31" t="s">
        <v>1896</v>
      </c>
      <c r="Q534" s="40">
        <v>7002</v>
      </c>
      <c r="R534" s="35">
        <f t="shared" si="129"/>
        <v>3</v>
      </c>
      <c r="S534" s="35"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5">
        <f t="shared" si="130"/>
        <v>1919</v>
      </c>
      <c r="U534" s="31"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6"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31"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31">
        <v>561</v>
      </c>
      <c r="Y534" s="31" t="str">
        <f t="shared" si="123"/>
        <v>['Benedetto XV', 'Discorso', 'L'agricoltore ai rappresentanti delle giunte diocesane', 'bxv-dis-agd', '03 marzo 1919', '03/03/1919', '1919/03/03'],</v>
      </c>
      <c r="Z534" s="31" t="str">
        <f t="shared" si="124"/>
        <v>L'agricoltore ai rappresentanti delle giunte diocesane (7002) | Benedetto XV</v>
      </c>
      <c r="AA534" s="31" t="str">
        <f t="shared" si="125"/>
        <v>Discorso L'agricoltore ai rappresentanti delle giunte diocesane</v>
      </c>
      <c r="AB534" s="31" t="str">
        <f t="shared" si="126"/>
        <v>Discorso L'agricoltore ai rappresentanti delle giunte diocesane</v>
      </c>
      <c r="AC534" s="31" t="str">
        <f t="shared" si="127"/>
        <v>Benedetto XV, Discorso L'agricoltore ai rappresentanti delle giunte diocesane, 03 marzo 1919</v>
      </c>
      <c r="AD534" s="31" t="str">
        <f t="shared" si="128"/>
        <v>1919-03-03T08:00:00.000+02:00</v>
      </c>
      <c r="AE534" s="31" t="str">
        <f t="shared" si="116"/>
        <v>bxv-dis-agd</v>
      </c>
      <c r="AF534" s="31" t="str">
        <f t="shared" si="117"/>
        <v>Benedetto XV - Discorso - L'agricoltore ai rappresentanti delle giunte diocesane</v>
      </c>
    </row>
    <row r="535" spans="2:32" s="31" customFormat="1" x14ac:dyDescent="0.2">
      <c r="B535" s="31">
        <v>258</v>
      </c>
      <c r="C535" s="31" t="s">
        <v>3178</v>
      </c>
      <c r="D535" s="31" t="s">
        <v>699</v>
      </c>
      <c r="E535" s="31" t="s">
        <v>738</v>
      </c>
      <c r="F535" s="31" t="s">
        <v>608</v>
      </c>
      <c r="G535" s="31" t="s">
        <v>609</v>
      </c>
      <c r="H535" s="31" t="str">
        <f t="shared" si="131"/>
        <v>Benedetto XV</v>
      </c>
      <c r="K535" s="31" t="s">
        <v>827</v>
      </c>
      <c r="L535" s="31" t="str">
        <f t="shared" si="115"/>
        <v>Discorso</v>
      </c>
      <c r="M535" s="31" t="s">
        <v>566</v>
      </c>
      <c r="O535" s="31" t="s">
        <v>3127</v>
      </c>
      <c r="P535" s="31" t="s">
        <v>647</v>
      </c>
      <c r="Q535" s="40">
        <v>7002</v>
      </c>
      <c r="R535" s="35">
        <f t="shared" si="129"/>
        <v>3</v>
      </c>
      <c r="S535" s="35"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5">
        <f t="shared" si="130"/>
        <v>1919</v>
      </c>
      <c r="U535" s="31"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6"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31"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31">
        <v>562</v>
      </c>
      <c r="Y535" s="31" t="str">
        <f t="shared" si="123"/>
        <v>['Benedetto XV', 'Discorso', 'Ai parroci e ai predicatori quaresimalisti di Roma', 'bxv-dis-aip', '03 marzo 1919', '03/03/1919', '1919/03/03'],</v>
      </c>
      <c r="Z535" s="31" t="str">
        <f t="shared" si="124"/>
        <v>Ai parroci e ai predicatori quaresimalisti di Roma (7002) | Benedetto XV</v>
      </c>
      <c r="AA535" s="31" t="str">
        <f t="shared" si="125"/>
        <v>Discorso Ai parroci e ai predicatori quaresimalisti di Roma</v>
      </c>
      <c r="AB535" s="31" t="str">
        <f t="shared" si="126"/>
        <v>Discorso Ai parroci e ai predicatori quaresimalisti di Roma</v>
      </c>
      <c r="AC535" s="31" t="str">
        <f t="shared" si="127"/>
        <v>Benedetto XV, Discorso Ai parroci e ai predicatori quaresimalisti di Roma, 03 marzo 1919</v>
      </c>
      <c r="AD535" s="31" t="str">
        <f t="shared" si="128"/>
        <v>1919-03-03T08:00:00.000+02:00</v>
      </c>
      <c r="AE535" s="31" t="str">
        <f t="shared" si="116"/>
        <v>bxv-dis-aip</v>
      </c>
      <c r="AF535" s="31" t="str">
        <f t="shared" si="117"/>
        <v>Benedetto XV - Discorso - Ai parroci e ai predicatori quaresimalisti di Roma</v>
      </c>
    </row>
    <row r="536" spans="2:32" s="31" customFormat="1" x14ac:dyDescent="0.2">
      <c r="B536" s="31">
        <v>258</v>
      </c>
      <c r="C536" s="31" t="s">
        <v>3179</v>
      </c>
      <c r="D536" s="31" t="s">
        <v>699</v>
      </c>
      <c r="E536" s="31" t="s">
        <v>738</v>
      </c>
      <c r="F536" s="31" t="s">
        <v>608</v>
      </c>
      <c r="G536" s="31" t="s">
        <v>609</v>
      </c>
      <c r="H536" s="31" t="str">
        <f t="shared" si="131"/>
        <v>Benedetto XV</v>
      </c>
      <c r="K536" s="31" t="s">
        <v>827</v>
      </c>
      <c r="L536" s="31" t="str">
        <f t="shared" si="115"/>
        <v>Discorso</v>
      </c>
      <c r="M536" s="31" t="s">
        <v>566</v>
      </c>
      <c r="O536" s="31" t="s">
        <v>3198</v>
      </c>
      <c r="P536" s="31" t="s">
        <v>3226</v>
      </c>
      <c r="Q536" s="40">
        <v>6933</v>
      </c>
      <c r="R536" s="35">
        <f t="shared" si="129"/>
        <v>24</v>
      </c>
      <c r="S536" s="35"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5">
        <f t="shared" si="130"/>
        <v>1918</v>
      </c>
      <c r="U536" s="31"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6"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31"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31">
        <v>563</v>
      </c>
      <c r="Y536" s="31" t="str">
        <f t="shared" si="123"/>
        <v>['Benedetto XV', 'Discorso', 'Al Sacro Collegio dei Cardinali nella vigilia della Solennità del Natale', 'bxv-dis-csn', '24 dicembre 1918', '24/12/1918', '1918/12/24'],</v>
      </c>
      <c r="Z536" s="31" t="str">
        <f t="shared" si="124"/>
        <v>Al Sacro Collegio dei Cardinali nella vigilia della Solennità del Natale (6933) | Benedetto XV</v>
      </c>
      <c r="AA536" s="31" t="str">
        <f t="shared" si="125"/>
        <v>Discorso Al Sacro Collegio dei Cardinali nella vigilia della Solennità del Natale</v>
      </c>
      <c r="AB536" s="31" t="str">
        <f t="shared" si="126"/>
        <v>Discorso Al Sacro Collegio dei Cardinali nella vigilia della Solennità del Natale</v>
      </c>
      <c r="AC536" s="31" t="str">
        <f t="shared" si="127"/>
        <v>Benedetto XV, Discorso Al Sacro Collegio dei Cardinali nella vigilia della Solennità del Natale, 24 dicembre 1918</v>
      </c>
      <c r="AD536" s="31" t="str">
        <f t="shared" si="128"/>
        <v>1918-12-24T08:00:00.000+02:00</v>
      </c>
      <c r="AE536" s="31" t="str">
        <f t="shared" si="116"/>
        <v>bxv-dis-csn</v>
      </c>
      <c r="AF536" s="31" t="str">
        <f t="shared" si="117"/>
        <v>Benedetto XV - Discorso - Al Sacro Collegio dei Cardinali nella vigilia della Solennità del Natale</v>
      </c>
    </row>
    <row r="537" spans="2:32" s="31" customFormat="1" x14ac:dyDescent="0.2">
      <c r="B537" s="31">
        <v>258</v>
      </c>
      <c r="C537" s="31" t="s">
        <v>3180</v>
      </c>
      <c r="D537" s="31" t="s">
        <v>699</v>
      </c>
      <c r="E537" s="31" t="s">
        <v>738</v>
      </c>
      <c r="F537" s="31" t="s">
        <v>608</v>
      </c>
      <c r="G537" s="31" t="s">
        <v>609</v>
      </c>
      <c r="H537" s="31" t="str">
        <f t="shared" si="131"/>
        <v>Benedetto XV</v>
      </c>
      <c r="K537" s="31" t="s">
        <v>827</v>
      </c>
      <c r="L537" s="31" t="str">
        <f t="shared" si="115"/>
        <v>Discorso</v>
      </c>
      <c r="M537" s="31" t="s">
        <v>566</v>
      </c>
      <c r="O537" s="31" t="s">
        <v>3199</v>
      </c>
      <c r="P537" s="31" t="s">
        <v>3213</v>
      </c>
      <c r="Q537" s="40">
        <v>6711</v>
      </c>
      <c r="R537" s="35">
        <f t="shared" si="129"/>
        <v>16</v>
      </c>
      <c r="S537" s="35"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5">
        <f t="shared" si="130"/>
        <v>1918</v>
      </c>
      <c r="U537" s="31"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6"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31"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31">
        <v>564</v>
      </c>
      <c r="Y537" s="31" t="str">
        <f t="shared" si="123"/>
        <v>['Benedetto XV', 'Discorso', 'Ai docenti ed agli alunni della Pontificia Scuola Superiore di Musica Sacra operante in Roma', 'bxv-dis-dap', '16 maggio 1918', '16/05/1918', '1918/05/16'],</v>
      </c>
      <c r="Z537" s="31" t="str">
        <f t="shared" si="124"/>
        <v>Ai docenti ed agli alunni della Pontificia Scuola Superiore di Musica Sacra operante in Roma (6711) | Benedetto XV</v>
      </c>
      <c r="AA537" s="31" t="str">
        <f t="shared" si="125"/>
        <v>Discorso Ai docenti ed agli alunni della Pontificia Scuola Superiore di Musica Sacra operante in Roma</v>
      </c>
      <c r="AB537" s="31" t="str">
        <f t="shared" si="126"/>
        <v>Discorso Ai docenti ed agli alunni della Pontificia Scuola Superiore di Musica Sacra operante in Roma</v>
      </c>
      <c r="AC537" s="31" t="str">
        <f t="shared" si="127"/>
        <v>Benedetto XV, Discorso Ai docenti ed agli alunni della Pontificia Scuola Superiore di Musica Sacra operante in Roma, 16 maggio 1918</v>
      </c>
      <c r="AD537" s="31" t="str">
        <f t="shared" si="128"/>
        <v>1918-05-16T08:00:00.000+02:00</v>
      </c>
      <c r="AE537" s="31" t="str">
        <f t="shared" si="116"/>
        <v>bxv-dis-dap</v>
      </c>
      <c r="AF537" s="31" t="str">
        <f t="shared" si="117"/>
        <v>Benedetto XV - Discorso - Ai docenti ed agli alunni della Pontificia Scuola Superiore di Musica Sacra operante in Roma</v>
      </c>
    </row>
    <row r="538" spans="2:32" s="31" customFormat="1" x14ac:dyDescent="0.2">
      <c r="B538" s="31">
        <v>258</v>
      </c>
      <c r="C538" s="31" t="s">
        <v>3181</v>
      </c>
      <c r="D538" s="31" t="s">
        <v>699</v>
      </c>
      <c r="E538" s="31" t="s">
        <v>738</v>
      </c>
      <c r="F538" s="31" t="s">
        <v>608</v>
      </c>
      <c r="G538" s="31" t="s">
        <v>609</v>
      </c>
      <c r="H538" s="31" t="str">
        <f t="shared" si="131"/>
        <v>Benedetto XV</v>
      </c>
      <c r="K538" s="31" t="s">
        <v>827</v>
      </c>
      <c r="L538" s="31" t="str">
        <f t="shared" si="115"/>
        <v>Discorso</v>
      </c>
      <c r="M538" s="31" t="s">
        <v>566</v>
      </c>
      <c r="O538" s="31" t="s">
        <v>3200</v>
      </c>
      <c r="P538" s="31" t="s">
        <v>646</v>
      </c>
      <c r="Q538" s="40">
        <v>6617</v>
      </c>
      <c r="R538" s="35">
        <f t="shared" si="129"/>
        <v>11</v>
      </c>
      <c r="S538" s="35"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5">
        <f t="shared" si="130"/>
        <v>1918</v>
      </c>
      <c r="U538" s="31"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6"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31"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31">
        <v>565</v>
      </c>
      <c r="Y538" s="31" t="str">
        <f t="shared" si="123"/>
        <v>['Benedetto XV', 'Discorso', 'Ai parroci ed ai predicatori quaresimalisti di Roma', 'bxv-dis-pap', '11 febbraio 1918', '11/02/1918', '1918/02/11'],</v>
      </c>
      <c r="Z538" s="31" t="str">
        <f t="shared" si="124"/>
        <v>Ai parroci ed ai predicatori quaresimalisti di Roma (6617) | Benedetto XV</v>
      </c>
      <c r="AA538" s="31" t="str">
        <f t="shared" si="125"/>
        <v>Discorso Ai parroci ed ai predicatori quaresimalisti di Roma</v>
      </c>
      <c r="AB538" s="31" t="str">
        <f t="shared" si="126"/>
        <v>Discorso Ai parroci ed ai predicatori quaresimalisti di Roma</v>
      </c>
      <c r="AC538" s="31" t="str">
        <f t="shared" si="127"/>
        <v>Benedetto XV, Discorso Ai parroci ed ai predicatori quaresimalisti di Roma, 11 febbraio 1918</v>
      </c>
      <c r="AD538" s="31" t="str">
        <f t="shared" si="128"/>
        <v>1918-02-11T08:00:00.000+02:00</v>
      </c>
      <c r="AE538" s="31" t="str">
        <f t="shared" si="116"/>
        <v>bxv-dis-pap</v>
      </c>
      <c r="AF538" s="31" t="str">
        <f t="shared" si="117"/>
        <v>Benedetto XV - Discorso - Ai parroci ed ai predicatori quaresimalisti di Roma</v>
      </c>
    </row>
    <row r="539" spans="2:32" s="31" customFormat="1" x14ac:dyDescent="0.2">
      <c r="B539" s="31">
        <v>258</v>
      </c>
      <c r="C539" s="31" t="s">
        <v>3182</v>
      </c>
      <c r="D539" s="31" t="s">
        <v>699</v>
      </c>
      <c r="E539" s="31" t="s">
        <v>738</v>
      </c>
      <c r="F539" s="31" t="s">
        <v>608</v>
      </c>
      <c r="G539" s="31" t="s">
        <v>609</v>
      </c>
      <c r="H539" s="31" t="str">
        <f t="shared" si="131"/>
        <v>Benedetto XV</v>
      </c>
      <c r="K539" s="31" t="s">
        <v>827</v>
      </c>
      <c r="L539" s="31" t="str">
        <f t="shared" si="115"/>
        <v>Discorso</v>
      </c>
      <c r="M539" s="31" t="s">
        <v>566</v>
      </c>
      <c r="O539" s="31" t="s">
        <v>3201</v>
      </c>
      <c r="P539" s="31" t="s">
        <v>3214</v>
      </c>
      <c r="Q539" s="40">
        <v>6581</v>
      </c>
      <c r="R539" s="35">
        <f t="shared" si="129"/>
        <v>6</v>
      </c>
      <c r="S539" s="35"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5">
        <f t="shared" si="130"/>
        <v>1918</v>
      </c>
      <c r="U539" s="31"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6"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31"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31">
        <v>566</v>
      </c>
      <c r="Y539" s="31" t="str">
        <f t="shared" si="123"/>
        <v>['Benedetto XV', 'Discorso', 'al termine della lettura del decreto « Super dubio » relativo ai due miracoli attribuiti alla beata Margherita Maria Alacoque', 'bxv-dis-mma', '06 gennaio 1918', '06/01/1918', '1918/01/06'],</v>
      </c>
      <c r="Z539" s="31" t="str">
        <f t="shared" si="124"/>
        <v>al termine della lettura del decreto « Super dubio » relativo ai due miracoli attribuiti alla beata Margherita Maria Alacoque (6581) | Benedetto XV</v>
      </c>
      <c r="AA539" s="31" t="str">
        <f t="shared" si="125"/>
        <v>Discorso al termine della lettura del decreto « Super dubio » relativo ai due miracoli attribuiti alla beata Margherita Maria Alacoque</v>
      </c>
      <c r="AB539" s="31" t="str">
        <f t="shared" si="126"/>
        <v>Discorso al termine della lettura del decreto « Super dubio » relativo ai due miracoli attribuiti alla beata Margherita Maria Alacoque</v>
      </c>
      <c r="AC539" s="31" t="str">
        <f t="shared" si="127"/>
        <v>Benedetto XV, Discorso al termine della lettura del decreto « Super dubio » relativo ai due miracoli attribuiti alla beata Margherita Maria Alacoque, 06 gennaio 1918</v>
      </c>
      <c r="AD539" s="31" t="str">
        <f t="shared" si="128"/>
        <v>1918-01-06T08:00:00.000+02:00</v>
      </c>
      <c r="AE539" s="31" t="str">
        <f t="shared" si="116"/>
        <v>bxv-dis-mma</v>
      </c>
      <c r="AF539" s="31" t="str">
        <f t="shared" si="117"/>
        <v>Benedetto XV - Discorso - al termine della lettura del decreto « Super dubio » relativo ai due miracoli attribuiti alla beata Margherita Maria Alacoque</v>
      </c>
    </row>
    <row r="540" spans="2:32" s="31" customFormat="1" x14ac:dyDescent="0.2">
      <c r="B540" s="31">
        <v>258</v>
      </c>
      <c r="C540" s="31" t="s">
        <v>3183</v>
      </c>
      <c r="D540" s="31" t="s">
        <v>699</v>
      </c>
      <c r="E540" s="31" t="s">
        <v>738</v>
      </c>
      <c r="F540" s="31" t="s">
        <v>608</v>
      </c>
      <c r="G540" s="31" t="s">
        <v>609</v>
      </c>
      <c r="H540" s="31" t="str">
        <f t="shared" si="131"/>
        <v>Benedetto XV</v>
      </c>
      <c r="K540" s="31" t="s">
        <v>827</v>
      </c>
      <c r="L540" s="31" t="str">
        <f t="shared" si="115"/>
        <v>Discorso</v>
      </c>
      <c r="M540" s="31" t="s">
        <v>566</v>
      </c>
      <c r="O540" s="31" t="s">
        <v>3198</v>
      </c>
      <c r="P540" s="31" t="s">
        <v>3215</v>
      </c>
      <c r="Q540" s="40">
        <v>6568</v>
      </c>
      <c r="R540" s="35">
        <f t="shared" si="129"/>
        <v>24</v>
      </c>
      <c r="S540" s="35"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5">
        <f t="shared" si="130"/>
        <v>1917</v>
      </c>
      <c r="U540" s="31"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6"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31"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31">
        <v>567</v>
      </c>
      <c r="Y540" s="31" t="str">
        <f t="shared" si="123"/>
        <v>['Benedetto XV', 'Discorso', 'Al Sacro Collegio dei Cardinali nella vigilia della Solennità del Natale', 'bxv-dis-vsn', '24 dicembre 1917', '24/12/1917', '1917/12/24'],</v>
      </c>
      <c r="Z540" s="31" t="str">
        <f t="shared" si="124"/>
        <v>Al Sacro Collegio dei Cardinali nella vigilia della Solennità del Natale (6568) | Benedetto XV</v>
      </c>
      <c r="AA540" s="31" t="str">
        <f t="shared" si="125"/>
        <v>Discorso Al Sacro Collegio dei Cardinali nella vigilia della Solennità del Natale</v>
      </c>
      <c r="AB540" s="31" t="str">
        <f t="shared" si="126"/>
        <v>Discorso Al Sacro Collegio dei Cardinali nella vigilia della Solennità del Natale</v>
      </c>
      <c r="AC540" s="31" t="str">
        <f t="shared" si="127"/>
        <v>Benedetto XV, Discorso Al Sacro Collegio dei Cardinali nella vigilia della Solennità del Natale, 24 dicembre 1917</v>
      </c>
      <c r="AD540" s="31" t="str">
        <f t="shared" si="128"/>
        <v>1917-12-24T08:00:00.000+02:00</v>
      </c>
      <c r="AE540" s="31" t="str">
        <f t="shared" si="116"/>
        <v>bxv-dis-vsn</v>
      </c>
      <c r="AF540" s="31" t="str">
        <f t="shared" si="117"/>
        <v>Benedetto XV - Discorso - Al Sacro Collegio dei Cardinali nella vigilia della Solennità del Natale</v>
      </c>
    </row>
    <row r="541" spans="2:32" s="31" customFormat="1" x14ac:dyDescent="0.2">
      <c r="B541" s="31">
        <v>258</v>
      </c>
      <c r="C541" s="31" t="s">
        <v>3184</v>
      </c>
      <c r="D541" s="31" t="s">
        <v>699</v>
      </c>
      <c r="E541" s="31" t="s">
        <v>738</v>
      </c>
      <c r="F541" s="31" t="s">
        <v>608</v>
      </c>
      <c r="G541" s="31" t="s">
        <v>609</v>
      </c>
      <c r="H541" s="31" t="str">
        <f t="shared" si="131"/>
        <v>Benedetto XV</v>
      </c>
      <c r="K541" s="31" t="s">
        <v>827</v>
      </c>
      <c r="L541" s="31" t="str">
        <f t="shared" si="115"/>
        <v>Discorso</v>
      </c>
      <c r="M541" s="31" t="s">
        <v>566</v>
      </c>
      <c r="O541" s="31" t="s">
        <v>3202</v>
      </c>
      <c r="P541" s="31" t="s">
        <v>3216</v>
      </c>
      <c r="Q541" s="40">
        <v>6291</v>
      </c>
      <c r="R541" s="35">
        <f t="shared" si="129"/>
        <v>22</v>
      </c>
      <c r="S541" s="35"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5">
        <f t="shared" si="130"/>
        <v>1917</v>
      </c>
      <c r="U541" s="31"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6"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31"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31">
        <v>568</v>
      </c>
      <c r="Y541" s="31" t="str">
        <f t="shared" si="123"/>
        <v>['Benedetto XV', 'Discorso', 'ai Cardinali nel corso del quale viene esposta la decisione di attribuire alla Sacra Congregazione del Santo Uffizio i compiti espletati finora dalla Sacra Congregazione dell’Indice', 'bxv-dis-aic', '22 marzo 1917', '22/03/1917', '1917/03/22'],</v>
      </c>
      <c r="Z541" s="31" t="str">
        <f t="shared" si="124"/>
        <v>ai Cardinali nel corso del quale viene esposta la decisione di attribuire alla Sacra Congregazione del Santo Uffizio i compiti espletati finora dalla Sacra Congregazione dell’Indice (6291) | Benedetto XV</v>
      </c>
      <c r="AA541" s="31" t="str">
        <f t="shared" si="125"/>
        <v>Discorso ai Cardinali nel corso del quale viene esposta la decisione di attribuire alla Sacra Congregazione del Santo Uffizio i compiti espletati finora dalla Sacra Congregazione dell’Indice</v>
      </c>
      <c r="AB541" s="31" t="str">
        <f t="shared" si="126"/>
        <v>Discorso ai Cardinali nel corso del quale viene esposta la decisione di attribuire alla Sacra Congregazione del Santo Uffizio i compiti espletati finora dalla Sacra Congregazione dell’Indice</v>
      </c>
      <c r="AC541" s="31" t="str">
        <f t="shared" si="127"/>
        <v>Benedetto XV, Discorso ai Cardinali nel corso del quale viene esposta la decisione di attribuire alla Sacra Congregazione del Santo Uffizio i compiti espletati finora dalla Sacra Congregazione dell’Indice, 22 marzo 1917</v>
      </c>
      <c r="AD541" s="31" t="str">
        <f t="shared" si="128"/>
        <v>1917-03-22T08:00:00.000+02:00</v>
      </c>
      <c r="AE541" s="31" t="str">
        <f t="shared" si="116"/>
        <v>bxv-dis-aic</v>
      </c>
      <c r="AF541" s="31" t="str">
        <f t="shared" si="117"/>
        <v>Benedetto XV - Discorso - ai Cardinali nel corso del quale viene esposta la decisione di attribuire alla Sacra Congregazione del Santo Uffizio i compiti espletati finora dalla Sacra Congregazione dell’Indice</v>
      </c>
    </row>
    <row r="542" spans="2:32" s="31" customFormat="1" x14ac:dyDescent="0.2">
      <c r="B542" s="31">
        <v>258</v>
      </c>
      <c r="C542" s="31" t="s">
        <v>3185</v>
      </c>
      <c r="D542" s="31" t="s">
        <v>699</v>
      </c>
      <c r="E542" s="31" t="s">
        <v>738</v>
      </c>
      <c r="F542" s="31" t="s">
        <v>608</v>
      </c>
      <c r="G542" s="31" t="s">
        <v>609</v>
      </c>
      <c r="H542" s="31" t="str">
        <f t="shared" si="131"/>
        <v>Benedetto XV</v>
      </c>
      <c r="K542" s="31" t="s">
        <v>827</v>
      </c>
      <c r="L542" s="31" t="str">
        <f t="shared" si="115"/>
        <v>Discorso</v>
      </c>
      <c r="M542" s="31" t="s">
        <v>566</v>
      </c>
      <c r="O542" s="31" t="s">
        <v>3203</v>
      </c>
      <c r="P542" s="31" t="s">
        <v>1635</v>
      </c>
      <c r="Q542" s="40">
        <v>6260</v>
      </c>
      <c r="R542" s="35">
        <f t="shared" si="129"/>
        <v>19</v>
      </c>
      <c r="S542" s="35"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5">
        <f t="shared" si="130"/>
        <v>1917</v>
      </c>
      <c r="U542" s="31"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6"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31"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31">
        <v>569</v>
      </c>
      <c r="Y542" s="31" t="str">
        <f t="shared" si="123"/>
        <v>['Benedetto XV', 'Discorso', 'Ai predicatori quaresimalisti di Roma', 'bxv-dis-prq', '19 febbraio 1917', '19/02/1917', '1917/02/19'],</v>
      </c>
      <c r="Z542" s="31" t="str">
        <f t="shared" si="124"/>
        <v>Ai predicatori quaresimalisti di Roma (6260) | Benedetto XV</v>
      </c>
      <c r="AA542" s="31" t="str">
        <f t="shared" si="125"/>
        <v>Discorso Ai predicatori quaresimalisti di Roma</v>
      </c>
      <c r="AB542" s="31" t="str">
        <f t="shared" si="126"/>
        <v>Discorso Ai predicatori quaresimalisti di Roma</v>
      </c>
      <c r="AC542" s="31" t="str">
        <f t="shared" si="127"/>
        <v>Benedetto XV, Discorso Ai predicatori quaresimalisti di Roma, 19 febbraio 1917</v>
      </c>
      <c r="AD542" s="31" t="str">
        <f t="shared" si="128"/>
        <v>1917-02-19T08:00:00.000+02:00</v>
      </c>
      <c r="AE542" s="31" t="str">
        <f t="shared" si="116"/>
        <v>bxv-dis-prq</v>
      </c>
      <c r="AF542" s="31" t="str">
        <f t="shared" si="117"/>
        <v>Benedetto XV - Discorso - Ai predicatori quaresimalisti di Roma</v>
      </c>
    </row>
    <row r="543" spans="2:32" s="31" customFormat="1" x14ac:dyDescent="0.2">
      <c r="B543" s="31">
        <v>258</v>
      </c>
      <c r="C543" s="31" t="s">
        <v>3186</v>
      </c>
      <c r="D543" s="31" t="s">
        <v>699</v>
      </c>
      <c r="E543" s="31" t="s">
        <v>738</v>
      </c>
      <c r="F543" s="31" t="s">
        <v>608</v>
      </c>
      <c r="G543" s="31" t="s">
        <v>609</v>
      </c>
      <c r="H543" s="31" t="str">
        <f t="shared" si="131"/>
        <v>Benedetto XV</v>
      </c>
      <c r="K543" s="31" t="s">
        <v>827</v>
      </c>
      <c r="L543" s="31" t="str">
        <f t="shared" si="115"/>
        <v>Discorso</v>
      </c>
      <c r="M543" s="31" t="s">
        <v>566</v>
      </c>
      <c r="O543" s="31" t="s">
        <v>3198</v>
      </c>
      <c r="P543" s="31" t="s">
        <v>3217</v>
      </c>
      <c r="Q543" s="40">
        <v>6203</v>
      </c>
      <c r="R543" s="35">
        <f t="shared" si="129"/>
        <v>24</v>
      </c>
      <c r="S543" s="35"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5">
        <f t="shared" si="130"/>
        <v>1916</v>
      </c>
      <c r="U543" s="31"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6"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31"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31">
        <v>570</v>
      </c>
      <c r="Y543" s="31" t="str">
        <f t="shared" si="123"/>
        <v>['Benedetto XV', 'Discorso', 'Al Sacro Collegio dei Cardinali nella vigilia della Solennità del Natale', 'bxv-dis-ccn', '24 dicembre 1916', '24/12/1916', '1916/12/24'],</v>
      </c>
      <c r="Z543" s="31" t="str">
        <f t="shared" si="124"/>
        <v>Al Sacro Collegio dei Cardinali nella vigilia della Solennità del Natale (6203) | Benedetto XV</v>
      </c>
      <c r="AA543" s="31" t="str">
        <f t="shared" si="125"/>
        <v>Discorso Al Sacro Collegio dei Cardinali nella vigilia della Solennità del Natale</v>
      </c>
      <c r="AB543" s="31" t="str">
        <f t="shared" si="126"/>
        <v>Discorso Al Sacro Collegio dei Cardinali nella vigilia della Solennità del Natale</v>
      </c>
      <c r="AC543" s="31" t="str">
        <f t="shared" si="127"/>
        <v>Benedetto XV, Discorso Al Sacro Collegio dei Cardinali nella vigilia della Solennità del Natale, 24 dicembre 1916</v>
      </c>
      <c r="AD543" s="31" t="str">
        <f t="shared" si="128"/>
        <v>1916-12-24T08:00:00.000+02:00</v>
      </c>
      <c r="AE543" s="31" t="str">
        <f t="shared" si="116"/>
        <v>bxv-dis-ccn</v>
      </c>
      <c r="AF543" s="31" t="str">
        <f t="shared" si="117"/>
        <v>Benedetto XV - Discorso - Al Sacro Collegio dei Cardinali nella vigilia della Solennità del Natale</v>
      </c>
    </row>
    <row r="544" spans="2:32" s="31" customFormat="1" x14ac:dyDescent="0.2">
      <c r="B544" s="31">
        <v>258</v>
      </c>
      <c r="C544" s="31" t="s">
        <v>3187</v>
      </c>
      <c r="D544" s="31" t="s">
        <v>699</v>
      </c>
      <c r="E544" s="31" t="s">
        <v>738</v>
      </c>
      <c r="F544" s="31" t="s">
        <v>608</v>
      </c>
      <c r="G544" s="31" t="s">
        <v>609</v>
      </c>
      <c r="H544" s="31" t="str">
        <f t="shared" si="131"/>
        <v>Benedetto XV</v>
      </c>
      <c r="K544" s="31" t="s">
        <v>827</v>
      </c>
      <c r="L544" s="31" t="str">
        <f t="shared" si="115"/>
        <v>Discorso</v>
      </c>
      <c r="M544" s="31" t="s">
        <v>566</v>
      </c>
      <c r="O544" s="31" t="s">
        <v>3204</v>
      </c>
      <c r="P544" s="31" t="s">
        <v>3218</v>
      </c>
      <c r="Q544" s="40">
        <v>6183</v>
      </c>
      <c r="R544" s="35">
        <f t="shared" si="129"/>
        <v>4</v>
      </c>
      <c r="S544" s="35"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5">
        <f t="shared" si="130"/>
        <v>1916</v>
      </c>
      <c r="U544" s="31"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6"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31"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31">
        <v>571</v>
      </c>
      <c r="Y544" s="31" t="str">
        <f t="shared" si="123"/>
        <v>['Benedetto XV', 'Discorso', 'Annuncio della promulgazione del Codice di diritto canonico', 'bxv-dis-acd', '04 dicembre 1916', '04/12/1916', '1916/12/04'],</v>
      </c>
      <c r="Z544" s="31" t="str">
        <f t="shared" si="124"/>
        <v>Annuncio della promulgazione del Codice di diritto canonico (6183) | Benedetto XV</v>
      </c>
      <c r="AA544" s="31" t="str">
        <f t="shared" si="125"/>
        <v>Discorso Annuncio della promulgazione del Codice di diritto canonico</v>
      </c>
      <c r="AB544" s="31" t="str">
        <f t="shared" si="126"/>
        <v>Discorso Annuncio della promulgazione del Codice di diritto canonico</v>
      </c>
      <c r="AC544" s="31" t="str">
        <f t="shared" si="127"/>
        <v>Benedetto XV, Discorso Annuncio della promulgazione del Codice di diritto canonico, 04 dicembre 1916</v>
      </c>
      <c r="AD544" s="31" t="str">
        <f t="shared" si="128"/>
        <v>1916-12-04T08:00:00.000+02:00</v>
      </c>
      <c r="AE544" s="31" t="str">
        <f t="shared" si="116"/>
        <v>bxv-dis-acd</v>
      </c>
      <c r="AF544" s="31" t="str">
        <f t="shared" si="117"/>
        <v>Benedetto XV - Discorso - Annuncio della promulgazione del Codice di diritto canonico</v>
      </c>
    </row>
    <row r="545" spans="2:32" s="31" customFormat="1" x14ac:dyDescent="0.2">
      <c r="B545" s="31">
        <v>258</v>
      </c>
      <c r="C545" s="31" t="s">
        <v>3188</v>
      </c>
      <c r="D545" s="31" t="s">
        <v>699</v>
      </c>
      <c r="E545" s="31" t="s">
        <v>738</v>
      </c>
      <c r="F545" s="31" t="s">
        <v>608</v>
      </c>
      <c r="G545" s="31" t="s">
        <v>609</v>
      </c>
      <c r="H545" s="31" t="str">
        <f t="shared" si="131"/>
        <v>Benedetto XV</v>
      </c>
      <c r="K545" s="31" t="s">
        <v>827</v>
      </c>
      <c r="L545" s="31" t="str">
        <f t="shared" si="115"/>
        <v>Discorso</v>
      </c>
      <c r="M545" s="31" t="s">
        <v>566</v>
      </c>
      <c r="O545" s="31" t="s">
        <v>3205</v>
      </c>
      <c r="P545" s="31" t="s">
        <v>3219</v>
      </c>
      <c r="Q545" s="40">
        <v>6070</v>
      </c>
      <c r="R545" s="35">
        <f t="shared" si="129"/>
        <v>13</v>
      </c>
      <c r="S545" s="35"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5">
        <f t="shared" si="130"/>
        <v>1916</v>
      </c>
      <c r="U545" s="31"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6"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31"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31">
        <v>572</v>
      </c>
      <c r="Y545" s="31" t="str">
        <f t="shared" si="123"/>
        <v>['Benedetto XV', 'Discorso', 'al termine della lettura del decreto con il quale la Sacra Congregazione dei Riti approva due miracoli operati per intercessione del canonico Giuseppe Benedetto Cottolengo', 'bxv-dis-gbc', '13 agosto 1916', '13/08/1916', '1916/08/13'],</v>
      </c>
      <c r="Z545" s="31" t="str">
        <f t="shared" si="124"/>
        <v>al termine della lettura del decreto con il quale la Sacra Congregazione dei Riti approva due miracoli operati per intercessione del canonico Giuseppe Benedetto Cottolengo (6070) | Benedetto XV</v>
      </c>
      <c r="AA545" s="31" t="str">
        <f t="shared" si="125"/>
        <v>Discorso al termine della lettura del decreto con il quale la Sacra Congregazione dei Riti approva due miracoli operati per intercessione del canonico Giuseppe Benedetto Cottolengo</v>
      </c>
      <c r="AB545" s="31" t="str">
        <f t="shared" si="126"/>
        <v>Discorso al termine della lettura del decreto con il quale la Sacra Congregazione dei Riti approva due miracoli operati per intercessione del canonico Giuseppe Benedetto Cottolengo</v>
      </c>
      <c r="AC545" s="31" t="str">
        <f t="shared" si="127"/>
        <v>Benedetto XV, Discorso al termine della lettura del decreto con il quale la Sacra Congregazione dei Riti approva due miracoli operati per intercessione del canonico Giuseppe Benedetto Cottolengo, 13 agosto 1916</v>
      </c>
      <c r="AD545" s="31" t="str">
        <f t="shared" si="128"/>
        <v>1916-08-13T08:00:00.000+02:00</v>
      </c>
      <c r="AE545" s="31" t="str">
        <f t="shared" si="116"/>
        <v>bxv-dis-gbc</v>
      </c>
      <c r="AF545" s="31" t="str">
        <f t="shared" si="117"/>
        <v>Benedetto XV - Discorso - al termine della lettura del decreto con il quale la Sacra Congregazione dei Riti approva due miracoli operati per intercessione del canonico Giuseppe Benedetto Cottolengo</v>
      </c>
    </row>
    <row r="546" spans="2:32" s="31" customFormat="1" x14ac:dyDescent="0.2">
      <c r="B546" s="31">
        <v>258</v>
      </c>
      <c r="C546" s="31" t="s">
        <v>3189</v>
      </c>
      <c r="D546" s="31" t="s">
        <v>699</v>
      </c>
      <c r="E546" s="31" t="s">
        <v>738</v>
      </c>
      <c r="F546" s="31" t="s">
        <v>608</v>
      </c>
      <c r="G546" s="31" t="s">
        <v>609</v>
      </c>
      <c r="H546" s="31" t="str">
        <f t="shared" si="131"/>
        <v>Benedetto XV</v>
      </c>
      <c r="K546" s="31" t="s">
        <v>827</v>
      </c>
      <c r="L546" s="31" t="str">
        <f t="shared" si="115"/>
        <v>Discorso</v>
      </c>
      <c r="M546" s="31" t="s">
        <v>566</v>
      </c>
      <c r="O546" s="31" t="s">
        <v>3206</v>
      </c>
      <c r="P546" s="31" t="s">
        <v>3220</v>
      </c>
      <c r="Q546" s="40">
        <v>5962</v>
      </c>
      <c r="R546" s="35">
        <f t="shared" si="129"/>
        <v>27</v>
      </c>
      <c r="S546" s="35"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5">
        <f t="shared" si="130"/>
        <v>1916</v>
      </c>
      <c r="U546" s="31"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6"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31"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31">
        <v>573</v>
      </c>
      <c r="Y546" s="31" t="str">
        <f t="shared" si="123"/>
        <v>['Benedetto XV', 'Discorso', 'Prehiera a San Pietro', 'bxv-dis-psp', '27 aprile 1916', '27/04/1916', '1916/04/27'],</v>
      </c>
      <c r="Z546" s="31" t="str">
        <f t="shared" si="124"/>
        <v>Prehiera a San Pietro (5962) | Benedetto XV</v>
      </c>
      <c r="AA546" s="31" t="str">
        <f t="shared" si="125"/>
        <v>Discorso Prehiera a San Pietro</v>
      </c>
      <c r="AB546" s="31" t="str">
        <f t="shared" si="126"/>
        <v>Discorso Prehiera a San Pietro</v>
      </c>
      <c r="AC546" s="31" t="str">
        <f t="shared" si="127"/>
        <v>Benedetto XV, Discorso Prehiera a San Pietro, 27 aprile 1916</v>
      </c>
      <c r="AD546" s="31" t="str">
        <f t="shared" si="128"/>
        <v>1916-04-27T08:00:00.000+02:00</v>
      </c>
      <c r="AE546" s="31" t="str">
        <f t="shared" si="116"/>
        <v>bxv-dis-psp</v>
      </c>
      <c r="AF546" s="31" t="str">
        <f t="shared" si="117"/>
        <v>Benedetto XV - Discorso - Prehiera a San Pietro</v>
      </c>
    </row>
    <row r="547" spans="2:32" s="31" customFormat="1" x14ac:dyDescent="0.2">
      <c r="B547" s="31">
        <v>258</v>
      </c>
      <c r="C547" s="31" t="s">
        <v>3190</v>
      </c>
      <c r="D547" s="31" t="s">
        <v>699</v>
      </c>
      <c r="E547" s="31" t="s">
        <v>738</v>
      </c>
      <c r="F547" s="31" t="s">
        <v>608</v>
      </c>
      <c r="G547" s="31" t="s">
        <v>609</v>
      </c>
      <c r="H547" s="31" t="str">
        <f t="shared" si="131"/>
        <v>Benedetto XV</v>
      </c>
      <c r="K547" s="31" t="s">
        <v>827</v>
      </c>
      <c r="L547" s="31" t="str">
        <f t="shared" si="115"/>
        <v>Discorso</v>
      </c>
      <c r="M547" s="31" t="s">
        <v>566</v>
      </c>
      <c r="O547" s="31" t="s">
        <v>3203</v>
      </c>
      <c r="P547" s="31" t="s">
        <v>1077</v>
      </c>
      <c r="Q547" s="40">
        <v>5910</v>
      </c>
      <c r="R547" s="35">
        <f t="shared" si="129"/>
        <v>6</v>
      </c>
      <c r="S547" s="35"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5">
        <f t="shared" si="130"/>
        <v>1916</v>
      </c>
      <c r="U547" s="31"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6"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31"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31">
        <v>574</v>
      </c>
      <c r="Y547" s="31" t="str">
        <f t="shared" si="123"/>
        <v>['Benedetto XV', 'Discorso', 'Ai predicatori quaresimalisti di Roma', 'bxv-dis-qur', '06 marzo 1916', '06/03/1916', '1916/03/06'],</v>
      </c>
      <c r="Z547" s="31" t="str">
        <f t="shared" si="124"/>
        <v>Ai predicatori quaresimalisti di Roma (5910) | Benedetto XV</v>
      </c>
      <c r="AA547" s="31" t="str">
        <f t="shared" si="125"/>
        <v>Discorso Ai predicatori quaresimalisti di Roma</v>
      </c>
      <c r="AB547" s="31" t="str">
        <f t="shared" si="126"/>
        <v>Discorso Ai predicatori quaresimalisti di Roma</v>
      </c>
      <c r="AC547" s="31" t="str">
        <f t="shared" si="127"/>
        <v>Benedetto XV, Discorso Ai predicatori quaresimalisti di Roma, 06 marzo 1916</v>
      </c>
      <c r="AD547" s="31" t="str">
        <f t="shared" si="128"/>
        <v>1916-03-06T08:00:00.000+02:00</v>
      </c>
      <c r="AE547" s="31" t="str">
        <f t="shared" si="116"/>
        <v>bxv-dis-qur</v>
      </c>
      <c r="AF547" s="31" t="str">
        <f t="shared" si="117"/>
        <v>Benedetto XV - Discorso - Ai predicatori quaresimalisti di Roma</v>
      </c>
    </row>
    <row r="548" spans="2:32" s="31" customFormat="1" x14ac:dyDescent="0.2">
      <c r="B548" s="31">
        <v>258</v>
      </c>
      <c r="C548" s="31" t="s">
        <v>3191</v>
      </c>
      <c r="D548" s="31" t="s">
        <v>699</v>
      </c>
      <c r="E548" s="31" t="s">
        <v>738</v>
      </c>
      <c r="F548" s="31" t="s">
        <v>608</v>
      </c>
      <c r="G548" s="31" t="s">
        <v>609</v>
      </c>
      <c r="H548" s="31" t="str">
        <f t="shared" si="131"/>
        <v>Benedetto XV</v>
      </c>
      <c r="K548" s="31" t="s">
        <v>827</v>
      </c>
      <c r="L548" s="31" t="str">
        <f t="shared" si="115"/>
        <v>Discorso</v>
      </c>
      <c r="M548" s="31" t="s">
        <v>566</v>
      </c>
      <c r="O548" s="31" t="s">
        <v>3198</v>
      </c>
      <c r="P548" s="31" t="s">
        <v>3221</v>
      </c>
      <c r="Q548" s="40">
        <v>5837</v>
      </c>
      <c r="R548" s="35">
        <f t="shared" si="129"/>
        <v>24</v>
      </c>
      <c r="S548" s="35"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5">
        <f t="shared" si="130"/>
        <v>1915</v>
      </c>
      <c r="U548" s="31"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6"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31"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31">
        <v>575</v>
      </c>
      <c r="Y548" s="31" t="str">
        <f t="shared" si="123"/>
        <v>['Benedetto XV', 'Discorso', 'Al Sacro Collegio dei Cardinali nella vigilia della Solennità del Natale', 'bxv-dis-can', '24 dicembre 1915', '24/12/1915', '1915/12/24'],</v>
      </c>
      <c r="Z548" s="31" t="str">
        <f t="shared" si="124"/>
        <v>Al Sacro Collegio dei Cardinali nella vigilia della Solennità del Natale (5837) | Benedetto XV</v>
      </c>
      <c r="AA548" s="31" t="str">
        <f t="shared" si="125"/>
        <v>Discorso Al Sacro Collegio dei Cardinali nella vigilia della Solennità del Natale</v>
      </c>
      <c r="AB548" s="31" t="str">
        <f t="shared" si="126"/>
        <v>Discorso Al Sacro Collegio dei Cardinali nella vigilia della Solennità del Natale</v>
      </c>
      <c r="AC548" s="31" t="str">
        <f t="shared" si="127"/>
        <v>Benedetto XV, Discorso Al Sacro Collegio dei Cardinali nella vigilia della Solennità del Natale, 24 dicembre 1915</v>
      </c>
      <c r="AD548" s="31" t="str">
        <f t="shared" si="128"/>
        <v>1915-12-24T08:00:00.000+02:00</v>
      </c>
      <c r="AE548" s="31" t="str">
        <f t="shared" si="116"/>
        <v>bxv-dis-can</v>
      </c>
      <c r="AF548" s="31" t="str">
        <f t="shared" si="117"/>
        <v>Benedetto XV - Discorso - Al Sacro Collegio dei Cardinali nella vigilia della Solennità del Natale</v>
      </c>
    </row>
    <row r="549" spans="2:32" s="31" customFormat="1" x14ac:dyDescent="0.2">
      <c r="B549" s="31">
        <v>258</v>
      </c>
      <c r="C549" s="31" t="s">
        <v>3192</v>
      </c>
      <c r="D549" s="31" t="s">
        <v>699</v>
      </c>
      <c r="E549" s="31" t="s">
        <v>738</v>
      </c>
      <c r="F549" s="31" t="s">
        <v>608</v>
      </c>
      <c r="G549" s="31" t="s">
        <v>609</v>
      </c>
      <c r="H549" s="31" t="str">
        <f t="shared" si="131"/>
        <v>Benedetto XV</v>
      </c>
      <c r="K549" s="31" t="s">
        <v>827</v>
      </c>
      <c r="L549" s="31" t="str">
        <f t="shared" si="115"/>
        <v>Discorso</v>
      </c>
      <c r="M549" s="31" t="s">
        <v>566</v>
      </c>
      <c r="O549" s="31" t="s">
        <v>3207</v>
      </c>
      <c r="P549" s="31" t="s">
        <v>3212</v>
      </c>
      <c r="Q549" s="40">
        <v>5819</v>
      </c>
      <c r="R549" s="35">
        <f t="shared" si="129"/>
        <v>6</v>
      </c>
      <c r="S549" s="35"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5">
        <f t="shared" si="130"/>
        <v>1915</v>
      </c>
      <c r="U549" s="31"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6"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31"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31">
        <v>576</v>
      </c>
      <c r="Y549" s="31" t="str">
        <f t="shared" si="123"/>
        <v>['Benedetto XV', 'Discorso', 'Al Sacro Collegio durante il Concistoro segreto', 'bxv-dis-scc', '06 dicembre 1915', '06/12/1915', '1915/12/06'],</v>
      </c>
      <c r="Z549" s="31" t="str">
        <f t="shared" si="124"/>
        <v>Al Sacro Collegio durante il Concistoro segreto (5819) | Benedetto XV</v>
      </c>
      <c r="AA549" s="31" t="str">
        <f t="shared" si="125"/>
        <v>Discorso Al Sacro Collegio durante il Concistoro segreto</v>
      </c>
      <c r="AB549" s="31" t="str">
        <f t="shared" si="126"/>
        <v>Discorso Al Sacro Collegio durante il Concistoro segreto</v>
      </c>
      <c r="AC549" s="31" t="str">
        <f t="shared" si="127"/>
        <v>Benedetto XV, Discorso Al Sacro Collegio durante il Concistoro segreto, 06 dicembre 1915</v>
      </c>
      <c r="AD549" s="31" t="str">
        <f t="shared" si="128"/>
        <v>1915-12-06T08:00:00.000+02:00</v>
      </c>
      <c r="AE549" s="31" t="str">
        <f t="shared" si="116"/>
        <v>bxv-dis-scc</v>
      </c>
      <c r="AF549" s="31" t="str">
        <f t="shared" si="117"/>
        <v>Benedetto XV - Discorso - Al Sacro Collegio durante il Concistoro segreto</v>
      </c>
    </row>
    <row r="550" spans="2:32" s="31" customFormat="1" x14ac:dyDescent="0.2">
      <c r="B550" s="31">
        <v>258</v>
      </c>
      <c r="C550" s="31" t="s">
        <v>3193</v>
      </c>
      <c r="D550" s="31" t="s">
        <v>699</v>
      </c>
      <c r="E550" s="31" t="s">
        <v>738</v>
      </c>
      <c r="F550" s="31" t="s">
        <v>608</v>
      </c>
      <c r="G550" s="31" t="s">
        <v>609</v>
      </c>
      <c r="H550" s="31" t="str">
        <f t="shared" si="131"/>
        <v>Benedetto XV</v>
      </c>
      <c r="K550" s="31" t="s">
        <v>827</v>
      </c>
      <c r="L550" s="31" t="str">
        <f t="shared" ref="L550:L555" si="132">IF(J550&lt;&gt;"",_xlfn.CONCAT(J550 &amp; " " &amp; K550),K550)</f>
        <v>Discorso</v>
      </c>
      <c r="M550" s="31" t="s">
        <v>566</v>
      </c>
      <c r="O550" s="31" t="s">
        <v>3208</v>
      </c>
      <c r="P550" s="31" t="s">
        <v>3222</v>
      </c>
      <c r="Q550" s="40">
        <v>5804</v>
      </c>
      <c r="R550" s="35">
        <f t="shared" si="129"/>
        <v>21</v>
      </c>
      <c r="S550" s="35"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5">
        <f t="shared" si="130"/>
        <v>1915</v>
      </c>
      <c r="U550" s="31"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6"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31"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31">
        <v>577</v>
      </c>
      <c r="Y550" s="31" t="str">
        <f t="shared" si="123"/>
        <v>['Benedetto XV', 'Discorso', 'Al Cardinale Vicario Basilio Pompili, Presidente dell'«Opera della Preservazione della Fede in Roma»', 'bxv-dis-cvp', '21 novembre 1915', '21/11/1915', '1915/11/21'],</v>
      </c>
      <c r="Z550" s="31" t="str">
        <f t="shared" si="124"/>
        <v>Al Cardinale Vicario Basilio Pompili, Presidente dell'«Opera della Preservazione della Fede in Roma» (5804) | Benedetto XV</v>
      </c>
      <c r="AA550" s="31" t="str">
        <f t="shared" si="125"/>
        <v>Discorso Al Cardinale Vicario Basilio Pompili, Presidente dell'«Opera della Preservazione della Fede in Roma»</v>
      </c>
      <c r="AB550" s="31" t="str">
        <f t="shared" si="126"/>
        <v>Discorso Al Cardinale Vicario Basilio Pompili, Presidente dell'«Opera della Preservazione della Fede in Roma»</v>
      </c>
      <c r="AC550" s="31" t="str">
        <f t="shared" si="127"/>
        <v>Benedetto XV, Discorso Al Cardinale Vicario Basilio Pompili, Presidente dell'«Opera della Preservazione della Fede in Roma», 21 novembre 1915</v>
      </c>
      <c r="AD550" s="31" t="str">
        <f t="shared" si="128"/>
        <v>1915-11-21T08:00:00.000+02:00</v>
      </c>
      <c r="AE550" s="31" t="str">
        <f t="shared" si="116"/>
        <v>bxv-dis-cvp</v>
      </c>
      <c r="AF550" s="31" t="str">
        <f t="shared" si="117"/>
        <v>Benedetto XV - Discorso - Al Cardinale Vicario Basilio Pompili, Presidente dell'«Opera della Preservazione della Fede in Roma»</v>
      </c>
    </row>
    <row r="551" spans="2:32" s="31" customFormat="1" x14ac:dyDescent="0.2">
      <c r="B551" s="31">
        <v>258</v>
      </c>
      <c r="C551" s="31" t="s">
        <v>3194</v>
      </c>
      <c r="D551" s="31" t="s">
        <v>699</v>
      </c>
      <c r="E551" s="31" t="s">
        <v>738</v>
      </c>
      <c r="F551" s="31" t="s">
        <v>608</v>
      </c>
      <c r="G551" s="31" t="s">
        <v>609</v>
      </c>
      <c r="H551" s="31" t="str">
        <f t="shared" si="131"/>
        <v>Benedetto XV</v>
      </c>
      <c r="K551" s="31" t="s">
        <v>827</v>
      </c>
      <c r="L551" s="31" t="str">
        <f t="shared" si="132"/>
        <v>Discorso</v>
      </c>
      <c r="M551" s="31" t="s">
        <v>566</v>
      </c>
      <c r="O551" s="31" t="s">
        <v>3209</v>
      </c>
      <c r="P551" s="31" t="s">
        <v>3223</v>
      </c>
      <c r="Q551" s="40">
        <v>5589</v>
      </c>
      <c r="R551" s="35">
        <f t="shared" si="129"/>
        <v>20</v>
      </c>
      <c r="S551" s="35"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5">
        <f t="shared" si="130"/>
        <v>1915</v>
      </c>
      <c r="U551" s="31"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6"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31"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31">
        <v>578</v>
      </c>
      <c r="Y551" s="31" t="str">
        <f t="shared" si="123"/>
        <v>['Benedetto XV', 'Discorso', 'Ai pellegrini genovesi convenuti a Roma per rendere omaggio al loro concittadino eletto Papa', 'bxv-dis-apg', '20 aprile 1915', '20/04/1915', '1915/04/20'],</v>
      </c>
      <c r="Z551" s="31" t="str">
        <f t="shared" si="124"/>
        <v>Ai pellegrini genovesi convenuti a Roma per rendere omaggio al loro concittadino eletto Papa (5589) | Benedetto XV</v>
      </c>
      <c r="AA551" s="31" t="str">
        <f t="shared" si="125"/>
        <v>Discorso Ai pellegrini genovesi convenuti a Roma per rendere omaggio al loro concittadino eletto Papa</v>
      </c>
      <c r="AB551" s="31" t="str">
        <f t="shared" si="126"/>
        <v>Discorso Ai pellegrini genovesi convenuti a Roma per rendere omaggio al loro concittadino eletto Papa</v>
      </c>
      <c r="AC551" s="31" t="str">
        <f t="shared" si="127"/>
        <v>Benedetto XV, Discorso Ai pellegrini genovesi convenuti a Roma per rendere omaggio al loro concittadino eletto Papa, 20 aprile 1915</v>
      </c>
      <c r="AD551" s="31" t="str">
        <f t="shared" si="128"/>
        <v>1915-04-20T08:00:00.000+02:00</v>
      </c>
      <c r="AE551" s="31" t="str">
        <f t="shared" ref="AE551:AE614" si="133">_xlfn.CONCAT(F551 &amp; "-" &amp; M551 &amp; "-" &amp; P551)</f>
        <v>bxv-dis-apg</v>
      </c>
      <c r="AF551" s="31" t="str">
        <f t="shared" ref="AF551:AF614" si="134">_xlfn.CONCAT(H551 &amp; " - " &amp; L551 &amp; " - " &amp; O551)</f>
        <v>Benedetto XV - Discorso - Ai pellegrini genovesi convenuti a Roma per rendere omaggio al loro concittadino eletto Papa</v>
      </c>
    </row>
    <row r="552" spans="2:32" s="31" customFormat="1" x14ac:dyDescent="0.2">
      <c r="B552" s="31">
        <v>258</v>
      </c>
      <c r="C552" s="31" t="s">
        <v>3195</v>
      </c>
      <c r="D552" s="31" t="s">
        <v>699</v>
      </c>
      <c r="E552" s="31" t="s">
        <v>738</v>
      </c>
      <c r="F552" s="31" t="s">
        <v>608</v>
      </c>
      <c r="G552" s="31" t="s">
        <v>609</v>
      </c>
      <c r="H552" s="31" t="str">
        <f t="shared" si="131"/>
        <v>Benedetto XV</v>
      </c>
      <c r="K552" s="31" t="s">
        <v>827</v>
      </c>
      <c r="L552" s="31" t="str">
        <f t="shared" si="132"/>
        <v>Discorso</v>
      </c>
      <c r="M552" s="31" t="s">
        <v>566</v>
      </c>
      <c r="O552" s="31" t="s">
        <v>3210</v>
      </c>
      <c r="P552" s="31" t="s">
        <v>3224</v>
      </c>
      <c r="Q552" s="40">
        <v>5525</v>
      </c>
      <c r="R552" s="35">
        <f t="shared" si="129"/>
        <v>15</v>
      </c>
      <c r="S552" s="35"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5">
        <f t="shared" si="130"/>
        <v>1915</v>
      </c>
      <c r="U552" s="31"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6"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31"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31">
        <v>579</v>
      </c>
      <c r="Y552" s="31" t="str">
        <f t="shared" si="123"/>
        <v>['Benedetto XV', 'Discorso', 'Ai sacerdoti ed ai parroci di Roma in preparazione alla Quaresima', 'bxv-dis-spr', '15 febbraio 1915', '15/02/1915', '1915/02/15'],</v>
      </c>
      <c r="Z552" s="31" t="str">
        <f t="shared" si="124"/>
        <v>Ai sacerdoti ed ai parroci di Roma in preparazione alla Quaresima (5525) | Benedetto XV</v>
      </c>
      <c r="AA552" s="31" t="str">
        <f t="shared" si="125"/>
        <v>Discorso Ai sacerdoti ed ai parroci di Roma in preparazione alla Quaresima</v>
      </c>
      <c r="AB552" s="31" t="str">
        <f t="shared" si="126"/>
        <v>Discorso Ai sacerdoti ed ai parroci di Roma in preparazione alla Quaresima</v>
      </c>
      <c r="AC552" s="31" t="str">
        <f t="shared" si="127"/>
        <v>Benedetto XV, Discorso Ai sacerdoti ed ai parroci di Roma in preparazione alla Quaresima, 15 febbraio 1915</v>
      </c>
      <c r="AD552" s="31" t="str">
        <f t="shared" si="128"/>
        <v>1915-02-15T08:00:00.000+02:00</v>
      </c>
      <c r="AE552" s="31" t="str">
        <f t="shared" si="133"/>
        <v>bxv-dis-spr</v>
      </c>
      <c r="AF552" s="31" t="str">
        <f t="shared" si="134"/>
        <v>Benedetto XV - Discorso - Ai sacerdoti ed ai parroci di Roma in preparazione alla Quaresima</v>
      </c>
    </row>
    <row r="553" spans="2:32" s="31" customFormat="1" x14ac:dyDescent="0.2">
      <c r="B553" s="31">
        <v>258</v>
      </c>
      <c r="C553" s="31" t="s">
        <v>3196</v>
      </c>
      <c r="D553" s="31" t="s">
        <v>699</v>
      </c>
      <c r="E553" s="31" t="s">
        <v>738</v>
      </c>
      <c r="F553" s="31" t="s">
        <v>608</v>
      </c>
      <c r="G553" s="31" t="s">
        <v>609</v>
      </c>
      <c r="H553" s="31" t="str">
        <f t="shared" si="131"/>
        <v>Benedetto XV</v>
      </c>
      <c r="K553" s="31" t="s">
        <v>827</v>
      </c>
      <c r="L553" s="31" t="str">
        <f t="shared" si="132"/>
        <v>Discorso</v>
      </c>
      <c r="M553" s="31" t="s">
        <v>566</v>
      </c>
      <c r="O553" s="31" t="s">
        <v>3211</v>
      </c>
      <c r="P553" s="31" t="s">
        <v>3225</v>
      </c>
      <c r="Q553" s="40">
        <v>5501</v>
      </c>
      <c r="R553" s="35">
        <f t="shared" si="129"/>
        <v>22</v>
      </c>
      <c r="S553" s="35"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5">
        <f t="shared" si="130"/>
        <v>1915</v>
      </c>
      <c r="U553" s="31"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6"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31"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31">
        <v>580</v>
      </c>
      <c r="Y553" s="31" t="str">
        <f t="shared" si="123"/>
        <v>['Benedetto XV', 'Discorso', 'in occasione del Concistoro convocato per assegnare nuovi Vescovi alle diocesi vacanti', 'bxv-dis-cvv', '22 gennaio 1915', '22/01/1915', '1915/01/22'],</v>
      </c>
      <c r="Z553" s="31" t="str">
        <f t="shared" si="124"/>
        <v>in occasione del Concistoro convocato per assegnare nuovi Vescovi alle diocesi vacanti (5501) | Benedetto XV</v>
      </c>
      <c r="AA553" s="31" t="str">
        <f t="shared" si="125"/>
        <v>Discorso in occasione del Concistoro convocato per assegnare nuovi Vescovi alle diocesi vacanti</v>
      </c>
      <c r="AB553" s="31" t="str">
        <f t="shared" si="126"/>
        <v>Discorso in occasione del Concistoro convocato per assegnare nuovi Vescovi alle diocesi vacanti</v>
      </c>
      <c r="AC553" s="31" t="str">
        <f t="shared" si="127"/>
        <v>Benedetto XV, Discorso in occasione del Concistoro convocato per assegnare nuovi Vescovi alle diocesi vacanti, 22 gennaio 1915</v>
      </c>
      <c r="AD553" s="31" t="str">
        <f t="shared" si="128"/>
        <v>1915-01-22T08:00:00.000+02:00</v>
      </c>
      <c r="AE553" s="31" t="str">
        <f t="shared" si="133"/>
        <v>bxv-dis-cvv</v>
      </c>
      <c r="AF553" s="31" t="str">
        <f t="shared" si="134"/>
        <v>Benedetto XV - Discorso - in occasione del Concistoro convocato per assegnare nuovi Vescovi alle diocesi vacanti</v>
      </c>
    </row>
    <row r="554" spans="2:32" s="31" customFormat="1" x14ac:dyDescent="0.2">
      <c r="B554" s="31">
        <v>258</v>
      </c>
      <c r="C554" s="31" t="s">
        <v>3228</v>
      </c>
      <c r="D554" s="31" t="s">
        <v>699</v>
      </c>
      <c r="E554" s="31" t="s">
        <v>738</v>
      </c>
      <c r="F554" s="31" t="s">
        <v>608</v>
      </c>
      <c r="G554" s="31" t="s">
        <v>609</v>
      </c>
      <c r="H554" s="31" t="str">
        <f t="shared" ref="H554" si="135">_xlfn.CONCAT(D554 &amp; " " &amp; E554)</f>
        <v>Benedetto XV</v>
      </c>
      <c r="K554" s="31" t="s">
        <v>827</v>
      </c>
      <c r="L554" s="31" t="str">
        <f t="shared" si="132"/>
        <v>Discorso</v>
      </c>
      <c r="M554" s="31" t="s">
        <v>566</v>
      </c>
      <c r="O554" s="31" t="s">
        <v>3227</v>
      </c>
      <c r="P554" s="31" t="s">
        <v>3229</v>
      </c>
      <c r="Q554" s="40">
        <v>5472</v>
      </c>
      <c r="R554" s="35">
        <f t="shared" si="129"/>
        <v>24</v>
      </c>
      <c r="S554" s="35"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5">
        <f t="shared" si="130"/>
        <v>1914</v>
      </c>
      <c r="U554" s="31"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6"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31"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31">
        <v>581</v>
      </c>
      <c r="Y554" s="31" t="str">
        <f t="shared" si="123"/>
        <v>['Benedetto XV', 'Discorso', 'in occasione del primo incontro con il Collegio Cardinalizio alla vigilia della Solennità del Natale', 'bxv-dis-pic', '24 dicembre 1914', '24/12/1914', '1914/12/24'],</v>
      </c>
      <c r="Z554" s="31" t="str">
        <f t="shared" si="124"/>
        <v>in occasione del primo incontro con il Collegio Cardinalizio alla vigilia della Solennità del Natale (5472) | Benedetto XV</v>
      </c>
      <c r="AA554" s="31" t="str">
        <f t="shared" si="125"/>
        <v>Discorso in occasione del primo incontro con il Collegio Cardinalizio alla vigilia della Solennità del Natale</v>
      </c>
      <c r="AB554" s="31" t="str">
        <f t="shared" si="126"/>
        <v>Discorso in occasione del primo incontro con il Collegio Cardinalizio alla vigilia della Solennità del Natale</v>
      </c>
      <c r="AC554" s="31" t="str">
        <f t="shared" si="127"/>
        <v>Benedetto XV, Discorso in occasione del primo incontro con il Collegio Cardinalizio alla vigilia della Solennità del Natale, 24 dicembre 1914</v>
      </c>
      <c r="AD554" s="31" t="str">
        <f t="shared" si="128"/>
        <v>1914-12-24T08:00:00.000+02:00</v>
      </c>
      <c r="AE554" s="31" t="str">
        <f t="shared" si="133"/>
        <v>bxv-dis-pic</v>
      </c>
      <c r="AF554" s="31" t="str">
        <f t="shared" si="134"/>
        <v>Benedetto XV - Discorso - in occasione del primo incontro con il Collegio Cardinalizio alla vigilia della Solennità del Natale</v>
      </c>
    </row>
    <row r="555" spans="2:32" s="31" customFormat="1" x14ac:dyDescent="0.2">
      <c r="B555" s="31">
        <v>258</v>
      </c>
      <c r="C555" s="31" t="s">
        <v>3237</v>
      </c>
      <c r="D555" s="31" t="s">
        <v>699</v>
      </c>
      <c r="E555" s="31" t="s">
        <v>738</v>
      </c>
      <c r="F555" s="31" t="s">
        <v>608</v>
      </c>
      <c r="G555" s="31" t="s">
        <v>609</v>
      </c>
      <c r="H555" s="31" t="str">
        <f t="shared" ref="H555:H575" si="136">_xlfn.CONCAT(D555 &amp; " " &amp; E555)</f>
        <v>Benedetto XV</v>
      </c>
      <c r="K555" s="31" t="s">
        <v>829</v>
      </c>
      <c r="L555" s="31" t="str">
        <f t="shared" si="132"/>
        <v>Lettera</v>
      </c>
      <c r="M555" s="31" t="s">
        <v>568</v>
      </c>
      <c r="O555" s="31" t="s">
        <v>3230</v>
      </c>
      <c r="Q555" s="40">
        <v>5456</v>
      </c>
      <c r="R555" s="35">
        <f t="shared" si="129"/>
        <v>8</v>
      </c>
      <c r="S555" s="35"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5">
        <f t="shared" si="130"/>
        <v>1914</v>
      </c>
      <c r="U555" s="31"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6"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31"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31">
        <v>582</v>
      </c>
      <c r="Y555" s="31" t="str">
        <f t="shared" si="123"/>
        <v>['Benedetto XV', 'Lettera', 'Cum de fidelibus, al Cardinale Desiderato Mercier, sugli effetti provocati dalla guerra sul popolo belga', 'bxv-let-', '08 dicembre 1914', '08/12/1914', '1914/12/08'],</v>
      </c>
      <c r="Z555" s="31" t="str">
        <f t="shared" si="124"/>
        <v>Cum de fidelibus, al Cardinale Desiderato Mercier, sugli effetti provocati dalla guerra sul popolo belga (5456) | Benedetto XV</v>
      </c>
      <c r="AA555" s="31" t="str">
        <f t="shared" si="125"/>
        <v>Lettera Cum de fidelibus, al Cardinale Desiderato Mercier, sugli effetti provocati dalla guerra sul popolo belga</v>
      </c>
      <c r="AB555" s="31" t="str">
        <f t="shared" si="126"/>
        <v>Lettera Cum de fidelibus, al Cardinale Desiderato Mercier, sugli effetti provocati dalla guerra sul popolo belga</v>
      </c>
      <c r="AC555" s="31" t="str">
        <f t="shared" si="127"/>
        <v>Benedetto XV, Lettera Cum de fidelibus, al Cardinale Desiderato Mercier, sugli effetti provocati dalla guerra sul popolo belga, 08 dicembre 1914</v>
      </c>
      <c r="AD555" s="31" t="str">
        <f t="shared" si="128"/>
        <v>1914-12-08T08:00:00.000+02:00</v>
      </c>
      <c r="AE555" s="31" t="str">
        <f t="shared" si="133"/>
        <v>bxv-let-</v>
      </c>
      <c r="AF555" s="31" t="str">
        <f t="shared" si="134"/>
        <v>Benedetto XV - Lettera - Cum de fidelibus, al Cardinale Desiderato Mercier, sugli effetti provocati dalla guerra sul popolo belga</v>
      </c>
    </row>
    <row r="556" spans="2:32" s="31" customFormat="1" x14ac:dyDescent="0.2">
      <c r="B556" s="31">
        <v>258</v>
      </c>
      <c r="C556" s="31" t="s">
        <v>3238</v>
      </c>
      <c r="D556" s="31" t="s">
        <v>699</v>
      </c>
      <c r="E556" s="31" t="s">
        <v>738</v>
      </c>
      <c r="F556" s="31" t="s">
        <v>608</v>
      </c>
      <c r="G556" s="31" t="s">
        <v>609</v>
      </c>
      <c r="H556" s="31" t="str">
        <f t="shared" si="136"/>
        <v>Benedetto XV</v>
      </c>
      <c r="K556" s="31" t="s">
        <v>829</v>
      </c>
      <c r="L556" s="31" t="str">
        <f t="shared" ref="L556:L575" si="137">IF(J556&lt;&gt;"",_xlfn.CONCAT(J556 &amp; " " &amp; K556),K556)</f>
        <v>Lettera</v>
      </c>
      <c r="M556" s="31" t="s">
        <v>568</v>
      </c>
      <c r="O556" s="31" t="s">
        <v>3231</v>
      </c>
      <c r="Q556" s="40">
        <v>5426</v>
      </c>
      <c r="R556" s="35">
        <f t="shared" si="129"/>
        <v>8</v>
      </c>
      <c r="S556" s="35"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5">
        <f t="shared" si="130"/>
        <v>1914</v>
      </c>
      <c r="U556" s="31"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6"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31"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31">
        <v>583</v>
      </c>
      <c r="Y556" s="31" t="str">
        <f t="shared" si="123"/>
        <v>['Benedetto XV', 'Lettera', 'Ex quo Pontificatum, al reverendo padre don Nicola Dobrecic per prestare soccorso ai prigionieri di guerra nella Diocesi di Antivari', 'bxv-let-', '08 novembre 1914', '08/11/1914', '1914/11/08'],</v>
      </c>
      <c r="Z556" s="31" t="str">
        <f t="shared" si="124"/>
        <v>Ex quo Pontificatum, al reverendo padre don Nicola Dobrecic per prestare soccorso ai prigionieri di guerra nella Diocesi di Antivari (5426) | Benedetto XV</v>
      </c>
      <c r="AA556" s="31" t="str">
        <f t="shared" si="125"/>
        <v>Lettera Ex quo Pontificatum, al reverendo padre don Nicola Dobrecic per prestare soccorso ai prigionieri di guerra nella Diocesi di Antivari</v>
      </c>
      <c r="AB556" s="31" t="str">
        <f t="shared" si="126"/>
        <v>Lettera Ex quo Pontificatum, al reverendo padre don Nicola Dobrecic per prestare soccorso ai prigionieri di guerra nella Diocesi di Antivari</v>
      </c>
      <c r="AC556" s="31" t="str">
        <f t="shared" si="127"/>
        <v>Benedetto XV, Lettera Ex quo Pontificatum, al reverendo padre don Nicola Dobrecic per prestare soccorso ai prigionieri di guerra nella Diocesi di Antivari, 08 novembre 1914</v>
      </c>
      <c r="AD556" s="31" t="str">
        <f t="shared" si="128"/>
        <v>1914-11-08T08:00:00.000+02:00</v>
      </c>
      <c r="AE556" s="31" t="str">
        <f t="shared" si="133"/>
        <v>bxv-let-</v>
      </c>
      <c r="AF556" s="31" t="str">
        <f t="shared" si="134"/>
        <v>Benedetto XV - Lettera - Ex quo Pontificatum, al reverendo padre don Nicola Dobrecic per prestare soccorso ai prigionieri di guerra nella Diocesi di Antivari</v>
      </c>
    </row>
    <row r="557" spans="2:32" s="31" customFormat="1" x14ac:dyDescent="0.2">
      <c r="B557" s="31">
        <v>258</v>
      </c>
      <c r="C557" s="31" t="s">
        <v>3239</v>
      </c>
      <c r="D557" s="31" t="s">
        <v>699</v>
      </c>
      <c r="E557" s="31" t="s">
        <v>738</v>
      </c>
      <c r="F557" s="31" t="s">
        <v>608</v>
      </c>
      <c r="G557" s="31" t="s">
        <v>609</v>
      </c>
      <c r="H557" s="31" t="str">
        <f t="shared" si="136"/>
        <v>Benedetto XV</v>
      </c>
      <c r="K557" s="31" t="s">
        <v>829</v>
      </c>
      <c r="L557" s="31" t="str">
        <f t="shared" si="137"/>
        <v>Lettera</v>
      </c>
      <c r="M557" s="31" t="s">
        <v>568</v>
      </c>
      <c r="O557" s="31" t="s">
        <v>3232</v>
      </c>
      <c r="Q557" s="40">
        <v>5415</v>
      </c>
      <c r="R557" s="35">
        <f t="shared" si="129"/>
        <v>28</v>
      </c>
      <c r="S557" s="35"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5">
        <f t="shared" si="130"/>
        <v>1914</v>
      </c>
      <c r="U557" s="31"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6"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31"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31">
        <v>584</v>
      </c>
      <c r="Y557" s="31" t="str">
        <f t="shared" si="123"/>
        <v>['Benedetto XV', 'Lettera', 'Nobis, ad Catholicam al reverendo padre don Pasquale Morganti, in occasione del VI centenario della morte di Dante Alighieri', 'bxv-let-', '28 ottobre 1914', '28/10/1914', '1914/10/28'],</v>
      </c>
      <c r="Z557" s="31" t="str">
        <f t="shared" si="124"/>
        <v>Nobis, ad Catholicam al reverendo padre don Pasquale Morganti, in occasione del VI centenario della morte di Dante Alighieri (5415) | Benedetto XV</v>
      </c>
      <c r="AA557" s="31" t="str">
        <f t="shared" si="125"/>
        <v>Lettera Nobis, ad Catholicam al reverendo padre don Pasquale Morganti, in occasione del VI centenario della morte di Dante Alighieri</v>
      </c>
      <c r="AB557" s="31" t="str">
        <f t="shared" si="126"/>
        <v>Lettera Nobis, ad Catholicam al reverendo padre don Pasquale Morganti, in occasione del VI centenario della morte di Dante Alighieri</v>
      </c>
      <c r="AC557" s="31" t="str">
        <f t="shared" si="127"/>
        <v>Benedetto XV, Lettera Nobis, ad Catholicam al reverendo padre don Pasquale Morganti, in occasione del VI centenario della morte di Dante Alighieri, 28 ottobre 1914</v>
      </c>
      <c r="AD557" s="31" t="str">
        <f t="shared" si="128"/>
        <v>1914-10-28T08:00:00.000+02:00</v>
      </c>
      <c r="AE557" s="31" t="str">
        <f t="shared" si="133"/>
        <v>bxv-let-</v>
      </c>
      <c r="AF557" s="31" t="str">
        <f t="shared" si="134"/>
        <v>Benedetto XV - Lettera - Nobis, ad Catholicam al reverendo padre don Pasquale Morganti, in occasione del VI centenario della morte di Dante Alighieri</v>
      </c>
    </row>
    <row r="558" spans="2:32" s="31" customFormat="1" x14ac:dyDescent="0.2">
      <c r="B558" s="31">
        <v>258</v>
      </c>
      <c r="C558" s="31" t="s">
        <v>3240</v>
      </c>
      <c r="D558" s="31" t="s">
        <v>699</v>
      </c>
      <c r="E558" s="31" t="s">
        <v>738</v>
      </c>
      <c r="F558" s="31" t="s">
        <v>608</v>
      </c>
      <c r="G558" s="31" t="s">
        <v>609</v>
      </c>
      <c r="H558" s="31" t="str">
        <f t="shared" si="136"/>
        <v>Benedetto XV</v>
      </c>
      <c r="K558" s="31" t="s">
        <v>829</v>
      </c>
      <c r="L558" s="31" t="str">
        <f t="shared" si="137"/>
        <v>Lettera</v>
      </c>
      <c r="M558" s="31" t="s">
        <v>568</v>
      </c>
      <c r="O558" s="31" t="s">
        <v>3233</v>
      </c>
      <c r="Q558" s="40">
        <v>5412</v>
      </c>
      <c r="R558" s="35">
        <f t="shared" si="129"/>
        <v>25</v>
      </c>
      <c r="S558" s="35"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5">
        <f t="shared" si="130"/>
        <v>1914</v>
      </c>
      <c r="U558" s="31"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6"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31"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31">
        <v>585</v>
      </c>
      <c r="Y558" s="31" t="str">
        <f t="shared" si="123"/>
        <v>['Benedetto XV', 'Lettera', 'Pontificatum secreto al R.P.D. Giuseppe Mora y Del Rio, a proposito del grave stato della Chiesa Messicana', 'bxv-let-', '25 ottobre 1914', '25/10/1914', '1914/10/25'],</v>
      </c>
      <c r="Z558" s="31" t="str">
        <f t="shared" si="124"/>
        <v>Pontificatum secreto al R.P.D. Giuseppe Mora y Del Rio, a proposito del grave stato della Chiesa Messicana (5412) | Benedetto XV</v>
      </c>
      <c r="AA558" s="31" t="str">
        <f t="shared" si="125"/>
        <v>Lettera Pontificatum secreto al R.P.D. Giuseppe Mora y Del Rio, a proposito del grave stato della Chiesa Messicana</v>
      </c>
      <c r="AB558" s="31" t="str">
        <f t="shared" si="126"/>
        <v>Lettera Pontificatum secreto al R.P.D. Giuseppe Mora y Del Rio, a proposito del grave stato della Chiesa Messicana</v>
      </c>
      <c r="AC558" s="31" t="str">
        <f t="shared" si="127"/>
        <v>Benedetto XV, Lettera Pontificatum secreto al R.P.D. Giuseppe Mora y Del Rio, a proposito del grave stato della Chiesa Messicana, 25 ottobre 1914</v>
      </c>
      <c r="AD558" s="31" t="str">
        <f t="shared" si="128"/>
        <v>1914-10-25T08:00:00.000+02:00</v>
      </c>
      <c r="AE558" s="31" t="str">
        <f t="shared" si="133"/>
        <v>bxv-let-</v>
      </c>
      <c r="AF558" s="31" t="str">
        <f t="shared" si="134"/>
        <v>Benedetto XV - Lettera - Pontificatum secreto al R.P.D. Giuseppe Mora y Del Rio, a proposito del grave stato della Chiesa Messicana</v>
      </c>
    </row>
    <row r="559" spans="2:32" s="31" customFormat="1" x14ac:dyDescent="0.2">
      <c r="B559" s="31">
        <v>258</v>
      </c>
      <c r="C559" s="31" t="s">
        <v>3241</v>
      </c>
      <c r="D559" s="31" t="s">
        <v>699</v>
      </c>
      <c r="E559" s="31" t="s">
        <v>738</v>
      </c>
      <c r="F559" s="31" t="s">
        <v>608</v>
      </c>
      <c r="G559" s="31" t="s">
        <v>609</v>
      </c>
      <c r="H559" s="31" t="str">
        <f t="shared" si="136"/>
        <v>Benedetto XV</v>
      </c>
      <c r="K559" s="31" t="s">
        <v>829</v>
      </c>
      <c r="L559" s="31" t="str">
        <f t="shared" si="137"/>
        <v>Lettera</v>
      </c>
      <c r="M559" s="31" t="s">
        <v>568</v>
      </c>
      <c r="O559" s="31" t="s">
        <v>3234</v>
      </c>
      <c r="Q559" s="40">
        <v>5405</v>
      </c>
      <c r="R559" s="35">
        <f t="shared" si="129"/>
        <v>18</v>
      </c>
      <c r="S559" s="35"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5">
        <f t="shared" si="130"/>
        <v>1914</v>
      </c>
      <c r="U559" s="31"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6"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31"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31">
        <v>586</v>
      </c>
      <c r="Y559" s="31" t="str">
        <f t="shared" si="123"/>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31" t="str">
        <f t="shared" si="124"/>
        <v>Gratum equidem al Cardinale Felice De Hartmann, Arcivescovo di Colonia, in occasione dell'equiparazione del trattamento riservato ai sacerdoti francesi prigionieri di guerra, a quello previsto per gli ufficiali dell'esercito (5405) | Benedetto XV</v>
      </c>
      <c r="AA559" s="31" t="str">
        <f t="shared" si="125"/>
        <v>Lettera Gratum equidem al Cardinale Felice De Hartmann, Arcivescovo di Colonia, in occasione dell'equiparazione del trattamento riservato ai sacerdoti francesi prigionieri di guerra, a quello previsto per gli ufficiali dell'esercito</v>
      </c>
      <c r="AB559" s="31" t="str">
        <f t="shared" si="126"/>
        <v>Lettera Gratum equidem al Cardinale Felice De Hartmann, Arcivescovo di Colonia, in occasione dell'equiparazione del trattamento riservato ai sacerdoti francesi prigionieri di guerra, a quello previsto per gli ufficiali dell'esercito</v>
      </c>
      <c r="AC559" s="31" t="str">
        <f t="shared" si="127"/>
        <v>Benedetto XV, Lettera Gratum equidem al Cardinale Felice De Hartmann, Arcivescovo di Colonia, in occasione dell'equiparazione del trattamento riservato ai sacerdoti francesi prigionieri di guerra, a quello previsto per gli ufficiali dell'esercito, 18 ottobre 1914</v>
      </c>
      <c r="AD559" s="31" t="str">
        <f t="shared" si="128"/>
        <v>1914-10-18T08:00:00.000+02:00</v>
      </c>
      <c r="AE559" s="31" t="str">
        <f t="shared" si="133"/>
        <v>bxv-let-</v>
      </c>
      <c r="AF559" s="31" t="str">
        <f t="shared" si="134"/>
        <v>Benedetto XV - Lettera - Gratum equidem al Cardinale Felice De Hartmann, Arcivescovo di Colonia, in occasione dell'equiparazione del trattamento riservato ai sacerdoti francesi prigionieri di guerra, a quello previsto per gli ufficiali dell'esercito</v>
      </c>
    </row>
    <row r="560" spans="2:32" s="31" customFormat="1" x14ac:dyDescent="0.2">
      <c r="B560" s="31">
        <v>258</v>
      </c>
      <c r="C560" s="31" t="s">
        <v>3242</v>
      </c>
      <c r="D560" s="31" t="s">
        <v>699</v>
      </c>
      <c r="E560" s="31" t="s">
        <v>738</v>
      </c>
      <c r="F560" s="31" t="s">
        <v>608</v>
      </c>
      <c r="G560" s="31" t="s">
        <v>609</v>
      </c>
      <c r="H560" s="31" t="str">
        <f t="shared" si="136"/>
        <v>Benedetto XV</v>
      </c>
      <c r="K560" s="31" t="s">
        <v>829</v>
      </c>
      <c r="L560" s="31" t="str">
        <f t="shared" si="137"/>
        <v>Lettera</v>
      </c>
      <c r="M560" s="31" t="s">
        <v>568</v>
      </c>
      <c r="O560" s="31" t="s">
        <v>3235</v>
      </c>
      <c r="Q560" s="40">
        <v>5403</v>
      </c>
      <c r="R560" s="35">
        <f t="shared" si="129"/>
        <v>16</v>
      </c>
      <c r="S560" s="35"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5">
        <f t="shared" si="130"/>
        <v>1914</v>
      </c>
      <c r="U560" s="31"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6"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31"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31">
        <v>587</v>
      </c>
      <c r="Y560" s="31" t="str">
        <f t="shared" si="123"/>
        <v>['Benedetto XV', 'Lettera', 'C'est avec un al Cardinale Luigi Luçon, Arcivescovo di Reims, in segno di partecipazione al dolore della popolazione di Reims, occupata dalle truppe tedesche', 'bxv-let-', '16 ottobre 1914', '16/10/1914', '1914/10/16'],</v>
      </c>
      <c r="Z560" s="31" t="str">
        <f t="shared" si="124"/>
        <v>C'est avec un al Cardinale Luigi Luçon, Arcivescovo di Reims, in segno di partecipazione al dolore della popolazione di Reims, occupata dalle truppe tedesche (5403) | Benedetto XV</v>
      </c>
      <c r="AA560" s="31" t="str">
        <f t="shared" si="125"/>
        <v>Lettera C'est avec un al Cardinale Luigi Luçon, Arcivescovo di Reims, in segno di partecipazione al dolore della popolazione di Reims, occupata dalle truppe tedesche</v>
      </c>
      <c r="AB560" s="31" t="str">
        <f t="shared" si="126"/>
        <v>Lettera C'est avec un al Cardinale Luigi Luçon, Arcivescovo di Reims, in segno di partecipazione al dolore della popolazione di Reims, occupata dalle truppe tedesche</v>
      </c>
      <c r="AC560" s="31" t="str">
        <f t="shared" si="127"/>
        <v>Benedetto XV, Lettera C'est avec un al Cardinale Luigi Luçon, Arcivescovo di Reims, in segno di partecipazione al dolore della popolazione di Reims, occupata dalle truppe tedesche, 16 ottobre 1914</v>
      </c>
      <c r="AD560" s="31" t="str">
        <f t="shared" si="128"/>
        <v>1914-10-16T08:00:00.000+02:00</v>
      </c>
      <c r="AE560" s="31" t="str">
        <f t="shared" si="133"/>
        <v>bxv-let-</v>
      </c>
      <c r="AF560" s="31" t="str">
        <f t="shared" si="134"/>
        <v>Benedetto XV - Lettera - C'est avec un al Cardinale Luigi Luçon, Arcivescovo di Reims, in segno di partecipazione al dolore della popolazione di Reims, occupata dalle truppe tedesche</v>
      </c>
    </row>
    <row r="561" spans="2:32" s="31" customFormat="1" x14ac:dyDescent="0.2">
      <c r="B561" s="31">
        <v>258</v>
      </c>
      <c r="C561" s="31" t="s">
        <v>3243</v>
      </c>
      <c r="D561" s="31" t="s">
        <v>699</v>
      </c>
      <c r="E561" s="31" t="s">
        <v>738</v>
      </c>
      <c r="F561" s="31" t="s">
        <v>608</v>
      </c>
      <c r="G561" s="31" t="s">
        <v>609</v>
      </c>
      <c r="H561" s="31" t="str">
        <f t="shared" si="136"/>
        <v>Benedetto XV</v>
      </c>
      <c r="K561" s="31" t="s">
        <v>829</v>
      </c>
      <c r="L561" s="31" t="str">
        <f t="shared" si="137"/>
        <v>Lettera</v>
      </c>
      <c r="M561" s="31" t="s">
        <v>568</v>
      </c>
      <c r="O561" s="31" t="s">
        <v>3236</v>
      </c>
      <c r="Q561" s="40">
        <v>5395</v>
      </c>
      <c r="R561" s="35">
        <f t="shared" si="129"/>
        <v>8</v>
      </c>
      <c r="S561" s="35"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5">
        <f t="shared" si="130"/>
        <v>1914</v>
      </c>
      <c r="U561" s="31"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6"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31"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31">
        <v>588</v>
      </c>
      <c r="Y561" s="31" t="str">
        <f t="shared" si="123"/>
        <v>['Benedetto XV', 'Lettera', 'Communes litteras, al Cardinale Francesco di Paola Cassetta, sull'importanza della lettura e del commento dei libri sacri all'interno delle famiglie', 'bxv-let-', '08 ottobre 1914', '08/10/1914', '1914/10/08'],</v>
      </c>
      <c r="Z561" s="31" t="str">
        <f t="shared" si="124"/>
        <v>Communes litteras, al Cardinale Francesco di Paola Cassetta, sull'importanza della lettura e del commento dei libri sacri all'interno delle famiglie (5395) | Benedetto XV</v>
      </c>
      <c r="AA561" s="31" t="str">
        <f t="shared" si="125"/>
        <v>Lettera Communes litteras, al Cardinale Francesco di Paola Cassetta, sull'importanza della lettura e del commento dei libri sacri all'interno delle famiglie</v>
      </c>
      <c r="AB561" s="31" t="str">
        <f t="shared" si="126"/>
        <v>Lettera Communes litteras, al Cardinale Francesco di Paola Cassetta, sull'importanza della lettura e del commento dei libri sacri all'interno delle famiglie</v>
      </c>
      <c r="AC561" s="31" t="str">
        <f t="shared" si="127"/>
        <v>Benedetto XV, Lettera Communes litteras, al Cardinale Francesco di Paola Cassetta, sull'importanza della lettura e del commento dei libri sacri all'interno delle famiglie, 08 ottobre 1914</v>
      </c>
      <c r="AD561" s="31" t="str">
        <f t="shared" si="128"/>
        <v>1914-10-08T08:00:00.000+02:00</v>
      </c>
      <c r="AE561" s="31" t="str">
        <f t="shared" si="133"/>
        <v>bxv-let-</v>
      </c>
      <c r="AF561" s="31" t="str">
        <f t="shared" si="134"/>
        <v>Benedetto XV - Lettera - Communes litteras, al Cardinale Francesco di Paola Cassetta, sull'importanza della lettura e del commento dei libri sacri all'interno delle famiglie</v>
      </c>
    </row>
    <row r="562" spans="2:32" s="31" customFormat="1" x14ac:dyDescent="0.2">
      <c r="B562" s="31">
        <v>258</v>
      </c>
      <c r="C562" s="31" t="s">
        <v>3256</v>
      </c>
      <c r="D562" s="31" t="s">
        <v>699</v>
      </c>
      <c r="E562" s="31" t="s">
        <v>738</v>
      </c>
      <c r="F562" s="31" t="s">
        <v>608</v>
      </c>
      <c r="G562" s="31" t="s">
        <v>609</v>
      </c>
      <c r="H562" s="31" t="str">
        <f t="shared" si="136"/>
        <v>Benedetto XV</v>
      </c>
      <c r="K562" s="31" t="s">
        <v>829</v>
      </c>
      <c r="L562" s="31" t="str">
        <f t="shared" si="137"/>
        <v>Lettera</v>
      </c>
      <c r="M562" s="31" t="s">
        <v>568</v>
      </c>
      <c r="O562" s="31" t="s">
        <v>3244</v>
      </c>
      <c r="Q562" s="40">
        <v>5740</v>
      </c>
      <c r="R562" s="35">
        <f t="shared" si="129"/>
        <v>18</v>
      </c>
      <c r="S562" s="35"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5">
        <f t="shared" si="130"/>
        <v>1915</v>
      </c>
      <c r="U562" s="31"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6"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31"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31">
        <v>589</v>
      </c>
      <c r="Y562" s="31" t="str">
        <f t="shared" si="123"/>
        <v>['Benedetto XV', 'Lettera', 'Di altissimo pregio Reverendo Padre Costanzo M. Becchi, in cui si elogia l’attività del Sodalizio del Rosario Perpetuo', 'bxv-let-', '18 settembre 1915', '18/09/1915', '1915/09/18'],</v>
      </c>
      <c r="Z562" s="31" t="str">
        <f t="shared" si="124"/>
        <v>Di altissimo pregio Reverendo Padre Costanzo M. Becchi, in cui si elogia l’attività del Sodalizio del Rosario Perpetuo (5740) | Benedetto XV</v>
      </c>
      <c r="AA562" s="31" t="str">
        <f t="shared" si="125"/>
        <v>Lettera Di altissimo pregio Reverendo Padre Costanzo M. Becchi, in cui si elogia l’attività del Sodalizio del Rosario Perpetuo</v>
      </c>
      <c r="AB562" s="31" t="str">
        <f t="shared" si="126"/>
        <v>Lettera Di altissimo pregio Reverendo Padre Costanzo M. Becchi, in cui si elogia l’attività del Sodalizio del Rosario Perpetuo</v>
      </c>
      <c r="AC562" s="31" t="str">
        <f t="shared" si="127"/>
        <v>Benedetto XV, Lettera Di altissimo pregio Reverendo Padre Costanzo M. Becchi, in cui si elogia l’attività del Sodalizio del Rosario Perpetuo, 18 settembre 1915</v>
      </c>
      <c r="AD562" s="31" t="str">
        <f t="shared" si="128"/>
        <v>1915-09-18T08:00:00.000+02:00</v>
      </c>
      <c r="AE562" s="31" t="str">
        <f t="shared" si="133"/>
        <v>bxv-let-</v>
      </c>
      <c r="AF562" s="31" t="str">
        <f t="shared" si="134"/>
        <v>Benedetto XV - Lettera - Di altissimo pregio Reverendo Padre Costanzo M. Becchi, in cui si elogia l’attività del Sodalizio del Rosario Perpetuo</v>
      </c>
    </row>
    <row r="563" spans="2:32" s="31" customFormat="1" x14ac:dyDescent="0.2">
      <c r="B563" s="31">
        <v>258</v>
      </c>
      <c r="C563" s="31" t="s">
        <v>3257</v>
      </c>
      <c r="D563" s="31" t="s">
        <v>699</v>
      </c>
      <c r="E563" s="31" t="s">
        <v>738</v>
      </c>
      <c r="F563" s="31" t="s">
        <v>608</v>
      </c>
      <c r="G563" s="31" t="s">
        <v>609</v>
      </c>
      <c r="H563" s="31" t="str">
        <f t="shared" si="136"/>
        <v>Benedetto XV</v>
      </c>
      <c r="K563" s="31" t="s">
        <v>829</v>
      </c>
      <c r="L563" s="31" t="str">
        <f t="shared" si="137"/>
        <v>Lettera</v>
      </c>
      <c r="M563" s="31" t="s">
        <v>568</v>
      </c>
      <c r="O563" s="31" t="s">
        <v>3245</v>
      </c>
      <c r="Q563" s="40">
        <v>5734</v>
      </c>
      <c r="R563" s="35">
        <f t="shared" si="129"/>
        <v>12</v>
      </c>
      <c r="S563" s="35"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5">
        <f t="shared" si="130"/>
        <v>1915</v>
      </c>
      <c r="U563" s="31"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6"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31"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31">
        <v>590</v>
      </c>
      <c r="Y563" s="31" t="str">
        <f t="shared" si="123"/>
        <v>['Benedetto XV', 'Lettera', 'Non solum ai membri del Comitato per la preparazione del terzo centenario dell’ingresso del cattolicesimo in Canada', 'bxv-let-', '12 settembre 1915', '12/09/1915', '1915/09/12'],</v>
      </c>
      <c r="Z563" s="31" t="str">
        <f t="shared" si="124"/>
        <v>Non solum ai membri del Comitato per la preparazione del terzo centenario dell’ingresso del cattolicesimo in Canada (5734) | Benedetto XV</v>
      </c>
      <c r="AA563" s="31" t="str">
        <f t="shared" si="125"/>
        <v>Lettera Non solum ai membri del Comitato per la preparazione del terzo centenario dell’ingresso del cattolicesimo in Canada</v>
      </c>
      <c r="AB563" s="31" t="str">
        <f t="shared" si="126"/>
        <v>Lettera Non solum ai membri del Comitato per la preparazione del terzo centenario dell’ingresso del cattolicesimo in Canada</v>
      </c>
      <c r="AC563" s="31" t="str">
        <f t="shared" si="127"/>
        <v>Benedetto XV, Lettera Non solum ai membri del Comitato per la preparazione del terzo centenario dell’ingresso del cattolicesimo in Canada, 12 settembre 1915</v>
      </c>
      <c r="AD563" s="31" t="str">
        <f t="shared" si="128"/>
        <v>1915-09-12T08:00:00.000+02:00</v>
      </c>
      <c r="AE563" s="31" t="str">
        <f t="shared" si="133"/>
        <v>bxv-let-</v>
      </c>
      <c r="AF563" s="31" t="str">
        <f t="shared" si="134"/>
        <v>Benedetto XV - Lettera - Non solum ai membri del Comitato per la preparazione del terzo centenario dell’ingresso del cattolicesimo in Canada</v>
      </c>
    </row>
    <row r="564" spans="2:32" s="31" customFormat="1" x14ac:dyDescent="0.2">
      <c r="B564" s="31">
        <v>258</v>
      </c>
      <c r="C564" s="31" t="s">
        <v>3258</v>
      </c>
      <c r="D564" s="31" t="s">
        <v>699</v>
      </c>
      <c r="E564" s="31" t="s">
        <v>738</v>
      </c>
      <c r="F564" s="31" t="s">
        <v>608</v>
      </c>
      <c r="G564" s="31" t="s">
        <v>609</v>
      </c>
      <c r="H564" s="31" t="str">
        <f t="shared" si="136"/>
        <v>Benedetto XV</v>
      </c>
      <c r="K564" s="31" t="s">
        <v>829</v>
      </c>
      <c r="L564" s="31" t="str">
        <f t="shared" si="137"/>
        <v>Lettera</v>
      </c>
      <c r="M564" s="31" t="s">
        <v>568</v>
      </c>
      <c r="O564" s="31" t="s">
        <v>3246</v>
      </c>
      <c r="Q564" s="40">
        <v>5728</v>
      </c>
      <c r="R564" s="35">
        <f t="shared" si="129"/>
        <v>6</v>
      </c>
      <c r="S564" s="35"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5">
        <f t="shared" si="130"/>
        <v>1915</v>
      </c>
      <c r="U564" s="31"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6"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31"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31">
        <v>591</v>
      </c>
      <c r="Y564" s="31" t="str">
        <f t="shared" si="123"/>
        <v>['Benedetto XV', 'Lettera', 'Fuldae, sicut vobis al Cardinale Felice De Hartmann e ai Vescovi tedeschi convenuti a Fulda per la riunione annuale', 'bxv-let-', '06 settembre 1915', '06/09/1915', '1915/09/06'],</v>
      </c>
      <c r="Z564" s="31" t="str">
        <f t="shared" si="124"/>
        <v>Fuldae, sicut vobis al Cardinale Felice De Hartmann e ai Vescovi tedeschi convenuti a Fulda per la riunione annuale (5728) | Benedetto XV</v>
      </c>
      <c r="AA564" s="31" t="str">
        <f t="shared" si="125"/>
        <v>Lettera Fuldae, sicut vobis al Cardinale Felice De Hartmann e ai Vescovi tedeschi convenuti a Fulda per la riunione annuale</v>
      </c>
      <c r="AB564" s="31" t="str">
        <f t="shared" si="126"/>
        <v>Lettera Fuldae, sicut vobis al Cardinale Felice De Hartmann e ai Vescovi tedeschi convenuti a Fulda per la riunione annuale</v>
      </c>
      <c r="AC564" s="31" t="str">
        <f t="shared" si="127"/>
        <v>Benedetto XV, Lettera Fuldae, sicut vobis al Cardinale Felice De Hartmann e ai Vescovi tedeschi convenuti a Fulda per la riunione annuale, 06 settembre 1915</v>
      </c>
      <c r="AD564" s="31" t="str">
        <f t="shared" si="128"/>
        <v>1915-09-06T08:00:00.000+02:00</v>
      </c>
      <c r="AE564" s="31" t="str">
        <f t="shared" si="133"/>
        <v>bxv-let-</v>
      </c>
      <c r="AF564" s="31" t="str">
        <f t="shared" si="134"/>
        <v>Benedetto XV - Lettera - Fuldae, sicut vobis al Cardinale Felice De Hartmann e ai Vescovi tedeschi convenuti a Fulda per la riunione annuale</v>
      </c>
    </row>
    <row r="565" spans="2:32" s="31" customFormat="1" x14ac:dyDescent="0.2">
      <c r="B565" s="31">
        <v>258</v>
      </c>
      <c r="C565" s="31" t="s">
        <v>3259</v>
      </c>
      <c r="D565" s="31" t="s">
        <v>699</v>
      </c>
      <c r="E565" s="31" t="s">
        <v>738</v>
      </c>
      <c r="F565" s="31" t="s">
        <v>608</v>
      </c>
      <c r="G565" s="31" t="s">
        <v>609</v>
      </c>
      <c r="H565" s="31" t="str">
        <f t="shared" si="136"/>
        <v>Benedetto XV</v>
      </c>
      <c r="K565" s="31" t="s">
        <v>829</v>
      </c>
      <c r="L565" s="31" t="str">
        <f t="shared" si="137"/>
        <v>Lettera</v>
      </c>
      <c r="M565" s="31" t="s">
        <v>568</v>
      </c>
      <c r="O565" s="31" t="s">
        <v>3247</v>
      </c>
      <c r="Q565" s="40">
        <v>5721</v>
      </c>
      <c r="R565" s="35">
        <f t="shared" si="129"/>
        <v>30</v>
      </c>
      <c r="S565" s="35"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5">
        <f t="shared" si="130"/>
        <v>1915</v>
      </c>
      <c r="U565" s="31"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6"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31"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31">
        <v>592</v>
      </c>
      <c r="Y565" s="31" t="str">
        <f t="shared" si="123"/>
        <v>['Benedetto XV', 'Lettera', 'Haerent animo al Cardinale Giovanni Csernoch, Arcivescovo di Strigonia, nella quale il Pontefice esprime dolore per quanti muoiono in guerra', 'bxv-let-', '30 agosto 1915', '30/08/1915', '1915/08/30'],</v>
      </c>
      <c r="Z565" s="31" t="str">
        <f t="shared" si="124"/>
        <v>Haerent animo al Cardinale Giovanni Csernoch, Arcivescovo di Strigonia, nella quale il Pontefice esprime dolore per quanti muoiono in guerra (5721) | Benedetto XV</v>
      </c>
      <c r="AA565" s="31" t="str">
        <f t="shared" si="125"/>
        <v>Lettera Haerent animo al Cardinale Giovanni Csernoch, Arcivescovo di Strigonia, nella quale il Pontefice esprime dolore per quanti muoiono in guerra</v>
      </c>
      <c r="AB565" s="31" t="str">
        <f t="shared" si="126"/>
        <v>Lettera Haerent animo al Cardinale Giovanni Csernoch, Arcivescovo di Strigonia, nella quale il Pontefice esprime dolore per quanti muoiono in guerra</v>
      </c>
      <c r="AC565" s="31" t="str">
        <f t="shared" si="127"/>
        <v>Benedetto XV, Lettera Haerent animo al Cardinale Giovanni Csernoch, Arcivescovo di Strigonia, nella quale il Pontefice esprime dolore per quanti muoiono in guerra, 30 agosto 1915</v>
      </c>
      <c r="AD565" s="31" t="str">
        <f t="shared" si="128"/>
        <v>1915-08-30T08:00:00.000+02:00</v>
      </c>
      <c r="AE565" s="31" t="str">
        <f t="shared" si="133"/>
        <v>bxv-let-</v>
      </c>
      <c r="AF565" s="31" t="str">
        <f t="shared" si="134"/>
        <v>Benedetto XV - Lettera - Haerent animo al Cardinale Giovanni Csernoch, Arcivescovo di Strigonia, nella quale il Pontefice esprime dolore per quanti muoiono in guerra</v>
      </c>
    </row>
    <row r="566" spans="2:32" s="31" customFormat="1" x14ac:dyDescent="0.2">
      <c r="B566" s="31">
        <v>258</v>
      </c>
      <c r="C566" s="31" t="s">
        <v>3260</v>
      </c>
      <c r="D566" s="31" t="s">
        <v>699</v>
      </c>
      <c r="E566" s="31" t="s">
        <v>738</v>
      </c>
      <c r="F566" s="31" t="s">
        <v>608</v>
      </c>
      <c r="G566" s="31" t="s">
        <v>609</v>
      </c>
      <c r="H566" s="31" t="str">
        <f t="shared" si="136"/>
        <v>Benedetto XV</v>
      </c>
      <c r="K566" s="31" t="s">
        <v>829</v>
      </c>
      <c r="L566" s="31" t="str">
        <f t="shared" si="137"/>
        <v>Lettera</v>
      </c>
      <c r="M566" s="31" t="s">
        <v>568</v>
      </c>
      <c r="O566" s="31" t="s">
        <v>3248</v>
      </c>
      <c r="Q566" s="40">
        <v>5701</v>
      </c>
      <c r="R566" s="35">
        <f t="shared" si="129"/>
        <v>10</v>
      </c>
      <c r="S566" s="35"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5">
        <f t="shared" si="130"/>
        <v>1915</v>
      </c>
      <c r="U566" s="31"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6"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31"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31">
        <v>593</v>
      </c>
      <c r="Y566" s="31" t="str">
        <f t="shared" si="123"/>
        <v>['Benedetto XV', 'Lettera', 'a Mons. Andrea Frühwirth, Arcivescovo titolare di Eraclea, in occasione del 70° genetliaco', 'bxv-let-', '10 agosto 1915', '10/08/1915', '1915/08/10'],</v>
      </c>
      <c r="Z566" s="31" t="str">
        <f t="shared" si="124"/>
        <v>a Mons. Andrea Frühwirth, Arcivescovo titolare di Eraclea, in occasione del 70° genetliaco (5701) | Benedetto XV</v>
      </c>
      <c r="AA566" s="31" t="str">
        <f t="shared" si="125"/>
        <v>Lettera a Mons. Andrea Frühwirth, Arcivescovo titolare di Eraclea, in occasione del 70° genetliaco</v>
      </c>
      <c r="AB566" s="31" t="str">
        <f t="shared" si="126"/>
        <v>Lettera a Mons. Andrea Frühwirth, Arcivescovo titolare di Eraclea, in occasione del 70° genetliaco</v>
      </c>
      <c r="AC566" s="31" t="str">
        <f t="shared" si="127"/>
        <v>Benedetto XV, Lettera a Mons. Andrea Frühwirth, Arcivescovo titolare di Eraclea, in occasione del 70° genetliaco, 10 agosto 1915</v>
      </c>
      <c r="AD566" s="31" t="str">
        <f t="shared" si="128"/>
        <v>1915-08-10T08:00:00.000+02:00</v>
      </c>
      <c r="AE566" s="31" t="str">
        <f t="shared" si="133"/>
        <v>bxv-let-</v>
      </c>
      <c r="AF566" s="31" t="str">
        <f t="shared" si="134"/>
        <v>Benedetto XV - Lettera - a Mons. Andrea Frühwirth, Arcivescovo titolare di Eraclea, in occasione del 70° genetliaco</v>
      </c>
    </row>
    <row r="567" spans="2:32" s="31" customFormat="1" x14ac:dyDescent="0.2">
      <c r="B567" s="31">
        <v>258</v>
      </c>
      <c r="C567" s="31" t="s">
        <v>3261</v>
      </c>
      <c r="D567" s="31" t="s">
        <v>699</v>
      </c>
      <c r="E567" s="31" t="s">
        <v>738</v>
      </c>
      <c r="F567" s="31" t="s">
        <v>608</v>
      </c>
      <c r="G567" s="31" t="s">
        <v>609</v>
      </c>
      <c r="H567" s="31" t="str">
        <f t="shared" si="136"/>
        <v>Benedetto XV</v>
      </c>
      <c r="K567" s="31" t="s">
        <v>829</v>
      </c>
      <c r="L567" s="31" t="str">
        <f t="shared" si="137"/>
        <v>Lettera</v>
      </c>
      <c r="M567" s="31" t="s">
        <v>568</v>
      </c>
      <c r="O567" s="31" t="s">
        <v>3249</v>
      </c>
      <c r="Q567" s="40">
        <v>5668</v>
      </c>
      <c r="R567" s="35">
        <f t="shared" si="129"/>
        <v>8</v>
      </c>
      <c r="S567" s="35"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5">
        <f t="shared" si="130"/>
        <v>1915</v>
      </c>
      <c r="U567" s="31"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6"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31"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31">
        <v>594</v>
      </c>
      <c r="Y567" s="31" t="str">
        <f t="shared" si="123"/>
        <v>['Benedetto XV', 'Lettera', 'Ci gode l'animo all'Arcivescovo di Bologna in occasione della pubblicazione sul "Travaso" di una poesia offensiva e anticlericale', 'bxv-let-', '08 luglio 1915', '08/07/1915', '1915/07/08'],</v>
      </c>
      <c r="Z567" s="31" t="str">
        <f t="shared" si="124"/>
        <v>Ci gode l'animo all'Arcivescovo di Bologna in occasione della pubblicazione sul "Travaso" di una poesia offensiva e anticlericale (5668) | Benedetto XV</v>
      </c>
      <c r="AA567" s="31" t="str">
        <f t="shared" si="125"/>
        <v>Lettera Ci gode l'animo all'Arcivescovo di Bologna in occasione della pubblicazione sul "Travaso" di una poesia offensiva e anticlericale</v>
      </c>
      <c r="AB567" s="31" t="str">
        <f t="shared" si="126"/>
        <v>Lettera Ci gode l'animo all'Arcivescovo di Bologna in occasione della pubblicazione sul "Travaso" di una poesia offensiva e anticlericale</v>
      </c>
      <c r="AC567" s="31" t="str">
        <f t="shared" si="127"/>
        <v>Benedetto XV, Lettera Ci gode l'animo all'Arcivescovo di Bologna in occasione della pubblicazione sul "Travaso" di una poesia offensiva e anticlericale, 08 luglio 1915</v>
      </c>
      <c r="AD567" s="31" t="str">
        <f t="shared" si="128"/>
        <v>1915-07-08T08:00:00.000+02:00</v>
      </c>
      <c r="AE567" s="31" t="str">
        <f t="shared" si="133"/>
        <v>bxv-let-</v>
      </c>
      <c r="AF567" s="31" t="str">
        <f t="shared" si="134"/>
        <v>Benedetto XV - Lettera - Ci gode l'animo all'Arcivescovo di Bologna in occasione della pubblicazione sul "Travaso" di una poesia offensiva e anticlericale</v>
      </c>
    </row>
    <row r="568" spans="2:32" s="31" customFormat="1" x14ac:dyDescent="0.2">
      <c r="B568" s="31">
        <v>258</v>
      </c>
      <c r="C568" s="31" t="s">
        <v>3262</v>
      </c>
      <c r="D568" s="31" t="s">
        <v>699</v>
      </c>
      <c r="E568" s="31" t="s">
        <v>738</v>
      </c>
      <c r="F568" s="31" t="s">
        <v>608</v>
      </c>
      <c r="G568" s="31" t="s">
        <v>609</v>
      </c>
      <c r="H568" s="31" t="str">
        <f t="shared" si="136"/>
        <v>Benedetto XV</v>
      </c>
      <c r="K568" s="31" t="s">
        <v>829</v>
      </c>
      <c r="L568" s="31" t="str">
        <f t="shared" si="137"/>
        <v>Lettera</v>
      </c>
      <c r="M568" s="31" t="s">
        <v>568</v>
      </c>
      <c r="O568" s="31" t="s">
        <v>3250</v>
      </c>
      <c r="Q568" s="40">
        <v>5650</v>
      </c>
      <c r="R568" s="35">
        <f t="shared" si="129"/>
        <v>20</v>
      </c>
      <c r="S568" s="35"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5">
        <f t="shared" si="130"/>
        <v>1915</v>
      </c>
      <c r="U568" s="31"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6"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31"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31">
        <v>595</v>
      </c>
      <c r="Y568" s="31" t="str">
        <f t="shared" si="123"/>
        <v>['Benedetto XV', 'Lettera', 'Al compiersi del decimo, al Superiore generale della Congregazione dei Missionari di San Carlo, in occasione del X anniversario della morte di mons. Giovanni Battista Scalabrini', 'bxv-let-', '20 giugno 1915', '20/06/1915', '1915/06/20'],</v>
      </c>
      <c r="Z568" s="31" t="str">
        <f t="shared" si="124"/>
        <v>Al compiersi del decimo, al Superiore generale della Congregazione dei Missionari di San Carlo, in occasione del X anniversario della morte di mons. Giovanni Battista Scalabrini (5650) | Benedetto XV</v>
      </c>
      <c r="AA568" s="31" t="str">
        <f t="shared" si="125"/>
        <v>Lettera Al compiersi del decimo, al Superiore generale della Congregazione dei Missionari di San Carlo, in occasione del X anniversario della morte di mons. Giovanni Battista Scalabrini</v>
      </c>
      <c r="AB568" s="31" t="str">
        <f t="shared" si="126"/>
        <v>Lettera Al compiersi del decimo, al Superiore generale della Congregazione dei Missionari di San Carlo, in occasione del X anniversario della morte di mons. Giovanni Battista Scalabrini</v>
      </c>
      <c r="AC568" s="31" t="str">
        <f t="shared" si="127"/>
        <v>Benedetto XV, Lettera Al compiersi del decimo, al Superiore generale della Congregazione dei Missionari di San Carlo, in occasione del X anniversario della morte di mons. Giovanni Battista Scalabrini, 20 giugno 1915</v>
      </c>
      <c r="AD568" s="31" t="str">
        <f t="shared" si="128"/>
        <v>1915-06-20T08:00:00.000+02:00</v>
      </c>
      <c r="AE568" s="31" t="str">
        <f t="shared" si="133"/>
        <v>bxv-let-</v>
      </c>
      <c r="AF568" s="31" t="str">
        <f t="shared" si="134"/>
        <v>Benedetto XV - Lettera - Al compiersi del decimo, al Superiore generale della Congregazione dei Missionari di San Carlo, in occasione del X anniversario della morte di mons. Giovanni Battista Scalabrini</v>
      </c>
    </row>
    <row r="569" spans="2:32" s="31" customFormat="1" x14ac:dyDescent="0.2">
      <c r="B569" s="31">
        <v>258</v>
      </c>
      <c r="C569" s="31" t="s">
        <v>3263</v>
      </c>
      <c r="D569" s="31" t="s">
        <v>699</v>
      </c>
      <c r="E569" s="31" t="s">
        <v>738</v>
      </c>
      <c r="F569" s="31" t="s">
        <v>608</v>
      </c>
      <c r="G569" s="31" t="s">
        <v>609</v>
      </c>
      <c r="H569" s="31" t="str">
        <f t="shared" si="136"/>
        <v>Benedetto XV</v>
      </c>
      <c r="K569" s="31" t="s">
        <v>829</v>
      </c>
      <c r="L569" s="31" t="str">
        <f t="shared" si="137"/>
        <v>Lettera</v>
      </c>
      <c r="M569" s="31" t="s">
        <v>568</v>
      </c>
      <c r="O569" s="31" t="s">
        <v>3251</v>
      </c>
      <c r="Q569" s="40">
        <v>5624</v>
      </c>
      <c r="R569" s="35">
        <f t="shared" si="129"/>
        <v>25</v>
      </c>
      <c r="S569" s="35"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5">
        <f t="shared" si="130"/>
        <v>1915</v>
      </c>
      <c r="U569" s="31"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6"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31"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31">
        <v>596</v>
      </c>
      <c r="Y569" s="31" t="str">
        <f t="shared" si="123"/>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31" t="str">
        <f t="shared" si="124"/>
        <v>Era Nostro proposito al Cardinale Serafino Vannutelli con la quale il Sommo Pontefice attribuisce ai cappellani militari e sacerdoti chiamati alle armi ampie facoltà per la celebrazione della Messa e l'assistenza ai moribondi (5624) | Benedetto XV</v>
      </c>
      <c r="AA569" s="31" t="str">
        <f t="shared" si="125"/>
        <v>Lettera Era Nostro proposito al Cardinale Serafino Vannutelli con la quale il Sommo Pontefice attribuisce ai cappellani militari e sacerdoti chiamati alle armi ampie facoltà per la celebrazione della Messa e l'assistenza ai moribondi</v>
      </c>
      <c r="AB569" s="31" t="str">
        <f t="shared" si="126"/>
        <v>Lettera Era Nostro proposito al Cardinale Serafino Vannutelli con la quale il Sommo Pontefice attribuisce ai cappellani militari e sacerdoti chiamati alle armi ampie facoltà per la celebrazione della Messa e l'assistenza ai moribondi</v>
      </c>
      <c r="AC569" s="31" t="str">
        <f t="shared" si="127"/>
        <v>Benedetto XV, Lettera Era Nostro proposito al Cardinale Serafino Vannutelli con la quale il Sommo Pontefice attribuisce ai cappellani militari e sacerdoti chiamati alle armi ampie facoltà per la celebrazione della Messa e l'assistenza ai moribondi, 25 maggio 1915</v>
      </c>
      <c r="AD569" s="31" t="str">
        <f t="shared" si="128"/>
        <v>1915-05-25T08:00:00.000+02:00</v>
      </c>
      <c r="AE569" s="31" t="str">
        <f t="shared" si="133"/>
        <v>bxv-let-</v>
      </c>
      <c r="AF569" s="31" t="str">
        <f t="shared" si="134"/>
        <v>Benedetto XV - Lettera - Era Nostro proposito al Cardinale Serafino Vannutelli con la quale il Sommo Pontefice attribuisce ai cappellani militari e sacerdoti chiamati alle armi ampie facoltà per la celebrazione della Messa e l'assistenza ai moribondi</v>
      </c>
    </row>
    <row r="570" spans="2:32" s="31" customFormat="1" x14ac:dyDescent="0.2">
      <c r="B570" s="31">
        <v>258</v>
      </c>
      <c r="C570" s="31" t="s">
        <v>3264</v>
      </c>
      <c r="D570" s="31" t="s">
        <v>699</v>
      </c>
      <c r="E570" s="31" t="s">
        <v>738</v>
      </c>
      <c r="F570" s="31" t="s">
        <v>608</v>
      </c>
      <c r="G570" s="31" t="s">
        <v>609</v>
      </c>
      <c r="H570" s="31" t="str">
        <f t="shared" si="136"/>
        <v>Benedetto XV</v>
      </c>
      <c r="K570" s="31" t="s">
        <v>829</v>
      </c>
      <c r="L570" s="31" t="str">
        <f t="shared" si="137"/>
        <v>Lettera</v>
      </c>
      <c r="M570" s="31" t="s">
        <v>568</v>
      </c>
      <c r="O570" s="31" t="s">
        <v>3252</v>
      </c>
      <c r="Q570" s="40">
        <v>5555</v>
      </c>
      <c r="R570" s="35">
        <f t="shared" si="129"/>
        <v>17</v>
      </c>
      <c r="S570" s="35"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5">
        <f t="shared" si="130"/>
        <v>1915</v>
      </c>
      <c r="U570" s="31"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6"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31"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31">
        <v>597</v>
      </c>
      <c r="Y570" s="31" t="str">
        <f t="shared" si="123"/>
        <v>['Benedetto XV', 'Lettera', 'Certiores quotidie al Cardinale Giacomo Gibbons, sulla condizione della popolazione messicana, vittima delle lotte civili', 'bxv-let-', '17 marzo 1915', '17/03/1915', '1915/03/17'],</v>
      </c>
      <c r="Z570" s="31" t="str">
        <f t="shared" si="124"/>
        <v>Certiores quotidie al Cardinale Giacomo Gibbons, sulla condizione della popolazione messicana, vittima delle lotte civili (5555) | Benedetto XV</v>
      </c>
      <c r="AA570" s="31" t="str">
        <f t="shared" si="125"/>
        <v>Lettera Certiores quotidie al Cardinale Giacomo Gibbons, sulla condizione della popolazione messicana, vittima delle lotte civili</v>
      </c>
      <c r="AB570" s="31" t="str">
        <f t="shared" si="126"/>
        <v>Lettera Certiores quotidie al Cardinale Giacomo Gibbons, sulla condizione della popolazione messicana, vittima delle lotte civili</v>
      </c>
      <c r="AC570" s="31" t="str">
        <f t="shared" si="127"/>
        <v>Benedetto XV, Lettera Certiores quotidie al Cardinale Giacomo Gibbons, sulla condizione della popolazione messicana, vittima delle lotte civili, 17 marzo 1915</v>
      </c>
      <c r="AD570" s="31" t="str">
        <f t="shared" si="128"/>
        <v>1915-03-17T08:00:00.000+02:00</v>
      </c>
      <c r="AE570" s="31" t="str">
        <f t="shared" si="133"/>
        <v>bxv-let-</v>
      </c>
      <c r="AF570" s="31" t="str">
        <f t="shared" si="134"/>
        <v>Benedetto XV - Lettera - Certiores quotidie al Cardinale Giacomo Gibbons, sulla condizione della popolazione messicana, vittima delle lotte civili</v>
      </c>
    </row>
    <row r="571" spans="2:32" s="31" customFormat="1" x14ac:dyDescent="0.2">
      <c r="B571" s="31">
        <v>258</v>
      </c>
      <c r="C571" s="31" t="s">
        <v>3265</v>
      </c>
      <c r="D571" s="31" t="s">
        <v>699</v>
      </c>
      <c r="E571" s="31" t="s">
        <v>738</v>
      </c>
      <c r="F571" s="31" t="s">
        <v>608</v>
      </c>
      <c r="G571" s="31" t="s">
        <v>609</v>
      </c>
      <c r="H571" s="31" t="str">
        <f t="shared" si="136"/>
        <v>Benedetto XV</v>
      </c>
      <c r="K571" s="31" t="s">
        <v>829</v>
      </c>
      <c r="L571" s="31" t="str">
        <f t="shared" si="137"/>
        <v>Lettera</v>
      </c>
      <c r="M571" s="31" t="s">
        <v>568</v>
      </c>
      <c r="O571" s="31" t="s">
        <v>3253</v>
      </c>
      <c r="Q571" s="40">
        <v>5550</v>
      </c>
      <c r="R571" s="35">
        <f t="shared" si="129"/>
        <v>12</v>
      </c>
      <c r="S571" s="35"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5">
        <f t="shared" si="130"/>
        <v>1915</v>
      </c>
      <c r="U571" s="31"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6"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31"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31">
        <v>598</v>
      </c>
      <c r="Y571" s="31" t="str">
        <f t="shared" si="123"/>
        <v>['Benedetto XV', 'Lettera', 'Allatum nuper agli Arcivescovi e Vescovi degli Stati Uniti D'America, in occasione del XXV anniversario della fondazione dell’Università cattolica di Washington', 'bxv-let-', '12 marzo 1915', '12/03/1915', '1915/03/12'],</v>
      </c>
      <c r="Z571" s="31" t="str">
        <f t="shared" si="124"/>
        <v>Allatum nuper agli Arcivescovi e Vescovi degli Stati Uniti D'America, in occasione del XXV anniversario della fondazione dell’Università cattolica di Washington (5550) | Benedetto XV</v>
      </c>
      <c r="AA571" s="31" t="str">
        <f t="shared" si="125"/>
        <v>Lettera Allatum nuper agli Arcivescovi e Vescovi degli Stati Uniti D'America, in occasione del XXV anniversario della fondazione dell’Università cattolica di Washington</v>
      </c>
      <c r="AB571" s="31" t="str">
        <f t="shared" si="126"/>
        <v>Lettera Allatum nuper agli Arcivescovi e Vescovi degli Stati Uniti D'America, in occasione del XXV anniversario della fondazione dell’Università cattolica di Washington</v>
      </c>
      <c r="AC571" s="31" t="str">
        <f t="shared" si="127"/>
        <v>Benedetto XV, Lettera Allatum nuper agli Arcivescovi e Vescovi degli Stati Uniti D'America, in occasione del XXV anniversario della fondazione dell’Università cattolica di Washington, 12 marzo 1915</v>
      </c>
      <c r="AD571" s="31" t="str">
        <f t="shared" si="128"/>
        <v>1915-03-12T08:00:00.000+02:00</v>
      </c>
      <c r="AE571" s="31" t="str">
        <f t="shared" si="133"/>
        <v>bxv-let-</v>
      </c>
      <c r="AF571" s="31" t="str">
        <f t="shared" si="134"/>
        <v>Benedetto XV - Lettera - Allatum nuper agli Arcivescovi e Vescovi degli Stati Uniti D'America, in occasione del XXV anniversario della fondazione dell’Università cattolica di Washington</v>
      </c>
    </row>
    <row r="572" spans="2:32" s="31" customFormat="1" x14ac:dyDescent="0.2">
      <c r="B572" s="31">
        <v>258</v>
      </c>
      <c r="C572" s="31" t="s">
        <v>3266</v>
      </c>
      <c r="D572" s="31" t="s">
        <v>699</v>
      </c>
      <c r="E572" s="31" t="s">
        <v>738</v>
      </c>
      <c r="F572" s="31" t="s">
        <v>608</v>
      </c>
      <c r="G572" s="31" t="s">
        <v>609</v>
      </c>
      <c r="H572" s="31" t="str">
        <f t="shared" si="136"/>
        <v>Benedetto XV</v>
      </c>
      <c r="K572" s="31" t="s">
        <v>829</v>
      </c>
      <c r="L572" s="31" t="str">
        <f t="shared" si="137"/>
        <v>Lettera</v>
      </c>
      <c r="M572" s="31" t="s">
        <v>568</v>
      </c>
      <c r="O572" s="31" t="s">
        <v>3254</v>
      </c>
      <c r="Q572" s="40">
        <v>5511</v>
      </c>
      <c r="R572" s="35">
        <f t="shared" si="129"/>
        <v>1</v>
      </c>
      <c r="S572" s="35"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5">
        <f t="shared" si="130"/>
        <v>1915</v>
      </c>
      <c r="U572" s="31"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6"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31"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31">
        <v>599</v>
      </c>
      <c r="Y572" s="31" t="str">
        <f t="shared" si="123"/>
        <v>['Benedetto XV', 'Lettera', 'Opinionem quam al reverendo padre don Edoardo Likowsk, sulla condizione della popolazione polacca in seguito alla guerra', 'bxv-let-', '01 febbraio 1915', '01/02/1915', '1915/02/01'],</v>
      </c>
      <c r="Z572" s="31" t="str">
        <f t="shared" si="124"/>
        <v>Opinionem quam al reverendo padre don Edoardo Likowsk, sulla condizione della popolazione polacca in seguito alla guerra (5511) | Benedetto XV</v>
      </c>
      <c r="AA572" s="31" t="str">
        <f t="shared" si="125"/>
        <v>Lettera Opinionem quam al reverendo padre don Edoardo Likowsk, sulla condizione della popolazione polacca in seguito alla guerra</v>
      </c>
      <c r="AB572" s="31" t="str">
        <f t="shared" si="126"/>
        <v>Lettera Opinionem quam al reverendo padre don Edoardo Likowsk, sulla condizione della popolazione polacca in seguito alla guerra</v>
      </c>
      <c r="AC572" s="31" t="str">
        <f t="shared" si="127"/>
        <v>Benedetto XV, Lettera Opinionem quam al reverendo padre don Edoardo Likowsk, sulla condizione della popolazione polacca in seguito alla guerra, 01 febbraio 1915</v>
      </c>
      <c r="AD572" s="31" t="str">
        <f t="shared" si="128"/>
        <v>1915-02-01T08:00:00.000+02:00</v>
      </c>
      <c r="AE572" s="31" t="str">
        <f t="shared" si="133"/>
        <v>bxv-let-</v>
      </c>
      <c r="AF572" s="31" t="str">
        <f t="shared" si="134"/>
        <v>Benedetto XV - Lettera - Opinionem quam al reverendo padre don Edoardo Likowsk, sulla condizione della popolazione polacca in seguito alla guerra</v>
      </c>
    </row>
    <row r="573" spans="2:32" s="31" customFormat="1" x14ac:dyDescent="0.2">
      <c r="B573" s="31">
        <v>258</v>
      </c>
      <c r="C573" s="31" t="s">
        <v>3267</v>
      </c>
      <c r="D573" s="31" t="s">
        <v>699</v>
      </c>
      <c r="E573" s="31" t="s">
        <v>738</v>
      </c>
      <c r="F573" s="31" t="s">
        <v>608</v>
      </c>
      <c r="G573" s="31" t="s">
        <v>609</v>
      </c>
      <c r="H573" s="31" t="str">
        <f t="shared" si="136"/>
        <v>Benedetto XV</v>
      </c>
      <c r="K573" s="31" t="s">
        <v>829</v>
      </c>
      <c r="L573" s="31" t="str">
        <f t="shared" si="137"/>
        <v>Lettera</v>
      </c>
      <c r="M573" s="31" t="s">
        <v>568</v>
      </c>
      <c r="O573" s="31" t="s">
        <v>3255</v>
      </c>
      <c r="Q573" s="40">
        <v>5504</v>
      </c>
      <c r="R573" s="35">
        <f t="shared" si="129"/>
        <v>25</v>
      </c>
      <c r="S573" s="35"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5">
        <f t="shared" si="130"/>
        <v>1915</v>
      </c>
      <c r="U573" s="31"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6"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31"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31">
        <v>600</v>
      </c>
      <c r="Y573" s="31" t="str">
        <f t="shared" si="123"/>
        <v>['Benedetto XV', 'Lettera', 'Sul Nostro cuore al Cardinale Pietro Gasparri, Segretario di Stato in seguito al terremoto in Abruzzo', 'bxv-let-', '25 gennaio 1915', '25/01/1915', '1915/01/25'],</v>
      </c>
      <c r="Z573" s="31" t="str">
        <f t="shared" si="124"/>
        <v>Sul Nostro cuore al Cardinale Pietro Gasparri, Segretario di Stato in seguito al terremoto in Abruzzo (5504) | Benedetto XV</v>
      </c>
      <c r="AA573" s="31" t="str">
        <f t="shared" si="125"/>
        <v>Lettera Sul Nostro cuore al Cardinale Pietro Gasparri, Segretario di Stato in seguito al terremoto in Abruzzo</v>
      </c>
      <c r="AB573" s="31" t="str">
        <f t="shared" si="126"/>
        <v>Lettera Sul Nostro cuore al Cardinale Pietro Gasparri, Segretario di Stato in seguito al terremoto in Abruzzo</v>
      </c>
      <c r="AC573" s="31" t="str">
        <f t="shared" si="127"/>
        <v>Benedetto XV, Lettera Sul Nostro cuore al Cardinale Pietro Gasparri, Segretario di Stato in seguito al terremoto in Abruzzo, 25 gennaio 1915</v>
      </c>
      <c r="AD573" s="31" t="str">
        <f t="shared" si="128"/>
        <v>1915-01-25T08:00:00.000+02:00</v>
      </c>
      <c r="AE573" s="31" t="str">
        <f t="shared" si="133"/>
        <v>bxv-let-</v>
      </c>
      <c r="AF573" s="31" t="str">
        <f t="shared" si="134"/>
        <v>Benedetto XV - Lettera - Sul Nostro cuore al Cardinale Pietro Gasparri, Segretario di Stato in seguito al terremoto in Abruzzo</v>
      </c>
    </row>
    <row r="574" spans="2:32" s="31" customFormat="1" x14ac:dyDescent="0.2">
      <c r="B574" s="31">
        <v>258</v>
      </c>
      <c r="C574" s="31" t="s">
        <v>3276</v>
      </c>
      <c r="D574" s="31" t="s">
        <v>699</v>
      </c>
      <c r="E574" s="31" t="s">
        <v>738</v>
      </c>
      <c r="F574" s="31" t="s">
        <v>608</v>
      </c>
      <c r="G574" s="31" t="s">
        <v>609</v>
      </c>
      <c r="H574" s="31" t="str">
        <f t="shared" si="136"/>
        <v>Benedetto XV</v>
      </c>
      <c r="K574" s="31" t="s">
        <v>829</v>
      </c>
      <c r="L574" s="31" t="str">
        <f t="shared" si="137"/>
        <v>Lettera</v>
      </c>
      <c r="M574" s="31" t="s">
        <v>568</v>
      </c>
      <c r="O574" s="31" t="s">
        <v>3268</v>
      </c>
      <c r="Q574" s="40">
        <v>6146</v>
      </c>
      <c r="R574" s="35">
        <f t="shared" si="129"/>
        <v>28</v>
      </c>
      <c r="S574" s="35"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5">
        <f t="shared" si="130"/>
        <v>1916</v>
      </c>
      <c r="U574" s="31"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6"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31"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31">
        <v>601</v>
      </c>
      <c r="Y574" s="31" t="str">
        <f t="shared" si="123"/>
        <v>['Benedetto XV', 'Lettera', 'Pietà profonda al cardinale Giacomo Gibbons, Arcivescovo di Baltimora. con la quale il Sommo Pontefice invita i bambini americani ad aiutare i loro coetanei del Belgio provati da due anni di guerra', 'bxv-let-', '28 ottobre 1916', '28/10/1916', '1916/10/28'],</v>
      </c>
      <c r="Z574" s="31" t="str">
        <f t="shared" si="124"/>
        <v>Pietà profonda al cardinale Giacomo Gibbons, Arcivescovo di Baltimora. con la quale il Sommo Pontefice invita i bambini americani ad aiutare i loro coetanei del Belgio provati da due anni di guerra (6146) | Benedetto XV</v>
      </c>
      <c r="AA574" s="31" t="str">
        <f t="shared" si="125"/>
        <v>Lettera Pietà profonda al cardinale Giacomo Gibbons, Arcivescovo di Baltimora. con la quale il Sommo Pontefice invita i bambini americani ad aiutare i loro coetanei del Belgio provati da due anni di guerra</v>
      </c>
      <c r="AB574" s="31" t="str">
        <f t="shared" si="126"/>
        <v>Lettera Pietà profonda al cardinale Giacomo Gibbons, Arcivescovo di Baltimora. con la quale il Sommo Pontefice invita i bambini americani ad aiutare i loro coetanei del Belgio provati da due anni di guerra</v>
      </c>
      <c r="AC574" s="31" t="str">
        <f t="shared" si="127"/>
        <v>Benedetto XV, Lettera Pietà profonda al cardinale Giacomo Gibbons, Arcivescovo di Baltimora. con la quale il Sommo Pontefice invita i bambini americani ad aiutare i loro coetanei del Belgio provati da due anni di guerra, 28 ottobre 1916</v>
      </c>
      <c r="AD574" s="31" t="str">
        <f t="shared" si="128"/>
        <v>1916-10-28T08:00:00.000+02:00</v>
      </c>
      <c r="AE574" s="31" t="str">
        <f t="shared" si="133"/>
        <v>bxv-let-</v>
      </c>
      <c r="AF574" s="31" t="str">
        <f t="shared" si="134"/>
        <v>Benedetto XV - Lettera - Pietà profonda al cardinale Giacomo Gibbons, Arcivescovo di Baltimora. con la quale il Sommo Pontefice invita i bambini americani ad aiutare i loro coetanei del Belgio provati da due anni di guerra</v>
      </c>
    </row>
    <row r="575" spans="2:32" s="31" customFormat="1" x14ac:dyDescent="0.2">
      <c r="B575" s="31">
        <v>258</v>
      </c>
      <c r="C575" s="31" t="s">
        <v>3277</v>
      </c>
      <c r="D575" s="31" t="s">
        <v>699</v>
      </c>
      <c r="E575" s="31" t="s">
        <v>738</v>
      </c>
      <c r="F575" s="31" t="s">
        <v>608</v>
      </c>
      <c r="G575" s="31" t="s">
        <v>609</v>
      </c>
      <c r="H575" s="31" t="str">
        <f t="shared" si="136"/>
        <v>Benedetto XV</v>
      </c>
      <c r="K575" s="31" t="s">
        <v>829</v>
      </c>
      <c r="L575" s="31" t="str">
        <f t="shared" si="137"/>
        <v>Lettera</v>
      </c>
      <c r="M575" s="31" t="s">
        <v>568</v>
      </c>
      <c r="O575" s="31" t="s">
        <v>3269</v>
      </c>
      <c r="Q575" s="40">
        <v>6104</v>
      </c>
      <c r="R575" s="35">
        <f t="shared" si="129"/>
        <v>16</v>
      </c>
      <c r="S575" s="35"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5">
        <f t="shared" si="130"/>
        <v>1916</v>
      </c>
      <c r="U575" s="31"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6"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31"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31">
        <v>602</v>
      </c>
      <c r="Y575" s="31" t="str">
        <f t="shared" si="123"/>
        <v>['Benedetto XV', 'Lettera', 'I nuovi motivi, a Monsignore Pietro La Fontaine, Patriarca di Venezia, in occasione di un'incursione aerea su Venezia', 'bxv-let-', '16 settembre 1916', '16/09/1916', '1916/09/16'],</v>
      </c>
      <c r="Z575" s="31" t="str">
        <f t="shared" si="124"/>
        <v>I nuovi motivi, a Monsignore Pietro La Fontaine, Patriarca di Venezia, in occasione di un'incursione aerea su Venezia (6104) | Benedetto XV</v>
      </c>
      <c r="AA575" s="31" t="str">
        <f t="shared" si="125"/>
        <v>Lettera I nuovi motivi, a Monsignore Pietro La Fontaine, Patriarca di Venezia, in occasione di un'incursione aerea su Venezia</v>
      </c>
      <c r="AB575" s="31" t="str">
        <f t="shared" si="126"/>
        <v>Lettera I nuovi motivi, a Monsignore Pietro La Fontaine, Patriarca di Venezia, in occasione di un'incursione aerea su Venezia</v>
      </c>
      <c r="AC575" s="31" t="str">
        <f t="shared" si="127"/>
        <v>Benedetto XV, Lettera I nuovi motivi, a Monsignore Pietro La Fontaine, Patriarca di Venezia, in occasione di un'incursione aerea su Venezia, 16 settembre 1916</v>
      </c>
      <c r="AD575" s="31" t="str">
        <f t="shared" si="128"/>
        <v>1916-09-16T08:00:00.000+02:00</v>
      </c>
      <c r="AE575" s="31" t="str">
        <f t="shared" si="133"/>
        <v>bxv-let-</v>
      </c>
      <c r="AF575" s="31" t="str">
        <f t="shared" si="134"/>
        <v>Benedetto XV - Lettera - I nuovi motivi, a Monsignore Pietro La Fontaine, Patriarca di Venezia, in occasione di un'incursione aerea su Venezia</v>
      </c>
    </row>
    <row r="576" spans="2:32" s="31" customFormat="1" x14ac:dyDescent="0.2">
      <c r="B576" s="31">
        <v>258</v>
      </c>
      <c r="C576" s="31" t="s">
        <v>3278</v>
      </c>
      <c r="D576" s="31" t="s">
        <v>699</v>
      </c>
      <c r="E576" s="31" t="s">
        <v>738</v>
      </c>
      <c r="F576" s="31" t="s">
        <v>608</v>
      </c>
      <c r="G576" s="31" t="s">
        <v>609</v>
      </c>
      <c r="H576" s="31" t="str">
        <f t="shared" ref="H576:H607" si="138">_xlfn.CONCAT(D576 &amp; " " &amp; E576)</f>
        <v>Benedetto XV</v>
      </c>
      <c r="K576" s="31" t="s">
        <v>829</v>
      </c>
      <c r="L576" s="31" t="str">
        <f t="shared" ref="L576:L607" si="139">IF(J576&lt;&gt;"",_xlfn.CONCAT(J576 &amp; " " &amp; K576),K576)</f>
        <v>Lettera</v>
      </c>
      <c r="M576" s="31" t="s">
        <v>568</v>
      </c>
      <c r="O576" s="31" t="s">
        <v>3270</v>
      </c>
      <c r="Q576" s="40">
        <v>6096</v>
      </c>
      <c r="R576" s="35">
        <f t="shared" si="129"/>
        <v>8</v>
      </c>
      <c r="S576" s="35"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5">
        <f t="shared" si="130"/>
        <v>1916</v>
      </c>
      <c r="U576" s="31"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6"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31"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31">
        <v>603</v>
      </c>
      <c r="Y576" s="31" t="str">
        <f t="shared" si="123"/>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31" t="str">
        <f t="shared" si="124"/>
        <v>Commisso Divinitus, a Ludovico Nazario Bégin, Arcivescovo di Québec e agli altri Arcivescovi e Vescovi della regione canadese per placare il dissenso fra i cattolici di lingua francese e quelli di lingua inglese in Canada (6096) | Benedetto XV</v>
      </c>
      <c r="AA576" s="31" t="str">
        <f t="shared" si="125"/>
        <v>Lettera Commisso Divinitus, a Ludovico Nazario Bégin, Arcivescovo di Québec e agli altri Arcivescovi e Vescovi della regione canadese per placare il dissenso fra i cattolici di lingua francese e quelli di lingua inglese in Canada</v>
      </c>
      <c r="AB576" s="31" t="str">
        <f t="shared" si="126"/>
        <v>Lettera Commisso Divinitus, a Ludovico Nazario Bégin, Arcivescovo di Québec e agli altri Arcivescovi e Vescovi della regione canadese per placare il dissenso fra i cattolici di lingua francese e quelli di lingua inglese in Canada</v>
      </c>
      <c r="AC576" s="31" t="str">
        <f t="shared" si="127"/>
        <v>Benedetto XV, Lettera Commisso Divinitus, a Ludovico Nazario Bégin, Arcivescovo di Québec e agli altri Arcivescovi e Vescovi della regione canadese per placare il dissenso fra i cattolici di lingua francese e quelli di lingua inglese in Canada, 08 settembre 1916</v>
      </c>
      <c r="AD576" s="31" t="str">
        <f t="shared" si="128"/>
        <v>1916-09-08T08:00:00.000+02:00</v>
      </c>
      <c r="AE576" s="31" t="str">
        <f t="shared" si="133"/>
        <v>bxv-let-</v>
      </c>
      <c r="AF576" s="31" t="str">
        <f t="shared" si="134"/>
        <v>Benedetto XV - Lettera - Commisso Divinitus, a Ludovico Nazario Bégin, Arcivescovo di Québec e agli altri Arcivescovi e Vescovi della regione canadese per placare il dissenso fra i cattolici di lingua francese e quelli di lingua inglese in Canada</v>
      </c>
    </row>
    <row r="577" spans="2:32" s="31" customFormat="1" x14ac:dyDescent="0.2">
      <c r="B577" s="31">
        <v>258</v>
      </c>
      <c r="C577" s="31" t="s">
        <v>3279</v>
      </c>
      <c r="D577" s="31" t="s">
        <v>699</v>
      </c>
      <c r="E577" s="31" t="s">
        <v>738</v>
      </c>
      <c r="F577" s="31" t="s">
        <v>608</v>
      </c>
      <c r="G577" s="31" t="s">
        <v>609</v>
      </c>
      <c r="H577" s="31" t="str">
        <f t="shared" si="138"/>
        <v>Benedetto XV</v>
      </c>
      <c r="K577" s="31" t="s">
        <v>829</v>
      </c>
      <c r="L577" s="31" t="str">
        <f t="shared" si="139"/>
        <v>Lettera</v>
      </c>
      <c r="M577" s="31" t="s">
        <v>568</v>
      </c>
      <c r="O577" s="31" t="s">
        <v>3271</v>
      </c>
      <c r="Q577" s="40">
        <v>6096</v>
      </c>
      <c r="R577" s="35">
        <f t="shared" si="129"/>
        <v>8</v>
      </c>
      <c r="S577" s="35"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5">
        <f t="shared" si="130"/>
        <v>1916</v>
      </c>
      <c r="U577" s="31"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6"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31"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31">
        <v>604</v>
      </c>
      <c r="Y577" s="31" t="str">
        <f t="shared" si="123"/>
        <v>['Benedetto XV', 'Lettera', 'Legentes Vestram, al Cardinale presbitero Felice De Hartmann, Arcivescovo di Colonia, e agli altri Arcivescovi e Vescovi della Germania recentemente adunatisi a Fulda', 'bxv-let-', '08 settembre 1916', '08/09/1916', '1916/09/08'],</v>
      </c>
      <c r="Z577" s="31" t="str">
        <f t="shared" si="124"/>
        <v>Legentes Vestram, al Cardinale presbitero Felice De Hartmann, Arcivescovo di Colonia, e agli altri Arcivescovi e Vescovi della Germania recentemente adunatisi a Fulda (6096) | Benedetto XV</v>
      </c>
      <c r="AA577" s="31" t="str">
        <f t="shared" si="125"/>
        <v>Lettera Legentes Vestram, al Cardinale presbitero Felice De Hartmann, Arcivescovo di Colonia, e agli altri Arcivescovi e Vescovi della Germania recentemente adunatisi a Fulda</v>
      </c>
      <c r="AB577" s="31" t="str">
        <f t="shared" si="126"/>
        <v>Lettera Legentes Vestram, al Cardinale presbitero Felice De Hartmann, Arcivescovo di Colonia, e agli altri Arcivescovi e Vescovi della Germania recentemente adunatisi a Fulda</v>
      </c>
      <c r="AC577" s="31" t="str">
        <f t="shared" si="127"/>
        <v>Benedetto XV, Lettera Legentes Vestram, al Cardinale presbitero Felice De Hartmann, Arcivescovo di Colonia, e agli altri Arcivescovi e Vescovi della Germania recentemente adunatisi a Fulda, 08 settembre 1916</v>
      </c>
      <c r="AD577" s="31" t="str">
        <f t="shared" si="128"/>
        <v>1916-09-08T08:00:00.000+02:00</v>
      </c>
      <c r="AE577" s="31" t="str">
        <f t="shared" si="133"/>
        <v>bxv-let-</v>
      </c>
      <c r="AF577" s="31" t="str">
        <f t="shared" si="134"/>
        <v>Benedetto XV - Lettera - Legentes Vestram, al Cardinale presbitero Felice De Hartmann, Arcivescovo di Colonia, e agli altri Arcivescovi e Vescovi della Germania recentemente adunatisi a Fulda</v>
      </c>
    </row>
    <row r="578" spans="2:32" s="31" customFormat="1" x14ac:dyDescent="0.2">
      <c r="B578" s="31">
        <v>258</v>
      </c>
      <c r="C578" s="31" t="s">
        <v>3280</v>
      </c>
      <c r="D578" s="31" t="s">
        <v>699</v>
      </c>
      <c r="E578" s="31" t="s">
        <v>738</v>
      </c>
      <c r="F578" s="31" t="s">
        <v>608</v>
      </c>
      <c r="G578" s="31" t="s">
        <v>609</v>
      </c>
      <c r="H578" s="31" t="str">
        <f t="shared" si="138"/>
        <v>Benedetto XV</v>
      </c>
      <c r="K578" s="31" t="s">
        <v>829</v>
      </c>
      <c r="L578" s="31" t="str">
        <f t="shared" si="139"/>
        <v>Lettera</v>
      </c>
      <c r="M578" s="31" t="s">
        <v>568</v>
      </c>
      <c r="O578" s="31" t="s">
        <v>3272</v>
      </c>
      <c r="Q578" s="40">
        <v>6058</v>
      </c>
      <c r="R578" s="35">
        <f t="shared" si="129"/>
        <v>1</v>
      </c>
      <c r="S578" s="35"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5">
        <f t="shared" si="130"/>
        <v>1916</v>
      </c>
      <c r="U578" s="31"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6"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31"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31">
        <v>605</v>
      </c>
      <c r="Y578" s="31" t="str">
        <f t="shared" ref="Y578:Y641" si="140">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31" t="str">
        <f t="shared" ref="Z578:Z641" si="141">_xlfn.CONCAT(O578 &amp; " (" &amp; Q578 &amp; ") | " &amp; D578 &amp; " " &amp; E578)</f>
        <v>Accepimus Vos al R.P.D. Bernardo Herrera Restrepo e ai Vescovi della Colombia, su alcuni principi fondamentali ai quali ispirarsi durante la loro imminente riunione in Concilio (6058) | Benedetto XV</v>
      </c>
      <c r="AA578" s="31" t="str">
        <f t="shared" ref="AA578:AA641" si="142">_xlfn.CONCAT(K578 &amp; " " &amp; O578)</f>
        <v>Lettera Accepimus Vos al R.P.D. Bernardo Herrera Restrepo e ai Vescovi della Colombia, su alcuni principi fondamentali ai quali ispirarsi durante la loro imminente riunione in Concilio</v>
      </c>
      <c r="AB578" s="31" t="str">
        <f t="shared" ref="AB578:AB641" si="143">_xlfn.CONCAT(K578 &amp; " " &amp; O578)</f>
        <v>Lettera Accepimus Vos al R.P.D. Bernardo Herrera Restrepo e ai Vescovi della Colombia, su alcuni principi fondamentali ai quali ispirarsi durante la loro imminente riunione in Concilio</v>
      </c>
      <c r="AC578" s="31" t="str">
        <f t="shared" ref="AC578:AC641" si="144">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31" t="str">
        <f t="shared" ref="AD578:AD641" si="145">_xlfn.CONCAT(RIGHT(U578,4) &amp; "-" &amp; MID(U578,4,2) &amp; "-" &amp; LEFT(U578,2) &amp; "T08:00:00.000+02:00")</f>
        <v>1916-08-01T08:00:00.000+02:00</v>
      </c>
      <c r="AE578" s="31" t="str">
        <f t="shared" si="133"/>
        <v>bxv-let-</v>
      </c>
      <c r="AF578" s="31" t="str">
        <f t="shared" si="134"/>
        <v>Benedetto XV - Lettera - Accepimus Vos al R.P.D. Bernardo Herrera Restrepo e ai Vescovi della Colombia, su alcuni principi fondamentali ai quali ispirarsi durante la loro imminente riunione in Concilio</v>
      </c>
    </row>
    <row r="579" spans="2:32" s="31" customFormat="1" x14ac:dyDescent="0.2">
      <c r="B579" s="31">
        <v>258</v>
      </c>
      <c r="C579" s="31" t="s">
        <v>3281</v>
      </c>
      <c r="D579" s="31" t="s">
        <v>699</v>
      </c>
      <c r="E579" s="31" t="s">
        <v>738</v>
      </c>
      <c r="F579" s="31" t="s">
        <v>608</v>
      </c>
      <c r="G579" s="31" t="s">
        <v>609</v>
      </c>
      <c r="H579" s="31" t="str">
        <f t="shared" si="138"/>
        <v>Benedetto XV</v>
      </c>
      <c r="K579" s="31" t="s">
        <v>829</v>
      </c>
      <c r="L579" s="31" t="str">
        <f t="shared" si="139"/>
        <v>Lettera</v>
      </c>
      <c r="M579" s="31" t="s">
        <v>568</v>
      </c>
      <c r="O579" s="31" t="s">
        <v>3273</v>
      </c>
      <c r="Q579" s="40">
        <v>6048</v>
      </c>
      <c r="R579" s="35">
        <f t="shared" si="129"/>
        <v>22</v>
      </c>
      <c r="S579" s="35"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5">
        <f t="shared" si="130"/>
        <v>1916</v>
      </c>
      <c r="U579" s="31"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6"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31"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31">
        <v>606</v>
      </c>
      <c r="Y579" s="31" t="str">
        <f t="shared" si="140"/>
        <v>['Benedetto XV', 'Lettera', 'Il devoto indirizzo al conte Massimiliano Zara, Presidente generale della Società di San Paolo per la diffusione della stampa cattolica', 'bxv-let-', '22 luglio 1916', '22/07/1916', '1916/07/22'],</v>
      </c>
      <c r="Z579" s="31" t="str">
        <f t="shared" si="141"/>
        <v>Il devoto indirizzo al conte Massimiliano Zara, Presidente generale della Società di San Paolo per la diffusione della stampa cattolica (6048) | Benedetto XV</v>
      </c>
      <c r="AA579" s="31" t="str">
        <f t="shared" si="142"/>
        <v>Lettera Il devoto indirizzo al conte Massimiliano Zara, Presidente generale della Società di San Paolo per la diffusione della stampa cattolica</v>
      </c>
      <c r="AB579" s="31" t="str">
        <f t="shared" si="143"/>
        <v>Lettera Il devoto indirizzo al conte Massimiliano Zara, Presidente generale della Società di San Paolo per la diffusione della stampa cattolica</v>
      </c>
      <c r="AC579" s="31" t="str">
        <f t="shared" si="144"/>
        <v>Benedetto XV, Lettera Il devoto indirizzo al conte Massimiliano Zara, Presidente generale della Società di San Paolo per la diffusione della stampa cattolica, 22 luglio 1916</v>
      </c>
      <c r="AD579" s="31" t="str">
        <f t="shared" si="145"/>
        <v>1916-07-22T08:00:00.000+02:00</v>
      </c>
      <c r="AE579" s="31" t="str">
        <f t="shared" si="133"/>
        <v>bxv-let-</v>
      </c>
      <c r="AF579" s="31" t="str">
        <f t="shared" si="134"/>
        <v>Benedetto XV - Lettera - Il devoto indirizzo al conte Massimiliano Zara, Presidente generale della Società di San Paolo per la diffusione della stampa cattolica</v>
      </c>
    </row>
    <row r="580" spans="2:32" s="31" customFormat="1" x14ac:dyDescent="0.2">
      <c r="B580" s="31">
        <v>258</v>
      </c>
      <c r="C580" s="31" t="s">
        <v>3282</v>
      </c>
      <c r="D580" s="31" t="s">
        <v>699</v>
      </c>
      <c r="E580" s="31" t="s">
        <v>738</v>
      </c>
      <c r="F580" s="31" t="s">
        <v>608</v>
      </c>
      <c r="G580" s="31" t="s">
        <v>609</v>
      </c>
      <c r="H580" s="31" t="str">
        <f t="shared" si="138"/>
        <v>Benedetto XV</v>
      </c>
      <c r="K580" s="31" t="s">
        <v>829</v>
      </c>
      <c r="L580" s="31" t="str">
        <f t="shared" si="139"/>
        <v>Lettera</v>
      </c>
      <c r="M580" s="31" t="s">
        <v>568</v>
      </c>
      <c r="O580" s="31" t="s">
        <v>3274</v>
      </c>
      <c r="Q580" s="40">
        <v>5908</v>
      </c>
      <c r="R580" s="35">
        <f t="shared" si="129"/>
        <v>4</v>
      </c>
      <c r="S580" s="35"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5">
        <f t="shared" si="130"/>
        <v>1916</v>
      </c>
      <c r="U580" s="31"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6"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31"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31">
        <v>607</v>
      </c>
      <c r="Y580" s="31" t="str">
        <f t="shared" si="140"/>
        <v>['Benedetto XV', 'Lettera', 'Al tremendo conflitto al Cardinale Basilio Pompili,Vicario generale di Roma per esortare i cattolici ad effettuare elemosine a favore degli orfani di guerra', 'bxv-let-', '04 marzo 1916', '04/03/1916', '1916/03/04'],</v>
      </c>
      <c r="Z580" s="31" t="str">
        <f t="shared" si="141"/>
        <v>Al tremendo conflitto al Cardinale Basilio Pompili,Vicario generale di Roma per esortare i cattolici ad effettuare elemosine a favore degli orfani di guerra (5908) | Benedetto XV</v>
      </c>
      <c r="AA580" s="31" t="str">
        <f t="shared" si="142"/>
        <v>Lettera Al tremendo conflitto al Cardinale Basilio Pompili,Vicario generale di Roma per esortare i cattolici ad effettuare elemosine a favore degli orfani di guerra</v>
      </c>
      <c r="AB580" s="31" t="str">
        <f t="shared" si="143"/>
        <v>Lettera Al tremendo conflitto al Cardinale Basilio Pompili,Vicario generale di Roma per esortare i cattolici ad effettuare elemosine a favore degli orfani di guerra</v>
      </c>
      <c r="AC580" s="31" t="str">
        <f t="shared" si="144"/>
        <v>Benedetto XV, Lettera Al tremendo conflitto al Cardinale Basilio Pompili,Vicario generale di Roma per esortare i cattolici ad effettuare elemosine a favore degli orfani di guerra, 04 marzo 1916</v>
      </c>
      <c r="AD580" s="31" t="str">
        <f t="shared" si="145"/>
        <v>1916-03-04T08:00:00.000+02:00</v>
      </c>
      <c r="AE580" s="31" t="str">
        <f t="shared" si="133"/>
        <v>bxv-let-</v>
      </c>
      <c r="AF580" s="31" t="str">
        <f t="shared" si="134"/>
        <v>Benedetto XV - Lettera - Al tremendo conflitto al Cardinale Basilio Pompili,Vicario generale di Roma per esortare i cattolici ad effettuare elemosine a favore degli orfani di guerra</v>
      </c>
    </row>
    <row r="581" spans="2:32" s="31" customFormat="1" x14ac:dyDescent="0.2">
      <c r="B581" s="31">
        <v>258</v>
      </c>
      <c r="C581" s="31" t="s">
        <v>3283</v>
      </c>
      <c r="D581" s="31" t="s">
        <v>699</v>
      </c>
      <c r="E581" s="31" t="s">
        <v>738</v>
      </c>
      <c r="F581" s="31" t="s">
        <v>608</v>
      </c>
      <c r="G581" s="31" t="s">
        <v>609</v>
      </c>
      <c r="H581" s="31" t="str">
        <f t="shared" si="138"/>
        <v>Benedetto XV</v>
      </c>
      <c r="K581" s="31" t="s">
        <v>829</v>
      </c>
      <c r="L581" s="31" t="str">
        <f t="shared" si="139"/>
        <v>Lettera</v>
      </c>
      <c r="M581" s="31" t="s">
        <v>568</v>
      </c>
      <c r="O581" s="31" t="s">
        <v>3275</v>
      </c>
      <c r="Q581" s="40">
        <v>5877</v>
      </c>
      <c r="R581" s="35">
        <f t="shared" si="129"/>
        <v>2</v>
      </c>
      <c r="S581" s="35"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5">
        <f t="shared" si="130"/>
        <v>1916</v>
      </c>
      <c r="U581" s="31"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6"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31"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31">
        <v>608</v>
      </c>
      <c r="Y581" s="31" t="str">
        <f t="shared" si="140"/>
        <v>['Benedetto XV', 'Lettera', 'Quoniam Africanarum all’Arcivescovo di Bordeaux sulla raccolta di pubbliche offerte durante il giorno dell'Epifania, per la redenzione dei neri', 'bxv-let-', '02 febbraio 1916', '02/02/1916', '1916/02/02'],</v>
      </c>
      <c r="Z581" s="31" t="str">
        <f t="shared" si="141"/>
        <v>Quoniam Africanarum all’Arcivescovo di Bordeaux sulla raccolta di pubbliche offerte durante il giorno dell'Epifania, per la redenzione dei neri (5877) | Benedetto XV</v>
      </c>
      <c r="AA581" s="31" t="str">
        <f t="shared" si="142"/>
        <v>Lettera Quoniam Africanarum all’Arcivescovo di Bordeaux sulla raccolta di pubbliche offerte durante il giorno dell'Epifania, per la redenzione dei neri</v>
      </c>
      <c r="AB581" s="31" t="str">
        <f t="shared" si="143"/>
        <v>Lettera Quoniam Africanarum all’Arcivescovo di Bordeaux sulla raccolta di pubbliche offerte durante il giorno dell'Epifania, per la redenzione dei neri</v>
      </c>
      <c r="AC581" s="31" t="str">
        <f t="shared" si="144"/>
        <v>Benedetto XV, Lettera Quoniam Africanarum all’Arcivescovo di Bordeaux sulla raccolta di pubbliche offerte durante il giorno dell'Epifania, per la redenzione dei neri, 02 febbraio 1916</v>
      </c>
      <c r="AD581" s="31" t="str">
        <f t="shared" si="145"/>
        <v>1916-02-02T08:00:00.000+02:00</v>
      </c>
      <c r="AE581" s="31" t="str">
        <f t="shared" si="133"/>
        <v>bxv-let-</v>
      </c>
      <c r="AF581" s="31" t="str">
        <f t="shared" si="134"/>
        <v>Benedetto XV - Lettera - Quoniam Africanarum all’Arcivescovo di Bordeaux sulla raccolta di pubbliche offerte durante il giorno dell'Epifania, per la redenzione dei neri</v>
      </c>
    </row>
    <row r="582" spans="2:32" s="31" customFormat="1" x14ac:dyDescent="0.2">
      <c r="B582" s="31">
        <v>258</v>
      </c>
      <c r="C582" s="31" t="s">
        <v>3290</v>
      </c>
      <c r="D582" s="31" t="s">
        <v>699</v>
      </c>
      <c r="E582" s="31" t="s">
        <v>738</v>
      </c>
      <c r="F582" s="31" t="s">
        <v>608</v>
      </c>
      <c r="G582" s="31" t="s">
        <v>609</v>
      </c>
      <c r="H582" s="31" t="str">
        <f t="shared" si="138"/>
        <v>Benedetto XV</v>
      </c>
      <c r="K582" s="31" t="s">
        <v>829</v>
      </c>
      <c r="L582" s="31" t="str">
        <f t="shared" si="139"/>
        <v>Lettera</v>
      </c>
      <c r="M582" s="31" t="s">
        <v>568</v>
      </c>
      <c r="O582" s="31" t="s">
        <v>3284</v>
      </c>
      <c r="Q582" s="40">
        <v>6571</v>
      </c>
      <c r="R582" s="35">
        <f t="shared" si="129"/>
        <v>27</v>
      </c>
      <c r="S582" s="35"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5">
        <f t="shared" si="130"/>
        <v>1917</v>
      </c>
      <c r="U582" s="31"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6"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31"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31">
        <v>609</v>
      </c>
      <c r="Y582" s="31" t="str">
        <f t="shared" si="140"/>
        <v>['Benedetto XV', 'Lettera', 'Natalis Trecentesimi Alla Reverenda Madre Angela di Nostra Signora, Superiora Generale dell’Unione Romana delle Vergini Orsoline, nel trecentesimo anniversario della fondazione della Famiglia religiosa', 'bxv-let-', '27 dicembre 1917', '27/12/1917', '1917/12/27'],</v>
      </c>
      <c r="Z582" s="31" t="str">
        <f t="shared" si="141"/>
        <v>Natalis Trecentesimi Alla Reverenda Madre Angela di Nostra Signora, Superiora Generale dell’Unione Romana delle Vergini Orsoline, nel trecentesimo anniversario della fondazione della Famiglia religiosa (6571) | Benedetto XV</v>
      </c>
      <c r="AA582" s="31" t="str">
        <f t="shared" si="142"/>
        <v>Lettera Natalis Trecentesimi Alla Reverenda Madre Angela di Nostra Signora, Superiora Generale dell’Unione Romana delle Vergini Orsoline, nel trecentesimo anniversario della fondazione della Famiglia religiosa</v>
      </c>
      <c r="AB582" s="31" t="str">
        <f t="shared" si="143"/>
        <v>Lettera Natalis Trecentesimi Alla Reverenda Madre Angela di Nostra Signora, Superiora Generale dell’Unione Romana delle Vergini Orsoline, nel trecentesimo anniversario della fondazione della Famiglia religiosa</v>
      </c>
      <c r="AC582" s="31" t="str">
        <f t="shared" si="144"/>
        <v>Benedetto XV, Lettera Natalis Trecentesimi Alla Reverenda Madre Angela di Nostra Signora, Superiora Generale dell’Unione Romana delle Vergini Orsoline, nel trecentesimo anniversario della fondazione della Famiglia religiosa, 27 dicembre 1917</v>
      </c>
      <c r="AD582" s="31" t="str">
        <f t="shared" si="145"/>
        <v>1917-12-27T08:00:00.000+02:00</v>
      </c>
      <c r="AE582" s="31" t="str">
        <f t="shared" si="133"/>
        <v>bxv-let-</v>
      </c>
      <c r="AF582" s="31" t="str">
        <f t="shared" si="134"/>
        <v>Benedetto XV - Lettera - Natalis Trecentesimi Alla Reverenda Madre Angela di Nostra Signora, Superiora Generale dell’Unione Romana delle Vergini Orsoline, nel trecentesimo anniversario della fondazione della Famiglia religiosa</v>
      </c>
    </row>
    <row r="583" spans="2:32" s="31" customFormat="1" x14ac:dyDescent="0.2">
      <c r="B583" s="31">
        <v>258</v>
      </c>
      <c r="C583" s="31" t="s">
        <v>3291</v>
      </c>
      <c r="D583" s="31" t="s">
        <v>699</v>
      </c>
      <c r="E583" s="31" t="s">
        <v>738</v>
      </c>
      <c r="F583" s="31" t="s">
        <v>608</v>
      </c>
      <c r="G583" s="31" t="s">
        <v>609</v>
      </c>
      <c r="H583" s="31" t="str">
        <f t="shared" si="138"/>
        <v>Benedetto XV</v>
      </c>
      <c r="K583" s="31" t="s">
        <v>829</v>
      </c>
      <c r="L583" s="31" t="str">
        <f t="shared" si="139"/>
        <v>Lettera</v>
      </c>
      <c r="M583" s="31" t="s">
        <v>568</v>
      </c>
      <c r="O583" s="31" t="s">
        <v>3285</v>
      </c>
      <c r="Q583" s="40">
        <v>6423</v>
      </c>
      <c r="R583" s="35">
        <f t="shared" si="129"/>
        <v>1</v>
      </c>
      <c r="S583" s="35"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5">
        <f t="shared" si="130"/>
        <v>1917</v>
      </c>
      <c r="U583" s="31"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6"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31"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31">
        <v>610</v>
      </c>
      <c r="Y583" s="31" t="str">
        <f t="shared" si="140"/>
        <v>['Benedetto XV', 'Lettera', 'ai Capi dei popoli belligeranti', 'bxv-let-', '01 agosto 1917', '01/08/1917', '1917/08/01'],</v>
      </c>
      <c r="Z583" s="31" t="str">
        <f t="shared" si="141"/>
        <v>ai Capi dei popoli belligeranti (6423) | Benedetto XV</v>
      </c>
      <c r="AA583" s="31" t="str">
        <f t="shared" si="142"/>
        <v>Lettera ai Capi dei popoli belligeranti</v>
      </c>
      <c r="AB583" s="31" t="str">
        <f t="shared" si="143"/>
        <v>Lettera ai Capi dei popoli belligeranti</v>
      </c>
      <c r="AC583" s="31" t="str">
        <f t="shared" si="144"/>
        <v>Benedetto XV, Lettera ai Capi dei popoli belligeranti, 01 agosto 1917</v>
      </c>
      <c r="AD583" s="31" t="str">
        <f t="shared" si="145"/>
        <v>1917-08-01T08:00:00.000+02:00</v>
      </c>
      <c r="AE583" s="31" t="str">
        <f t="shared" si="133"/>
        <v>bxv-let-</v>
      </c>
      <c r="AF583" s="31" t="str">
        <f t="shared" si="134"/>
        <v>Benedetto XV - Lettera - ai Capi dei popoli belligeranti</v>
      </c>
    </row>
    <row r="584" spans="2:32" s="31" customFormat="1" x14ac:dyDescent="0.2">
      <c r="B584" s="31">
        <v>258</v>
      </c>
      <c r="C584" s="31" t="s">
        <v>3292</v>
      </c>
      <c r="D584" s="31" t="s">
        <v>699</v>
      </c>
      <c r="E584" s="31" t="s">
        <v>738</v>
      </c>
      <c r="F584" s="31" t="s">
        <v>608</v>
      </c>
      <c r="G584" s="31" t="s">
        <v>609</v>
      </c>
      <c r="H584" s="31" t="str">
        <f t="shared" si="138"/>
        <v>Benedetto XV</v>
      </c>
      <c r="K584" s="31" t="s">
        <v>829</v>
      </c>
      <c r="L584" s="31" t="str">
        <f t="shared" si="139"/>
        <v>Lettera</v>
      </c>
      <c r="M584" s="31" t="s">
        <v>568</v>
      </c>
      <c r="O584" s="31" t="s">
        <v>3286</v>
      </c>
      <c r="Q584" s="40">
        <v>6377</v>
      </c>
      <c r="R584" s="35">
        <f t="shared" si="129"/>
        <v>16</v>
      </c>
      <c r="S584" s="35"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5">
        <f t="shared" si="130"/>
        <v>1917</v>
      </c>
      <c r="U584" s="31"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6"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31"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31">
        <v>611</v>
      </c>
      <c r="Y584" s="31" t="str">
        <f t="shared" si="140"/>
        <v>['Benedetto XV', 'Lettera', 'Quod Nuntias al Reverendo Giovanni Giuseppe, nel primo centenario della fondazione dei Fratelli dell’Istruzione Cristiana di Ploërmel', 'bxv-let-', '16 giugno 1917', '16/06/1917', '1917/06/16'],</v>
      </c>
      <c r="Z584" s="31" t="str">
        <f t="shared" si="141"/>
        <v>Quod Nuntias al Reverendo Giovanni Giuseppe, nel primo centenario della fondazione dei Fratelli dell’Istruzione Cristiana di Ploërmel (6377) | Benedetto XV</v>
      </c>
      <c r="AA584" s="31" t="str">
        <f t="shared" si="142"/>
        <v>Lettera Quod Nuntias al Reverendo Giovanni Giuseppe, nel primo centenario della fondazione dei Fratelli dell’Istruzione Cristiana di Ploërmel</v>
      </c>
      <c r="AB584" s="31" t="str">
        <f t="shared" si="143"/>
        <v>Lettera Quod Nuntias al Reverendo Giovanni Giuseppe, nel primo centenario della fondazione dei Fratelli dell’Istruzione Cristiana di Ploërmel</v>
      </c>
      <c r="AC584" s="31" t="str">
        <f t="shared" si="144"/>
        <v>Benedetto XV, Lettera Quod Nuntias al Reverendo Giovanni Giuseppe, nel primo centenario della fondazione dei Fratelli dell’Istruzione Cristiana di Ploërmel, 16 giugno 1917</v>
      </c>
      <c r="AD584" s="31" t="str">
        <f t="shared" si="145"/>
        <v>1917-06-16T08:00:00.000+02:00</v>
      </c>
      <c r="AE584" s="31" t="str">
        <f t="shared" si="133"/>
        <v>bxv-let-</v>
      </c>
      <c r="AF584" s="31" t="str">
        <f t="shared" si="134"/>
        <v>Benedetto XV - Lettera - Quod Nuntias al Reverendo Giovanni Giuseppe, nel primo centenario della fondazione dei Fratelli dell’Istruzione Cristiana di Ploërmel</v>
      </c>
    </row>
    <row r="585" spans="2:32" s="31" customFormat="1" x14ac:dyDescent="0.2">
      <c r="B585" s="31">
        <v>258</v>
      </c>
      <c r="C585" s="31" t="s">
        <v>3293</v>
      </c>
      <c r="D585" s="31" t="s">
        <v>699</v>
      </c>
      <c r="E585" s="31" t="s">
        <v>738</v>
      </c>
      <c r="F585" s="31" t="s">
        <v>608</v>
      </c>
      <c r="G585" s="31" t="s">
        <v>609</v>
      </c>
      <c r="H585" s="31" t="str">
        <f t="shared" si="138"/>
        <v>Benedetto XV</v>
      </c>
      <c r="K585" s="31" t="s">
        <v>829</v>
      </c>
      <c r="L585" s="31" t="str">
        <f t="shared" si="139"/>
        <v>Lettera</v>
      </c>
      <c r="M585" s="31" t="s">
        <v>568</v>
      </c>
      <c r="O585" s="31" t="s">
        <v>3287</v>
      </c>
      <c r="Q585" s="40">
        <v>6376</v>
      </c>
      <c r="R585" s="35">
        <f t="shared" si="129"/>
        <v>15</v>
      </c>
      <c r="S585" s="35"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5">
        <f t="shared" si="130"/>
        <v>1917</v>
      </c>
      <c r="U585" s="31"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6"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31"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31">
        <v>612</v>
      </c>
      <c r="Y585" s="31" t="str">
        <f t="shared" si="140"/>
        <v>['Benedetto XV', 'Lettera', 'Dum Acerbae Lacrimae al R. P. Cesare Pedrini, Superiore della Pia Unione del Transito di San Giuseppe, con la quale si attribuiscono speciali privilegi ai sacerdoti appartenenti al Sodalizio', 'bxv-let-', '15 giugno 1917', '15/06/1917', '1917/06/15'],</v>
      </c>
      <c r="Z585" s="31" t="str">
        <f t="shared" si="141"/>
        <v>Dum Acerbae Lacrimae al R. P. Cesare Pedrini, Superiore della Pia Unione del Transito di San Giuseppe, con la quale si attribuiscono speciali privilegi ai sacerdoti appartenenti al Sodalizio (6376) | Benedetto XV</v>
      </c>
      <c r="AA585" s="31" t="str">
        <f t="shared" si="142"/>
        <v>Lettera Dum Acerbae Lacrimae al R. P. Cesare Pedrini, Superiore della Pia Unione del Transito di San Giuseppe, con la quale si attribuiscono speciali privilegi ai sacerdoti appartenenti al Sodalizio</v>
      </c>
      <c r="AB585" s="31" t="str">
        <f t="shared" si="143"/>
        <v>Lettera Dum Acerbae Lacrimae al R. P. Cesare Pedrini, Superiore della Pia Unione del Transito di San Giuseppe, con la quale si attribuiscono speciali privilegi ai sacerdoti appartenenti al Sodalizio</v>
      </c>
      <c r="AC585" s="31" t="str">
        <f t="shared" si="144"/>
        <v>Benedetto XV, Lettera Dum Acerbae Lacrimae al R. P. Cesare Pedrini, Superiore della Pia Unione del Transito di San Giuseppe, con la quale si attribuiscono speciali privilegi ai sacerdoti appartenenti al Sodalizio, 15 giugno 1917</v>
      </c>
      <c r="AD585" s="31" t="str">
        <f t="shared" si="145"/>
        <v>1917-06-15T08:00:00.000+02:00</v>
      </c>
      <c r="AE585" s="31" t="str">
        <f t="shared" si="133"/>
        <v>bxv-let-</v>
      </c>
      <c r="AF585" s="31" t="str">
        <f t="shared" si="134"/>
        <v>Benedetto XV - Lettera - Dum Acerbae Lacrimae al R. P. Cesare Pedrini, Superiore della Pia Unione del Transito di San Giuseppe, con la quale si attribuiscono speciali privilegi ai sacerdoti appartenenti al Sodalizio</v>
      </c>
    </row>
    <row r="586" spans="2:32" s="31" customFormat="1" x14ac:dyDescent="0.2">
      <c r="B586" s="31">
        <v>258</v>
      </c>
      <c r="C586" s="31" t="s">
        <v>3294</v>
      </c>
      <c r="D586" s="31" t="s">
        <v>699</v>
      </c>
      <c r="E586" s="31" t="s">
        <v>738</v>
      </c>
      <c r="F586" s="31" t="s">
        <v>608</v>
      </c>
      <c r="G586" s="31" t="s">
        <v>609</v>
      </c>
      <c r="H586" s="31" t="str">
        <f t="shared" si="138"/>
        <v>Benedetto XV</v>
      </c>
      <c r="K586" s="31" t="s">
        <v>829</v>
      </c>
      <c r="L586" s="31" t="str">
        <f t="shared" si="139"/>
        <v>Lettera</v>
      </c>
      <c r="M586" s="31" t="s">
        <v>568</v>
      </c>
      <c r="O586" s="31" t="s">
        <v>3288</v>
      </c>
      <c r="Q586" s="40">
        <v>6335</v>
      </c>
      <c r="R586" s="35">
        <f t="shared" si="129"/>
        <v>5</v>
      </c>
      <c r="S586" s="35"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5">
        <f t="shared" si="130"/>
        <v>1917</v>
      </c>
      <c r="U586" s="31"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6"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31"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31">
        <v>613</v>
      </c>
      <c r="Y586" s="31" t="str">
        <f t="shared" si="140"/>
        <v>['Benedetto XV', 'Lettera', 'Il 27 Aprile 1915 al Cardinale Pietro Gasparri, Segretario di Stato, affinché i Vescovi di tutto il mondo aggiungano nelle Litanie Lauretane l’invocazione «Regina pacis, ora pro nobis »', 'bxv-let-', '05 maggio 1917', '05/05/1917', '1917/05/05'],</v>
      </c>
      <c r="Z586" s="31" t="str">
        <f t="shared" si="141"/>
        <v>Il 27 Aprile 1915 al Cardinale Pietro Gasparri, Segretario di Stato, affinché i Vescovi di tutto il mondo aggiungano nelle Litanie Lauretane l’invocazione «Regina pacis, ora pro nobis » (6335) | Benedetto XV</v>
      </c>
      <c r="AA586" s="31" t="str">
        <f t="shared" si="142"/>
        <v>Lettera Il 27 Aprile 1915 al Cardinale Pietro Gasparri, Segretario di Stato, affinché i Vescovi di tutto il mondo aggiungano nelle Litanie Lauretane l’invocazione «Regina pacis, ora pro nobis »</v>
      </c>
      <c r="AB586" s="31" t="str">
        <f t="shared" si="143"/>
        <v>Lettera Il 27 Aprile 1915 al Cardinale Pietro Gasparri, Segretario di Stato, affinché i Vescovi di tutto il mondo aggiungano nelle Litanie Lauretane l’invocazione «Regina pacis, ora pro nobis »</v>
      </c>
      <c r="AC586" s="31" t="str">
        <f t="shared" si="144"/>
        <v>Benedetto XV, Lettera Il 27 Aprile 1915 al Cardinale Pietro Gasparri, Segretario di Stato, affinché i Vescovi di tutto il mondo aggiungano nelle Litanie Lauretane l’invocazione «Regina pacis, ora pro nobis », 05 maggio 1917</v>
      </c>
      <c r="AD586" s="31" t="str">
        <f t="shared" si="145"/>
        <v>1917-05-05T08:00:00.000+02:00</v>
      </c>
      <c r="AE586" s="31" t="str">
        <f t="shared" si="133"/>
        <v>bxv-let-</v>
      </c>
      <c r="AF586" s="31" t="str">
        <f t="shared" si="134"/>
        <v>Benedetto XV - Lettera - Il 27 Aprile 1915 al Cardinale Pietro Gasparri, Segretario di Stato, affinché i Vescovi di tutto il mondo aggiungano nelle Litanie Lauretane l’invocazione «Regina pacis, ora pro nobis »</v>
      </c>
    </row>
    <row r="587" spans="2:32" s="31" customFormat="1" x14ac:dyDescent="0.2">
      <c r="B587" s="31">
        <v>258</v>
      </c>
      <c r="C587" s="31" t="s">
        <v>3295</v>
      </c>
      <c r="D587" s="31" t="s">
        <v>699</v>
      </c>
      <c r="E587" s="31" t="s">
        <v>738</v>
      </c>
      <c r="F587" s="31" t="s">
        <v>608</v>
      </c>
      <c r="G587" s="31" t="s">
        <v>609</v>
      </c>
      <c r="H587" s="31" t="str">
        <f t="shared" si="138"/>
        <v>Benedetto XV</v>
      </c>
      <c r="K587" s="31" t="s">
        <v>829</v>
      </c>
      <c r="L587" s="31" t="str">
        <f t="shared" si="139"/>
        <v>Lettera</v>
      </c>
      <c r="M587" s="31" t="s">
        <v>568</v>
      </c>
      <c r="O587" s="31" t="s">
        <v>3289</v>
      </c>
      <c r="Q587" s="40">
        <v>6251</v>
      </c>
      <c r="R587" s="35">
        <f t="shared" si="129"/>
        <v>10</v>
      </c>
      <c r="S587" s="35"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5">
        <f t="shared" si="130"/>
        <v>1917</v>
      </c>
      <c r="U587" s="31"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6"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31"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31">
        <v>614</v>
      </c>
      <c r="Y587" s="31" t="str">
        <f t="shared" si="140"/>
        <v>['Benedetto XV', 'Lettera', 'Compluribus Quidem al R. Padre Tommaso di San Luigi Viñas, Rettore generale dell’Ordine delle Scuole Pie, nel terzo centenario dalla fondazione delle Scuole Pie', 'bxv-let-', '10 febbraio 1917', '10/02/1917', '1917/02/10'],</v>
      </c>
      <c r="Z587" s="31" t="str">
        <f t="shared" si="141"/>
        <v>Compluribus Quidem al R. Padre Tommaso di San Luigi Viñas, Rettore generale dell’Ordine delle Scuole Pie, nel terzo centenario dalla fondazione delle Scuole Pie (6251) | Benedetto XV</v>
      </c>
      <c r="AA587" s="31" t="str">
        <f t="shared" si="142"/>
        <v>Lettera Compluribus Quidem al R. Padre Tommaso di San Luigi Viñas, Rettore generale dell’Ordine delle Scuole Pie, nel terzo centenario dalla fondazione delle Scuole Pie</v>
      </c>
      <c r="AB587" s="31" t="str">
        <f t="shared" si="143"/>
        <v>Lettera Compluribus Quidem al R. Padre Tommaso di San Luigi Viñas, Rettore generale dell’Ordine delle Scuole Pie, nel terzo centenario dalla fondazione delle Scuole Pie</v>
      </c>
      <c r="AC587" s="31" t="str">
        <f t="shared" si="144"/>
        <v>Benedetto XV, Lettera Compluribus Quidem al R. Padre Tommaso di San Luigi Viñas, Rettore generale dell’Ordine delle Scuole Pie, nel terzo centenario dalla fondazione delle Scuole Pie, 10 febbraio 1917</v>
      </c>
      <c r="AD587" s="31" t="str">
        <f t="shared" si="145"/>
        <v>1917-02-10T08:00:00.000+02:00</v>
      </c>
      <c r="AE587" s="31" t="str">
        <f t="shared" si="133"/>
        <v>bxv-let-</v>
      </c>
      <c r="AF587" s="31" t="str">
        <f t="shared" si="134"/>
        <v>Benedetto XV - Lettera - Compluribus Quidem al R. Padre Tommaso di San Luigi Viñas, Rettore generale dell’Ordine delle Scuole Pie, nel terzo centenario dalla fondazione delle Scuole Pie</v>
      </c>
    </row>
    <row r="588" spans="2:32" s="31" customFormat="1" x14ac:dyDescent="0.2">
      <c r="B588" s="31">
        <v>258</v>
      </c>
      <c r="C588" s="31" t="s">
        <v>3305</v>
      </c>
      <c r="D588" s="31" t="s">
        <v>699</v>
      </c>
      <c r="E588" s="31" t="s">
        <v>738</v>
      </c>
      <c r="F588" s="31" t="s">
        <v>608</v>
      </c>
      <c r="G588" s="31" t="s">
        <v>609</v>
      </c>
      <c r="H588" s="31" t="str">
        <f t="shared" si="138"/>
        <v>Benedetto XV</v>
      </c>
      <c r="K588" s="31" t="s">
        <v>829</v>
      </c>
      <c r="L588" s="31" t="str">
        <f t="shared" si="139"/>
        <v>Lettera</v>
      </c>
      <c r="M588" s="31" t="s">
        <v>568</v>
      </c>
      <c r="O588" s="31" t="s">
        <v>3296</v>
      </c>
      <c r="Q588" s="40">
        <v>6887</v>
      </c>
      <c r="R588" s="35">
        <f t="shared" si="129"/>
        <v>8</v>
      </c>
      <c r="S588" s="35"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5">
        <f t="shared" si="130"/>
        <v>1918</v>
      </c>
      <c r="U588" s="31"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6"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31"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31">
        <v>615</v>
      </c>
      <c r="Y588" s="31" t="str">
        <f t="shared" si="140"/>
        <v>['Benedetto XV', 'Lettera', 'Dopo gli ultimi al Cardinale Pietro Gasparri, in occasione della firma dell’armistizio fra Italia ed Austria', 'bxv-let-', '08 novembre 1918', '08/11/1918', '1918/11/08'],</v>
      </c>
      <c r="Z588" s="31" t="str">
        <f t="shared" si="141"/>
        <v>Dopo gli ultimi al Cardinale Pietro Gasparri, in occasione della firma dell’armistizio fra Italia ed Austria (6887) | Benedetto XV</v>
      </c>
      <c r="AA588" s="31" t="str">
        <f t="shared" si="142"/>
        <v>Lettera Dopo gli ultimi al Cardinale Pietro Gasparri, in occasione della firma dell’armistizio fra Italia ed Austria</v>
      </c>
      <c r="AB588" s="31" t="str">
        <f t="shared" si="143"/>
        <v>Lettera Dopo gli ultimi al Cardinale Pietro Gasparri, in occasione della firma dell’armistizio fra Italia ed Austria</v>
      </c>
      <c r="AC588" s="31" t="str">
        <f t="shared" si="144"/>
        <v>Benedetto XV, Lettera Dopo gli ultimi al Cardinale Pietro Gasparri, in occasione della firma dell’armistizio fra Italia ed Austria, 08 novembre 1918</v>
      </c>
      <c r="AD588" s="31" t="str">
        <f t="shared" si="145"/>
        <v>1918-11-08T08:00:00.000+02:00</v>
      </c>
      <c r="AE588" s="31" t="str">
        <f t="shared" si="133"/>
        <v>bxv-let-</v>
      </c>
      <c r="AF588" s="31" t="str">
        <f t="shared" si="134"/>
        <v>Benedetto XV - Lettera - Dopo gli ultimi al Cardinale Pietro Gasparri, in occasione della firma dell’armistizio fra Italia ed Austria</v>
      </c>
    </row>
    <row r="589" spans="2:32" s="31" customFormat="1" x14ac:dyDescent="0.2">
      <c r="B589" s="31">
        <v>258</v>
      </c>
      <c r="C589" s="31" t="s">
        <v>3306</v>
      </c>
      <c r="D589" s="31" t="s">
        <v>699</v>
      </c>
      <c r="E589" s="31" t="s">
        <v>738</v>
      </c>
      <c r="F589" s="31" t="s">
        <v>608</v>
      </c>
      <c r="G589" s="31" t="s">
        <v>609</v>
      </c>
      <c r="H589" s="31" t="str">
        <f t="shared" si="138"/>
        <v>Benedetto XV</v>
      </c>
      <c r="K589" s="31" t="s">
        <v>829</v>
      </c>
      <c r="L589" s="31" t="str">
        <f t="shared" si="139"/>
        <v>Lettera</v>
      </c>
      <c r="M589" s="31" t="s">
        <v>568</v>
      </c>
      <c r="O589" s="31" t="s">
        <v>3297</v>
      </c>
      <c r="Q589" s="40">
        <v>6864</v>
      </c>
      <c r="R589" s="35">
        <f t="shared" si="129"/>
        <v>16</v>
      </c>
      <c r="S589" s="35"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5">
        <f t="shared" si="130"/>
        <v>1918</v>
      </c>
      <c r="U589" s="31"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6"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31"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31">
        <v>616</v>
      </c>
      <c r="Y589" s="31" t="str">
        <f t="shared" si="140"/>
        <v>['Benedetto XV', 'Lettera', 'Animus Tuus al Cardinale Ludovico Nazario Bégin, Arcivescovo di Québec, con la quale in Pontefice ringrazia i cattolici canadesi, inglesi e francesi per la loro devozione alla Sede Apostolica', 'bxv-let-', '16 ottobre 1918', '16/10/1918', '1918/10/16'],</v>
      </c>
      <c r="Z589" s="31" t="str">
        <f t="shared" si="141"/>
        <v>Animus Tuus al Cardinale Ludovico Nazario Bégin, Arcivescovo di Québec, con la quale in Pontefice ringrazia i cattolici canadesi, inglesi e francesi per la loro devozione alla Sede Apostolica (6864) | Benedetto XV</v>
      </c>
      <c r="AA589" s="31" t="str">
        <f t="shared" si="142"/>
        <v>Lettera Animus Tuus al Cardinale Ludovico Nazario Bégin, Arcivescovo di Québec, con la quale in Pontefice ringrazia i cattolici canadesi, inglesi e francesi per la loro devozione alla Sede Apostolica</v>
      </c>
      <c r="AB589" s="31" t="str">
        <f t="shared" si="143"/>
        <v>Lettera Animus Tuus al Cardinale Ludovico Nazario Bégin, Arcivescovo di Québec, con la quale in Pontefice ringrazia i cattolici canadesi, inglesi e francesi per la loro devozione alla Sede Apostolica</v>
      </c>
      <c r="AC589" s="31" t="str">
        <f t="shared" si="144"/>
        <v>Benedetto XV, Lettera Animus Tuus al Cardinale Ludovico Nazario Bégin, Arcivescovo di Québec, con la quale in Pontefice ringrazia i cattolici canadesi, inglesi e francesi per la loro devozione alla Sede Apostolica, 16 ottobre 1918</v>
      </c>
      <c r="AD589" s="31" t="str">
        <f t="shared" si="145"/>
        <v>1918-10-16T08:00:00.000+02:00</v>
      </c>
      <c r="AE589" s="31" t="str">
        <f t="shared" si="133"/>
        <v>bxv-let-</v>
      </c>
      <c r="AF589" s="31" t="str">
        <f t="shared" si="134"/>
        <v>Benedetto XV - Lettera - Animus Tuus al Cardinale Ludovico Nazario Bégin, Arcivescovo di Québec, con la quale in Pontefice ringrazia i cattolici canadesi, inglesi e francesi per la loro devozione alla Sede Apostolica</v>
      </c>
    </row>
    <row r="590" spans="2:32" s="31" customFormat="1" x14ac:dyDescent="0.2">
      <c r="B590" s="31">
        <v>258</v>
      </c>
      <c r="C590" s="31" t="s">
        <v>3307</v>
      </c>
      <c r="D590" s="31" t="s">
        <v>699</v>
      </c>
      <c r="E590" s="31" t="s">
        <v>738</v>
      </c>
      <c r="F590" s="31" t="s">
        <v>608</v>
      </c>
      <c r="G590" s="31" t="s">
        <v>609</v>
      </c>
      <c r="H590" s="31" t="str">
        <f t="shared" si="138"/>
        <v>Benedetto XV</v>
      </c>
      <c r="K590" s="31" t="s">
        <v>829</v>
      </c>
      <c r="L590" s="31" t="str">
        <f t="shared" si="139"/>
        <v>Lettera</v>
      </c>
      <c r="M590" s="31" t="s">
        <v>568</v>
      </c>
      <c r="O590" s="31" t="s">
        <v>3298</v>
      </c>
      <c r="Q590" s="40">
        <v>6863</v>
      </c>
      <c r="R590" s="35">
        <f t="shared" si="129"/>
        <v>15</v>
      </c>
      <c r="S590" s="35"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5">
        <f t="shared" si="130"/>
        <v>1918</v>
      </c>
      <c r="U590" s="31"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6"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31"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31">
        <v>617</v>
      </c>
      <c r="Y590" s="31" t="str">
        <f t="shared" si="140"/>
        <v>['Benedetto XV', 'Lettera', 'Nel grave periodo a Monsignor Alessandro Kakowski, Arcivescovo di Varsavia, con la quale il Pontefice annuncia che nel prossimo Concistoro lo eleverà alla dignità cardinalizia', 'bxv-let-', '15 ottobre 1918', '15/10/1918', '1918/10/15'],</v>
      </c>
      <c r="Z590" s="31" t="str">
        <f t="shared" si="141"/>
        <v>Nel grave periodo a Monsignor Alessandro Kakowski, Arcivescovo di Varsavia, con la quale il Pontefice annuncia che nel prossimo Concistoro lo eleverà alla dignità cardinalizia (6863) | Benedetto XV</v>
      </c>
      <c r="AA590" s="31" t="str">
        <f t="shared" si="142"/>
        <v>Lettera Nel grave periodo a Monsignor Alessandro Kakowski, Arcivescovo di Varsavia, con la quale il Pontefice annuncia che nel prossimo Concistoro lo eleverà alla dignità cardinalizia</v>
      </c>
      <c r="AB590" s="31" t="str">
        <f t="shared" si="143"/>
        <v>Lettera Nel grave periodo a Monsignor Alessandro Kakowski, Arcivescovo di Varsavia, con la quale il Pontefice annuncia che nel prossimo Concistoro lo eleverà alla dignità cardinalizia</v>
      </c>
      <c r="AC590" s="31" t="str">
        <f t="shared" si="144"/>
        <v>Benedetto XV, Lettera Nel grave periodo a Monsignor Alessandro Kakowski, Arcivescovo di Varsavia, con la quale il Pontefice annuncia che nel prossimo Concistoro lo eleverà alla dignità cardinalizia, 15 ottobre 1918</v>
      </c>
      <c r="AD590" s="31" t="str">
        <f t="shared" si="145"/>
        <v>1918-10-15T08:00:00.000+02:00</v>
      </c>
      <c r="AE590" s="31" t="str">
        <f t="shared" si="133"/>
        <v>bxv-let-</v>
      </c>
      <c r="AF590" s="31" t="str">
        <f t="shared" si="134"/>
        <v>Benedetto XV - Lettera - Nel grave periodo a Monsignor Alessandro Kakowski, Arcivescovo di Varsavia, con la quale il Pontefice annuncia che nel prossimo Concistoro lo eleverà alla dignità cardinalizia</v>
      </c>
    </row>
    <row r="591" spans="2:32" s="31" customFormat="1" x14ac:dyDescent="0.2">
      <c r="B591" s="31">
        <v>258</v>
      </c>
      <c r="C591" s="31" t="s">
        <v>3308</v>
      </c>
      <c r="D591" s="31" t="s">
        <v>699</v>
      </c>
      <c r="E591" s="31" t="s">
        <v>738</v>
      </c>
      <c r="F591" s="31" t="s">
        <v>608</v>
      </c>
      <c r="G591" s="31" t="s">
        <v>609</v>
      </c>
      <c r="H591" s="31" t="str">
        <f t="shared" si="138"/>
        <v>Benedetto XV</v>
      </c>
      <c r="K591" s="31" t="s">
        <v>829</v>
      </c>
      <c r="L591" s="31" t="str">
        <f t="shared" si="139"/>
        <v>Lettera</v>
      </c>
      <c r="M591" s="31" t="s">
        <v>568</v>
      </c>
      <c r="O591" s="31" t="s">
        <v>3299</v>
      </c>
      <c r="Q591" s="40">
        <v>6733</v>
      </c>
      <c r="R591" s="35">
        <f t="shared" si="129"/>
        <v>7</v>
      </c>
      <c r="S591" s="35"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5">
        <f t="shared" si="130"/>
        <v>1918</v>
      </c>
      <c r="U591" s="31"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6"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31"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31">
        <v>618</v>
      </c>
      <c r="Y591" s="31" t="str">
        <f t="shared" si="140"/>
        <v>['Benedetto XV', 'Lettera', 'Litteris Apostolicis al Cardinale Lodovico Nazario Bégin e ai Vescovi del Canada sui dissensi tra i cattolici dell'Ontario', 'bxv-let-', '07 giugno 1918', '07/06/1918', '1918/06/07'],</v>
      </c>
      <c r="Z591" s="31" t="str">
        <f t="shared" si="141"/>
        <v>Litteris Apostolicis al Cardinale Lodovico Nazario Bégin e ai Vescovi del Canada sui dissensi tra i cattolici dell'Ontario (6733) | Benedetto XV</v>
      </c>
      <c r="AA591" s="31" t="str">
        <f t="shared" si="142"/>
        <v>Lettera Litteris Apostolicis al Cardinale Lodovico Nazario Bégin e ai Vescovi del Canada sui dissensi tra i cattolici dell'Ontario</v>
      </c>
      <c r="AB591" s="31" t="str">
        <f t="shared" si="143"/>
        <v>Lettera Litteris Apostolicis al Cardinale Lodovico Nazario Bégin e ai Vescovi del Canada sui dissensi tra i cattolici dell'Ontario</v>
      </c>
      <c r="AC591" s="31" t="str">
        <f t="shared" si="144"/>
        <v>Benedetto XV, Lettera Litteris Apostolicis al Cardinale Lodovico Nazario Bégin e ai Vescovi del Canada sui dissensi tra i cattolici dell'Ontario, 07 giugno 1918</v>
      </c>
      <c r="AD591" s="31" t="str">
        <f t="shared" si="145"/>
        <v>1918-06-07T08:00:00.000+02:00</v>
      </c>
      <c r="AE591" s="31" t="str">
        <f t="shared" si="133"/>
        <v>bxv-let-</v>
      </c>
      <c r="AF591" s="31" t="str">
        <f t="shared" si="134"/>
        <v>Benedetto XV - Lettera - Litteris Apostolicis al Cardinale Lodovico Nazario Bégin e ai Vescovi del Canada sui dissensi tra i cattolici dell'Ontario</v>
      </c>
    </row>
    <row r="592" spans="2:32" s="31" customFormat="1" x14ac:dyDescent="0.2">
      <c r="B592" s="31">
        <v>258</v>
      </c>
      <c r="C592" s="31" t="s">
        <v>3309</v>
      </c>
      <c r="D592" s="31" t="s">
        <v>699</v>
      </c>
      <c r="E592" s="31" t="s">
        <v>738</v>
      </c>
      <c r="F592" s="31" t="s">
        <v>608</v>
      </c>
      <c r="G592" s="31" t="s">
        <v>609</v>
      </c>
      <c r="H592" s="31" t="str">
        <f t="shared" si="138"/>
        <v>Benedetto XV</v>
      </c>
      <c r="K592" s="31" t="s">
        <v>829</v>
      </c>
      <c r="L592" s="31" t="str">
        <f t="shared" si="139"/>
        <v>Lettera</v>
      </c>
      <c r="M592" s="31" t="s">
        <v>568</v>
      </c>
      <c r="O592" s="31" t="s">
        <v>3300</v>
      </c>
      <c r="Q592" s="40">
        <v>6730</v>
      </c>
      <c r="R592" s="35">
        <f t="shared" si="129"/>
        <v>4</v>
      </c>
      <c r="S592" s="35"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5">
        <f t="shared" si="130"/>
        <v>1918</v>
      </c>
      <c r="U592" s="31"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6"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31"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31">
        <v>619</v>
      </c>
      <c r="Y592" s="31" t="str">
        <f t="shared" si="140"/>
        <v>['Benedetto XV', 'Lettera', 'Dum tanta populorum, al Reverendo Padre Innocenzo Lòpez, in occasione del settimo centenario della fondazione dell’Ordine di Santa Maria della Mercede', 'bxv-let-', '04 giugno 1918', '04/06/1918', '1918/06/04'],</v>
      </c>
      <c r="Z592" s="31" t="str">
        <f t="shared" si="141"/>
        <v>Dum tanta populorum, al Reverendo Padre Innocenzo Lòpez, in occasione del settimo centenario della fondazione dell’Ordine di Santa Maria della Mercede (6730) | Benedetto XV</v>
      </c>
      <c r="AA592" s="31" t="str">
        <f t="shared" si="142"/>
        <v>Lettera Dum tanta populorum, al Reverendo Padre Innocenzo Lòpez, in occasione del settimo centenario della fondazione dell’Ordine di Santa Maria della Mercede</v>
      </c>
      <c r="AB592" s="31" t="str">
        <f t="shared" si="143"/>
        <v>Lettera Dum tanta populorum, al Reverendo Padre Innocenzo Lòpez, in occasione del settimo centenario della fondazione dell’Ordine di Santa Maria della Mercede</v>
      </c>
      <c r="AC592" s="31" t="str">
        <f t="shared" si="144"/>
        <v>Benedetto XV, Lettera Dum tanta populorum, al Reverendo Padre Innocenzo Lòpez, in occasione del settimo centenario della fondazione dell’Ordine di Santa Maria della Mercede, 04 giugno 1918</v>
      </c>
      <c r="AD592" s="31" t="str">
        <f t="shared" si="145"/>
        <v>1918-06-04T08:00:00.000+02:00</v>
      </c>
      <c r="AE592" s="31" t="str">
        <f t="shared" si="133"/>
        <v>bxv-let-</v>
      </c>
      <c r="AF592" s="31" t="str">
        <f t="shared" si="134"/>
        <v>Benedetto XV - Lettera - Dum tanta populorum, al Reverendo Padre Innocenzo Lòpez, in occasione del settimo centenario della fondazione dell’Ordine di Santa Maria della Mercede</v>
      </c>
    </row>
    <row r="593" spans="2:32" s="31" customFormat="1" x14ac:dyDescent="0.2">
      <c r="B593" s="31">
        <v>258</v>
      </c>
      <c r="C593" s="31" t="s">
        <v>3310</v>
      </c>
      <c r="D593" s="31" t="s">
        <v>699</v>
      </c>
      <c r="E593" s="31" t="s">
        <v>738</v>
      </c>
      <c r="F593" s="31" t="s">
        <v>608</v>
      </c>
      <c r="G593" s="31" t="s">
        <v>609</v>
      </c>
      <c r="H593" s="31" t="str">
        <f t="shared" si="138"/>
        <v>Benedetto XV</v>
      </c>
      <c r="K593" s="31" t="s">
        <v>829</v>
      </c>
      <c r="L593" s="31" t="str">
        <f t="shared" si="139"/>
        <v>Lettera</v>
      </c>
      <c r="M593" s="31" t="s">
        <v>568</v>
      </c>
      <c r="O593" s="31" t="s">
        <v>3301</v>
      </c>
      <c r="Q593" s="40">
        <v>6717</v>
      </c>
      <c r="R593" s="35">
        <f t="shared" si="129"/>
        <v>22</v>
      </c>
      <c r="S593" s="35"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5">
        <f t="shared" si="130"/>
        <v>1918</v>
      </c>
      <c r="U593" s="31"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6"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31"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31">
        <v>620</v>
      </c>
      <c r="Y593" s="31" t="str">
        <f t="shared" si="140"/>
        <v>['Benedetto XV', 'Lettera', 'Maximas Inter al cardinale Andrea Ferrari, nella quale il Pontefice protesta contro la campagna di calunnie e di odio alimentata contro la Sua persona e l’attività da Lui svolta nel corso della guerra', 'bxv-let-', '22 maggio 1918', '22/05/1918', '1918/05/22'],</v>
      </c>
      <c r="Z593" s="31" t="str">
        <f t="shared" si="141"/>
        <v>Maximas Inter al cardinale Andrea Ferrari, nella quale il Pontefice protesta contro la campagna di calunnie e di odio alimentata contro la Sua persona e l’attività da Lui svolta nel corso della guerra (6717) | Benedetto XV</v>
      </c>
      <c r="AA593" s="31" t="str">
        <f t="shared" si="142"/>
        <v>Lettera Maximas Inter al cardinale Andrea Ferrari, nella quale il Pontefice protesta contro la campagna di calunnie e di odio alimentata contro la Sua persona e l’attività da Lui svolta nel corso della guerra</v>
      </c>
      <c r="AB593" s="31" t="str">
        <f t="shared" si="143"/>
        <v>Lettera Maximas Inter al cardinale Andrea Ferrari, nella quale il Pontefice protesta contro la campagna di calunnie e di odio alimentata contro la Sua persona e l’attività da Lui svolta nel corso della guerra</v>
      </c>
      <c r="AC593" s="31" t="str">
        <f t="shared" si="144"/>
        <v>Benedetto XV, Lettera Maximas Inter al cardinale Andrea Ferrari, nella quale il Pontefice protesta contro la campagna di calunnie e di odio alimentata contro la Sua persona e l’attività da Lui svolta nel corso della guerra, 22 maggio 1918</v>
      </c>
      <c r="AD593" s="31" t="str">
        <f t="shared" si="145"/>
        <v>1918-05-22T08:00:00.000+02:00</v>
      </c>
      <c r="AE593" s="31" t="str">
        <f t="shared" si="133"/>
        <v>bxv-let-</v>
      </c>
      <c r="AF593" s="31" t="str">
        <f t="shared" si="134"/>
        <v>Benedetto XV - Lettera - Maximas Inter al cardinale Andrea Ferrari, nella quale il Pontefice protesta contro la campagna di calunnie e di odio alimentata contro la Sua persona e l’attività da Lui svolta nel corso della guerra</v>
      </c>
    </row>
    <row r="594" spans="2:32" s="31" customFormat="1" x14ac:dyDescent="0.2">
      <c r="B594" s="31">
        <v>258</v>
      </c>
      <c r="C594" s="31" t="s">
        <v>3311</v>
      </c>
      <c r="D594" s="31" t="s">
        <v>699</v>
      </c>
      <c r="E594" s="31" t="s">
        <v>738</v>
      </c>
      <c r="F594" s="31" t="s">
        <v>608</v>
      </c>
      <c r="G594" s="31" t="s">
        <v>609</v>
      </c>
      <c r="H594" s="31" t="str">
        <f t="shared" si="138"/>
        <v>Benedetto XV</v>
      </c>
      <c r="K594" s="31" t="s">
        <v>829</v>
      </c>
      <c r="L594" s="31" t="str">
        <f t="shared" si="139"/>
        <v>Lettera</v>
      </c>
      <c r="M594" s="31" t="s">
        <v>568</v>
      </c>
      <c r="O594" s="31" t="s">
        <v>3302</v>
      </c>
      <c r="Q594" s="40">
        <v>6707</v>
      </c>
      <c r="R594" s="35">
        <f t="shared" ref="R594:R657" si="146">IF(ISERROR(DAY(Q594)),TEXT((LEFT(Q594,2)),"00"),DAY(Q594))</f>
        <v>12</v>
      </c>
      <c r="S594" s="35"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5">
        <f t="shared" ref="T594:T657" si="147">IF(ISERROR(DAY(Q594)),VALUE(RIGHT(Q594,4)),YEAR(Q594))</f>
        <v>1918</v>
      </c>
      <c r="U594" s="31"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6"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31"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31">
        <v>621</v>
      </c>
      <c r="Y594" s="31" t="str">
        <f t="shared" si="140"/>
        <v>['Benedetto XV', 'Lettera', 'Salesiani Instituti, al R. P. Paolo Albera, Rettore Generale della Congregazione Salesiana, in occasione del 50° anniversario della fondazione della Casa torinese dedicata a Maria Ausiliatrice', 'bxv-let-', '12 maggio 1918', '12/05/1918', '1918/05/12'],</v>
      </c>
      <c r="Z594" s="31" t="str">
        <f t="shared" si="141"/>
        <v>Salesiani Instituti, al R. P. Paolo Albera, Rettore Generale della Congregazione Salesiana, in occasione del 50° anniversario della fondazione della Casa torinese dedicata a Maria Ausiliatrice (6707) | Benedetto XV</v>
      </c>
      <c r="AA594" s="31" t="str">
        <f t="shared" si="142"/>
        <v>Lettera Salesiani Instituti, al R. P. Paolo Albera, Rettore Generale della Congregazione Salesiana, in occasione del 50° anniversario della fondazione della Casa torinese dedicata a Maria Ausiliatrice</v>
      </c>
      <c r="AB594" s="31" t="str">
        <f t="shared" si="143"/>
        <v>Lettera Salesiani Instituti, al R. P. Paolo Albera, Rettore Generale della Congregazione Salesiana, in occasione del 50° anniversario della fondazione della Casa torinese dedicata a Maria Ausiliatrice</v>
      </c>
      <c r="AC594" s="31" t="str">
        <f t="shared" si="144"/>
        <v>Benedetto XV, Lettera Salesiani Instituti, al R. P. Paolo Albera, Rettore Generale della Congregazione Salesiana, in occasione del 50° anniversario della fondazione della Casa torinese dedicata a Maria Ausiliatrice, 12 maggio 1918</v>
      </c>
      <c r="AD594" s="31" t="str">
        <f t="shared" si="145"/>
        <v>1918-05-12T08:00:00.000+02:00</v>
      </c>
      <c r="AE594" s="31" t="str">
        <f t="shared" si="133"/>
        <v>bxv-let-</v>
      </c>
      <c r="AF594" s="31" t="str">
        <f t="shared" si="134"/>
        <v>Benedetto XV - Lettera - Salesiani Instituti, al R. P. Paolo Albera, Rettore Generale della Congregazione Salesiana, in occasione del 50° anniversario della fondazione della Casa torinese dedicata a Maria Ausiliatrice</v>
      </c>
    </row>
    <row r="595" spans="2:32" s="31" customFormat="1" x14ac:dyDescent="0.2">
      <c r="B595" s="31">
        <v>258</v>
      </c>
      <c r="C595" s="31" t="s">
        <v>3312</v>
      </c>
      <c r="D595" s="31" t="s">
        <v>699</v>
      </c>
      <c r="E595" s="31" t="s">
        <v>738</v>
      </c>
      <c r="F595" s="31" t="s">
        <v>608</v>
      </c>
      <c r="G595" s="31" t="s">
        <v>609</v>
      </c>
      <c r="H595" s="31" t="str">
        <f t="shared" si="138"/>
        <v>Benedetto XV</v>
      </c>
      <c r="K595" s="31" t="s">
        <v>829</v>
      </c>
      <c r="L595" s="31" t="str">
        <f t="shared" si="139"/>
        <v>Lettera</v>
      </c>
      <c r="M595" s="31" t="s">
        <v>568</v>
      </c>
      <c r="O595" s="31" t="s">
        <v>3367</v>
      </c>
      <c r="Q595" s="40">
        <v>6690</v>
      </c>
      <c r="R595" s="35">
        <f t="shared" si="146"/>
        <v>25</v>
      </c>
      <c r="S595" s="35"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5">
        <f t="shared" si="147"/>
        <v>1918</v>
      </c>
      <c r="U595" s="31"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6"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31"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31">
        <v>622</v>
      </c>
      <c r="Y595" s="31" t="str">
        <f t="shared" si="140"/>
        <v>['Benedetto XV', 'Lettera', 'In Maximis al R.P.D. Alessandro Kakowski, arcivescovo di Varsavia, con la quale il Pontefice invia come proprio rappresentante in Polonia il Protonotario Apostolico Achille Ratti', 'bxv-let-', '25 aprile 1918', '25/04/1918', '1918/04/25'],</v>
      </c>
      <c r="Z595" s="31" t="str">
        <f t="shared" si="141"/>
        <v>In Maximis al R.P.D. Alessandro Kakowski, arcivescovo di Varsavia, con la quale il Pontefice invia come proprio rappresentante in Polonia il Protonotario Apostolico Achille Ratti (6690) | Benedetto XV</v>
      </c>
      <c r="AA595" s="31" t="str">
        <f t="shared" si="142"/>
        <v>Lettera In Maximis al R.P.D. Alessandro Kakowski, arcivescovo di Varsavia, con la quale il Pontefice invia come proprio rappresentante in Polonia il Protonotario Apostolico Achille Ratti</v>
      </c>
      <c r="AB595" s="31" t="str">
        <f t="shared" si="143"/>
        <v>Lettera In Maximis al R.P.D. Alessandro Kakowski, arcivescovo di Varsavia, con la quale il Pontefice invia come proprio rappresentante in Polonia il Protonotario Apostolico Achille Ratti</v>
      </c>
      <c r="AC595" s="31" t="str">
        <f t="shared" si="144"/>
        <v>Benedetto XV, Lettera In Maximis al R.P.D. Alessandro Kakowski, arcivescovo di Varsavia, con la quale il Pontefice invia come proprio rappresentante in Polonia il Protonotario Apostolico Achille Ratti, 25 aprile 1918</v>
      </c>
      <c r="AD595" s="31" t="str">
        <f t="shared" si="145"/>
        <v>1918-04-25T08:00:00.000+02:00</v>
      </c>
      <c r="AE595" s="31" t="str">
        <f t="shared" si="133"/>
        <v>bxv-let-</v>
      </c>
      <c r="AF595" s="31" t="str">
        <f t="shared" si="134"/>
        <v>Benedetto XV - Lettera - In Maximis al R.P.D. Alessandro Kakowski, arcivescovo di Varsavia, con la quale il Pontefice invia come proprio rappresentante in Polonia il Protonotario Apostolico Achille Ratti</v>
      </c>
    </row>
    <row r="596" spans="2:32" s="31" customFormat="1" x14ac:dyDescent="0.2">
      <c r="B596" s="31">
        <v>258</v>
      </c>
      <c r="C596" s="31" t="s">
        <v>3313</v>
      </c>
      <c r="D596" s="31" t="s">
        <v>699</v>
      </c>
      <c r="E596" s="31" t="s">
        <v>738</v>
      </c>
      <c r="F596" s="31" t="s">
        <v>608</v>
      </c>
      <c r="G596" s="31" t="s">
        <v>609</v>
      </c>
      <c r="H596" s="31" t="str">
        <f t="shared" si="138"/>
        <v>Benedetto XV</v>
      </c>
      <c r="K596" s="31" t="s">
        <v>829</v>
      </c>
      <c r="L596" s="31" t="str">
        <f t="shared" si="139"/>
        <v>Lettera</v>
      </c>
      <c r="M596" s="31" t="s">
        <v>568</v>
      </c>
      <c r="O596" s="31" t="s">
        <v>3303</v>
      </c>
      <c r="Q596" s="40">
        <v>6631</v>
      </c>
      <c r="R596" s="35">
        <f t="shared" si="146"/>
        <v>25</v>
      </c>
      <c r="S596" s="35"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5">
        <f t="shared" si="147"/>
        <v>1918</v>
      </c>
      <c r="U596" s="31"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6"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31"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31">
        <v>623</v>
      </c>
      <c r="Y596" s="31" t="str">
        <f t="shared" si="140"/>
        <v>['Benedetto XV', 'Lettera', 'Admodum delectarunt ai Vescovi Greco-Rumeni che hanno vivamente gradito la fondazione della Congregazione per la Chiesa Orientale e dell’Istituto Superiore di studi orientali', 'bxv-let-', '25 febbraio 1918', '25/02/1918', '1918/02/25'],</v>
      </c>
      <c r="Z596" s="31" t="str">
        <f t="shared" si="141"/>
        <v>Admodum delectarunt ai Vescovi Greco-Rumeni che hanno vivamente gradito la fondazione della Congregazione per la Chiesa Orientale e dell’Istituto Superiore di studi orientali (6631) | Benedetto XV</v>
      </c>
      <c r="AA596" s="31" t="str">
        <f t="shared" si="142"/>
        <v>Lettera Admodum delectarunt ai Vescovi Greco-Rumeni che hanno vivamente gradito la fondazione della Congregazione per la Chiesa Orientale e dell’Istituto Superiore di studi orientali</v>
      </c>
      <c r="AB596" s="31" t="str">
        <f t="shared" si="143"/>
        <v>Lettera Admodum delectarunt ai Vescovi Greco-Rumeni che hanno vivamente gradito la fondazione della Congregazione per la Chiesa Orientale e dell’Istituto Superiore di studi orientali</v>
      </c>
      <c r="AC596" s="31" t="str">
        <f t="shared" si="144"/>
        <v>Benedetto XV, Lettera Admodum delectarunt ai Vescovi Greco-Rumeni che hanno vivamente gradito la fondazione della Congregazione per la Chiesa Orientale e dell’Istituto Superiore di studi orientali, 25 febbraio 1918</v>
      </c>
      <c r="AD596" s="31" t="str">
        <f t="shared" si="145"/>
        <v>1918-02-25T08:00:00.000+02:00</v>
      </c>
      <c r="AE596" s="31" t="str">
        <f t="shared" si="133"/>
        <v>bxv-let-</v>
      </c>
      <c r="AF596" s="31" t="str">
        <f t="shared" si="134"/>
        <v>Benedetto XV - Lettera - Admodum delectarunt ai Vescovi Greco-Rumeni che hanno vivamente gradito la fondazione della Congregazione per la Chiesa Orientale e dell’Istituto Superiore di studi orientali</v>
      </c>
    </row>
    <row r="597" spans="2:32" s="31" customFormat="1" x14ac:dyDescent="0.2">
      <c r="B597" s="31">
        <v>258</v>
      </c>
      <c r="C597" s="31" t="s">
        <v>3314</v>
      </c>
      <c r="D597" s="31" t="s">
        <v>699</v>
      </c>
      <c r="E597" s="31" t="s">
        <v>738</v>
      </c>
      <c r="F597" s="31" t="s">
        <v>608</v>
      </c>
      <c r="G597" s="31" t="s">
        <v>609</v>
      </c>
      <c r="H597" s="31" t="str">
        <f t="shared" si="138"/>
        <v>Benedetto XV</v>
      </c>
      <c r="K597" s="31" t="s">
        <v>829</v>
      </c>
      <c r="L597" s="31" t="str">
        <f t="shared" si="139"/>
        <v>Lettera</v>
      </c>
      <c r="M597" s="31" t="s">
        <v>568</v>
      </c>
      <c r="O597" s="31" t="s">
        <v>3304</v>
      </c>
      <c r="Q597" s="40">
        <v>6593</v>
      </c>
      <c r="R597" s="35">
        <f t="shared" si="146"/>
        <v>18</v>
      </c>
      <c r="S597" s="35"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5">
        <f t="shared" si="147"/>
        <v>1918</v>
      </c>
      <c r="U597" s="31"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6"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31"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31">
        <v>624</v>
      </c>
      <c r="Y597" s="31" t="str">
        <f t="shared" si="140"/>
        <v>['Benedetto XV', 'Lettera', 'Litteris, quibus a Gotifredo de Grandmaison, Presidente della Società Bibliografica che festeggia i suoi primi cinquant'anni di vita', 'bxv-let-', '18 gennaio 1918', '18/01/1918', '1918/01/18'],</v>
      </c>
      <c r="Z597" s="31" t="str">
        <f t="shared" si="141"/>
        <v>Litteris, quibus a Gotifredo de Grandmaison, Presidente della Società Bibliografica che festeggia i suoi primi cinquant'anni di vita (6593) | Benedetto XV</v>
      </c>
      <c r="AA597" s="31" t="str">
        <f t="shared" si="142"/>
        <v>Lettera Litteris, quibus a Gotifredo de Grandmaison, Presidente della Società Bibliografica che festeggia i suoi primi cinquant'anni di vita</v>
      </c>
      <c r="AB597" s="31" t="str">
        <f t="shared" si="143"/>
        <v>Lettera Litteris, quibus a Gotifredo de Grandmaison, Presidente della Società Bibliografica che festeggia i suoi primi cinquant'anni di vita</v>
      </c>
      <c r="AC597" s="31" t="str">
        <f t="shared" si="144"/>
        <v>Benedetto XV, Lettera Litteris, quibus a Gotifredo de Grandmaison, Presidente della Società Bibliografica che festeggia i suoi primi cinquant'anni di vita, 18 gennaio 1918</v>
      </c>
      <c r="AD597" s="31" t="str">
        <f t="shared" si="145"/>
        <v>1918-01-18T08:00:00.000+02:00</v>
      </c>
      <c r="AE597" s="31" t="str">
        <f t="shared" si="133"/>
        <v>bxv-let-</v>
      </c>
      <c r="AF597" s="31" t="str">
        <f t="shared" si="134"/>
        <v>Benedetto XV - Lettera - Litteris, quibus a Gotifredo de Grandmaison, Presidente della Società Bibliografica che festeggia i suoi primi cinquant'anni di vita</v>
      </c>
    </row>
    <row r="598" spans="2:32" s="31" customFormat="1" x14ac:dyDescent="0.2">
      <c r="B598" s="31">
        <v>258</v>
      </c>
      <c r="C598" s="31" t="s">
        <v>3325</v>
      </c>
      <c r="D598" s="31" t="s">
        <v>699</v>
      </c>
      <c r="E598" s="31" t="s">
        <v>738</v>
      </c>
      <c r="F598" s="31" t="s">
        <v>608</v>
      </c>
      <c r="G598" s="31" t="s">
        <v>609</v>
      </c>
      <c r="H598" s="31" t="str">
        <f t="shared" si="138"/>
        <v>Benedetto XV</v>
      </c>
      <c r="K598" s="31" t="s">
        <v>829</v>
      </c>
      <c r="L598" s="31" t="str">
        <f t="shared" si="139"/>
        <v>Lettera</v>
      </c>
      <c r="M598" s="31" t="s">
        <v>568</v>
      </c>
      <c r="O598" s="31" t="s">
        <v>3315</v>
      </c>
      <c r="Q598" s="40">
        <v>7292</v>
      </c>
      <c r="R598" s="35">
        <f t="shared" si="146"/>
        <v>18</v>
      </c>
      <c r="S598" s="35"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5">
        <f t="shared" si="147"/>
        <v>1919</v>
      </c>
      <c r="U598" s="31"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6"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31"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31">
        <v>625</v>
      </c>
      <c r="Y598" s="31" t="str">
        <f t="shared" si="140"/>
        <v>['Benedetto XV', 'Lettera', 'Celeberrima evenisse al Cardinale Antonio Mendes Bello, con al quale si chiede al popolo portoghese di obbedire al potere costituito', 'bxv-let-', '18 dicembre 1919', '18/12/1919', '1919/12/18'],</v>
      </c>
      <c r="Z598" s="31" t="str">
        <f t="shared" si="141"/>
        <v>Celeberrima evenisse al Cardinale Antonio Mendes Bello, con al quale si chiede al popolo portoghese di obbedire al potere costituito (7292) | Benedetto XV</v>
      </c>
      <c r="AA598" s="31" t="str">
        <f t="shared" si="142"/>
        <v>Lettera Celeberrima evenisse al Cardinale Antonio Mendes Bello, con al quale si chiede al popolo portoghese di obbedire al potere costituito</v>
      </c>
      <c r="AB598" s="31" t="str">
        <f t="shared" si="143"/>
        <v>Lettera Celeberrima evenisse al Cardinale Antonio Mendes Bello, con al quale si chiede al popolo portoghese di obbedire al potere costituito</v>
      </c>
      <c r="AC598" s="31" t="str">
        <f t="shared" si="144"/>
        <v>Benedetto XV, Lettera Celeberrima evenisse al Cardinale Antonio Mendes Bello, con al quale si chiede al popolo portoghese di obbedire al potere costituito, 18 dicembre 1919</v>
      </c>
      <c r="AD598" s="31" t="str">
        <f t="shared" si="145"/>
        <v>1919-12-18T08:00:00.000+02:00</v>
      </c>
      <c r="AE598" s="31" t="str">
        <f t="shared" si="133"/>
        <v>bxv-let-</v>
      </c>
      <c r="AF598" s="31" t="str">
        <f t="shared" si="134"/>
        <v>Benedetto XV - Lettera - Celeberrima evenisse al Cardinale Antonio Mendes Bello, con al quale si chiede al popolo portoghese di obbedire al potere costituito</v>
      </c>
    </row>
    <row r="599" spans="2:32" s="31" customFormat="1" x14ac:dyDescent="0.2">
      <c r="B599" s="31">
        <v>258</v>
      </c>
      <c r="C599" s="31" t="s">
        <v>3326</v>
      </c>
      <c r="D599" s="31" t="s">
        <v>699</v>
      </c>
      <c r="E599" s="31" t="s">
        <v>738</v>
      </c>
      <c r="F599" s="31" t="s">
        <v>608</v>
      </c>
      <c r="G599" s="31" t="s">
        <v>609</v>
      </c>
      <c r="H599" s="31" t="str">
        <f t="shared" si="138"/>
        <v>Benedetto XV</v>
      </c>
      <c r="K599" s="31" t="s">
        <v>829</v>
      </c>
      <c r="L599" s="31" t="str">
        <f t="shared" si="139"/>
        <v>Lettera</v>
      </c>
      <c r="M599" s="31" t="s">
        <v>568</v>
      </c>
      <c r="O599" s="31" t="s">
        <v>3316</v>
      </c>
      <c r="Q599" s="40">
        <v>7254</v>
      </c>
      <c r="R599" s="35">
        <f t="shared" si="146"/>
        <v>10</v>
      </c>
      <c r="S599" s="35"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5">
        <f t="shared" si="147"/>
        <v>1919</v>
      </c>
      <c r="U599" s="31"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6"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31"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31">
        <v>626</v>
      </c>
      <c r="Y599" s="31" t="str">
        <f t="shared" si="140"/>
        <v>['Benedetto XV', 'Lettera', 'Con viva soddisfazione, al R. P. Ottavio Marchetti S.I., in occasione dell'istituzione di una cattedra di teologia ascetico-mistica e di una bibilioteca ascetico-mistica presso l'Università Gregoriana di Roma', 'bxv-let-', '10 novembre 1919', '10/11/1919', '1919/11/10'],</v>
      </c>
      <c r="Z599" s="31" t="str">
        <f t="shared" si="141"/>
        <v>Con viva soddisfazione, al R. P. Ottavio Marchetti S.I., in occasione dell'istituzione di una cattedra di teologia ascetico-mistica e di una bibilioteca ascetico-mistica presso l'Università Gregoriana di Roma (7254) | Benedetto XV</v>
      </c>
      <c r="AA599" s="31" t="str">
        <f t="shared" si="142"/>
        <v>Lettera Con viva soddisfazione, al R. P. Ottavio Marchetti S.I., in occasione dell'istituzione di una cattedra di teologia ascetico-mistica e di una bibilioteca ascetico-mistica presso l'Università Gregoriana di Roma</v>
      </c>
      <c r="AB599" s="31" t="str">
        <f t="shared" si="143"/>
        <v>Lettera Con viva soddisfazione, al R. P. Ottavio Marchetti S.I., in occasione dell'istituzione di una cattedra di teologia ascetico-mistica e di una bibilioteca ascetico-mistica presso l'Università Gregoriana di Roma</v>
      </c>
      <c r="AC599" s="31" t="str">
        <f t="shared" si="144"/>
        <v>Benedetto XV, Lettera Con viva soddisfazione, al R. P. Ottavio Marchetti S.I., in occasione dell'istituzione di una cattedra di teologia ascetico-mistica e di una bibilioteca ascetico-mistica presso l'Università Gregoriana di Roma, 10 novembre 1919</v>
      </c>
      <c r="AD599" s="31" t="str">
        <f t="shared" si="145"/>
        <v>1919-11-10T08:00:00.000+02:00</v>
      </c>
      <c r="AE599" s="31" t="str">
        <f t="shared" si="133"/>
        <v>bxv-let-</v>
      </c>
      <c r="AF599" s="31" t="str">
        <f t="shared" si="134"/>
        <v>Benedetto XV - Lettera - Con viva soddisfazione, al R. P. Ottavio Marchetti S.I., in occasione dell'istituzione di una cattedra di teologia ascetico-mistica e di una bibilioteca ascetico-mistica presso l'Università Gregoriana di Roma</v>
      </c>
    </row>
    <row r="600" spans="2:32" s="31" customFormat="1" x14ac:dyDescent="0.2">
      <c r="B600" s="31">
        <v>258</v>
      </c>
      <c r="C600" s="31" t="s">
        <v>3327</v>
      </c>
      <c r="D600" s="31" t="s">
        <v>699</v>
      </c>
      <c r="E600" s="31" t="s">
        <v>738</v>
      </c>
      <c r="F600" s="31" t="s">
        <v>608</v>
      </c>
      <c r="G600" s="31" t="s">
        <v>609</v>
      </c>
      <c r="H600" s="31" t="str">
        <f t="shared" si="138"/>
        <v>Benedetto XV</v>
      </c>
      <c r="K600" s="31" t="s">
        <v>829</v>
      </c>
      <c r="L600" s="31" t="str">
        <f t="shared" si="139"/>
        <v>Lettera</v>
      </c>
      <c r="M600" s="31" t="s">
        <v>568</v>
      </c>
      <c r="O600" s="31" t="s">
        <v>3317</v>
      </c>
      <c r="Q600" s="40">
        <v>7220</v>
      </c>
      <c r="R600" s="35">
        <f t="shared" si="146"/>
        <v>7</v>
      </c>
      <c r="S600" s="35"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5">
        <f t="shared" si="147"/>
        <v>1919</v>
      </c>
      <c r="U600" s="31"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6"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31"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31">
        <v>627</v>
      </c>
      <c r="Y600" s="31" t="str">
        <f t="shared" si="140"/>
        <v>['Benedetto XV', 'Lettera', 'Amor ille singularis, al Cardinale Leone Adolfo Amette, Arcivescovo di Parigi, in occasione della consacrazione della Basilica di Montmartre dedicata al Santissimo Cuore di Gesù', 'bxv-let-', '07 ottobre 1919', '07/10/1919', '1919/10/07'],</v>
      </c>
      <c r="Z600" s="31" t="str">
        <f t="shared" si="141"/>
        <v>Amor ille singularis, al Cardinale Leone Adolfo Amette, Arcivescovo di Parigi, in occasione della consacrazione della Basilica di Montmartre dedicata al Santissimo Cuore di Gesù (7220) | Benedetto XV</v>
      </c>
      <c r="AA600" s="31" t="str">
        <f t="shared" si="142"/>
        <v>Lettera Amor ille singularis, al Cardinale Leone Adolfo Amette, Arcivescovo di Parigi, in occasione della consacrazione della Basilica di Montmartre dedicata al Santissimo Cuore di Gesù</v>
      </c>
      <c r="AB600" s="31" t="str">
        <f t="shared" si="143"/>
        <v>Lettera Amor ille singularis, al Cardinale Leone Adolfo Amette, Arcivescovo di Parigi, in occasione della consacrazione della Basilica di Montmartre dedicata al Santissimo Cuore di Gesù</v>
      </c>
      <c r="AC600" s="31" t="str">
        <f t="shared" si="144"/>
        <v>Benedetto XV, Lettera Amor ille singularis, al Cardinale Leone Adolfo Amette, Arcivescovo di Parigi, in occasione della consacrazione della Basilica di Montmartre dedicata al Santissimo Cuore di Gesù, 07 ottobre 1919</v>
      </c>
      <c r="AD600" s="31" t="str">
        <f t="shared" si="145"/>
        <v>1919-10-07T08:00:00.000+02:00</v>
      </c>
      <c r="AE600" s="31" t="str">
        <f t="shared" si="133"/>
        <v>bxv-let-</v>
      </c>
      <c r="AF600" s="31" t="str">
        <f t="shared" si="134"/>
        <v>Benedetto XV - Lettera - Amor ille singularis, al Cardinale Leone Adolfo Amette, Arcivescovo di Parigi, in occasione della consacrazione della Basilica di Montmartre dedicata al Santissimo Cuore di Gesù</v>
      </c>
    </row>
    <row r="601" spans="2:32" s="31" customFormat="1" x14ac:dyDescent="0.2">
      <c r="B601" s="31">
        <v>258</v>
      </c>
      <c r="C601" s="31" t="s">
        <v>3328</v>
      </c>
      <c r="D601" s="31" t="s">
        <v>699</v>
      </c>
      <c r="E601" s="31" t="s">
        <v>738</v>
      </c>
      <c r="F601" s="31" t="s">
        <v>608</v>
      </c>
      <c r="G601" s="31" t="s">
        <v>609</v>
      </c>
      <c r="H601" s="31" t="str">
        <f t="shared" si="138"/>
        <v>Benedetto XV</v>
      </c>
      <c r="K601" s="31" t="s">
        <v>829</v>
      </c>
      <c r="L601" s="31" t="str">
        <f t="shared" si="139"/>
        <v>Lettera</v>
      </c>
      <c r="M601" s="31" t="s">
        <v>568</v>
      </c>
      <c r="O601" s="31" t="s">
        <v>3318</v>
      </c>
      <c r="Q601" s="40">
        <v>7194</v>
      </c>
      <c r="R601" s="35">
        <f t="shared" si="146"/>
        <v>11</v>
      </c>
      <c r="S601" s="35"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5">
        <f t="shared" si="147"/>
        <v>1919</v>
      </c>
      <c r="U601" s="31"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6"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31"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31">
        <v>628</v>
      </c>
      <c r="Y601" s="31" t="str">
        <f t="shared" si="140"/>
        <v>['Benedetto XV', 'Lettera', 'Quoad Hungaria, al Cardinale Giovanni Csernoch, Arcivescovo di Esztergom, sulle tribolazioni che hanno colpito la Chiesa d’Ungheria, in seguito alle persecuzioni attuate dopo la guerra', 'bxv-let-', '11 settembre 1919', '11/09/1919', '1919/09/11'],</v>
      </c>
      <c r="Z601" s="31" t="str">
        <f t="shared" si="141"/>
        <v>Quoad Hungaria, al Cardinale Giovanni Csernoch, Arcivescovo di Esztergom, sulle tribolazioni che hanno colpito la Chiesa d’Ungheria, in seguito alle persecuzioni attuate dopo la guerra (7194) | Benedetto XV</v>
      </c>
      <c r="AA601" s="31" t="str">
        <f t="shared" si="142"/>
        <v>Lettera Quoad Hungaria, al Cardinale Giovanni Csernoch, Arcivescovo di Esztergom, sulle tribolazioni che hanno colpito la Chiesa d’Ungheria, in seguito alle persecuzioni attuate dopo la guerra</v>
      </c>
      <c r="AB601" s="31" t="str">
        <f t="shared" si="143"/>
        <v>Lettera Quoad Hungaria, al Cardinale Giovanni Csernoch, Arcivescovo di Esztergom, sulle tribolazioni che hanno colpito la Chiesa d’Ungheria, in seguito alle persecuzioni attuate dopo la guerra</v>
      </c>
      <c r="AC601" s="31" t="str">
        <f t="shared" si="144"/>
        <v>Benedetto XV, Lettera Quoad Hungaria, al Cardinale Giovanni Csernoch, Arcivescovo di Esztergom, sulle tribolazioni che hanno colpito la Chiesa d’Ungheria, in seguito alle persecuzioni attuate dopo la guerra, 11 settembre 1919</v>
      </c>
      <c r="AD601" s="31" t="str">
        <f t="shared" si="145"/>
        <v>1919-09-11T08:00:00.000+02:00</v>
      </c>
      <c r="AE601" s="31" t="str">
        <f t="shared" si="133"/>
        <v>bxv-let-</v>
      </c>
      <c r="AF601" s="31" t="str">
        <f t="shared" si="134"/>
        <v>Benedetto XV - Lettera - Quoad Hungaria, al Cardinale Giovanni Csernoch, Arcivescovo di Esztergom, sulle tribolazioni che hanno colpito la Chiesa d’Ungheria, in seguito alle persecuzioni attuate dopo la guerra</v>
      </c>
    </row>
    <row r="602" spans="2:32" s="31" customFormat="1" x14ac:dyDescent="0.2">
      <c r="B602" s="31">
        <v>258</v>
      </c>
      <c r="C602" s="31" t="s">
        <v>3329</v>
      </c>
      <c r="D602" s="31" t="s">
        <v>699</v>
      </c>
      <c r="E602" s="31" t="s">
        <v>738</v>
      </c>
      <c r="F602" s="31" t="s">
        <v>608</v>
      </c>
      <c r="G602" s="31" t="s">
        <v>609</v>
      </c>
      <c r="H602" s="31" t="str">
        <f t="shared" si="138"/>
        <v>Benedetto XV</v>
      </c>
      <c r="K602" s="31" t="s">
        <v>829</v>
      </c>
      <c r="L602" s="31" t="str">
        <f t="shared" si="139"/>
        <v>Lettera</v>
      </c>
      <c r="M602" s="31" t="s">
        <v>568</v>
      </c>
      <c r="O602" s="31" t="s">
        <v>3319</v>
      </c>
      <c r="Q602" s="40">
        <v>7191</v>
      </c>
      <c r="R602" s="35">
        <f t="shared" si="146"/>
        <v>8</v>
      </c>
      <c r="S602" s="35"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5">
        <f t="shared" si="147"/>
        <v>1919</v>
      </c>
      <c r="U602" s="31"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6"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31"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31">
        <v>629</v>
      </c>
      <c r="Y602" s="31" t="str">
        <f t="shared" si="140"/>
        <v>['Benedetto XV', 'Lettera', 'Egregiam Pietatem ai Vescovi svizzeri Radunati a Sion in segno di ringraziamento per il mancato coinvolgimento della Svizzera nel conflitto mondiale', 'bxv-let-', '08 settembre 1919', '08/09/1919', '1919/09/08'],</v>
      </c>
      <c r="Z602" s="31" t="str">
        <f t="shared" si="141"/>
        <v>Egregiam Pietatem ai Vescovi svizzeri Radunati a Sion in segno di ringraziamento per il mancato coinvolgimento della Svizzera nel conflitto mondiale (7191) | Benedetto XV</v>
      </c>
      <c r="AA602" s="31" t="str">
        <f t="shared" si="142"/>
        <v>Lettera Egregiam Pietatem ai Vescovi svizzeri Radunati a Sion in segno di ringraziamento per il mancato coinvolgimento della Svizzera nel conflitto mondiale</v>
      </c>
      <c r="AB602" s="31" t="str">
        <f t="shared" si="143"/>
        <v>Lettera Egregiam Pietatem ai Vescovi svizzeri Radunati a Sion in segno di ringraziamento per il mancato coinvolgimento della Svizzera nel conflitto mondiale</v>
      </c>
      <c r="AC602" s="31" t="str">
        <f t="shared" si="144"/>
        <v>Benedetto XV, Lettera Egregiam Pietatem ai Vescovi svizzeri Radunati a Sion in segno di ringraziamento per il mancato coinvolgimento della Svizzera nel conflitto mondiale, 08 settembre 1919</v>
      </c>
      <c r="AD602" s="31" t="str">
        <f t="shared" si="145"/>
        <v>1919-09-08T08:00:00.000+02:00</v>
      </c>
      <c r="AE602" s="31" t="str">
        <f t="shared" si="133"/>
        <v>bxv-let-</v>
      </c>
      <c r="AF602" s="31" t="str">
        <f t="shared" si="134"/>
        <v>Benedetto XV - Lettera - Egregiam Pietatem ai Vescovi svizzeri Radunati a Sion in segno di ringraziamento per il mancato coinvolgimento della Svizzera nel conflitto mondiale</v>
      </c>
    </row>
    <row r="603" spans="2:32" s="31" customFormat="1" x14ac:dyDescent="0.2">
      <c r="B603" s="31">
        <v>258</v>
      </c>
      <c r="C603" s="31" t="s">
        <v>3330</v>
      </c>
      <c r="D603" s="31" t="s">
        <v>699</v>
      </c>
      <c r="E603" s="31" t="s">
        <v>738</v>
      </c>
      <c r="F603" s="31" t="s">
        <v>608</v>
      </c>
      <c r="G603" s="31" t="s">
        <v>609</v>
      </c>
      <c r="H603" s="31" t="str">
        <f t="shared" si="138"/>
        <v>Benedetto XV</v>
      </c>
      <c r="K603" s="31" t="s">
        <v>829</v>
      </c>
      <c r="L603" s="31" t="str">
        <f t="shared" si="139"/>
        <v>Lettera</v>
      </c>
      <c r="M603" s="31" t="s">
        <v>568</v>
      </c>
      <c r="O603" s="31" t="s">
        <v>3320</v>
      </c>
      <c r="Q603" s="40">
        <v>7141</v>
      </c>
      <c r="R603" s="35">
        <f t="shared" si="146"/>
        <v>20</v>
      </c>
      <c r="S603" s="35"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5">
        <f t="shared" si="147"/>
        <v>1919</v>
      </c>
      <c r="U603" s="31"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6"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31"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31">
        <v>630</v>
      </c>
      <c r="Y603" s="31" t="str">
        <f t="shared" si="140"/>
        <v>['Benedetto XV', 'Lettera', 'Nel decorso al R.P. Agostino Garagnani S.I. con la quale il Sommo Pontefice dà vita all'«Istituto di coltura filosofica e religiosa» annesso all'Università Gregoriana', 'bxv-let-', '20 luglio 1919', '20/07/1919', '1919/07/20'],</v>
      </c>
      <c r="Z603" s="31" t="str">
        <f t="shared" si="141"/>
        <v>Nel decorso al R.P. Agostino Garagnani S.I. con la quale il Sommo Pontefice dà vita all'«Istituto di coltura filosofica e religiosa» annesso all'Università Gregoriana (7141) | Benedetto XV</v>
      </c>
      <c r="AA603" s="31" t="str">
        <f t="shared" si="142"/>
        <v>Lettera Nel decorso al R.P. Agostino Garagnani S.I. con la quale il Sommo Pontefice dà vita all'«Istituto di coltura filosofica e religiosa» annesso all'Università Gregoriana</v>
      </c>
      <c r="AB603" s="31" t="str">
        <f t="shared" si="143"/>
        <v>Lettera Nel decorso al R.P. Agostino Garagnani S.I. con la quale il Sommo Pontefice dà vita all'«Istituto di coltura filosofica e religiosa» annesso all'Università Gregoriana</v>
      </c>
      <c r="AC603" s="31" t="str">
        <f t="shared" si="144"/>
        <v>Benedetto XV, Lettera Nel decorso al R.P. Agostino Garagnani S.I. con la quale il Sommo Pontefice dà vita all'«Istituto di coltura filosofica e religiosa» annesso all'Università Gregoriana, 20 luglio 1919</v>
      </c>
      <c r="AD603" s="31" t="str">
        <f t="shared" si="145"/>
        <v>1919-07-20T08:00:00.000+02:00</v>
      </c>
      <c r="AE603" s="31" t="str">
        <f t="shared" si="133"/>
        <v>bxv-let-</v>
      </c>
      <c r="AF603" s="31" t="str">
        <f t="shared" si="134"/>
        <v>Benedetto XV - Lettera - Nel decorso al R.P. Agostino Garagnani S.I. con la quale il Sommo Pontefice dà vita all'«Istituto di coltura filosofica e religiosa» annesso all'Università Gregoriana</v>
      </c>
    </row>
    <row r="604" spans="2:32" s="31" customFormat="1" x14ac:dyDescent="0.2">
      <c r="B604" s="31">
        <v>258</v>
      </c>
      <c r="C604" s="31" t="s">
        <v>3331</v>
      </c>
      <c r="D604" s="31" t="s">
        <v>699</v>
      </c>
      <c r="E604" s="31" t="s">
        <v>738</v>
      </c>
      <c r="F604" s="31" t="s">
        <v>608</v>
      </c>
      <c r="G604" s="31" t="s">
        <v>609</v>
      </c>
      <c r="H604" s="31" t="str">
        <f t="shared" si="138"/>
        <v>Benedetto XV</v>
      </c>
      <c r="K604" s="31" t="s">
        <v>829</v>
      </c>
      <c r="L604" s="31" t="str">
        <f t="shared" si="139"/>
        <v>Lettera</v>
      </c>
      <c r="M604" s="31" t="s">
        <v>568</v>
      </c>
      <c r="O604" s="31" t="s">
        <v>3362</v>
      </c>
      <c r="Q604" s="40">
        <v>7136</v>
      </c>
      <c r="R604" s="35">
        <f t="shared" si="146"/>
        <v>15</v>
      </c>
      <c r="S604" s="35"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5">
        <f t="shared" si="147"/>
        <v>1919</v>
      </c>
      <c r="U604" s="31"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6"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31"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31">
        <v>631</v>
      </c>
      <c r="Y604" s="31" t="str">
        <f t="shared" si="140"/>
        <v>['Benedetto XV', 'Lettera', 'Diuturni luctuosissimique ai Vescovi della Germania affinché si adoperino per aiutare la popolazione affamata ', 'bxv-let-', '15 luglio 1919', '15/07/1919', '1919/07/15'],</v>
      </c>
      <c r="Z604" s="31" t="str">
        <f t="shared" si="141"/>
        <v>Diuturni luctuosissimique ai Vescovi della Germania affinché si adoperino per aiutare la popolazione affamata  (7136) | Benedetto XV</v>
      </c>
      <c r="AA604" s="31" t="str">
        <f t="shared" si="142"/>
        <v xml:space="preserve">Lettera Diuturni luctuosissimique ai Vescovi della Germania affinché si adoperino per aiutare la popolazione affamata </v>
      </c>
      <c r="AB604" s="31" t="str">
        <f t="shared" si="143"/>
        <v xml:space="preserve">Lettera Diuturni luctuosissimique ai Vescovi della Germania affinché si adoperino per aiutare la popolazione affamata </v>
      </c>
      <c r="AC604" s="31" t="str">
        <f t="shared" si="144"/>
        <v>Benedetto XV, Lettera Diuturni luctuosissimique ai Vescovi della Germania affinché si adoperino per aiutare la popolazione affamata , 15 luglio 1919</v>
      </c>
      <c r="AD604" s="31" t="str">
        <f t="shared" si="145"/>
        <v>1919-07-15T08:00:00.000+02:00</v>
      </c>
      <c r="AE604" s="31" t="str">
        <f t="shared" si="133"/>
        <v>bxv-let-</v>
      </c>
      <c r="AF604" s="31" t="str">
        <f t="shared" si="134"/>
        <v xml:space="preserve">Benedetto XV - Lettera - Diuturni luctuosissimique ai Vescovi della Germania affinché si adoperino per aiutare la popolazione affamata </v>
      </c>
    </row>
    <row r="605" spans="2:32" s="31" customFormat="1" x14ac:dyDescent="0.2">
      <c r="B605" s="31">
        <v>258</v>
      </c>
      <c r="C605" s="31" t="s">
        <v>3332</v>
      </c>
      <c r="D605" s="31" t="s">
        <v>699</v>
      </c>
      <c r="E605" s="31" t="s">
        <v>738</v>
      </c>
      <c r="F605" s="31" t="s">
        <v>608</v>
      </c>
      <c r="G605" s="31" t="s">
        <v>609</v>
      </c>
      <c r="H605" s="31" t="str">
        <f t="shared" si="138"/>
        <v>Benedetto XV</v>
      </c>
      <c r="K605" s="31" t="s">
        <v>829</v>
      </c>
      <c r="L605" s="31" t="str">
        <f t="shared" si="139"/>
        <v>Lettera</v>
      </c>
      <c r="M605" s="31" t="s">
        <v>568</v>
      </c>
      <c r="O605" s="31" t="s">
        <v>3368</v>
      </c>
      <c r="Q605" s="40">
        <v>7128</v>
      </c>
      <c r="R605" s="35">
        <f t="shared" si="146"/>
        <v>7</v>
      </c>
      <c r="S605" s="35"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5">
        <f t="shared" si="147"/>
        <v>1919</v>
      </c>
      <c r="U605" s="31"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6"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31"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31">
        <v>632</v>
      </c>
      <c r="Y605" s="31" t="str">
        <f t="shared" si="140"/>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31" t="str">
        <f t="shared" si="141"/>
        <v>Quamquam quoad, al Reverendo Padre Paolino Ladeuze, Rettore, e ai Dottori decuriali della Università di Lovanio. con la quale il Sommo Pontefice si dichiara disponibile a contribuire alla ricostruzione dell'Università (7128) | Benedetto XV</v>
      </c>
      <c r="AA605" s="31" t="str">
        <f t="shared" si="142"/>
        <v>Lettera Quamquam quoad, al Reverendo Padre Paolino Ladeuze, Rettore, e ai Dottori decuriali della Università di Lovanio. con la quale il Sommo Pontefice si dichiara disponibile a contribuire alla ricostruzione dell'Università</v>
      </c>
      <c r="AB605" s="31" t="str">
        <f t="shared" si="143"/>
        <v>Lettera Quamquam quoad, al Reverendo Padre Paolino Ladeuze, Rettore, e ai Dottori decuriali della Università di Lovanio. con la quale il Sommo Pontefice si dichiara disponibile a contribuire alla ricostruzione dell'Università</v>
      </c>
      <c r="AC605" s="31" t="str">
        <f t="shared" si="144"/>
        <v>Benedetto XV, Lettera Quamquam quoad, al Reverendo Padre Paolino Ladeuze, Rettore, e ai Dottori decuriali della Università di Lovanio. con la quale il Sommo Pontefice si dichiara disponibile a contribuire alla ricostruzione dell'Università, 07 luglio 1919</v>
      </c>
      <c r="AD605" s="31" t="str">
        <f t="shared" si="145"/>
        <v>1919-07-07T08:00:00.000+02:00</v>
      </c>
      <c r="AE605" s="31" t="str">
        <f t="shared" si="133"/>
        <v>bxv-let-</v>
      </c>
      <c r="AF605" s="31" t="str">
        <f t="shared" si="134"/>
        <v>Benedetto XV - Lettera - Quamquam quoad, al Reverendo Padre Paolino Ladeuze, Rettore, e ai Dottori decuriali della Università di Lovanio. con la quale il Sommo Pontefice si dichiara disponibile a contribuire alla ricostruzione dell'Università</v>
      </c>
    </row>
    <row r="606" spans="2:32" s="31" customFormat="1" x14ac:dyDescent="0.2">
      <c r="B606" s="31">
        <v>258</v>
      </c>
      <c r="C606" s="31" t="s">
        <v>3333</v>
      </c>
      <c r="D606" s="31" t="s">
        <v>699</v>
      </c>
      <c r="E606" s="31" t="s">
        <v>738</v>
      </c>
      <c r="F606" s="31" t="s">
        <v>608</v>
      </c>
      <c r="G606" s="31" t="s">
        <v>609</v>
      </c>
      <c r="H606" s="31" t="str">
        <f t="shared" si="138"/>
        <v>Benedetto XV</v>
      </c>
      <c r="K606" s="31" t="s">
        <v>829</v>
      </c>
      <c r="L606" s="31" t="str">
        <f t="shared" si="139"/>
        <v>Lettera</v>
      </c>
      <c r="M606" s="31" t="s">
        <v>568</v>
      </c>
      <c r="O606" s="31" t="s">
        <v>3321</v>
      </c>
      <c r="Q606" s="40">
        <v>7040</v>
      </c>
      <c r="R606" s="35">
        <f t="shared" si="146"/>
        <v>10</v>
      </c>
      <c r="S606" s="35"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5">
        <f t="shared" si="147"/>
        <v>1919</v>
      </c>
      <c r="U606" s="31"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6"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31"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31">
        <v>633</v>
      </c>
      <c r="Y606" s="31" t="str">
        <f t="shared" si="140"/>
        <v>['Benedetto XV', 'Lettera', 'Communes Litteras con la quale il Sommo Pontefice approva il proposito dei Vescovi statunitensi di riunirsi una volta l’anno per discutere dei problemi relativi alla diffusione del cattolicesimo', 'bxv-let-', '10 aprile 1919', '10/04/1919', '1919/04/10'],</v>
      </c>
      <c r="Z606" s="31" t="str">
        <f t="shared" si="141"/>
        <v>Communes Litteras con la quale il Sommo Pontefice approva il proposito dei Vescovi statunitensi di riunirsi una volta l’anno per discutere dei problemi relativi alla diffusione del cattolicesimo (7040) | Benedetto XV</v>
      </c>
      <c r="AA606" s="31" t="str">
        <f t="shared" si="142"/>
        <v>Lettera Communes Litteras con la quale il Sommo Pontefice approva il proposito dei Vescovi statunitensi di riunirsi una volta l’anno per discutere dei problemi relativi alla diffusione del cattolicesimo</v>
      </c>
      <c r="AB606" s="31" t="str">
        <f t="shared" si="143"/>
        <v>Lettera Communes Litteras con la quale il Sommo Pontefice approva il proposito dei Vescovi statunitensi di riunirsi una volta l’anno per discutere dei problemi relativi alla diffusione del cattolicesimo</v>
      </c>
      <c r="AC606" s="31" t="str">
        <f t="shared" si="144"/>
        <v>Benedetto XV, Lettera Communes Litteras con la quale il Sommo Pontefice approva il proposito dei Vescovi statunitensi di riunirsi una volta l’anno per discutere dei problemi relativi alla diffusione del cattolicesimo, 10 aprile 1919</v>
      </c>
      <c r="AD606" s="31" t="str">
        <f t="shared" si="145"/>
        <v>1919-04-10T08:00:00.000+02:00</v>
      </c>
      <c r="AE606" s="31" t="str">
        <f t="shared" si="133"/>
        <v>bxv-let-</v>
      </c>
      <c r="AF606" s="31" t="str">
        <f t="shared" si="134"/>
        <v>Benedetto XV - Lettera - Communes Litteras con la quale il Sommo Pontefice approva il proposito dei Vescovi statunitensi di riunirsi una volta l’anno per discutere dei problemi relativi alla diffusione del cattolicesimo</v>
      </c>
    </row>
    <row r="607" spans="2:32" s="31" customFormat="1" x14ac:dyDescent="0.2">
      <c r="B607" s="31">
        <v>258</v>
      </c>
      <c r="C607" s="31" t="s">
        <v>3334</v>
      </c>
      <c r="D607" s="31" t="s">
        <v>699</v>
      </c>
      <c r="E607" s="31" t="s">
        <v>738</v>
      </c>
      <c r="F607" s="31" t="s">
        <v>608</v>
      </c>
      <c r="G607" s="31" t="s">
        <v>609</v>
      </c>
      <c r="H607" s="31" t="str">
        <f t="shared" si="138"/>
        <v>Benedetto XV</v>
      </c>
      <c r="K607" s="31" t="s">
        <v>829</v>
      </c>
      <c r="L607" s="31" t="str">
        <f t="shared" si="139"/>
        <v>Lettera</v>
      </c>
      <c r="M607" s="31" t="s">
        <v>568</v>
      </c>
      <c r="O607" s="31" t="s">
        <v>3322</v>
      </c>
      <c r="Q607" s="40">
        <v>7011</v>
      </c>
      <c r="R607" s="35">
        <f t="shared" si="146"/>
        <v>12</v>
      </c>
      <c r="S607" s="35"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5">
        <f t="shared" si="147"/>
        <v>1919</v>
      </c>
      <c r="U607" s="31"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6"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31"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31">
        <v>634</v>
      </c>
      <c r="Y607" s="31" t="str">
        <f t="shared" si="140"/>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31" t="str">
        <f t="shared" si="141"/>
        <v>Multiplices Quidem, al Cardinale Giovanni Csernoch, Arcivescovo di Esztergom con la quale condanna quanti mirano a sovvertire l’ordine gerarchico della Chiesa e i poteri in materia amministrativa dei benefici (7011) | Benedetto XV</v>
      </c>
      <c r="AA607" s="31" t="str">
        <f t="shared" si="142"/>
        <v>Lettera Multiplices Quidem, al Cardinale Giovanni Csernoch, Arcivescovo di Esztergom con la quale condanna quanti mirano a sovvertire l’ordine gerarchico della Chiesa e i poteri in materia amministrativa dei benefici</v>
      </c>
      <c r="AB607" s="31" t="str">
        <f t="shared" si="143"/>
        <v>Lettera Multiplices Quidem, al Cardinale Giovanni Csernoch, Arcivescovo di Esztergom con la quale condanna quanti mirano a sovvertire l’ordine gerarchico della Chiesa e i poteri in materia amministrativa dei benefici</v>
      </c>
      <c r="AC607" s="31" t="str">
        <f t="shared" si="144"/>
        <v>Benedetto XV, Lettera Multiplices Quidem, al Cardinale Giovanni Csernoch, Arcivescovo di Esztergom con la quale condanna quanti mirano a sovvertire l’ordine gerarchico della Chiesa e i poteri in materia amministrativa dei benefici, 12 marzo 1919</v>
      </c>
      <c r="AD607" s="31" t="str">
        <f t="shared" si="145"/>
        <v>1919-03-12T08:00:00.000+02:00</v>
      </c>
      <c r="AE607" s="31" t="str">
        <f t="shared" si="133"/>
        <v>bxv-let-</v>
      </c>
      <c r="AF607" s="31" t="str">
        <f t="shared" si="134"/>
        <v>Benedetto XV - Lettera - Multiplices Quidem, al Cardinale Giovanni Csernoch, Arcivescovo di Esztergom con la quale condanna quanti mirano a sovvertire l’ordine gerarchico della Chiesa e i poteri in materia amministrativa dei benefici</v>
      </c>
    </row>
    <row r="608" spans="2:32" s="31" customFormat="1" x14ac:dyDescent="0.2">
      <c r="B608" s="31">
        <v>258</v>
      </c>
      <c r="C608" s="31" t="s">
        <v>3335</v>
      </c>
      <c r="D608" s="31" t="s">
        <v>699</v>
      </c>
      <c r="E608" s="31" t="s">
        <v>738</v>
      </c>
      <c r="F608" s="31" t="s">
        <v>608</v>
      </c>
      <c r="G608" s="31" t="s">
        <v>609</v>
      </c>
      <c r="H608" s="31" t="str">
        <f t="shared" ref="H608:H671" si="148">_xlfn.CONCAT(D608 &amp; " " &amp; E608)</f>
        <v>Benedetto XV</v>
      </c>
      <c r="K608" s="31" t="s">
        <v>829</v>
      </c>
      <c r="L608" s="31" t="str">
        <f t="shared" ref="L608:L635" si="149">IF(J608&lt;&gt;"",_xlfn.CONCAT(J608 &amp; " " &amp; K608),K608)</f>
        <v>Lettera</v>
      </c>
      <c r="M608" s="31" t="s">
        <v>568</v>
      </c>
      <c r="O608" s="31" t="s">
        <v>3323</v>
      </c>
      <c r="Q608" s="40">
        <v>6960</v>
      </c>
      <c r="R608" s="35">
        <f t="shared" si="146"/>
        <v>20</v>
      </c>
      <c r="S608" s="35"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5">
        <f t="shared" si="147"/>
        <v>1919</v>
      </c>
      <c r="U608" s="31"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6"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31"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31">
        <v>635</v>
      </c>
      <c r="Y608" s="31" t="str">
        <f t="shared" si="140"/>
        <v>['Benedetto XV', 'Lettera', 'Quum annus compleretur al Reverendo Padre Francesco Saverio, Vescovo di Tarbes e di Lourdes. nel sessantesimo anniversario dell’apparizione della Madonna di Lourdes', 'bxv-let-', '20 gennaio 1919', '20/01/1919', '1919/01/20'],</v>
      </c>
      <c r="Z608" s="31" t="str">
        <f t="shared" si="141"/>
        <v>Quum annus compleretur al Reverendo Padre Francesco Saverio, Vescovo di Tarbes e di Lourdes. nel sessantesimo anniversario dell’apparizione della Madonna di Lourdes (6960) | Benedetto XV</v>
      </c>
      <c r="AA608" s="31" t="str">
        <f t="shared" si="142"/>
        <v>Lettera Quum annus compleretur al Reverendo Padre Francesco Saverio, Vescovo di Tarbes e di Lourdes. nel sessantesimo anniversario dell’apparizione della Madonna di Lourdes</v>
      </c>
      <c r="AB608" s="31" t="str">
        <f t="shared" si="143"/>
        <v>Lettera Quum annus compleretur al Reverendo Padre Francesco Saverio, Vescovo di Tarbes e di Lourdes. nel sessantesimo anniversario dell’apparizione della Madonna di Lourdes</v>
      </c>
      <c r="AC608" s="31" t="str">
        <f t="shared" si="144"/>
        <v>Benedetto XV, Lettera Quum annus compleretur al Reverendo Padre Francesco Saverio, Vescovo di Tarbes e di Lourdes. nel sessantesimo anniversario dell’apparizione della Madonna di Lourdes, 20 gennaio 1919</v>
      </c>
      <c r="AD608" s="31" t="str">
        <f t="shared" si="145"/>
        <v>1919-01-20T08:00:00.000+02:00</v>
      </c>
      <c r="AE608" s="31" t="str">
        <f t="shared" si="133"/>
        <v>bxv-let-</v>
      </c>
      <c r="AF608" s="31" t="str">
        <f t="shared" si="134"/>
        <v>Benedetto XV - Lettera - Quum annus compleretur al Reverendo Padre Francesco Saverio, Vescovo di Tarbes e di Lourdes. nel sessantesimo anniversario dell’apparizione della Madonna di Lourdes</v>
      </c>
    </row>
    <row r="609" spans="2:32" s="31" customFormat="1" x14ac:dyDescent="0.2">
      <c r="B609" s="31">
        <v>258</v>
      </c>
      <c r="C609" s="31" t="s">
        <v>3336</v>
      </c>
      <c r="D609" s="31" t="s">
        <v>699</v>
      </c>
      <c r="E609" s="31" t="s">
        <v>738</v>
      </c>
      <c r="F609" s="31" t="s">
        <v>608</v>
      </c>
      <c r="G609" s="31" t="s">
        <v>609</v>
      </c>
      <c r="H609" s="31" t="str">
        <f t="shared" si="148"/>
        <v>Benedetto XV</v>
      </c>
      <c r="K609" s="31" t="s">
        <v>829</v>
      </c>
      <c r="L609" s="31" t="str">
        <f t="shared" si="149"/>
        <v>Lettera</v>
      </c>
      <c r="M609" s="31" t="s">
        <v>568</v>
      </c>
      <c r="O609" s="31" t="s">
        <v>3324</v>
      </c>
      <c r="Q609" s="40">
        <v>6941</v>
      </c>
      <c r="R609" s="35">
        <f t="shared" si="146"/>
        <v>1</v>
      </c>
      <c r="S609" s="35"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5">
        <f t="shared" si="147"/>
        <v>1919</v>
      </c>
      <c r="U609" s="31"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6"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31"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31">
        <v>636</v>
      </c>
      <c r="Y609" s="31" t="str">
        <f t="shared" si="140"/>
        <v>['Benedetto XV', 'Lettera', 'Inter egregias ai Reverendi Padri dell'Episcopato di Lima e all'Episcopato del Perù, nella quale il Pontefice raccomanda la costruzione di Seminari', 'bxv-let-', '01 gennaio 1919', '01/01/1919', '1919/01/01'],</v>
      </c>
      <c r="Z609" s="31" t="str">
        <f t="shared" si="141"/>
        <v>Inter egregias ai Reverendi Padri dell'Episcopato di Lima e all'Episcopato del Perù, nella quale il Pontefice raccomanda la costruzione di Seminari (6941) | Benedetto XV</v>
      </c>
      <c r="AA609" s="31" t="str">
        <f t="shared" si="142"/>
        <v>Lettera Inter egregias ai Reverendi Padri dell'Episcopato di Lima e all'Episcopato del Perù, nella quale il Pontefice raccomanda la costruzione di Seminari</v>
      </c>
      <c r="AB609" s="31" t="str">
        <f t="shared" si="143"/>
        <v>Lettera Inter egregias ai Reverendi Padri dell'Episcopato di Lima e all'Episcopato del Perù, nella quale il Pontefice raccomanda la costruzione di Seminari</v>
      </c>
      <c r="AC609" s="31" t="str">
        <f t="shared" si="144"/>
        <v>Benedetto XV, Lettera Inter egregias ai Reverendi Padri dell'Episcopato di Lima e all'Episcopato del Perù, nella quale il Pontefice raccomanda la costruzione di Seminari, 01 gennaio 1919</v>
      </c>
      <c r="AD609" s="31" t="str">
        <f t="shared" si="145"/>
        <v>1919-01-01T08:00:00.000+02:00</v>
      </c>
      <c r="AE609" s="31" t="str">
        <f t="shared" si="133"/>
        <v>bxv-let-</v>
      </c>
      <c r="AF609" s="31" t="str">
        <f t="shared" si="134"/>
        <v>Benedetto XV - Lettera - Inter egregias ai Reverendi Padri dell'Episcopato di Lima e all'Episcopato del Perù, nella quale il Pontefice raccomanda la costruzione di Seminari</v>
      </c>
    </row>
    <row r="610" spans="2:32" s="31" customFormat="1" x14ac:dyDescent="0.2">
      <c r="B610" s="31">
        <v>258</v>
      </c>
      <c r="C610" s="31" t="s">
        <v>3337</v>
      </c>
      <c r="D610" s="31" t="s">
        <v>699</v>
      </c>
      <c r="E610" s="31" t="s">
        <v>738</v>
      </c>
      <c r="F610" s="31" t="s">
        <v>608</v>
      </c>
      <c r="G610" s="31" t="s">
        <v>609</v>
      </c>
      <c r="H610" s="31" t="str">
        <f t="shared" si="148"/>
        <v>Benedetto XV</v>
      </c>
      <c r="K610" s="31" t="s">
        <v>829</v>
      </c>
      <c r="L610" s="31" t="str">
        <f t="shared" si="149"/>
        <v>Lettera</v>
      </c>
      <c r="M610" s="31" t="s">
        <v>568</v>
      </c>
      <c r="O610" s="31" t="s">
        <v>3369</v>
      </c>
      <c r="Q610" s="40">
        <v>7636</v>
      </c>
      <c r="R610" s="35">
        <f t="shared" si="146"/>
        <v>26</v>
      </c>
      <c r="S610" s="35"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5">
        <f t="shared" si="147"/>
        <v>1920</v>
      </c>
      <c r="U610" s="31"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6"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31"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31">
        <v>637</v>
      </c>
      <c r="Y610" s="31" t="str">
        <f t="shared" si="140"/>
        <v>['Benedetto XV', 'Lettera', 'Plane intellegimus al Cardinale Federico Piffl, Arcivescovo di Vienna, ed ai Vescovi d’Austria afflitti da incessanti preoccupazioni e inquietudini', 'bxv-let-', '26 novembre 1920', '26/11/1920', '1920/11/26'],</v>
      </c>
      <c r="Z610" s="31" t="str">
        <f t="shared" si="141"/>
        <v>Plane intellegimus al Cardinale Federico Piffl, Arcivescovo di Vienna, ed ai Vescovi d’Austria afflitti da incessanti preoccupazioni e inquietudini (7636) | Benedetto XV</v>
      </c>
      <c r="AA610" s="31" t="str">
        <f t="shared" si="142"/>
        <v>Lettera Plane intellegimus al Cardinale Federico Piffl, Arcivescovo di Vienna, ed ai Vescovi d’Austria afflitti da incessanti preoccupazioni e inquietudini</v>
      </c>
      <c r="AB610" s="31" t="str">
        <f t="shared" si="143"/>
        <v>Lettera Plane intellegimus al Cardinale Federico Piffl, Arcivescovo di Vienna, ed ai Vescovi d’Austria afflitti da incessanti preoccupazioni e inquietudini</v>
      </c>
      <c r="AC610" s="31" t="str">
        <f t="shared" si="144"/>
        <v>Benedetto XV, Lettera Plane intellegimus al Cardinale Federico Piffl, Arcivescovo di Vienna, ed ai Vescovi d’Austria afflitti da incessanti preoccupazioni e inquietudini, 26 novembre 1920</v>
      </c>
      <c r="AD610" s="31" t="str">
        <f t="shared" si="145"/>
        <v>1920-11-26T08:00:00.000+02:00</v>
      </c>
      <c r="AE610" s="31" t="str">
        <f t="shared" si="133"/>
        <v>bxv-let-</v>
      </c>
      <c r="AF610" s="31" t="str">
        <f t="shared" si="134"/>
        <v>Benedetto XV - Lettera - Plane intellegimus al Cardinale Federico Piffl, Arcivescovo di Vienna, ed ai Vescovi d’Austria afflitti da incessanti preoccupazioni e inquietudini</v>
      </c>
    </row>
    <row r="611" spans="2:32" s="31" customFormat="1" x14ac:dyDescent="0.2">
      <c r="B611" s="31">
        <v>258</v>
      </c>
      <c r="C611" s="31" t="s">
        <v>3338</v>
      </c>
      <c r="D611" s="31" t="s">
        <v>699</v>
      </c>
      <c r="E611" s="31" t="s">
        <v>738</v>
      </c>
      <c r="F611" s="31" t="s">
        <v>608</v>
      </c>
      <c r="G611" s="31" t="s">
        <v>609</v>
      </c>
      <c r="H611" s="31" t="str">
        <f t="shared" si="148"/>
        <v>Benedetto XV</v>
      </c>
      <c r="K611" s="31" t="s">
        <v>829</v>
      </c>
      <c r="L611" s="31" t="str">
        <f t="shared" si="149"/>
        <v>Lettera</v>
      </c>
      <c r="M611" s="31" t="s">
        <v>568</v>
      </c>
      <c r="O611" s="31" t="s">
        <v>3350</v>
      </c>
      <c r="Q611" s="40">
        <v>7557</v>
      </c>
      <c r="R611" s="35">
        <f t="shared" si="146"/>
        <v>8</v>
      </c>
      <c r="S611" s="35"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5">
        <f t="shared" si="147"/>
        <v>1920</v>
      </c>
      <c r="U611" s="31"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6"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31"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31">
        <v>638</v>
      </c>
      <c r="Y611" s="31" t="str">
        <f t="shared" si="140"/>
        <v>['Benedetto XV', 'Lettera', 'Cum de Poloniae ai Cardinali Alessandro Kakowski ed Edmondo Dalbor e agli altri Vescovi della Polonia, sulla cessazione del conflitto nel Paese', 'bxv-let-', '08 settembre 1920', '08/09/1920', '1920/09/08'],</v>
      </c>
      <c r="Z611" s="31" t="str">
        <f t="shared" si="141"/>
        <v>Cum de Poloniae ai Cardinali Alessandro Kakowski ed Edmondo Dalbor e agli altri Vescovi della Polonia, sulla cessazione del conflitto nel Paese (7557) | Benedetto XV</v>
      </c>
      <c r="AA611" s="31" t="str">
        <f t="shared" si="142"/>
        <v>Lettera Cum de Poloniae ai Cardinali Alessandro Kakowski ed Edmondo Dalbor e agli altri Vescovi della Polonia, sulla cessazione del conflitto nel Paese</v>
      </c>
      <c r="AB611" s="31" t="str">
        <f t="shared" si="143"/>
        <v>Lettera Cum de Poloniae ai Cardinali Alessandro Kakowski ed Edmondo Dalbor e agli altri Vescovi della Polonia, sulla cessazione del conflitto nel Paese</v>
      </c>
      <c r="AC611" s="31" t="str">
        <f t="shared" si="144"/>
        <v>Benedetto XV, Lettera Cum de Poloniae ai Cardinali Alessandro Kakowski ed Edmondo Dalbor e agli altri Vescovi della Polonia, sulla cessazione del conflitto nel Paese, 08 settembre 1920</v>
      </c>
      <c r="AD611" s="31" t="str">
        <f t="shared" si="145"/>
        <v>1920-09-08T08:00:00.000+02:00</v>
      </c>
      <c r="AE611" s="31" t="str">
        <f t="shared" si="133"/>
        <v>bxv-let-</v>
      </c>
      <c r="AF611" s="31" t="str">
        <f t="shared" si="134"/>
        <v>Benedetto XV - Lettera - Cum de Poloniae ai Cardinali Alessandro Kakowski ed Edmondo Dalbor e agli altri Vescovi della Polonia, sulla cessazione del conflitto nel Paese</v>
      </c>
    </row>
    <row r="612" spans="2:32" s="31" customFormat="1" x14ac:dyDescent="0.2">
      <c r="B612" s="31">
        <v>258</v>
      </c>
      <c r="C612" s="31" t="s">
        <v>3339</v>
      </c>
      <c r="D612" s="31" t="s">
        <v>699</v>
      </c>
      <c r="E612" s="31" t="s">
        <v>738</v>
      </c>
      <c r="F612" s="31" t="s">
        <v>608</v>
      </c>
      <c r="G612" s="31" t="s">
        <v>609</v>
      </c>
      <c r="H612" s="31" t="str">
        <f t="shared" si="148"/>
        <v>Benedetto XV</v>
      </c>
      <c r="K612" s="31" t="s">
        <v>829</v>
      </c>
      <c r="L612" s="31" t="str">
        <f t="shared" si="149"/>
        <v>Lettera</v>
      </c>
      <c r="M612" s="31" t="s">
        <v>568</v>
      </c>
      <c r="O612" s="31" t="s">
        <v>3370</v>
      </c>
      <c r="Q612" s="40">
        <v>7543</v>
      </c>
      <c r="R612" s="35">
        <f t="shared" si="146"/>
        <v>25</v>
      </c>
      <c r="S612" s="35"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5">
        <f t="shared" si="147"/>
        <v>1920</v>
      </c>
      <c r="U612" s="31"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6"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31"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31">
        <v>639</v>
      </c>
      <c r="Y612" s="31" t="str">
        <f t="shared" si="140"/>
        <v>['Benedetto XV', 'Lettera', 'Libenter admodum al Reverendo Padre Monsignore Giacomo Stammler, Vescovo di Basilea e di Lugano, per l'istituzione di un seminario svizzero nell'Urbe, con corsi di filosofia, teologia e diritto canonico', 'bxv-let-', '25 agosto 1920', '25/08/1920', '1920/08/25'],</v>
      </c>
      <c r="Z612" s="31" t="str">
        <f t="shared" si="141"/>
        <v>Libenter admodum al Reverendo Padre Monsignore Giacomo Stammler, Vescovo di Basilea e di Lugano, per l'istituzione di un seminario svizzero nell'Urbe, con corsi di filosofia, teologia e diritto canonico (7543) | Benedetto XV</v>
      </c>
      <c r="AA612" s="31" t="str">
        <f t="shared" si="142"/>
        <v>Lettera Libenter admodum al Reverendo Padre Monsignore Giacomo Stammler, Vescovo di Basilea e di Lugano, per l'istituzione di un seminario svizzero nell'Urbe, con corsi di filosofia, teologia e diritto canonico</v>
      </c>
      <c r="AB612" s="31" t="str">
        <f t="shared" si="143"/>
        <v>Lettera Libenter admodum al Reverendo Padre Monsignore Giacomo Stammler, Vescovo di Basilea e di Lugano, per l'istituzione di un seminario svizzero nell'Urbe, con corsi di filosofia, teologia e diritto canonico</v>
      </c>
      <c r="AC612" s="31" t="str">
        <f t="shared" si="144"/>
        <v>Benedetto XV, Lettera Libenter admodum al Reverendo Padre Monsignore Giacomo Stammler, Vescovo di Basilea e di Lugano, per l'istituzione di un seminario svizzero nell'Urbe, con corsi di filosofia, teologia e diritto canonico, 25 agosto 1920</v>
      </c>
      <c r="AD612" s="31" t="str">
        <f t="shared" si="145"/>
        <v>1920-08-25T08:00:00.000+02:00</v>
      </c>
      <c r="AE612" s="31" t="str">
        <f t="shared" si="133"/>
        <v>bxv-let-</v>
      </c>
      <c r="AF612" s="31" t="str">
        <f t="shared" si="134"/>
        <v>Benedetto XV - Lettera - Libenter admodum al Reverendo Padre Monsignore Giacomo Stammler, Vescovo di Basilea e di Lugano, per l'istituzione di un seminario svizzero nell'Urbe, con corsi di filosofia, teologia e diritto canonico</v>
      </c>
    </row>
    <row r="613" spans="2:32" s="31" customFormat="1" x14ac:dyDescent="0.2">
      <c r="B613" s="31">
        <v>258</v>
      </c>
      <c r="C613" s="31" t="s">
        <v>3340</v>
      </c>
      <c r="D613" s="31" t="s">
        <v>699</v>
      </c>
      <c r="E613" s="31" t="s">
        <v>738</v>
      </c>
      <c r="F613" s="31" t="s">
        <v>608</v>
      </c>
      <c r="G613" s="31" t="s">
        <v>609</v>
      </c>
      <c r="H613" s="31" t="str">
        <f t="shared" si="148"/>
        <v>Benedetto XV</v>
      </c>
      <c r="K613" s="31" t="s">
        <v>829</v>
      </c>
      <c r="L613" s="31" t="str">
        <f t="shared" si="149"/>
        <v>Lettera</v>
      </c>
      <c r="M613" s="31" t="s">
        <v>568</v>
      </c>
      <c r="O613" s="31" t="s">
        <v>3351</v>
      </c>
      <c r="Q613" s="40">
        <v>7523</v>
      </c>
      <c r="R613" s="35">
        <f t="shared" si="146"/>
        <v>5</v>
      </c>
      <c r="S613" s="35"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5">
        <f t="shared" si="147"/>
        <v>1920</v>
      </c>
      <c r="U613" s="31"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6"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31"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31">
        <v>640</v>
      </c>
      <c r="Y613" s="31" t="str">
        <f t="shared" si="140"/>
        <v>['Benedetto XV', 'Lettera', 'Con vivo compiacimento a Sua Eminenza il Cardinale Vicario, in occasione della guerra aperta tra Russia e Polonia', 'bxv-let-', '05 agosto 1920', '05/08/1920', '1920/08/05'],</v>
      </c>
      <c r="Z613" s="31" t="str">
        <f t="shared" si="141"/>
        <v>Con vivo compiacimento a Sua Eminenza il Cardinale Vicario, in occasione della guerra aperta tra Russia e Polonia (7523) | Benedetto XV</v>
      </c>
      <c r="AA613" s="31" t="str">
        <f t="shared" si="142"/>
        <v>Lettera Con vivo compiacimento a Sua Eminenza il Cardinale Vicario, in occasione della guerra aperta tra Russia e Polonia</v>
      </c>
      <c r="AB613" s="31" t="str">
        <f t="shared" si="143"/>
        <v>Lettera Con vivo compiacimento a Sua Eminenza il Cardinale Vicario, in occasione della guerra aperta tra Russia e Polonia</v>
      </c>
      <c r="AC613" s="31" t="str">
        <f t="shared" si="144"/>
        <v>Benedetto XV, Lettera Con vivo compiacimento a Sua Eminenza il Cardinale Vicario, in occasione della guerra aperta tra Russia e Polonia, 05 agosto 1920</v>
      </c>
      <c r="AD613" s="31" t="str">
        <f t="shared" si="145"/>
        <v>1920-08-05T08:00:00.000+02:00</v>
      </c>
      <c r="AE613" s="31" t="str">
        <f t="shared" si="133"/>
        <v>bxv-let-</v>
      </c>
      <c r="AF613" s="31" t="str">
        <f t="shared" si="134"/>
        <v>Benedetto XV - Lettera - Con vivo compiacimento a Sua Eminenza il Cardinale Vicario, in occasione della guerra aperta tra Russia e Polonia</v>
      </c>
    </row>
    <row r="614" spans="2:32" s="31" customFormat="1" x14ac:dyDescent="0.2">
      <c r="B614" s="31">
        <v>258</v>
      </c>
      <c r="C614" s="31" t="s">
        <v>3341</v>
      </c>
      <c r="D614" s="31" t="s">
        <v>699</v>
      </c>
      <c r="E614" s="31" t="s">
        <v>738</v>
      </c>
      <c r="F614" s="31" t="s">
        <v>608</v>
      </c>
      <c r="G614" s="31" t="s">
        <v>609</v>
      </c>
      <c r="H614" s="31" t="str">
        <f t="shared" si="148"/>
        <v>Benedetto XV</v>
      </c>
      <c r="K614" s="31" t="s">
        <v>829</v>
      </c>
      <c r="L614" s="31" t="str">
        <f t="shared" si="149"/>
        <v>Lettera</v>
      </c>
      <c r="M614" s="31" t="s">
        <v>568</v>
      </c>
      <c r="O614" s="31" t="s">
        <v>3352</v>
      </c>
      <c r="Q614" s="40">
        <v>7512</v>
      </c>
      <c r="R614" s="35">
        <f t="shared" si="146"/>
        <v>25</v>
      </c>
      <c r="S614" s="35"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5">
        <f t="shared" si="147"/>
        <v>1920</v>
      </c>
      <c r="U614" s="31"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6"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31"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31">
        <v>641</v>
      </c>
      <c r="Y614" s="31" t="str">
        <f t="shared" si="140"/>
        <v>['Benedetto XV', 'Lettera', 'Optime Profecto ai RR. PP. Giacomo Agostino, Arcivescovo di Sant’Andrea e di Edimburgo, e agli altri Vescovi della Scozia, sull'importanza del Collegio Romano degli Scozzesi', 'bxv-let-', '25 luglio 1920', '25/07/1920', '1920/07/25'],</v>
      </c>
      <c r="Z614" s="31" t="str">
        <f t="shared" si="141"/>
        <v>Optime Profecto ai RR. PP. Giacomo Agostino, Arcivescovo di Sant’Andrea e di Edimburgo, e agli altri Vescovi della Scozia, sull'importanza del Collegio Romano degli Scozzesi (7512) | Benedetto XV</v>
      </c>
      <c r="AA614" s="31" t="str">
        <f t="shared" si="142"/>
        <v>Lettera Optime Profecto ai RR. PP. Giacomo Agostino, Arcivescovo di Sant’Andrea e di Edimburgo, e agli altri Vescovi della Scozia, sull'importanza del Collegio Romano degli Scozzesi</v>
      </c>
      <c r="AB614" s="31" t="str">
        <f t="shared" si="143"/>
        <v>Lettera Optime Profecto ai RR. PP. Giacomo Agostino, Arcivescovo di Sant’Andrea e di Edimburgo, e agli altri Vescovi della Scozia, sull'importanza del Collegio Romano degli Scozzesi</v>
      </c>
      <c r="AC614" s="31" t="str">
        <f t="shared" si="144"/>
        <v>Benedetto XV, Lettera Optime Profecto ai RR. PP. Giacomo Agostino, Arcivescovo di Sant’Andrea e di Edimburgo, e agli altri Vescovi della Scozia, sull'importanza del Collegio Romano degli Scozzesi, 25 luglio 1920</v>
      </c>
      <c r="AD614" s="31" t="str">
        <f t="shared" si="145"/>
        <v>1920-07-25T08:00:00.000+02:00</v>
      </c>
      <c r="AE614" s="31" t="str">
        <f t="shared" si="133"/>
        <v>bxv-let-</v>
      </c>
      <c r="AF614" s="31" t="str">
        <f t="shared" si="134"/>
        <v>Benedetto XV - Lettera - Optime Profecto ai RR. PP. Giacomo Agostino, Arcivescovo di Sant’Andrea e di Edimburgo, e agli altri Vescovi della Scozia, sull'importanza del Collegio Romano degli Scozzesi</v>
      </c>
    </row>
    <row r="615" spans="2:32" s="31" customFormat="1" x14ac:dyDescent="0.2">
      <c r="B615" s="31">
        <v>258</v>
      </c>
      <c r="C615" s="31" t="s">
        <v>3342</v>
      </c>
      <c r="D615" s="31" t="s">
        <v>699</v>
      </c>
      <c r="E615" s="31" t="s">
        <v>738</v>
      </c>
      <c r="F615" s="31" t="s">
        <v>608</v>
      </c>
      <c r="G615" s="31" t="s">
        <v>609</v>
      </c>
      <c r="H615" s="31" t="str">
        <f t="shared" si="148"/>
        <v>Benedetto XV</v>
      </c>
      <c r="K615" s="31" t="s">
        <v>829</v>
      </c>
      <c r="L615" s="31" t="str">
        <f t="shared" si="149"/>
        <v>Lettera</v>
      </c>
      <c r="M615" s="31" t="s">
        <v>568</v>
      </c>
      <c r="O615" s="31" t="s">
        <v>3353</v>
      </c>
      <c r="Q615" s="40">
        <v>7479</v>
      </c>
      <c r="R615" s="35">
        <f t="shared" si="146"/>
        <v>22</v>
      </c>
      <c r="S615" s="35"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5">
        <f t="shared" si="147"/>
        <v>1920</v>
      </c>
      <c r="U615" s="31"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6"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31"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31">
        <v>642</v>
      </c>
      <c r="Y615" s="31" t="str">
        <f t="shared" si="140"/>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31" t="str">
        <f t="shared" si="141"/>
        <v>Gratis Vos al Cardinale di Santa Romana Chiesa Giorgio Gusmini, Arcivescovo di Bologna, e agli altri Arcivescovi e Vescovi della Regione Flaminia, affinché le lotte sociali si svolgano nel rispetto della giustizia e nell'osservanza della pace (7479) | Benedetto XV</v>
      </c>
      <c r="AA615" s="31" t="str">
        <f t="shared" si="142"/>
        <v>Lettera Gratis Vos al Cardinale di Santa Romana Chiesa Giorgio Gusmini, Arcivescovo di Bologna, e agli altri Arcivescovi e Vescovi della Regione Flaminia, affinché le lotte sociali si svolgano nel rispetto della giustizia e nell'osservanza della pace</v>
      </c>
      <c r="AB615" s="31" t="str">
        <f t="shared" si="143"/>
        <v>Lettera Gratis Vos al Cardinale di Santa Romana Chiesa Giorgio Gusmini, Arcivescovo di Bologna, e agli altri Arcivescovi e Vescovi della Regione Flaminia, affinché le lotte sociali si svolgano nel rispetto della giustizia e nell'osservanza della pace</v>
      </c>
      <c r="AC615" s="31" t="str">
        <f t="shared" si="144"/>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31" t="str">
        <f t="shared" si="145"/>
        <v>1920-06-22T08:00:00.000+02:00</v>
      </c>
      <c r="AE615" s="31" t="str">
        <f t="shared" ref="AE615:AE678" si="150">_xlfn.CONCAT(F615 &amp; "-" &amp; M615 &amp; "-" &amp; P615)</f>
        <v>bxv-let-</v>
      </c>
      <c r="AF615" s="31" t="str">
        <f t="shared" ref="AF615:AF678" si="151">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31" customFormat="1" x14ac:dyDescent="0.2">
      <c r="B616" s="31">
        <v>258</v>
      </c>
      <c r="C616" s="31" t="s">
        <v>3343</v>
      </c>
      <c r="D616" s="31" t="s">
        <v>699</v>
      </c>
      <c r="E616" s="31" t="s">
        <v>738</v>
      </c>
      <c r="F616" s="31" t="s">
        <v>608</v>
      </c>
      <c r="G616" s="31" t="s">
        <v>609</v>
      </c>
      <c r="H616" s="31" t="str">
        <f t="shared" si="148"/>
        <v>Benedetto XV</v>
      </c>
      <c r="K616" s="31" t="s">
        <v>829</v>
      </c>
      <c r="L616" s="31" t="str">
        <f t="shared" si="149"/>
        <v>Lettera</v>
      </c>
      <c r="M616" s="31" t="s">
        <v>568</v>
      </c>
      <c r="O616" s="31" t="s">
        <v>3354</v>
      </c>
      <c r="Q616" s="40">
        <v>7471</v>
      </c>
      <c r="R616" s="35">
        <f t="shared" si="146"/>
        <v>14</v>
      </c>
      <c r="S616" s="35"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5">
        <f t="shared" si="147"/>
        <v>1920</v>
      </c>
      <c r="U616" s="31"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6"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31"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31">
        <v>643</v>
      </c>
      <c r="Y616" s="31" t="str">
        <f t="shared" si="140"/>
        <v>['Benedetto XV', 'Lettera', 'Intelleximus ex iis ai Vescovi della Regione Veneta, preoccupati per i conflitti sociali che turbano la tranquillità della popolazione', 'bxv-let-', '14 giugno 1920', '14/06/1920', '1920/06/14'],</v>
      </c>
      <c r="Z616" s="31" t="str">
        <f t="shared" si="141"/>
        <v>Intelleximus ex iis ai Vescovi della Regione Veneta, preoccupati per i conflitti sociali che turbano la tranquillità della popolazione (7471) | Benedetto XV</v>
      </c>
      <c r="AA616" s="31" t="str">
        <f t="shared" si="142"/>
        <v>Lettera Intelleximus ex iis ai Vescovi della Regione Veneta, preoccupati per i conflitti sociali che turbano la tranquillità della popolazione</v>
      </c>
      <c r="AB616" s="31" t="str">
        <f t="shared" si="143"/>
        <v>Lettera Intelleximus ex iis ai Vescovi della Regione Veneta, preoccupati per i conflitti sociali che turbano la tranquillità della popolazione</v>
      </c>
      <c r="AC616" s="31" t="str">
        <f t="shared" si="144"/>
        <v>Benedetto XV, Lettera Intelleximus ex iis ai Vescovi della Regione Veneta, preoccupati per i conflitti sociali che turbano la tranquillità della popolazione, 14 giugno 1920</v>
      </c>
      <c r="AD616" s="31" t="str">
        <f t="shared" si="145"/>
        <v>1920-06-14T08:00:00.000+02:00</v>
      </c>
      <c r="AE616" s="31" t="str">
        <f t="shared" si="150"/>
        <v>bxv-let-</v>
      </c>
      <c r="AF616" s="31" t="str">
        <f t="shared" si="151"/>
        <v>Benedetto XV - Lettera - Intelleximus ex iis ai Vescovi della Regione Veneta, preoccupati per i conflitti sociali che turbano la tranquillità della popolazione</v>
      </c>
    </row>
    <row r="617" spans="2:32" s="31" customFormat="1" x14ac:dyDescent="0.2">
      <c r="B617" s="31">
        <v>258</v>
      </c>
      <c r="C617" s="31" t="s">
        <v>3344</v>
      </c>
      <c r="D617" s="31" t="s">
        <v>699</v>
      </c>
      <c r="E617" s="31" t="s">
        <v>738</v>
      </c>
      <c r="F617" s="31" t="s">
        <v>608</v>
      </c>
      <c r="G617" s="31" t="s">
        <v>609</v>
      </c>
      <c r="H617" s="31" t="str">
        <f t="shared" si="148"/>
        <v>Benedetto XV</v>
      </c>
      <c r="K617" s="31" t="s">
        <v>829</v>
      </c>
      <c r="L617" s="31" t="str">
        <f t="shared" si="149"/>
        <v>Lettera</v>
      </c>
      <c r="M617" s="31" t="s">
        <v>568</v>
      </c>
      <c r="O617" s="31" t="s">
        <v>3355</v>
      </c>
      <c r="Q617" s="40">
        <v>7441</v>
      </c>
      <c r="R617" s="35">
        <f t="shared" si="146"/>
        <v>15</v>
      </c>
      <c r="S617" s="35"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5">
        <f t="shared" si="147"/>
        <v>1920</v>
      </c>
      <c r="U617" s="31"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6"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31"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31">
        <v>644</v>
      </c>
      <c r="Y617" s="31" t="str">
        <f t="shared" si="140"/>
        <v>['Benedetto XV', 'Lettera', 'La notizia al R.P. Paolo Albera, Rettore della Pia Società di San Francesco di Sales, in occasione della celebrazione dell'ottavo Congresso Internazionale a Torino', 'bxv-let-', '15 maggio 1920', '15/05/1920', '1920/05/15'],</v>
      </c>
      <c r="Z617" s="31" t="str">
        <f t="shared" si="141"/>
        <v>La notizia al R.P. Paolo Albera, Rettore della Pia Società di San Francesco di Sales, in occasione della celebrazione dell'ottavo Congresso Internazionale a Torino (7441) | Benedetto XV</v>
      </c>
      <c r="AA617" s="31" t="str">
        <f t="shared" si="142"/>
        <v>Lettera La notizia al R.P. Paolo Albera, Rettore della Pia Società di San Francesco di Sales, in occasione della celebrazione dell'ottavo Congresso Internazionale a Torino</v>
      </c>
      <c r="AB617" s="31" t="str">
        <f t="shared" si="143"/>
        <v>Lettera La notizia al R.P. Paolo Albera, Rettore della Pia Società di San Francesco di Sales, in occasione della celebrazione dell'ottavo Congresso Internazionale a Torino</v>
      </c>
      <c r="AC617" s="31" t="str">
        <f t="shared" si="144"/>
        <v>Benedetto XV, Lettera La notizia al R.P. Paolo Albera, Rettore della Pia Società di San Francesco di Sales, in occasione della celebrazione dell'ottavo Congresso Internazionale a Torino, 15 maggio 1920</v>
      </c>
      <c r="AD617" s="31" t="str">
        <f t="shared" si="145"/>
        <v>1920-05-15T08:00:00.000+02:00</v>
      </c>
      <c r="AE617" s="31" t="str">
        <f t="shared" si="150"/>
        <v>bxv-let-</v>
      </c>
      <c r="AF617" s="31" t="str">
        <f t="shared" si="151"/>
        <v>Benedetto XV - Lettera - La notizia al R.P. Paolo Albera, Rettore della Pia Società di San Francesco di Sales, in occasione della celebrazione dell'ottavo Congresso Internazionale a Torino</v>
      </c>
    </row>
    <row r="618" spans="2:32" s="31" customFormat="1" x14ac:dyDescent="0.2">
      <c r="B618" s="31">
        <v>258</v>
      </c>
      <c r="C618" s="31" t="s">
        <v>3345</v>
      </c>
      <c r="D618" s="31" t="s">
        <v>699</v>
      </c>
      <c r="E618" s="31" t="s">
        <v>738</v>
      </c>
      <c r="F618" s="31" t="s">
        <v>608</v>
      </c>
      <c r="G618" s="31" t="s">
        <v>609</v>
      </c>
      <c r="H618" s="31" t="str">
        <f t="shared" si="148"/>
        <v>Benedetto XV</v>
      </c>
      <c r="K618" s="31" t="s">
        <v>829</v>
      </c>
      <c r="L618" s="31" t="str">
        <f t="shared" si="149"/>
        <v>Lettera</v>
      </c>
      <c r="M618" s="31" t="s">
        <v>568</v>
      </c>
      <c r="O618" s="31" t="s">
        <v>3356</v>
      </c>
      <c r="Q618" s="40">
        <v>7398</v>
      </c>
      <c r="R618" s="35">
        <f t="shared" si="146"/>
        <v>2</v>
      </c>
      <c r="S618" s="35"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5">
        <f t="shared" si="147"/>
        <v>1920</v>
      </c>
      <c r="U618" s="31"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6"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31"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31">
        <v>645</v>
      </c>
      <c r="Y618" s="31" t="str">
        <f t="shared" si="140"/>
        <v>['Benedetto XV', 'Lettera', 'Quamquam satis al Reverendo don Luigi Orione, Rettore della Piccola Opera della Divina Provvidenza, in occasione del 25° anno di sacerdozio', 'bxv-let-', '02 aprile 1920', '02/04/1920', '1920/04/02'],</v>
      </c>
      <c r="Z618" s="31" t="str">
        <f t="shared" si="141"/>
        <v>Quamquam satis al Reverendo don Luigi Orione, Rettore della Piccola Opera della Divina Provvidenza, in occasione del 25° anno di sacerdozio (7398) | Benedetto XV</v>
      </c>
      <c r="AA618" s="31" t="str">
        <f t="shared" si="142"/>
        <v>Lettera Quamquam satis al Reverendo don Luigi Orione, Rettore della Piccola Opera della Divina Provvidenza, in occasione del 25° anno di sacerdozio</v>
      </c>
      <c r="AB618" s="31" t="str">
        <f t="shared" si="143"/>
        <v>Lettera Quamquam satis al Reverendo don Luigi Orione, Rettore della Piccola Opera della Divina Provvidenza, in occasione del 25° anno di sacerdozio</v>
      </c>
      <c r="AC618" s="31" t="str">
        <f t="shared" si="144"/>
        <v>Benedetto XV, Lettera Quamquam satis al Reverendo don Luigi Orione, Rettore della Piccola Opera della Divina Provvidenza, in occasione del 25° anno di sacerdozio, 02 aprile 1920</v>
      </c>
      <c r="AD618" s="31" t="str">
        <f t="shared" si="145"/>
        <v>1920-04-02T08:00:00.000+02:00</v>
      </c>
      <c r="AE618" s="31" t="str">
        <f t="shared" si="150"/>
        <v>bxv-let-</v>
      </c>
      <c r="AF618" s="31" t="str">
        <f t="shared" si="151"/>
        <v>Benedetto XV - Lettera - Quamquam satis al Reverendo don Luigi Orione, Rettore della Piccola Opera della Divina Provvidenza, in occasione del 25° anno di sacerdozio</v>
      </c>
    </row>
    <row r="619" spans="2:32" s="31" customFormat="1" x14ac:dyDescent="0.2">
      <c r="B619" s="31">
        <v>258</v>
      </c>
      <c r="C619" s="31" t="s">
        <v>3346</v>
      </c>
      <c r="D619" s="31" t="s">
        <v>699</v>
      </c>
      <c r="E619" s="31" t="s">
        <v>738</v>
      </c>
      <c r="F619" s="31" t="s">
        <v>608</v>
      </c>
      <c r="G619" s="31" t="s">
        <v>609</v>
      </c>
      <c r="H619" s="31" t="str">
        <f t="shared" si="148"/>
        <v>Benedetto XV</v>
      </c>
      <c r="K619" s="31" t="s">
        <v>829</v>
      </c>
      <c r="L619" s="31" t="str">
        <f t="shared" si="149"/>
        <v>Lettera</v>
      </c>
      <c r="M619" s="31" t="s">
        <v>568</v>
      </c>
      <c r="O619" s="31" t="s">
        <v>3357</v>
      </c>
      <c r="Q619" s="40">
        <v>7376</v>
      </c>
      <c r="R619" s="35">
        <f t="shared" si="146"/>
        <v>11</v>
      </c>
      <c r="S619" s="35"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5">
        <f t="shared" si="147"/>
        <v>1920</v>
      </c>
      <c r="U619" s="31"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6"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31"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31">
        <v>646</v>
      </c>
      <c r="Y619" s="31" t="str">
        <f t="shared" si="140"/>
        <v>['Benedetto XV', 'Lettera', 'Soliti Nos al R. P. Luigi Maria Marelli, Vescovo di Bergamo, sulla necessità di diffidare dalla propaganda dei socialisti', 'bxv-let-', '11 marzo 1920', '11/03/1920', '1920/03/11'],</v>
      </c>
      <c r="Z619" s="31" t="str">
        <f t="shared" si="141"/>
        <v>Soliti Nos al R. P. Luigi Maria Marelli, Vescovo di Bergamo, sulla necessità di diffidare dalla propaganda dei socialisti (7376) | Benedetto XV</v>
      </c>
      <c r="AA619" s="31" t="str">
        <f t="shared" si="142"/>
        <v>Lettera Soliti Nos al R. P. Luigi Maria Marelli, Vescovo di Bergamo, sulla necessità di diffidare dalla propaganda dei socialisti</v>
      </c>
      <c r="AB619" s="31" t="str">
        <f t="shared" si="143"/>
        <v>Lettera Soliti Nos al R. P. Luigi Maria Marelli, Vescovo di Bergamo, sulla necessità di diffidare dalla propaganda dei socialisti</v>
      </c>
      <c r="AC619" s="31" t="str">
        <f t="shared" si="144"/>
        <v>Benedetto XV, Lettera Soliti Nos al R. P. Luigi Maria Marelli, Vescovo di Bergamo, sulla necessità di diffidare dalla propaganda dei socialisti, 11 marzo 1920</v>
      </c>
      <c r="AD619" s="31" t="str">
        <f t="shared" si="145"/>
        <v>1920-03-11T08:00:00.000+02:00</v>
      </c>
      <c r="AE619" s="31" t="str">
        <f t="shared" si="150"/>
        <v>bxv-let-</v>
      </c>
      <c r="AF619" s="31" t="str">
        <f t="shared" si="151"/>
        <v>Benedetto XV - Lettera - Soliti Nos al R. P. Luigi Maria Marelli, Vescovo di Bergamo, sulla necessità di diffidare dalla propaganda dei socialisti</v>
      </c>
    </row>
    <row r="620" spans="2:32" s="31" customFormat="1" x14ac:dyDescent="0.2">
      <c r="B620" s="31">
        <v>258</v>
      </c>
      <c r="C620" s="31" t="s">
        <v>3347</v>
      </c>
      <c r="D620" s="31" t="s">
        <v>699</v>
      </c>
      <c r="E620" s="31" t="s">
        <v>738</v>
      </c>
      <c r="F620" s="31" t="s">
        <v>608</v>
      </c>
      <c r="G620" s="31" t="s">
        <v>609</v>
      </c>
      <c r="H620" s="31" t="str">
        <f t="shared" si="148"/>
        <v>Benedetto XV</v>
      </c>
      <c r="K620" s="31" t="s">
        <v>829</v>
      </c>
      <c r="L620" s="31" t="str">
        <f t="shared" si="149"/>
        <v>Lettera</v>
      </c>
      <c r="M620" s="31" t="s">
        <v>568</v>
      </c>
      <c r="O620" s="31" t="s">
        <v>3358</v>
      </c>
      <c r="Q620" s="40">
        <v>7334</v>
      </c>
      <c r="R620" s="35">
        <f t="shared" si="146"/>
        <v>29</v>
      </c>
      <c r="S620" s="35"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5">
        <f t="shared" si="147"/>
        <v>1920</v>
      </c>
      <c r="U620" s="31"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6"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31"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31">
        <v>647</v>
      </c>
      <c r="Y620" s="31" t="str">
        <f t="shared" si="140"/>
        <v>['Benedetto XV', 'Lettera', 'Cum in catholicae Al R. P. Francesco Kordac, Arcivescovo di Praga, sulla richiesta da parte di alcuni sacerdoti di abolire o mitigare la legge sul celibato ecclesiastico', 'bxv-let-', '29 gennaio 1920', '29/01/1920', '1920/01/29'],</v>
      </c>
      <c r="Z620" s="31" t="str">
        <f t="shared" si="141"/>
        <v>Cum in catholicae Al R. P. Francesco Kordac, Arcivescovo di Praga, sulla richiesta da parte di alcuni sacerdoti di abolire o mitigare la legge sul celibato ecclesiastico (7334) | Benedetto XV</v>
      </c>
      <c r="AA620" s="31" t="str">
        <f t="shared" si="142"/>
        <v>Lettera Cum in catholicae Al R. P. Francesco Kordac, Arcivescovo di Praga, sulla richiesta da parte di alcuni sacerdoti di abolire o mitigare la legge sul celibato ecclesiastico</v>
      </c>
      <c r="AB620" s="31" t="str">
        <f t="shared" si="143"/>
        <v>Lettera Cum in catholicae Al R. P. Francesco Kordac, Arcivescovo di Praga, sulla richiesta da parte di alcuni sacerdoti di abolire o mitigare la legge sul celibato ecclesiastico</v>
      </c>
      <c r="AC620" s="31" t="str">
        <f t="shared" si="144"/>
        <v>Benedetto XV, Lettera Cum in catholicae Al R. P. Francesco Kordac, Arcivescovo di Praga, sulla richiesta da parte di alcuni sacerdoti di abolire o mitigare la legge sul celibato ecclesiastico, 29 gennaio 1920</v>
      </c>
      <c r="AD620" s="31" t="str">
        <f t="shared" si="145"/>
        <v>1920-01-29T08:00:00.000+02:00</v>
      </c>
      <c r="AE620" s="31" t="str">
        <f t="shared" si="150"/>
        <v>bxv-let-</v>
      </c>
      <c r="AF620" s="31" t="str">
        <f t="shared" si="151"/>
        <v>Benedetto XV - Lettera - Cum in catholicae Al R. P. Francesco Kordac, Arcivescovo di Praga, sulla richiesta da parte di alcuni sacerdoti di abolire o mitigare la legge sul celibato ecclesiastico</v>
      </c>
    </row>
    <row r="621" spans="2:32" s="31" customFormat="1" x14ac:dyDescent="0.2">
      <c r="B621" s="31">
        <v>258</v>
      </c>
      <c r="C621" s="31" t="s">
        <v>3348</v>
      </c>
      <c r="D621" s="31" t="s">
        <v>699</v>
      </c>
      <c r="E621" s="31" t="s">
        <v>738</v>
      </c>
      <c r="F621" s="31" t="s">
        <v>608</v>
      </c>
      <c r="G621" s="31" t="s">
        <v>609</v>
      </c>
      <c r="H621" s="31" t="str">
        <f t="shared" si="148"/>
        <v>Benedetto XV</v>
      </c>
      <c r="K621" s="31" t="s">
        <v>829</v>
      </c>
      <c r="L621" s="31" t="str">
        <f t="shared" si="149"/>
        <v>Lettera</v>
      </c>
      <c r="M621" s="31" t="s">
        <v>568</v>
      </c>
      <c r="O621" s="31" t="s">
        <v>3359</v>
      </c>
      <c r="Q621" s="40">
        <v>7314</v>
      </c>
      <c r="R621" s="35">
        <f t="shared" si="146"/>
        <v>9</v>
      </c>
      <c r="S621" s="35"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5">
        <f t="shared" si="147"/>
        <v>1920</v>
      </c>
      <c r="U621" s="31"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6"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31"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31">
        <v>648</v>
      </c>
      <c r="Y621" s="31" t="str">
        <f t="shared" si="140"/>
        <v>['Benedetto XV', 'Lettera', 'Par l’intermédiaire all’illustrissimo Signore Erberto Hoover, Commissario ai viveri negli Stati Uniti, per l’opera svolta a favore dei bimbi europei colpiti dalla fame a seguito della guerra', 'bxv-let-', '09 gennaio 1920', '09/01/1920', '1920/01/09'],</v>
      </c>
      <c r="Z621" s="31" t="str">
        <f t="shared" si="141"/>
        <v>Par l’intermédiaire all’illustrissimo Signore Erberto Hoover, Commissario ai viveri negli Stati Uniti, per l’opera svolta a favore dei bimbi europei colpiti dalla fame a seguito della guerra (7314) | Benedetto XV</v>
      </c>
      <c r="AA621" s="31" t="str">
        <f t="shared" si="142"/>
        <v>Lettera Par l’intermédiaire all’illustrissimo Signore Erberto Hoover, Commissario ai viveri negli Stati Uniti, per l’opera svolta a favore dei bimbi europei colpiti dalla fame a seguito della guerra</v>
      </c>
      <c r="AB621" s="31" t="str">
        <f t="shared" si="143"/>
        <v>Lettera Par l’intermédiaire all’illustrissimo Signore Erberto Hoover, Commissario ai viveri negli Stati Uniti, per l’opera svolta a favore dei bimbi europei colpiti dalla fame a seguito della guerra</v>
      </c>
      <c r="AC621" s="31" t="str">
        <f t="shared" si="144"/>
        <v>Benedetto XV, Lettera Par l’intermédiaire all’illustrissimo Signore Erberto Hoover, Commissario ai viveri negli Stati Uniti, per l’opera svolta a favore dei bimbi europei colpiti dalla fame a seguito della guerra, 09 gennaio 1920</v>
      </c>
      <c r="AD621" s="31" t="str">
        <f t="shared" si="145"/>
        <v>1920-01-09T08:00:00.000+02:00</v>
      </c>
      <c r="AE621" s="31" t="str">
        <f t="shared" si="150"/>
        <v>bxv-let-</v>
      </c>
      <c r="AF621" s="31" t="str">
        <f t="shared" si="151"/>
        <v>Benedetto XV - Lettera - Par l’intermédiaire all’illustrissimo Signore Erberto Hoover, Commissario ai viveri negli Stati Uniti, per l’opera svolta a favore dei bimbi europei colpiti dalla fame a seguito della guerra</v>
      </c>
    </row>
    <row r="622" spans="2:32" s="31" customFormat="1" x14ac:dyDescent="0.2">
      <c r="B622" s="31">
        <v>258</v>
      </c>
      <c r="C622" s="31" t="s">
        <v>3349</v>
      </c>
      <c r="D622" s="31" t="s">
        <v>699</v>
      </c>
      <c r="E622" s="31" t="s">
        <v>738</v>
      </c>
      <c r="F622" s="31" t="s">
        <v>608</v>
      </c>
      <c r="G622" s="31" t="s">
        <v>609</v>
      </c>
      <c r="H622" s="31" t="str">
        <f t="shared" si="148"/>
        <v>Benedetto XV</v>
      </c>
      <c r="K622" s="31" t="s">
        <v>829</v>
      </c>
      <c r="L622" s="31" t="str">
        <f t="shared" si="149"/>
        <v>Lettera</v>
      </c>
      <c r="M622" s="31" t="s">
        <v>568</v>
      </c>
      <c r="O622" s="31" t="s">
        <v>3360</v>
      </c>
      <c r="Q622" s="40">
        <v>7308</v>
      </c>
      <c r="R622" s="35">
        <f t="shared" si="146"/>
        <v>3</v>
      </c>
      <c r="S622" s="35"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5">
        <f t="shared" si="147"/>
        <v>1920</v>
      </c>
      <c r="U622" s="31"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6"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31"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31">
        <v>649</v>
      </c>
      <c r="Y622" s="31" t="str">
        <f t="shared" si="140"/>
        <v>['Benedetto XV', 'Lettera', 'Quandoquidem non, con la quale il Pontefice invita i Vescovi della Boemia a riunirsi a Praga per esaminare i problemi che sono maturati nelle loro diocesi', 'bxv-let-', '03 gennaio 1920', '03/01/1920', '1920/01/03'],</v>
      </c>
      <c r="Z622" s="31" t="str">
        <f t="shared" si="141"/>
        <v>Quandoquidem non, con la quale il Pontefice invita i Vescovi della Boemia a riunirsi a Praga per esaminare i problemi che sono maturati nelle loro diocesi (7308) | Benedetto XV</v>
      </c>
      <c r="AA622" s="31" t="str">
        <f t="shared" si="142"/>
        <v>Lettera Quandoquidem non, con la quale il Pontefice invita i Vescovi della Boemia a riunirsi a Praga per esaminare i problemi che sono maturati nelle loro diocesi</v>
      </c>
      <c r="AB622" s="31" t="str">
        <f t="shared" si="143"/>
        <v>Lettera Quandoquidem non, con la quale il Pontefice invita i Vescovi della Boemia a riunirsi a Praga per esaminare i problemi che sono maturati nelle loro diocesi</v>
      </c>
      <c r="AC622" s="31" t="str">
        <f t="shared" si="144"/>
        <v>Benedetto XV, Lettera Quandoquidem non, con la quale il Pontefice invita i Vescovi della Boemia a riunirsi a Praga per esaminare i problemi che sono maturati nelle loro diocesi, 03 gennaio 1920</v>
      </c>
      <c r="AD622" s="31" t="str">
        <f t="shared" si="145"/>
        <v>1920-01-03T08:00:00.000+02:00</v>
      </c>
      <c r="AE622" s="31" t="str">
        <f t="shared" si="150"/>
        <v>bxv-let-</v>
      </c>
      <c r="AF622" s="31" t="str">
        <f t="shared" si="151"/>
        <v>Benedetto XV - Lettera - Quandoquidem non, con la quale il Pontefice invita i Vescovi della Boemia a riunirsi a Praga per esaminare i problemi che sono maturati nelle loro diocesi</v>
      </c>
    </row>
    <row r="623" spans="2:32" s="31" customFormat="1" x14ac:dyDescent="0.2">
      <c r="B623" s="31">
        <v>258</v>
      </c>
      <c r="C623" s="31" t="s">
        <v>3384</v>
      </c>
      <c r="D623" s="31" t="s">
        <v>699</v>
      </c>
      <c r="E623" s="31" t="s">
        <v>738</v>
      </c>
      <c r="F623" s="31" t="s">
        <v>608</v>
      </c>
      <c r="G623" s="31" t="s">
        <v>609</v>
      </c>
      <c r="H623" s="31" t="str">
        <f t="shared" si="148"/>
        <v>Benedetto XV</v>
      </c>
      <c r="K623" s="31" t="s">
        <v>829</v>
      </c>
      <c r="L623" s="31" t="str">
        <f t="shared" si="149"/>
        <v>Lettera</v>
      </c>
      <c r="M623" s="31" t="s">
        <v>568</v>
      </c>
      <c r="O623" s="31" t="s">
        <v>3371</v>
      </c>
      <c r="Q623" s="40">
        <v>8010</v>
      </c>
      <c r="R623" s="35">
        <f t="shared" si="146"/>
        <v>5</v>
      </c>
      <c r="S623" s="35"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5">
        <f t="shared" si="147"/>
        <v>1921</v>
      </c>
      <c r="U623" s="31"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6"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31"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31">
        <v>650</v>
      </c>
      <c r="Y623" s="31" t="str">
        <f t="shared" si="140"/>
        <v>['Benedetto XV', 'Lettera', 'a Bartolo Longo in occasione del trentesimo anniversario dell'istituzione dell'Ospizio Educativo per i figli dei carcerati', 'bxv-let-', '05 dicembre 1921', '05/12/1921', '1921/12/05'],</v>
      </c>
      <c r="Z623" s="31" t="str">
        <f t="shared" si="141"/>
        <v>a Bartolo Longo in occasione del trentesimo anniversario dell'istituzione dell'Ospizio Educativo per i figli dei carcerati (8010) | Benedetto XV</v>
      </c>
      <c r="AA623" s="31" t="str">
        <f t="shared" si="142"/>
        <v>Lettera a Bartolo Longo in occasione del trentesimo anniversario dell'istituzione dell'Ospizio Educativo per i figli dei carcerati</v>
      </c>
      <c r="AB623" s="31" t="str">
        <f t="shared" si="143"/>
        <v>Lettera a Bartolo Longo in occasione del trentesimo anniversario dell'istituzione dell'Ospizio Educativo per i figli dei carcerati</v>
      </c>
      <c r="AC623" s="31" t="str">
        <f t="shared" si="144"/>
        <v>Benedetto XV, Lettera a Bartolo Longo in occasione del trentesimo anniversario dell'istituzione dell'Ospizio Educativo per i figli dei carcerati, 05 dicembre 1921</v>
      </c>
      <c r="AD623" s="31" t="str">
        <f t="shared" si="145"/>
        <v>1921-12-05T08:00:00.000+02:00</v>
      </c>
      <c r="AE623" s="31" t="str">
        <f t="shared" si="150"/>
        <v>bxv-let-</v>
      </c>
      <c r="AF623" s="31" t="str">
        <f t="shared" si="151"/>
        <v>Benedetto XV - Lettera - a Bartolo Longo in occasione del trentesimo anniversario dell'istituzione dell'Ospizio Educativo per i figli dei carcerati</v>
      </c>
    </row>
    <row r="624" spans="2:32" s="31" customFormat="1" x14ac:dyDescent="0.2">
      <c r="B624" s="31">
        <v>258</v>
      </c>
      <c r="C624" s="31" t="s">
        <v>3385</v>
      </c>
      <c r="D624" s="31" t="s">
        <v>699</v>
      </c>
      <c r="E624" s="31" t="s">
        <v>738</v>
      </c>
      <c r="F624" s="31" t="s">
        <v>608</v>
      </c>
      <c r="G624" s="31" t="s">
        <v>609</v>
      </c>
      <c r="H624" s="31" t="str">
        <f t="shared" si="148"/>
        <v>Benedetto XV</v>
      </c>
      <c r="K624" s="31" t="s">
        <v>829</v>
      </c>
      <c r="L624" s="31" t="str">
        <f t="shared" si="149"/>
        <v>Lettera</v>
      </c>
      <c r="M624" s="31" t="s">
        <v>568</v>
      </c>
      <c r="O624" s="31" t="s">
        <v>3372</v>
      </c>
      <c r="Q624" s="40">
        <v>8005</v>
      </c>
      <c r="R624" s="35">
        <f t="shared" si="146"/>
        <v>30</v>
      </c>
      <c r="S624" s="35"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5">
        <f t="shared" si="147"/>
        <v>1921</v>
      </c>
      <c r="U624" s="31"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6"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31"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31">
        <v>651</v>
      </c>
      <c r="Y624" s="31" t="str">
        <f t="shared" si="140"/>
        <v>['Benedetto XV', 'Lettera', 'Saepe Nobis, ai Vescovi della Cecoslovacchia sull'istituzione di nuovi Seminari', 'bxv-let-', '30 novembre 1921', '30/11/1921', '1921/11/30'],</v>
      </c>
      <c r="Z624" s="31" t="str">
        <f t="shared" si="141"/>
        <v>Saepe Nobis, ai Vescovi della Cecoslovacchia sull'istituzione di nuovi Seminari (8005) | Benedetto XV</v>
      </c>
      <c r="AA624" s="31" t="str">
        <f t="shared" si="142"/>
        <v>Lettera Saepe Nobis, ai Vescovi della Cecoslovacchia sull'istituzione di nuovi Seminari</v>
      </c>
      <c r="AB624" s="31" t="str">
        <f t="shared" si="143"/>
        <v>Lettera Saepe Nobis, ai Vescovi della Cecoslovacchia sull'istituzione di nuovi Seminari</v>
      </c>
      <c r="AC624" s="31" t="str">
        <f t="shared" si="144"/>
        <v>Benedetto XV, Lettera Saepe Nobis, ai Vescovi della Cecoslovacchia sull'istituzione di nuovi Seminari, 30 novembre 1921</v>
      </c>
      <c r="AD624" s="31" t="str">
        <f t="shared" si="145"/>
        <v>1921-11-30T08:00:00.000+02:00</v>
      </c>
      <c r="AE624" s="31" t="str">
        <f t="shared" si="150"/>
        <v>bxv-let-</v>
      </c>
      <c r="AF624" s="31" t="str">
        <f t="shared" si="151"/>
        <v>Benedetto XV - Lettera - Saepe Nobis, ai Vescovi della Cecoslovacchia sull'istituzione di nuovi Seminari</v>
      </c>
    </row>
    <row r="625" spans="2:32" s="31" customFormat="1" x14ac:dyDescent="0.2">
      <c r="B625" s="31">
        <v>258</v>
      </c>
      <c r="C625" s="31" t="s">
        <v>3386</v>
      </c>
      <c r="D625" s="31" t="s">
        <v>699</v>
      </c>
      <c r="E625" s="31" t="s">
        <v>738</v>
      </c>
      <c r="F625" s="31" t="s">
        <v>608</v>
      </c>
      <c r="G625" s="31" t="s">
        <v>609</v>
      </c>
      <c r="H625" s="31" t="str">
        <f t="shared" si="148"/>
        <v>Benedetto XV</v>
      </c>
      <c r="K625" s="31" t="s">
        <v>829</v>
      </c>
      <c r="L625" s="31" t="str">
        <f t="shared" si="149"/>
        <v>Lettera</v>
      </c>
      <c r="M625" s="31" t="s">
        <v>568</v>
      </c>
      <c r="O625" s="31" t="s">
        <v>3373</v>
      </c>
      <c r="Q625" s="40">
        <v>7999</v>
      </c>
      <c r="R625" s="35">
        <f t="shared" si="146"/>
        <v>24</v>
      </c>
      <c r="S625" s="35"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5">
        <f t="shared" si="147"/>
        <v>1921</v>
      </c>
      <c r="U625" s="31"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6"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31"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31">
        <v>652</v>
      </c>
      <c r="Y625" s="31" t="str">
        <f t="shared" si="140"/>
        <v>['Benedetto XV', 'Lettera', 'al Principe Camillo Francesco Massimo, in occasione del terzo centenario della canonizzazione di San Filippo Neri', 'bxv-let-', '24 novembre 1921', '24/11/1921', '1921/11/24'],</v>
      </c>
      <c r="Z625" s="31" t="str">
        <f t="shared" si="141"/>
        <v>al Principe Camillo Francesco Massimo, in occasione del terzo centenario della canonizzazione di San Filippo Neri (7999) | Benedetto XV</v>
      </c>
      <c r="AA625" s="31" t="str">
        <f t="shared" si="142"/>
        <v>Lettera al Principe Camillo Francesco Massimo, in occasione del terzo centenario della canonizzazione di San Filippo Neri</v>
      </c>
      <c r="AB625" s="31" t="str">
        <f t="shared" si="143"/>
        <v>Lettera al Principe Camillo Francesco Massimo, in occasione del terzo centenario della canonizzazione di San Filippo Neri</v>
      </c>
      <c r="AC625" s="31" t="str">
        <f t="shared" si="144"/>
        <v>Benedetto XV, Lettera al Principe Camillo Francesco Massimo, in occasione del terzo centenario della canonizzazione di San Filippo Neri, 24 novembre 1921</v>
      </c>
      <c r="AD625" s="31" t="str">
        <f t="shared" si="145"/>
        <v>1921-11-24T08:00:00.000+02:00</v>
      </c>
      <c r="AE625" s="31" t="str">
        <f t="shared" si="150"/>
        <v>bxv-let-</v>
      </c>
      <c r="AF625" s="31" t="str">
        <f t="shared" si="151"/>
        <v>Benedetto XV - Lettera - al Principe Camillo Francesco Massimo, in occasione del terzo centenario della canonizzazione di San Filippo Neri</v>
      </c>
    </row>
    <row r="626" spans="2:32" s="31" customFormat="1" x14ac:dyDescent="0.2">
      <c r="B626" s="31">
        <v>258</v>
      </c>
      <c r="C626" s="31" t="s">
        <v>3387</v>
      </c>
      <c r="D626" s="31" t="s">
        <v>699</v>
      </c>
      <c r="E626" s="31" t="s">
        <v>738</v>
      </c>
      <c r="F626" s="31" t="s">
        <v>608</v>
      </c>
      <c r="G626" s="31" t="s">
        <v>609</v>
      </c>
      <c r="H626" s="31" t="str">
        <f t="shared" si="148"/>
        <v>Benedetto XV</v>
      </c>
      <c r="K626" s="31" t="s">
        <v>829</v>
      </c>
      <c r="L626" s="31" t="str">
        <f t="shared" si="149"/>
        <v>Lettera</v>
      </c>
      <c r="M626" s="31" t="s">
        <v>568</v>
      </c>
      <c r="O626" s="31" t="s">
        <v>3374</v>
      </c>
      <c r="Q626" s="40">
        <v>7888</v>
      </c>
      <c r="R626" s="35">
        <f t="shared" si="146"/>
        <v>5</v>
      </c>
      <c r="S626" s="35"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5">
        <f t="shared" si="147"/>
        <v>1921</v>
      </c>
      <c r="U626" s="31"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6"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31"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31">
        <v>653</v>
      </c>
      <c r="Y626" s="31" t="str">
        <f t="shared" si="140"/>
        <v>['Benedetto XV', 'Lettera', 'Le notizie, al Cardinale Pietro Gasparri sulla condizione di miseria in cui versa il popolo russo', 'bxv-let-', '05 agosto 1921', '05/08/1921', '1921/08/05'],</v>
      </c>
      <c r="Z626" s="31" t="str">
        <f t="shared" si="141"/>
        <v>Le notizie, al Cardinale Pietro Gasparri sulla condizione di miseria in cui versa il popolo russo (7888) | Benedetto XV</v>
      </c>
      <c r="AA626" s="31" t="str">
        <f t="shared" si="142"/>
        <v>Lettera Le notizie, al Cardinale Pietro Gasparri sulla condizione di miseria in cui versa il popolo russo</v>
      </c>
      <c r="AB626" s="31" t="str">
        <f t="shared" si="143"/>
        <v>Lettera Le notizie, al Cardinale Pietro Gasparri sulla condizione di miseria in cui versa il popolo russo</v>
      </c>
      <c r="AC626" s="31" t="str">
        <f t="shared" si="144"/>
        <v>Benedetto XV, Lettera Le notizie, al Cardinale Pietro Gasparri sulla condizione di miseria in cui versa il popolo russo, 05 agosto 1921</v>
      </c>
      <c r="AD626" s="31" t="str">
        <f t="shared" si="145"/>
        <v>1921-08-05T08:00:00.000+02:00</v>
      </c>
      <c r="AE626" s="31" t="str">
        <f t="shared" si="150"/>
        <v>bxv-let-</v>
      </c>
      <c r="AF626" s="31" t="str">
        <f t="shared" si="151"/>
        <v>Benedetto XV - Lettera - Le notizie, al Cardinale Pietro Gasparri sulla condizione di miseria in cui versa il popolo russo</v>
      </c>
    </row>
    <row r="627" spans="2:32" s="31" customFormat="1" x14ac:dyDescent="0.2">
      <c r="B627" s="31">
        <v>258</v>
      </c>
      <c r="C627" s="31" t="s">
        <v>3388</v>
      </c>
      <c r="D627" s="31" t="s">
        <v>699</v>
      </c>
      <c r="E627" s="31" t="s">
        <v>738</v>
      </c>
      <c r="F627" s="31" t="s">
        <v>608</v>
      </c>
      <c r="G627" s="31" t="s">
        <v>609</v>
      </c>
      <c r="H627" s="31" t="str">
        <f t="shared" si="148"/>
        <v>Benedetto XV</v>
      </c>
      <c r="K627" s="31" t="s">
        <v>829</v>
      </c>
      <c r="L627" s="31" t="str">
        <f t="shared" si="149"/>
        <v>Lettera</v>
      </c>
      <c r="M627" s="31" t="s">
        <v>568</v>
      </c>
      <c r="O627" s="31" t="s">
        <v>3375</v>
      </c>
      <c r="Q627" s="40">
        <v>7933</v>
      </c>
      <c r="R627" s="35">
        <f t="shared" si="146"/>
        <v>19</v>
      </c>
      <c r="S627" s="35"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5">
        <f t="shared" si="147"/>
        <v>1921</v>
      </c>
      <c r="U627" s="31"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6"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31"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31">
        <v>654</v>
      </c>
      <c r="Y627" s="31" t="str">
        <f t="shared" si="140"/>
        <v>['Benedetto XV', 'Lettera', 'Non senza vivo, al Card. Vincenzo Vannutelli sull'importanza della musica nelle chiese', 'bxv-let-', '19 settembre 1921', '19/09/1921', '1921/09/19'],</v>
      </c>
      <c r="Z627" s="31" t="str">
        <f t="shared" si="141"/>
        <v>Non senza vivo, al Card. Vincenzo Vannutelli sull'importanza della musica nelle chiese (7933) | Benedetto XV</v>
      </c>
      <c r="AA627" s="31" t="str">
        <f t="shared" si="142"/>
        <v>Lettera Non senza vivo, al Card. Vincenzo Vannutelli sull'importanza della musica nelle chiese</v>
      </c>
      <c r="AB627" s="31" t="str">
        <f t="shared" si="143"/>
        <v>Lettera Non senza vivo, al Card. Vincenzo Vannutelli sull'importanza della musica nelle chiese</v>
      </c>
      <c r="AC627" s="31" t="str">
        <f t="shared" si="144"/>
        <v>Benedetto XV, Lettera Non senza vivo, al Card. Vincenzo Vannutelli sull'importanza della musica nelle chiese, 19 settembre 1921</v>
      </c>
      <c r="AD627" s="31" t="str">
        <f t="shared" si="145"/>
        <v>1921-09-19T08:00:00.000+02:00</v>
      </c>
      <c r="AE627" s="31" t="str">
        <f t="shared" si="150"/>
        <v>bxv-let-</v>
      </c>
      <c r="AF627" s="31" t="str">
        <f t="shared" si="151"/>
        <v>Benedetto XV - Lettera - Non senza vivo, al Card. Vincenzo Vannutelli sull'importanza della musica nelle chiese</v>
      </c>
    </row>
    <row r="628" spans="2:32" s="31" customFormat="1" x14ac:dyDescent="0.2">
      <c r="B628" s="31">
        <v>258</v>
      </c>
      <c r="C628" s="31" t="s">
        <v>3389</v>
      </c>
      <c r="D628" s="31" t="s">
        <v>699</v>
      </c>
      <c r="E628" s="31" t="s">
        <v>738</v>
      </c>
      <c r="F628" s="31" t="s">
        <v>608</v>
      </c>
      <c r="G628" s="31" t="s">
        <v>609</v>
      </c>
      <c r="H628" s="31" t="str">
        <f t="shared" si="148"/>
        <v>Benedetto XV</v>
      </c>
      <c r="K628" s="31" t="s">
        <v>829</v>
      </c>
      <c r="L628" s="31" t="str">
        <f t="shared" si="149"/>
        <v>Lettera</v>
      </c>
      <c r="M628" s="31" t="s">
        <v>568</v>
      </c>
      <c r="O628" s="31" t="s">
        <v>3376</v>
      </c>
      <c r="Q628" s="40">
        <v>7877</v>
      </c>
      <c r="R628" s="35">
        <f t="shared" si="146"/>
        <v>25</v>
      </c>
      <c r="S628" s="35"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5">
        <f t="shared" si="147"/>
        <v>1921</v>
      </c>
      <c r="U628" s="31"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6"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31"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31">
        <v>655</v>
      </c>
      <c r="Y628" s="31" t="str">
        <f t="shared" si="140"/>
        <v>['Benedetto XV', 'Lettera', 'col quale si concedono indulgenze a coloro che reciteranno la preghiera in esso contenuta', 'bxv-let-', '25 luglio 1921', '25/07/1921', '1921/07/25'],</v>
      </c>
      <c r="Z628" s="31" t="str">
        <f t="shared" si="141"/>
        <v>col quale si concedono indulgenze a coloro che reciteranno la preghiera in esso contenuta (7877) | Benedetto XV</v>
      </c>
      <c r="AA628" s="31" t="str">
        <f t="shared" si="142"/>
        <v>Lettera col quale si concedono indulgenze a coloro che reciteranno la preghiera in esso contenuta</v>
      </c>
      <c r="AB628" s="31" t="str">
        <f t="shared" si="143"/>
        <v>Lettera col quale si concedono indulgenze a coloro che reciteranno la preghiera in esso contenuta</v>
      </c>
      <c r="AC628" s="31" t="str">
        <f t="shared" si="144"/>
        <v>Benedetto XV, Lettera col quale si concedono indulgenze a coloro che reciteranno la preghiera in esso contenuta, 25 luglio 1921</v>
      </c>
      <c r="AD628" s="31" t="str">
        <f t="shared" si="145"/>
        <v>1921-07-25T08:00:00.000+02:00</v>
      </c>
      <c r="AE628" s="31" t="str">
        <f t="shared" si="150"/>
        <v>bxv-let-</v>
      </c>
      <c r="AF628" s="31" t="str">
        <f t="shared" si="151"/>
        <v>Benedetto XV - Lettera - col quale si concedono indulgenze a coloro che reciteranno la preghiera in esso contenuta</v>
      </c>
    </row>
    <row r="629" spans="2:32" s="31" customFormat="1" x14ac:dyDescent="0.2">
      <c r="B629" s="31">
        <v>258</v>
      </c>
      <c r="C629" s="31" t="s">
        <v>3390</v>
      </c>
      <c r="D629" s="31" t="s">
        <v>699</v>
      </c>
      <c r="E629" s="31" t="s">
        <v>738</v>
      </c>
      <c r="F629" s="31" t="s">
        <v>608</v>
      </c>
      <c r="G629" s="31" t="s">
        <v>609</v>
      </c>
      <c r="H629" s="31" t="str">
        <f t="shared" si="148"/>
        <v>Benedetto XV</v>
      </c>
      <c r="K629" s="31" t="s">
        <v>829</v>
      </c>
      <c r="L629" s="31" t="str">
        <f t="shared" si="149"/>
        <v>Lettera</v>
      </c>
      <c r="M629" s="31" t="s">
        <v>568</v>
      </c>
      <c r="O629" s="31" t="s">
        <v>3377</v>
      </c>
      <c r="Q629" s="40">
        <v>7868</v>
      </c>
      <c r="R629" s="35">
        <f t="shared" si="146"/>
        <v>16</v>
      </c>
      <c r="S629" s="35"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5">
        <f t="shared" si="147"/>
        <v>1921</v>
      </c>
      <c r="U629" s="31"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6"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31"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31">
        <v>656</v>
      </c>
      <c r="Y629" s="31" t="str">
        <f t="shared" si="140"/>
        <v>['Benedetto XV', 'Lettera', 'Ex iis Litteris, ai Cardinali Alessandro Kakowski, Edmondo Dalbor e agli altri Vescovi polacchi, sulla difficile situazione del Paese', 'bxv-let-', '16 luglio 1921', '16/07/1921', '1921/07/16'],</v>
      </c>
      <c r="Z629" s="31" t="str">
        <f t="shared" si="141"/>
        <v>Ex iis Litteris, ai Cardinali Alessandro Kakowski, Edmondo Dalbor e agli altri Vescovi polacchi, sulla difficile situazione del Paese (7868) | Benedetto XV</v>
      </c>
      <c r="AA629" s="31" t="str">
        <f t="shared" si="142"/>
        <v>Lettera Ex iis Litteris, ai Cardinali Alessandro Kakowski, Edmondo Dalbor e agli altri Vescovi polacchi, sulla difficile situazione del Paese</v>
      </c>
      <c r="AB629" s="31" t="str">
        <f t="shared" si="143"/>
        <v>Lettera Ex iis Litteris, ai Cardinali Alessandro Kakowski, Edmondo Dalbor e agli altri Vescovi polacchi, sulla difficile situazione del Paese</v>
      </c>
      <c r="AC629" s="31" t="str">
        <f t="shared" si="144"/>
        <v>Benedetto XV, Lettera Ex iis Litteris, ai Cardinali Alessandro Kakowski, Edmondo Dalbor e agli altri Vescovi polacchi, sulla difficile situazione del Paese, 16 luglio 1921</v>
      </c>
      <c r="AD629" s="31" t="str">
        <f t="shared" si="145"/>
        <v>1921-07-16T08:00:00.000+02:00</v>
      </c>
      <c r="AE629" s="31" t="str">
        <f t="shared" si="150"/>
        <v>bxv-let-</v>
      </c>
      <c r="AF629" s="31" t="str">
        <f t="shared" si="151"/>
        <v>Benedetto XV - Lettera - Ex iis Litteris, ai Cardinali Alessandro Kakowski, Edmondo Dalbor e agli altri Vescovi polacchi, sulla difficile situazione del Paese</v>
      </c>
    </row>
    <row r="630" spans="2:32" s="31" customFormat="1" x14ac:dyDescent="0.2">
      <c r="B630" s="31">
        <v>258</v>
      </c>
      <c r="C630" s="31" t="s">
        <v>3391</v>
      </c>
      <c r="D630" s="31" t="s">
        <v>699</v>
      </c>
      <c r="E630" s="31" t="s">
        <v>738</v>
      </c>
      <c r="F630" s="31" t="s">
        <v>608</v>
      </c>
      <c r="G630" s="31" t="s">
        <v>609</v>
      </c>
      <c r="H630" s="31" t="str">
        <f t="shared" si="148"/>
        <v>Benedetto XV</v>
      </c>
      <c r="K630" s="31" t="s">
        <v>829</v>
      </c>
      <c r="L630" s="31" t="str">
        <f t="shared" si="149"/>
        <v>Lettera</v>
      </c>
      <c r="M630" s="31" t="s">
        <v>568</v>
      </c>
      <c r="O630" s="31" t="s">
        <v>3378</v>
      </c>
      <c r="Q630" s="40">
        <v>7851</v>
      </c>
      <c r="R630" s="35">
        <f t="shared" si="146"/>
        <v>29</v>
      </c>
      <c r="S630" s="35"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5">
        <f t="shared" si="147"/>
        <v>1921</v>
      </c>
      <c r="U630" s="31"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6"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31"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31">
        <v>657</v>
      </c>
      <c r="Y630" s="31" t="str">
        <f t="shared" si="140"/>
        <v>['Benedetto XV', 'Lettera', 'Optimum sane, al Cardinale Carlo Giuseppe Schulte, in occasione della fondazione di un Istituto Cattolico di filosofia', 'bxv-let-', '29 giugno 1921', '29/06/1921', '1921/06/29'],</v>
      </c>
      <c r="Z630" s="31" t="str">
        <f t="shared" si="141"/>
        <v>Optimum sane, al Cardinale Carlo Giuseppe Schulte, in occasione della fondazione di un Istituto Cattolico di filosofia (7851) | Benedetto XV</v>
      </c>
      <c r="AA630" s="31" t="str">
        <f t="shared" si="142"/>
        <v>Lettera Optimum sane, al Cardinale Carlo Giuseppe Schulte, in occasione della fondazione di un Istituto Cattolico di filosofia</v>
      </c>
      <c r="AB630" s="31" t="str">
        <f t="shared" si="143"/>
        <v>Lettera Optimum sane, al Cardinale Carlo Giuseppe Schulte, in occasione della fondazione di un Istituto Cattolico di filosofia</v>
      </c>
      <c r="AC630" s="31" t="str">
        <f t="shared" si="144"/>
        <v>Benedetto XV, Lettera Optimum sane, al Cardinale Carlo Giuseppe Schulte, in occasione della fondazione di un Istituto Cattolico di filosofia, 29 giugno 1921</v>
      </c>
      <c r="AD630" s="31" t="str">
        <f t="shared" si="145"/>
        <v>1921-06-29T08:00:00.000+02:00</v>
      </c>
      <c r="AE630" s="31" t="str">
        <f t="shared" si="150"/>
        <v>bxv-let-</v>
      </c>
      <c r="AF630" s="31" t="str">
        <f t="shared" si="151"/>
        <v>Benedetto XV - Lettera - Optimum sane, al Cardinale Carlo Giuseppe Schulte, in occasione della fondazione di un Istituto Cattolico di filosofia</v>
      </c>
    </row>
    <row r="631" spans="2:32" s="31" customFormat="1" x14ac:dyDescent="0.2">
      <c r="B631" s="31">
        <v>258</v>
      </c>
      <c r="C631" s="31" t="s">
        <v>3392</v>
      </c>
      <c r="D631" s="31" t="s">
        <v>699</v>
      </c>
      <c r="E631" s="31" t="s">
        <v>738</v>
      </c>
      <c r="F631" s="31" t="s">
        <v>608</v>
      </c>
      <c r="G631" s="31" t="s">
        <v>609</v>
      </c>
      <c r="H631" s="31" t="str">
        <f t="shared" si="148"/>
        <v>Benedetto XV</v>
      </c>
      <c r="K631" s="31" t="s">
        <v>829</v>
      </c>
      <c r="L631" s="31" t="str">
        <f t="shared" si="149"/>
        <v>Lettera</v>
      </c>
      <c r="M631" s="31" t="s">
        <v>568</v>
      </c>
      <c r="O631" s="31" t="s">
        <v>3379</v>
      </c>
      <c r="Q631" s="40">
        <v>7788</v>
      </c>
      <c r="R631" s="35">
        <f t="shared" si="146"/>
        <v>27</v>
      </c>
      <c r="S631" s="35"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5">
        <f t="shared" si="147"/>
        <v>1921</v>
      </c>
      <c r="U631" s="31"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6"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31"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31">
        <v>658</v>
      </c>
      <c r="Y631" s="31" t="str">
        <f t="shared" si="140"/>
        <v>['Benedetto XV', 'Lettera', 'Ubi Primum, al Cardinale Michele Logue, Arcivescovo di Armacha, sulla cessazione delle ostilità in Irlanda', 'bxv-let-', '27 aprile 1921', '27/04/1921', '1921/04/27'],</v>
      </c>
      <c r="Z631" s="31" t="str">
        <f t="shared" si="141"/>
        <v>Ubi Primum, al Cardinale Michele Logue, Arcivescovo di Armacha, sulla cessazione delle ostilità in Irlanda (7788) | Benedetto XV</v>
      </c>
      <c r="AA631" s="31" t="str">
        <f t="shared" si="142"/>
        <v>Lettera Ubi Primum, al Cardinale Michele Logue, Arcivescovo di Armacha, sulla cessazione delle ostilità in Irlanda</v>
      </c>
      <c r="AB631" s="31" t="str">
        <f t="shared" si="143"/>
        <v>Lettera Ubi Primum, al Cardinale Michele Logue, Arcivescovo di Armacha, sulla cessazione delle ostilità in Irlanda</v>
      </c>
      <c r="AC631" s="31" t="str">
        <f t="shared" si="144"/>
        <v>Benedetto XV, Lettera Ubi Primum, al Cardinale Michele Logue, Arcivescovo di Armacha, sulla cessazione delle ostilità in Irlanda, 27 aprile 1921</v>
      </c>
      <c r="AD631" s="31" t="str">
        <f t="shared" si="145"/>
        <v>1921-04-27T08:00:00.000+02:00</v>
      </c>
      <c r="AE631" s="31" t="str">
        <f t="shared" si="150"/>
        <v>bxv-let-</v>
      </c>
      <c r="AF631" s="31" t="str">
        <f t="shared" si="151"/>
        <v>Benedetto XV - Lettera - Ubi Primum, al Cardinale Michele Logue, Arcivescovo di Armacha, sulla cessazione delle ostilità in Irlanda</v>
      </c>
    </row>
    <row r="632" spans="2:32" s="31" customFormat="1" x14ac:dyDescent="0.2">
      <c r="B632" s="31">
        <v>258</v>
      </c>
      <c r="C632" s="31" t="s">
        <v>3393</v>
      </c>
      <c r="D632" s="31" t="s">
        <v>699</v>
      </c>
      <c r="E632" s="31" t="s">
        <v>738</v>
      </c>
      <c r="F632" s="31" t="s">
        <v>608</v>
      </c>
      <c r="G632" s="31" t="s">
        <v>609</v>
      </c>
      <c r="H632" s="31" t="str">
        <f t="shared" si="148"/>
        <v>Benedetto XV</v>
      </c>
      <c r="K632" s="31" t="s">
        <v>829</v>
      </c>
      <c r="L632" s="31" t="str">
        <f t="shared" si="149"/>
        <v>Lettera</v>
      </c>
      <c r="M632" s="31" t="s">
        <v>568</v>
      </c>
      <c r="O632" s="31" t="s">
        <v>3380</v>
      </c>
      <c r="Q632" s="40">
        <v>7726</v>
      </c>
      <c r="R632" s="35">
        <f t="shared" si="146"/>
        <v>24</v>
      </c>
      <c r="S632" s="35"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5">
        <f t="shared" si="147"/>
        <v>1921</v>
      </c>
      <c r="U632" s="31"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6"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31"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31">
        <v>659</v>
      </c>
      <c r="Y632" s="31" t="str">
        <f t="shared" si="140"/>
        <v>['Benedetto XV', 'Lettera', 'Il dolore che, al Reverendo Padre Andrea De Szeptycki, Arcivescovo di Leopoli, sulla riapertura del Collegio Ruteno a Roma', 'bxv-let-', '24 febbraio 1921', '24/02/1921', '1921/02/24'],</v>
      </c>
      <c r="Z632" s="31" t="str">
        <f t="shared" si="141"/>
        <v>Il dolore che, al Reverendo Padre Andrea De Szeptycki, Arcivescovo di Leopoli, sulla riapertura del Collegio Ruteno a Roma (7726) | Benedetto XV</v>
      </c>
      <c r="AA632" s="31" t="str">
        <f t="shared" si="142"/>
        <v>Lettera Il dolore che, al Reverendo Padre Andrea De Szeptycki, Arcivescovo di Leopoli, sulla riapertura del Collegio Ruteno a Roma</v>
      </c>
      <c r="AB632" s="31" t="str">
        <f t="shared" si="143"/>
        <v>Lettera Il dolore che, al Reverendo Padre Andrea De Szeptycki, Arcivescovo di Leopoli, sulla riapertura del Collegio Ruteno a Roma</v>
      </c>
      <c r="AC632" s="31" t="str">
        <f t="shared" si="144"/>
        <v>Benedetto XV, Lettera Il dolore che, al Reverendo Padre Andrea De Szeptycki, Arcivescovo di Leopoli, sulla riapertura del Collegio Ruteno a Roma, 24 febbraio 1921</v>
      </c>
      <c r="AD632" s="31" t="str">
        <f t="shared" si="145"/>
        <v>1921-02-24T08:00:00.000+02:00</v>
      </c>
      <c r="AE632" s="31" t="str">
        <f t="shared" si="150"/>
        <v>bxv-let-</v>
      </c>
      <c r="AF632" s="31" t="str">
        <f t="shared" si="151"/>
        <v>Benedetto XV - Lettera - Il dolore che, al Reverendo Padre Andrea De Szeptycki, Arcivescovo di Leopoli, sulla riapertura del Collegio Ruteno a Roma</v>
      </c>
    </row>
    <row r="633" spans="2:32" s="31" customFormat="1" x14ac:dyDescent="0.2">
      <c r="B633" s="31">
        <v>258</v>
      </c>
      <c r="C633" s="31" t="s">
        <v>3394</v>
      </c>
      <c r="D633" s="31" t="s">
        <v>699</v>
      </c>
      <c r="E633" s="31" t="s">
        <v>738</v>
      </c>
      <c r="F633" s="31" t="s">
        <v>608</v>
      </c>
      <c r="G633" s="31" t="s">
        <v>609</v>
      </c>
      <c r="H633" s="31" t="str">
        <f t="shared" si="148"/>
        <v>Benedetto XV</v>
      </c>
      <c r="K633" s="31" t="s">
        <v>829</v>
      </c>
      <c r="L633" s="31" t="str">
        <f t="shared" si="149"/>
        <v>Lettera</v>
      </c>
      <c r="M633" s="31" t="s">
        <v>568</v>
      </c>
      <c r="O633" s="31" t="s">
        <v>3381</v>
      </c>
      <c r="Q633" s="40">
        <v>7712</v>
      </c>
      <c r="R633" s="35">
        <f t="shared" si="146"/>
        <v>10</v>
      </c>
      <c r="S633" s="35"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5">
        <f t="shared" si="147"/>
        <v>1921</v>
      </c>
      <c r="U633" s="31"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6"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31"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31">
        <v>660</v>
      </c>
      <c r="Y633" s="31" t="str">
        <f t="shared" si="140"/>
        <v>['Benedetto XV', 'Lettera', 'Cum semper, ut ipsi, al Cardinale di Santa Romana Chiesa Desiderato Mercier, Arcivescovo di Malines, e agli altri Vescovi Belgi, sulla « questione della Fiandra »', 'bxv-let-', '10 febbraio 1921', '10/02/1921', '1921/02/10'],</v>
      </c>
      <c r="Z633" s="31" t="str">
        <f t="shared" si="141"/>
        <v>Cum semper, ut ipsi, al Cardinale di Santa Romana Chiesa Desiderato Mercier, Arcivescovo di Malines, e agli altri Vescovi Belgi, sulla « questione della Fiandra » (7712) | Benedetto XV</v>
      </c>
      <c r="AA633" s="31" t="str">
        <f t="shared" si="142"/>
        <v>Lettera Cum semper, ut ipsi, al Cardinale di Santa Romana Chiesa Desiderato Mercier, Arcivescovo di Malines, e agli altri Vescovi Belgi, sulla « questione della Fiandra »</v>
      </c>
      <c r="AB633" s="31" t="str">
        <f t="shared" si="143"/>
        <v>Lettera Cum semper, ut ipsi, al Cardinale di Santa Romana Chiesa Desiderato Mercier, Arcivescovo di Malines, e agli altri Vescovi Belgi, sulla « questione della Fiandra »</v>
      </c>
      <c r="AC633" s="31" t="str">
        <f t="shared" si="144"/>
        <v>Benedetto XV, Lettera Cum semper, ut ipsi, al Cardinale di Santa Romana Chiesa Desiderato Mercier, Arcivescovo di Malines, e agli altri Vescovi Belgi, sulla « questione della Fiandra », 10 febbraio 1921</v>
      </c>
      <c r="AD633" s="31" t="str">
        <f t="shared" si="145"/>
        <v>1921-02-10T08:00:00.000+02:00</v>
      </c>
      <c r="AE633" s="31" t="str">
        <f t="shared" si="150"/>
        <v>bxv-let-</v>
      </c>
      <c r="AF633" s="31" t="str">
        <f t="shared" si="151"/>
        <v>Benedetto XV - Lettera - Cum semper, ut ipsi, al Cardinale di Santa Romana Chiesa Desiderato Mercier, Arcivescovo di Malines, e agli altri Vescovi Belgi, sulla « questione della Fiandra »</v>
      </c>
    </row>
    <row r="634" spans="2:32" s="31" customFormat="1" x14ac:dyDescent="0.2">
      <c r="B634" s="31">
        <v>258</v>
      </c>
      <c r="C634" s="31" t="s">
        <v>3395</v>
      </c>
      <c r="D634" s="31" t="s">
        <v>699</v>
      </c>
      <c r="E634" s="31" t="s">
        <v>738</v>
      </c>
      <c r="F634" s="31" t="s">
        <v>608</v>
      </c>
      <c r="G634" s="31" t="s">
        <v>609</v>
      </c>
      <c r="H634" s="31" t="str">
        <f t="shared" si="148"/>
        <v>Benedetto XV</v>
      </c>
      <c r="K634" s="31" t="s">
        <v>829</v>
      </c>
      <c r="L634" s="31" t="str">
        <f t="shared" si="149"/>
        <v>Lettera</v>
      </c>
      <c r="M634" s="31" t="s">
        <v>568</v>
      </c>
      <c r="O634" s="31" t="s">
        <v>3382</v>
      </c>
      <c r="Q634" s="40">
        <v>7711</v>
      </c>
      <c r="R634" s="35">
        <f t="shared" si="146"/>
        <v>9</v>
      </c>
      <c r="S634" s="35"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5">
        <f t="shared" si="147"/>
        <v>1921</v>
      </c>
      <c r="U634" s="31"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6"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31"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31">
        <v>661</v>
      </c>
      <c r="Y634" s="31" t="str">
        <f t="shared" si="140"/>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31" t="str">
        <f t="shared" si="141"/>
        <v>Cum semper Romani, al Presidente del Comitato per l'erigenda Università Cattolica degli studi a Milano, con la quale il Sommo Pontefice mette a disposizione una somma per consentire a due giovani la prosecuzione degli studi (7711) | Benedetto XV</v>
      </c>
      <c r="AA634" s="31" t="str">
        <f t="shared" si="142"/>
        <v>Lettera Cum semper Romani, al Presidente del Comitato per l'erigenda Università Cattolica degli studi a Milano, con la quale il Sommo Pontefice mette a disposizione una somma per consentire a due giovani la prosecuzione degli studi</v>
      </c>
      <c r="AB634" s="31" t="str">
        <f t="shared" si="143"/>
        <v>Lettera Cum semper Romani, al Presidente del Comitato per l'erigenda Università Cattolica degli studi a Milano, con la quale il Sommo Pontefice mette a disposizione una somma per consentire a due giovani la prosecuzione degli studi</v>
      </c>
      <c r="AC634" s="31" t="str">
        <f t="shared" si="144"/>
        <v>Benedetto XV, Lettera Cum semper Romani, al Presidente del Comitato per l'erigenda Università Cattolica degli studi a Milano, con la quale il Sommo Pontefice mette a disposizione una somma per consentire a due giovani la prosecuzione degli studi, 09 febbraio 1921</v>
      </c>
      <c r="AD634" s="31" t="str">
        <f t="shared" si="145"/>
        <v>1921-02-09T08:00:00.000+02:00</v>
      </c>
      <c r="AE634" s="31" t="str">
        <f t="shared" si="150"/>
        <v>bxv-let-</v>
      </c>
      <c r="AF634" s="31" t="str">
        <f t="shared" si="151"/>
        <v>Benedetto XV - Lettera - Cum semper Romani, al Presidente del Comitato per l'erigenda Università Cattolica degli studi a Milano, con la quale il Sommo Pontefice mette a disposizione una somma per consentire a due giovani la prosecuzione degli studi</v>
      </c>
    </row>
    <row r="635" spans="2:32" s="31" customFormat="1" x14ac:dyDescent="0.2">
      <c r="B635" s="31">
        <v>258</v>
      </c>
      <c r="C635" s="31" t="s">
        <v>3396</v>
      </c>
      <c r="D635" s="31" t="s">
        <v>699</v>
      </c>
      <c r="E635" s="31" t="s">
        <v>738</v>
      </c>
      <c r="F635" s="31" t="s">
        <v>608</v>
      </c>
      <c r="G635" s="31" t="s">
        <v>609</v>
      </c>
      <c r="H635" s="31" t="str">
        <f t="shared" si="148"/>
        <v>Benedetto XV</v>
      </c>
      <c r="K635" s="31" t="s">
        <v>829</v>
      </c>
      <c r="L635" s="31" t="str">
        <f t="shared" si="149"/>
        <v>Lettera</v>
      </c>
      <c r="M635" s="31" t="s">
        <v>568</v>
      </c>
      <c r="O635" s="31" t="s">
        <v>3383</v>
      </c>
      <c r="Q635" s="40">
        <v>7695</v>
      </c>
      <c r="R635" s="35">
        <f t="shared" si="146"/>
        <v>24</v>
      </c>
      <c r="S635" s="35"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5">
        <f t="shared" si="147"/>
        <v>1921</v>
      </c>
      <c r="U635" s="31"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6"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31"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31">
        <v>662</v>
      </c>
      <c r="Y635" s="31" t="str">
        <f t="shared" si="140"/>
        <v>['Benedetto XV', 'Lettera', 'La singolare, al Cardinale Pietro Gasparri sulla condizione di miseria in cui versa l'Austria', 'bxv-let-', '24 gennaio 1921', '24/01/1921', '1921/01/24'],</v>
      </c>
      <c r="Z635" s="31" t="str">
        <f t="shared" si="141"/>
        <v>La singolare, al Cardinale Pietro Gasparri sulla condizione di miseria in cui versa l'Austria (7695) | Benedetto XV</v>
      </c>
      <c r="AA635" s="31" t="str">
        <f t="shared" si="142"/>
        <v>Lettera La singolare, al Cardinale Pietro Gasparri sulla condizione di miseria in cui versa l'Austria</v>
      </c>
      <c r="AB635" s="31" t="str">
        <f t="shared" si="143"/>
        <v>Lettera La singolare, al Cardinale Pietro Gasparri sulla condizione di miseria in cui versa l'Austria</v>
      </c>
      <c r="AC635" s="31" t="str">
        <f t="shared" si="144"/>
        <v>Benedetto XV, Lettera La singolare, al Cardinale Pietro Gasparri sulla condizione di miseria in cui versa l'Austria, 24 gennaio 1921</v>
      </c>
      <c r="AD635" s="31" t="str">
        <f t="shared" si="145"/>
        <v>1921-01-24T08:00:00.000+02:00</v>
      </c>
      <c r="AE635" s="31" t="str">
        <f t="shared" si="150"/>
        <v>bxv-let-</v>
      </c>
      <c r="AF635" s="31" t="str">
        <f t="shared" si="151"/>
        <v>Benedetto XV - Lettera - La singolare, al Cardinale Pietro Gasparri sulla condizione di miseria in cui versa l'Austria</v>
      </c>
    </row>
    <row r="636" spans="2:32" s="31" customFormat="1" x14ac:dyDescent="0.2">
      <c r="B636" s="31">
        <v>259</v>
      </c>
      <c r="C636" s="31" t="s">
        <v>3447</v>
      </c>
      <c r="D636" s="31" t="s">
        <v>715</v>
      </c>
      <c r="E636" s="31" t="s">
        <v>739</v>
      </c>
      <c r="F636" s="31" t="s">
        <v>661</v>
      </c>
      <c r="G636" s="31" t="s">
        <v>660</v>
      </c>
      <c r="H636" s="31" t="str">
        <f t="shared" si="148"/>
        <v>Pio XI</v>
      </c>
      <c r="K636" s="31" t="s">
        <v>824</v>
      </c>
      <c r="L636" s="31" t="str">
        <f t="shared" ref="L636:L674" si="152">IF(J636&lt;&gt;"",_xlfn.CONCAT(J636 &amp; " " &amp; K636),K636)</f>
        <v>Bolla</v>
      </c>
      <c r="M636" s="31" t="s">
        <v>564</v>
      </c>
      <c r="O636" s="31" t="s">
        <v>3445</v>
      </c>
      <c r="P636" s="31" t="s">
        <v>952</v>
      </c>
      <c r="Q636" s="40">
        <v>10582</v>
      </c>
      <c r="R636" s="35">
        <f t="shared" si="146"/>
        <v>20</v>
      </c>
      <c r="S636" s="35"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5">
        <f t="shared" si="147"/>
        <v>1928</v>
      </c>
      <c r="U636" s="31"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6"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31"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31">
        <v>663</v>
      </c>
      <c r="Y636" s="31" t="str">
        <f t="shared" si="140"/>
        <v>['Pio XI', 'Bolla', 'Divini Cultus', 'pixi-bol-dic', '20 dicembre 1928', '20/12/1928', '1928/12/20'],</v>
      </c>
      <c r="Z636" s="31" t="str">
        <f t="shared" si="141"/>
        <v>Divini Cultus (10582) | Pio XI</v>
      </c>
      <c r="AA636" s="31" t="str">
        <f t="shared" si="142"/>
        <v>Bolla Divini Cultus</v>
      </c>
      <c r="AB636" s="31" t="str">
        <f t="shared" si="143"/>
        <v>Bolla Divini Cultus</v>
      </c>
      <c r="AC636" s="31" t="str">
        <f t="shared" si="144"/>
        <v>Pio XI, Bolla Divini Cultus, 20 dicembre 1928</v>
      </c>
      <c r="AD636" s="31" t="str">
        <f t="shared" si="145"/>
        <v>1928-12-20T08:00:00.000+02:00</v>
      </c>
      <c r="AE636" s="31" t="str">
        <f t="shared" si="150"/>
        <v>pixi-bol-dic</v>
      </c>
      <c r="AF636" s="31" t="str">
        <f t="shared" si="151"/>
        <v>Pio XI - Bolla - Divini Cultus</v>
      </c>
    </row>
    <row r="637" spans="2:32" s="31" customFormat="1" x14ac:dyDescent="0.2">
      <c r="B637" s="31">
        <v>259</v>
      </c>
      <c r="C637" s="31" t="s">
        <v>3448</v>
      </c>
      <c r="D637" s="31" t="s">
        <v>715</v>
      </c>
      <c r="E637" s="31" t="s">
        <v>739</v>
      </c>
      <c r="F637" s="31" t="s">
        <v>661</v>
      </c>
      <c r="G637" s="31" t="s">
        <v>660</v>
      </c>
      <c r="H637" s="31" t="str">
        <f t="shared" si="148"/>
        <v>Pio XI</v>
      </c>
      <c r="K637" s="31" t="s">
        <v>824</v>
      </c>
      <c r="L637" s="31" t="str">
        <f t="shared" si="152"/>
        <v>Bolla</v>
      </c>
      <c r="M637" s="31" t="s">
        <v>564</v>
      </c>
      <c r="O637" s="31" t="s">
        <v>3446</v>
      </c>
      <c r="P637" s="31" t="s">
        <v>3451</v>
      </c>
      <c r="Q637" s="40">
        <v>10737</v>
      </c>
      <c r="R637" s="35">
        <f t="shared" si="146"/>
        <v>24</v>
      </c>
      <c r="S637" s="35"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5">
        <f t="shared" si="147"/>
        <v>1929</v>
      </c>
      <c r="U637" s="31"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6"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31"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31">
        <v>664</v>
      </c>
      <c r="Y637" s="31" t="str">
        <f t="shared" si="140"/>
        <v>['Pio XI', 'Bolla', 'Infinita Dei Misericordia', 'pixi-bol-idm', '24 maggio 1929', '24/05/1929', '1929/05/24'],</v>
      </c>
      <c r="Z637" s="31" t="str">
        <f t="shared" si="141"/>
        <v>Infinita Dei Misericordia (10737) | Pio XI</v>
      </c>
      <c r="AA637" s="31" t="str">
        <f t="shared" si="142"/>
        <v>Bolla Infinita Dei Misericordia</v>
      </c>
      <c r="AB637" s="31" t="str">
        <f t="shared" si="143"/>
        <v>Bolla Infinita Dei Misericordia</v>
      </c>
      <c r="AC637" s="31" t="str">
        <f t="shared" si="144"/>
        <v>Pio XI, Bolla Infinita Dei Misericordia, 24 maggio 1929</v>
      </c>
      <c r="AD637" s="31" t="str">
        <f t="shared" si="145"/>
        <v>1929-05-24T08:00:00.000+02:00</v>
      </c>
      <c r="AE637" s="31" t="str">
        <f t="shared" si="150"/>
        <v>pixi-bol-idm</v>
      </c>
      <c r="AF637" s="31" t="str">
        <f t="shared" si="151"/>
        <v>Pio XI - Bolla - Infinita Dei Misericordia</v>
      </c>
    </row>
    <row r="638" spans="2:32" s="31" customFormat="1" x14ac:dyDescent="0.2">
      <c r="B638" s="31">
        <v>259</v>
      </c>
      <c r="C638" s="31" t="s">
        <v>3450</v>
      </c>
      <c r="D638" s="31" t="s">
        <v>715</v>
      </c>
      <c r="E638" s="31" t="s">
        <v>739</v>
      </c>
      <c r="F638" s="31" t="s">
        <v>661</v>
      </c>
      <c r="G638" s="31" t="s">
        <v>660</v>
      </c>
      <c r="H638" s="31" t="str">
        <f t="shared" si="148"/>
        <v>Pio XI</v>
      </c>
      <c r="K638" s="31" t="s">
        <v>825</v>
      </c>
      <c r="L638" s="31" t="str">
        <f t="shared" si="152"/>
        <v>Breve</v>
      </c>
      <c r="M638" s="31" t="s">
        <v>577</v>
      </c>
      <c r="O638" s="31" t="s">
        <v>3449</v>
      </c>
      <c r="P638" s="31" t="s">
        <v>3452</v>
      </c>
      <c r="Q638" s="40">
        <v>10746</v>
      </c>
      <c r="R638" s="35">
        <f t="shared" si="146"/>
        <v>2</v>
      </c>
      <c r="S638" s="35"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5">
        <f t="shared" si="147"/>
        <v>1929</v>
      </c>
      <c r="U638" s="31"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6"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31"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31">
        <v>665</v>
      </c>
      <c r="Y638" s="31" t="str">
        <f t="shared" si="140"/>
        <v>['Pio XI', 'Breve', 'Mirabilis Deus, col quale il Pontefice attribuisce a Don Giovanni Bosco il titolo di Beato', 'pixi-bre-mid', '02 giugno 1929', '02/06/1929', '1929/06/02'],</v>
      </c>
      <c r="Z638" s="31" t="str">
        <f t="shared" si="141"/>
        <v>Mirabilis Deus, col quale il Pontefice attribuisce a Don Giovanni Bosco il titolo di Beato (10746) | Pio XI</v>
      </c>
      <c r="AA638" s="31" t="str">
        <f t="shared" si="142"/>
        <v>Breve Mirabilis Deus, col quale il Pontefice attribuisce a Don Giovanni Bosco il titolo di Beato</v>
      </c>
      <c r="AB638" s="31" t="str">
        <f t="shared" si="143"/>
        <v>Breve Mirabilis Deus, col quale il Pontefice attribuisce a Don Giovanni Bosco il titolo di Beato</v>
      </c>
      <c r="AC638" s="31" t="str">
        <f t="shared" si="144"/>
        <v>Pio XI, Breve Mirabilis Deus, col quale il Pontefice attribuisce a Don Giovanni Bosco il titolo di Beato, 02 giugno 1929</v>
      </c>
      <c r="AD638" s="31" t="str">
        <f t="shared" si="145"/>
        <v>1929-06-02T08:00:00.000+02:00</v>
      </c>
      <c r="AE638" s="31" t="str">
        <f t="shared" si="150"/>
        <v>pixi-bre-mid</v>
      </c>
      <c r="AF638" s="31" t="str">
        <f t="shared" si="151"/>
        <v>Pio XI - Breve - Mirabilis Deus, col quale il Pontefice attribuisce a Don Giovanni Bosco il titolo di Beato</v>
      </c>
    </row>
    <row r="639" spans="2:32" s="31" customFormat="1" x14ac:dyDescent="0.2">
      <c r="B639" s="31">
        <v>259</v>
      </c>
      <c r="C639" s="31" t="s">
        <v>3458</v>
      </c>
      <c r="D639" s="31" t="s">
        <v>715</v>
      </c>
      <c r="E639" s="31" t="s">
        <v>739</v>
      </c>
      <c r="F639" s="31" t="s">
        <v>661</v>
      </c>
      <c r="G639" s="31" t="s">
        <v>660</v>
      </c>
      <c r="H639" s="31" t="str">
        <f t="shared" si="148"/>
        <v>Pio XI</v>
      </c>
      <c r="K639" s="31" t="s">
        <v>557</v>
      </c>
      <c r="L639" s="31" t="str">
        <f t="shared" si="152"/>
        <v>Motu Proprio</v>
      </c>
      <c r="M639" s="31" t="s">
        <v>571</v>
      </c>
      <c r="O639" s="31" t="s">
        <v>3457</v>
      </c>
      <c r="P639" s="31" t="s">
        <v>3463</v>
      </c>
      <c r="Q639" s="40">
        <v>13451</v>
      </c>
      <c r="R639" s="35">
        <f t="shared" si="146"/>
        <v>28</v>
      </c>
      <c r="S639" s="35"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5">
        <f t="shared" si="147"/>
        <v>1936</v>
      </c>
      <c r="U639" s="31"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6"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31"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31">
        <v>666</v>
      </c>
      <c r="Y639" s="31" t="str">
        <f t="shared" si="140"/>
        <v>['Pio XI', 'Motu Proprio', 'In multis solaciis con il quale conferisce il nome di «Pontificia Academia Scientiarum» all'«Accademia dei Lincei Filosofi»', 'pixi-mpr-ims', '28 ottobre 1936', '28/10/1936', '1936/10/28'],</v>
      </c>
      <c r="Z639" s="31" t="str">
        <f t="shared" si="141"/>
        <v>In multis solaciis con il quale conferisce il nome di «Pontificia Academia Scientiarum» all'«Accademia dei Lincei Filosofi» (13451) | Pio XI</v>
      </c>
      <c r="AA639" s="31" t="str">
        <f t="shared" si="142"/>
        <v>Motu Proprio In multis solaciis con il quale conferisce il nome di «Pontificia Academia Scientiarum» all'«Accademia dei Lincei Filosofi»</v>
      </c>
      <c r="AB639" s="31" t="str">
        <f t="shared" si="143"/>
        <v>Motu Proprio In multis solaciis con il quale conferisce il nome di «Pontificia Academia Scientiarum» all'«Accademia dei Lincei Filosofi»</v>
      </c>
      <c r="AC639" s="31" t="str">
        <f t="shared" si="144"/>
        <v>Pio XI, Motu Proprio In multis solaciis con il quale conferisce il nome di «Pontificia Academia Scientiarum» all'«Accademia dei Lincei Filosofi», 28 ottobre 1936</v>
      </c>
      <c r="AD639" s="31" t="str">
        <f t="shared" si="145"/>
        <v>1936-10-28T08:00:00.000+02:00</v>
      </c>
      <c r="AE639" s="31" t="str">
        <f t="shared" si="150"/>
        <v>pixi-mpr-ims</v>
      </c>
      <c r="AF639" s="31" t="str">
        <f t="shared" si="151"/>
        <v>Pio XI - Motu Proprio - In multis solaciis con il quale conferisce il nome di «Pontificia Academia Scientiarum» all'«Accademia dei Lincei Filosofi»</v>
      </c>
    </row>
    <row r="640" spans="2:32" s="31" customFormat="1" x14ac:dyDescent="0.2">
      <c r="B640" s="31">
        <v>259</v>
      </c>
      <c r="C640" s="31" t="s">
        <v>3459</v>
      </c>
      <c r="D640" s="31" t="s">
        <v>715</v>
      </c>
      <c r="E640" s="31" t="s">
        <v>739</v>
      </c>
      <c r="F640" s="31" t="s">
        <v>661</v>
      </c>
      <c r="G640" s="31" t="s">
        <v>660</v>
      </c>
      <c r="H640" s="31" t="str">
        <f t="shared" si="148"/>
        <v>Pio XI</v>
      </c>
      <c r="K640" s="31" t="s">
        <v>557</v>
      </c>
      <c r="L640" s="31" t="str">
        <f t="shared" si="152"/>
        <v>Motu Proprio</v>
      </c>
      <c r="M640" s="31" t="s">
        <v>571</v>
      </c>
      <c r="O640" s="31" t="s">
        <v>3453</v>
      </c>
      <c r="P640" s="31" t="s">
        <v>3464</v>
      </c>
      <c r="Q640" s="40">
        <v>10995</v>
      </c>
      <c r="R640" s="35">
        <f t="shared" si="146"/>
        <v>6</v>
      </c>
      <c r="S640" s="35"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5">
        <f t="shared" si="147"/>
        <v>1930</v>
      </c>
      <c r="U640" s="31"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6"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31"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31">
        <v>667</v>
      </c>
      <c r="Y640" s="31" t="str">
        <f t="shared" si="140"/>
        <v>['Pio XI', 'Motu Proprio', 'Già da qualche tempo con il quale viene istituita la «Sezione storica» della Sacra Congregazione dei Riti', 'pixi-mpr-gdt', '06 febbraio 1930', '06/02/1930', '1930/02/06'],</v>
      </c>
      <c r="Z640" s="31" t="str">
        <f t="shared" si="141"/>
        <v>Già da qualche tempo con il quale viene istituita la «Sezione storica» della Sacra Congregazione dei Riti (10995) | Pio XI</v>
      </c>
      <c r="AA640" s="31" t="str">
        <f t="shared" si="142"/>
        <v>Motu Proprio Già da qualche tempo con il quale viene istituita la «Sezione storica» della Sacra Congregazione dei Riti</v>
      </c>
      <c r="AB640" s="31" t="str">
        <f t="shared" si="143"/>
        <v>Motu Proprio Già da qualche tempo con il quale viene istituita la «Sezione storica» della Sacra Congregazione dei Riti</v>
      </c>
      <c r="AC640" s="31" t="str">
        <f t="shared" si="144"/>
        <v>Pio XI, Motu Proprio Già da qualche tempo con il quale viene istituita la «Sezione storica» della Sacra Congregazione dei Riti, 06 febbraio 1930</v>
      </c>
      <c r="AD640" s="31" t="str">
        <f t="shared" si="145"/>
        <v>1930-02-06T08:00:00.000+02:00</v>
      </c>
      <c r="AE640" s="31" t="str">
        <f t="shared" si="150"/>
        <v>pixi-mpr-gdt</v>
      </c>
      <c r="AF640" s="31" t="str">
        <f t="shared" si="151"/>
        <v>Pio XI - Motu Proprio - Già da qualche tempo con il quale viene istituita la «Sezione storica» della Sacra Congregazione dei Riti</v>
      </c>
    </row>
    <row r="641" spans="2:32" s="31" customFormat="1" x14ac:dyDescent="0.2">
      <c r="B641" s="31">
        <v>259</v>
      </c>
      <c r="C641" s="31" t="s">
        <v>3460</v>
      </c>
      <c r="D641" s="31" t="s">
        <v>715</v>
      </c>
      <c r="E641" s="31" t="s">
        <v>739</v>
      </c>
      <c r="F641" s="31" t="s">
        <v>661</v>
      </c>
      <c r="G641" s="31" t="s">
        <v>660</v>
      </c>
      <c r="H641" s="31" t="str">
        <f t="shared" si="148"/>
        <v>Pio XI</v>
      </c>
      <c r="K641" s="31" t="s">
        <v>557</v>
      </c>
      <c r="L641" s="31" t="str">
        <f t="shared" si="152"/>
        <v>Motu Proprio</v>
      </c>
      <c r="M641" s="31" t="s">
        <v>571</v>
      </c>
      <c r="O641" s="31" t="s">
        <v>3454</v>
      </c>
      <c r="P641" s="31" t="s">
        <v>3465</v>
      </c>
      <c r="Q641" s="40">
        <v>10751</v>
      </c>
      <c r="R641" s="35">
        <f t="shared" si="146"/>
        <v>7</v>
      </c>
      <c r="S641" s="35"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5">
        <f t="shared" si="147"/>
        <v>1929</v>
      </c>
      <c r="U641" s="31"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6"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31"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31">
        <v>668</v>
      </c>
      <c r="Y641" s="31" t="str">
        <f t="shared" si="140"/>
        <v>['Pio XI', 'Motu Proprio', 'Di nostro moto proprio che contiene la Legge Fondamentale della Città del Vaticano', 'pixi-mpr-lcv', '07 giugno 1929', '07/06/1929', '1929/06/07'],</v>
      </c>
      <c r="Z641" s="31" t="str">
        <f t="shared" si="141"/>
        <v>Di nostro moto proprio che contiene la Legge Fondamentale della Città del Vaticano (10751) | Pio XI</v>
      </c>
      <c r="AA641" s="31" t="str">
        <f t="shared" si="142"/>
        <v>Motu Proprio Di nostro moto proprio che contiene la Legge Fondamentale della Città del Vaticano</v>
      </c>
      <c r="AB641" s="31" t="str">
        <f t="shared" si="143"/>
        <v>Motu Proprio Di nostro moto proprio che contiene la Legge Fondamentale della Città del Vaticano</v>
      </c>
      <c r="AC641" s="31" t="str">
        <f t="shared" si="144"/>
        <v>Pio XI, Motu Proprio Di nostro moto proprio che contiene la Legge Fondamentale della Città del Vaticano, 07 giugno 1929</v>
      </c>
      <c r="AD641" s="31" t="str">
        <f t="shared" si="145"/>
        <v>1929-06-07T08:00:00.000+02:00</v>
      </c>
      <c r="AE641" s="31" t="str">
        <f t="shared" si="150"/>
        <v>pixi-mpr-lcv</v>
      </c>
      <c r="AF641" s="31" t="str">
        <f t="shared" si="151"/>
        <v>Pio XI - Motu Proprio - Di nostro moto proprio che contiene la Legge Fondamentale della Città del Vaticano</v>
      </c>
    </row>
    <row r="642" spans="2:32" s="31" customFormat="1" x14ac:dyDescent="0.2">
      <c r="B642" s="31">
        <v>259</v>
      </c>
      <c r="C642" s="31" t="s">
        <v>3461</v>
      </c>
      <c r="D642" s="31" t="s">
        <v>715</v>
      </c>
      <c r="E642" s="31" t="s">
        <v>739</v>
      </c>
      <c r="F642" s="31" t="s">
        <v>661</v>
      </c>
      <c r="G642" s="31" t="s">
        <v>660</v>
      </c>
      <c r="H642" s="31" t="str">
        <f t="shared" si="148"/>
        <v>Pio XI</v>
      </c>
      <c r="K642" s="31" t="s">
        <v>557</v>
      </c>
      <c r="L642" s="31" t="str">
        <f t="shared" si="152"/>
        <v>Motu Proprio</v>
      </c>
      <c r="M642" s="31" t="s">
        <v>571</v>
      </c>
      <c r="O642" s="31" t="s">
        <v>3455</v>
      </c>
      <c r="P642" s="31" t="s">
        <v>3466</v>
      </c>
      <c r="Q642" s="40">
        <v>9477</v>
      </c>
      <c r="R642" s="35">
        <f t="shared" si="146"/>
        <v>11</v>
      </c>
      <c r="S642" s="35"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5">
        <f t="shared" si="147"/>
        <v>1925</v>
      </c>
      <c r="U642" s="31"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6"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31"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31">
        <v>669</v>
      </c>
      <c r="Y642" s="31" t="str">
        <f t="shared" ref="Y642:Y705" si="153">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31" t="str">
        <f t="shared" ref="Z642:Z705" si="154">_xlfn.CONCAT(O642 &amp; " (" &amp; Q642 &amp; ") | " &amp; D642 &amp; " " &amp; E642)</f>
        <v>I primitivi cemeteri che istituisce il Pontificio Istituto di Archeologia Cristiana (9477) | Pio XI</v>
      </c>
      <c r="AA642" s="31" t="str">
        <f t="shared" ref="AA642:AA705" si="155">_xlfn.CONCAT(K642 &amp; " " &amp; O642)</f>
        <v>Motu Proprio I primitivi cemeteri che istituisce il Pontificio Istituto di Archeologia Cristiana</v>
      </c>
      <c r="AB642" s="31" t="str">
        <f t="shared" ref="AB642:AB705" si="156">_xlfn.CONCAT(K642 &amp; " " &amp; O642)</f>
        <v>Motu Proprio I primitivi cemeteri che istituisce il Pontificio Istituto di Archeologia Cristiana</v>
      </c>
      <c r="AC642" s="31" t="str">
        <f t="shared" ref="AC642:AC705" si="157">_xlfn.CONCAT(H642 &amp; ", " &amp; L642 &amp; " " &amp; O642 &amp; ", " &amp; LEFT(U642,2) &amp; " " &amp; TEXT(VALUE(MID(U642,4,2))*29,"mmmm") &amp; " " &amp; RIGHT(U642,4))</f>
        <v>Pio XI, Motu Proprio I primitivi cemeteri che istituisce il Pontificio Istituto di Archeologia Cristiana, 11 dicembre 1925</v>
      </c>
      <c r="AD642" s="31" t="str">
        <f t="shared" ref="AD642:AD705" si="158">_xlfn.CONCAT(RIGHT(U642,4) &amp; "-" &amp; MID(U642,4,2) &amp; "-" &amp; LEFT(U642,2) &amp; "T08:00:00.000+02:00")</f>
        <v>1925-12-11T08:00:00.000+02:00</v>
      </c>
      <c r="AE642" s="31" t="str">
        <f t="shared" si="150"/>
        <v>pixi-mpr-ipc</v>
      </c>
      <c r="AF642" s="31" t="str">
        <f t="shared" si="151"/>
        <v>Pio XI - Motu Proprio - I primitivi cemeteri che istituisce il Pontificio Istituto di Archeologia Cristiana</v>
      </c>
    </row>
    <row r="643" spans="2:32" s="31" customFormat="1" x14ac:dyDescent="0.2">
      <c r="B643" s="31">
        <v>259</v>
      </c>
      <c r="C643" s="31" t="s">
        <v>3462</v>
      </c>
      <c r="D643" s="31" t="s">
        <v>715</v>
      </c>
      <c r="E643" s="31" t="s">
        <v>739</v>
      </c>
      <c r="F643" s="31" t="s">
        <v>661</v>
      </c>
      <c r="G643" s="31" t="s">
        <v>660</v>
      </c>
      <c r="H643" s="31" t="str">
        <f t="shared" si="148"/>
        <v>Pio XI</v>
      </c>
      <c r="K643" s="31" t="s">
        <v>557</v>
      </c>
      <c r="L643" s="31" t="str">
        <f t="shared" si="152"/>
        <v>Motu Proprio</v>
      </c>
      <c r="M643" s="31" t="s">
        <v>571</v>
      </c>
      <c r="O643" s="31" t="s">
        <v>3456</v>
      </c>
      <c r="P643" s="31" t="s">
        <v>955</v>
      </c>
      <c r="Q643" s="40">
        <v>8096</v>
      </c>
      <c r="R643" s="35">
        <f t="shared" si="146"/>
        <v>1</v>
      </c>
      <c r="S643" s="35"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5">
        <f t="shared" si="147"/>
        <v>1922</v>
      </c>
      <c r="U643" s="31"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6"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31"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31">
        <v>670</v>
      </c>
      <c r="Y643" s="31" t="str">
        <f t="shared" si="153"/>
        <v>['Pio XI', 'Motu Proprio', 'Cum Proxime, sulle nuove norme a proposito delle riunioni dei cardinali chiamati ad eleggere il nuovo Papa', 'pixi-mpr-cup', '01 marzo 1922', '01/03/1922', '1922/03/01'],</v>
      </c>
      <c r="Z643" s="31" t="str">
        <f t="shared" si="154"/>
        <v>Cum Proxime, sulle nuove norme a proposito delle riunioni dei cardinali chiamati ad eleggere il nuovo Papa (8096) | Pio XI</v>
      </c>
      <c r="AA643" s="31" t="str">
        <f t="shared" si="155"/>
        <v>Motu Proprio Cum Proxime, sulle nuove norme a proposito delle riunioni dei cardinali chiamati ad eleggere il nuovo Papa</v>
      </c>
      <c r="AB643" s="31" t="str">
        <f t="shared" si="156"/>
        <v>Motu Proprio Cum Proxime, sulle nuove norme a proposito delle riunioni dei cardinali chiamati ad eleggere il nuovo Papa</v>
      </c>
      <c r="AC643" s="31" t="str">
        <f t="shared" si="157"/>
        <v>Pio XI, Motu Proprio Cum Proxime, sulle nuove norme a proposito delle riunioni dei cardinali chiamati ad eleggere il nuovo Papa, 01 marzo 1922</v>
      </c>
      <c r="AD643" s="31" t="str">
        <f t="shared" si="158"/>
        <v>1922-03-01T08:00:00.000+02:00</v>
      </c>
      <c r="AE643" s="31" t="str">
        <f t="shared" si="150"/>
        <v>pixi-mpr-cup</v>
      </c>
      <c r="AF643" s="31" t="str">
        <f t="shared" si="151"/>
        <v>Pio XI - Motu Proprio - Cum Proxime, sulle nuove norme a proposito delle riunioni dei cardinali chiamati ad eleggere il nuovo Papa</v>
      </c>
    </row>
    <row r="644" spans="2:32" s="31" customFormat="1" x14ac:dyDescent="0.2">
      <c r="B644" s="31">
        <v>259</v>
      </c>
      <c r="C644" s="31" t="s">
        <v>3467</v>
      </c>
      <c r="D644" s="31" t="s">
        <v>715</v>
      </c>
      <c r="E644" s="31" t="s">
        <v>739</v>
      </c>
      <c r="F644" s="31" t="s">
        <v>661</v>
      </c>
      <c r="G644" s="31" t="s">
        <v>660</v>
      </c>
      <c r="H644" s="31" t="str">
        <f t="shared" si="148"/>
        <v>Pio XI</v>
      </c>
      <c r="K644" s="31" t="s">
        <v>833</v>
      </c>
      <c r="L644" s="31" t="str">
        <f t="shared" si="152"/>
        <v>Omelia</v>
      </c>
      <c r="M644" s="31" t="s">
        <v>572</v>
      </c>
      <c r="O644" s="31" t="s">
        <v>3471</v>
      </c>
      <c r="P644" s="31" t="s">
        <v>1682</v>
      </c>
      <c r="Q644" s="40">
        <v>10165</v>
      </c>
      <c r="R644" s="35">
        <f t="shared" si="146"/>
        <v>30</v>
      </c>
      <c r="S644" s="35"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5">
        <f t="shared" si="147"/>
        <v>1927</v>
      </c>
      <c r="U644" s="31"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6"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31"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31">
        <v>671</v>
      </c>
      <c r="Y644" s="31" t="str">
        <f t="shared" si="153"/>
        <v>['Pio XI', 'Omelia', 'Celebrazione Eucaristica «Anno Vix Elapso» per la consacrazione del primo Vescovo giapponese', 'pixi-ome-ave', '30 ottobre 1927', '30/10/1927', '1927/10/30'],</v>
      </c>
      <c r="Z644" s="31" t="str">
        <f t="shared" si="154"/>
        <v>Celebrazione Eucaristica «Anno Vix Elapso» per la consacrazione del primo Vescovo giapponese (10165) | Pio XI</v>
      </c>
      <c r="AA644" s="31" t="str">
        <f t="shared" si="155"/>
        <v>Omelia Celebrazione Eucaristica «Anno Vix Elapso» per la consacrazione del primo Vescovo giapponese</v>
      </c>
      <c r="AB644" s="31" t="str">
        <f t="shared" si="156"/>
        <v>Omelia Celebrazione Eucaristica «Anno Vix Elapso» per la consacrazione del primo Vescovo giapponese</v>
      </c>
      <c r="AC644" s="31" t="str">
        <f t="shared" si="157"/>
        <v>Pio XI, Omelia Celebrazione Eucaristica «Anno Vix Elapso» per la consacrazione del primo Vescovo giapponese, 30 ottobre 1927</v>
      </c>
      <c r="AD644" s="31" t="str">
        <f t="shared" si="158"/>
        <v>1927-10-30T08:00:00.000+02:00</v>
      </c>
      <c r="AE644" s="31" t="str">
        <f t="shared" si="150"/>
        <v>pixi-ome-ave</v>
      </c>
      <c r="AF644" s="31" t="str">
        <f t="shared" si="151"/>
        <v>Pio XI - Omelia - Celebrazione Eucaristica «Anno Vix Elapso» per la consacrazione del primo Vescovo giapponese</v>
      </c>
    </row>
    <row r="645" spans="2:32" s="31" customFormat="1" x14ac:dyDescent="0.2">
      <c r="B645" s="31">
        <v>259</v>
      </c>
      <c r="C645" s="31" t="s">
        <v>3468</v>
      </c>
      <c r="D645" s="31" t="s">
        <v>715</v>
      </c>
      <c r="E645" s="31" t="s">
        <v>739</v>
      </c>
      <c r="F645" s="31" t="s">
        <v>661</v>
      </c>
      <c r="G645" s="31" t="s">
        <v>660</v>
      </c>
      <c r="H645" s="31" t="str">
        <f t="shared" si="148"/>
        <v>Pio XI</v>
      </c>
      <c r="K645" s="31" t="s">
        <v>833</v>
      </c>
      <c r="L645" s="31" t="str">
        <f t="shared" ref="L645:L647" si="159">IF(J645&lt;&gt;"",_xlfn.CONCAT(J645 &amp; " " &amp; K645),K645)</f>
        <v>Omelia</v>
      </c>
      <c r="M645" s="31" t="s">
        <v>572</v>
      </c>
      <c r="O645" s="31" t="s">
        <v>3472</v>
      </c>
      <c r="P645" s="31" t="s">
        <v>3475</v>
      </c>
      <c r="Q645" s="40">
        <v>9798</v>
      </c>
      <c r="R645" s="35">
        <f t="shared" si="146"/>
        <v>28</v>
      </c>
      <c r="S645" s="35"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5">
        <f t="shared" si="147"/>
        <v>1926</v>
      </c>
      <c r="U645" s="31"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6"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31"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31">
        <v>672</v>
      </c>
      <c r="Y645" s="31" t="str">
        <f t="shared" si="153"/>
        <v>['Pio XI', 'Omelia', 'Celebrazione Eucaristica «Iam Finis» per la consacrazione dei primi sei Vescovi cinesi', 'pixi-ome-iaf', '28 ottobre 1926', '28/10/1926', '1926/10/28'],</v>
      </c>
      <c r="Z645" s="31" t="str">
        <f t="shared" si="154"/>
        <v>Celebrazione Eucaristica «Iam Finis» per la consacrazione dei primi sei Vescovi cinesi (9798) | Pio XI</v>
      </c>
      <c r="AA645" s="31" t="str">
        <f t="shared" si="155"/>
        <v>Omelia Celebrazione Eucaristica «Iam Finis» per la consacrazione dei primi sei Vescovi cinesi</v>
      </c>
      <c r="AB645" s="31" t="str">
        <f t="shared" si="156"/>
        <v>Omelia Celebrazione Eucaristica «Iam Finis» per la consacrazione dei primi sei Vescovi cinesi</v>
      </c>
      <c r="AC645" s="31" t="str">
        <f t="shared" si="157"/>
        <v>Pio XI, Omelia Celebrazione Eucaristica «Iam Finis» per la consacrazione dei primi sei Vescovi cinesi, 28 ottobre 1926</v>
      </c>
      <c r="AD645" s="31" t="str">
        <f t="shared" si="158"/>
        <v>1926-10-28T08:00:00.000+02:00</v>
      </c>
      <c r="AE645" s="31" t="str">
        <f t="shared" si="150"/>
        <v>pixi-ome-iaf</v>
      </c>
      <c r="AF645" s="31" t="str">
        <f t="shared" si="151"/>
        <v>Pio XI - Omelia - Celebrazione Eucaristica «Iam Finis» per la consacrazione dei primi sei Vescovi cinesi</v>
      </c>
    </row>
    <row r="646" spans="2:32" s="31" customFormat="1" x14ac:dyDescent="0.2">
      <c r="B646" s="31">
        <v>259</v>
      </c>
      <c r="C646" s="31" t="s">
        <v>3469</v>
      </c>
      <c r="D646" s="31" t="s">
        <v>715</v>
      </c>
      <c r="E646" s="31" t="s">
        <v>739</v>
      </c>
      <c r="F646" s="31" t="s">
        <v>661</v>
      </c>
      <c r="G646" s="31" t="s">
        <v>660</v>
      </c>
      <c r="H646" s="31" t="str">
        <f t="shared" si="148"/>
        <v>Pio XI</v>
      </c>
      <c r="K646" s="31" t="s">
        <v>833</v>
      </c>
      <c r="L646" s="31" t="str">
        <f t="shared" si="159"/>
        <v>Omelia</v>
      </c>
      <c r="M646" s="31" t="s">
        <v>572</v>
      </c>
      <c r="O646" s="31" t="s">
        <v>3473</v>
      </c>
      <c r="P646" s="31" t="s">
        <v>1010</v>
      </c>
      <c r="Q646" s="40">
        <v>9269</v>
      </c>
      <c r="R646" s="35">
        <f t="shared" si="146"/>
        <v>17</v>
      </c>
      <c r="S646" s="35"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5">
        <f t="shared" si="147"/>
        <v>1925</v>
      </c>
      <c r="U646" s="31"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6"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31"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31">
        <v>673</v>
      </c>
      <c r="Y646" s="31" t="str">
        <f t="shared" si="153"/>
        <v>['Pio XI', 'Omelia', 'Celebrazione Eucaristica «Benedictus Deus» in onore di Santa Teresa del Bambin Gesù', 'pixi-ome-bed', '17 maggio 1925', '17/05/1925', '1925/05/17'],</v>
      </c>
      <c r="Z646" s="31" t="str">
        <f t="shared" si="154"/>
        <v>Celebrazione Eucaristica «Benedictus Deus» in onore di Santa Teresa del Bambin Gesù (9269) | Pio XI</v>
      </c>
      <c r="AA646" s="31" t="str">
        <f t="shared" si="155"/>
        <v>Omelia Celebrazione Eucaristica «Benedictus Deus» in onore di Santa Teresa del Bambin Gesù</v>
      </c>
      <c r="AB646" s="31" t="str">
        <f t="shared" si="156"/>
        <v>Omelia Celebrazione Eucaristica «Benedictus Deus» in onore di Santa Teresa del Bambin Gesù</v>
      </c>
      <c r="AC646" s="31" t="str">
        <f t="shared" si="157"/>
        <v>Pio XI, Omelia Celebrazione Eucaristica «Benedictus Deus» in onore di Santa Teresa del Bambin Gesù, 17 maggio 1925</v>
      </c>
      <c r="AD646" s="31" t="str">
        <f t="shared" si="158"/>
        <v>1925-05-17T08:00:00.000+02:00</v>
      </c>
      <c r="AE646" s="31" t="str">
        <f t="shared" si="150"/>
        <v>pixi-ome-bed</v>
      </c>
      <c r="AF646" s="31" t="str">
        <f t="shared" si="151"/>
        <v>Pio XI - Omelia - Celebrazione Eucaristica «Benedictus Deus» in onore di Santa Teresa del Bambin Gesù</v>
      </c>
    </row>
    <row r="647" spans="2:32" s="31" customFormat="1" x14ac:dyDescent="0.2">
      <c r="B647" s="31">
        <v>259</v>
      </c>
      <c r="C647" s="31" t="s">
        <v>3470</v>
      </c>
      <c r="D647" s="31" t="s">
        <v>715</v>
      </c>
      <c r="E647" s="31" t="s">
        <v>739</v>
      </c>
      <c r="F647" s="31" t="s">
        <v>661</v>
      </c>
      <c r="G647" s="31" t="s">
        <v>660</v>
      </c>
      <c r="H647" s="31" t="str">
        <f t="shared" si="148"/>
        <v>Pio XI</v>
      </c>
      <c r="K647" s="31" t="s">
        <v>833</v>
      </c>
      <c r="L647" s="31" t="str">
        <f t="shared" si="159"/>
        <v>Omelia</v>
      </c>
      <c r="M647" s="31" t="s">
        <v>572</v>
      </c>
      <c r="O647" s="31" t="s">
        <v>3474</v>
      </c>
      <c r="P647" s="31" t="s">
        <v>3476</v>
      </c>
      <c r="Q647" s="40">
        <v>8191</v>
      </c>
      <c r="R647" s="35">
        <f t="shared" si="146"/>
        <v>4</v>
      </c>
      <c r="S647" s="35"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5">
        <f t="shared" si="147"/>
        <v>1922</v>
      </c>
      <c r="U647" s="31"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6"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31"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31">
        <v>674</v>
      </c>
      <c r="Y647" s="31" t="str">
        <f t="shared" si="153"/>
        <v>['Pio XI', 'Omelia', 'Celebrazione eucaristica «Accipietis virtutem» in occasione del terzo centenario della Congregazione de Propaganda Fide', 'pixi-ome-acv', '04 giugno 1922', '04/06/1922', '1922/06/04'],</v>
      </c>
      <c r="Z647" s="31" t="str">
        <f t="shared" si="154"/>
        <v>Celebrazione eucaristica «Accipietis virtutem» in occasione del terzo centenario della Congregazione de Propaganda Fide (8191) | Pio XI</v>
      </c>
      <c r="AA647" s="31" t="str">
        <f t="shared" si="155"/>
        <v>Omelia Celebrazione eucaristica «Accipietis virtutem» in occasione del terzo centenario della Congregazione de Propaganda Fide</v>
      </c>
      <c r="AB647" s="31" t="str">
        <f t="shared" si="156"/>
        <v>Omelia Celebrazione eucaristica «Accipietis virtutem» in occasione del terzo centenario della Congregazione de Propaganda Fide</v>
      </c>
      <c r="AC647" s="31" t="str">
        <f t="shared" si="157"/>
        <v>Pio XI, Omelia Celebrazione eucaristica «Accipietis virtutem» in occasione del terzo centenario della Congregazione de Propaganda Fide, 04 giugno 1922</v>
      </c>
      <c r="AD647" s="31" t="str">
        <f t="shared" si="158"/>
        <v>1922-06-04T08:00:00.000+02:00</v>
      </c>
      <c r="AE647" s="31" t="str">
        <f t="shared" si="150"/>
        <v>pixi-ome-acv</v>
      </c>
      <c r="AF647" s="31" t="str">
        <f t="shared" si="151"/>
        <v>Pio XI - Omelia - Celebrazione eucaristica «Accipietis virtutem» in occasione del terzo centenario della Congregazione de Propaganda Fide</v>
      </c>
    </row>
    <row r="648" spans="2:32" s="31" customFormat="1" x14ac:dyDescent="0.2">
      <c r="B648" s="31">
        <v>259</v>
      </c>
      <c r="C648" s="31" t="s">
        <v>3479</v>
      </c>
      <c r="D648" s="31" t="s">
        <v>715</v>
      </c>
      <c r="E648" s="31" t="s">
        <v>739</v>
      </c>
      <c r="F648" s="31" t="s">
        <v>661</v>
      </c>
      <c r="G648" s="31" t="s">
        <v>660</v>
      </c>
      <c r="H648" s="31" t="str">
        <f t="shared" si="148"/>
        <v>Pio XI</v>
      </c>
      <c r="K648" s="31" t="s">
        <v>826</v>
      </c>
      <c r="L648" s="31" t="str">
        <f t="shared" si="152"/>
        <v>Costituzione Apostolica</v>
      </c>
      <c r="M648" s="31" t="s">
        <v>565</v>
      </c>
      <c r="O648" s="31" t="s">
        <v>3477</v>
      </c>
      <c r="P648" s="31" t="s">
        <v>3478</v>
      </c>
      <c r="Q648" s="40">
        <v>10599</v>
      </c>
      <c r="R648" s="35">
        <f t="shared" si="146"/>
        <v>6</v>
      </c>
      <c r="S648" s="35"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5">
        <f t="shared" si="147"/>
        <v>1929</v>
      </c>
      <c r="U648" s="31"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6"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31"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31">
        <v>675</v>
      </c>
      <c r="Y648" s="31" t="str">
        <f t="shared" si="153"/>
        <v>['Pio XI', 'Costituzione Apostolica', 'Auspicantibus Nobis in occasione del Giubileo Straordinario del 1929', 'pixi-coa-aun', '06 gennaio 1929', '06/01/1929', '1929/01/06'],</v>
      </c>
      <c r="Z648" s="31" t="str">
        <f t="shared" si="154"/>
        <v>Auspicantibus Nobis in occasione del Giubileo Straordinario del 1929 (10599) | Pio XI</v>
      </c>
      <c r="AA648" s="31" t="str">
        <f t="shared" si="155"/>
        <v>Costituzione Apostolica Auspicantibus Nobis in occasione del Giubileo Straordinario del 1929</v>
      </c>
      <c r="AB648" s="31" t="str">
        <f t="shared" si="156"/>
        <v>Costituzione Apostolica Auspicantibus Nobis in occasione del Giubileo Straordinario del 1929</v>
      </c>
      <c r="AC648" s="31" t="str">
        <f t="shared" si="157"/>
        <v>Pio XI, Costituzione Apostolica Auspicantibus Nobis in occasione del Giubileo Straordinario del 1929, 06 gennaio 1929</v>
      </c>
      <c r="AD648" s="31" t="str">
        <f t="shared" si="158"/>
        <v>1929-01-06T08:00:00.000+02:00</v>
      </c>
      <c r="AE648" s="31" t="str">
        <f t="shared" si="150"/>
        <v>pixi-coa-aun</v>
      </c>
      <c r="AF648" s="31" t="str">
        <f t="shared" si="151"/>
        <v>Pio XI - Costituzione Apostolica - Auspicantibus Nobis in occasione del Giubileo Straordinario del 1929</v>
      </c>
    </row>
    <row r="649" spans="2:32" s="31" customFormat="1" x14ac:dyDescent="0.2">
      <c r="B649" s="31">
        <v>259</v>
      </c>
      <c r="C649" s="31" t="s">
        <v>3480</v>
      </c>
      <c r="D649" s="31" t="s">
        <v>715</v>
      </c>
      <c r="E649" s="31" t="s">
        <v>739</v>
      </c>
      <c r="F649" s="31" t="s">
        <v>661</v>
      </c>
      <c r="G649" s="31" t="s">
        <v>660</v>
      </c>
      <c r="H649" s="31" t="str">
        <f t="shared" si="148"/>
        <v>Pio XI</v>
      </c>
      <c r="K649" s="31" t="s">
        <v>827</v>
      </c>
      <c r="L649" s="31" t="str">
        <f t="shared" si="152"/>
        <v>Discorso</v>
      </c>
      <c r="M649" s="31" t="s">
        <v>566</v>
      </c>
      <c r="O649" s="31" t="s">
        <v>3500</v>
      </c>
      <c r="P649" s="31" t="s">
        <v>2990</v>
      </c>
      <c r="Q649" s="40">
        <v>14238</v>
      </c>
      <c r="R649" s="35">
        <f t="shared" si="146"/>
        <v>24</v>
      </c>
      <c r="S649" s="35"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5">
        <f t="shared" si="147"/>
        <v>1938</v>
      </c>
      <c r="U649" s="31"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6"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31"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31">
        <v>676</v>
      </c>
      <c r="Y649" s="31" t="str">
        <f t="shared" si="153"/>
        <v>['Pio XI', 'Discorso', 'Con grande ai Cardinali di Santa Romana Chiesa in risposta degli omaggi e degli auguri espressi in occasione del Natale e del nuovo anno', 'pixi-dis-acr', '24 dicembre 1938', '24/12/1938', '1938/12/24'],</v>
      </c>
      <c r="Z649" s="31" t="str">
        <f t="shared" si="154"/>
        <v>Con grande ai Cardinali di Santa Romana Chiesa in risposta degli omaggi e degli auguri espressi in occasione del Natale e del nuovo anno (14238) | Pio XI</v>
      </c>
      <c r="AA649" s="31" t="str">
        <f t="shared" si="155"/>
        <v>Discorso Con grande ai Cardinali di Santa Romana Chiesa in risposta degli omaggi e degli auguri espressi in occasione del Natale e del nuovo anno</v>
      </c>
      <c r="AB649" s="31" t="str">
        <f t="shared" si="156"/>
        <v>Discorso Con grande ai Cardinali di Santa Romana Chiesa in risposta degli omaggi e degli auguri espressi in occasione del Natale e del nuovo anno</v>
      </c>
      <c r="AC649" s="31" t="str">
        <f t="shared" si="157"/>
        <v>Pio XI, Discorso Con grande ai Cardinali di Santa Romana Chiesa in risposta degli omaggi e degli auguri espressi in occasione del Natale e del nuovo anno, 24 dicembre 1938</v>
      </c>
      <c r="AD649" s="31" t="str">
        <f t="shared" si="158"/>
        <v>1938-12-24T08:00:00.000+02:00</v>
      </c>
      <c r="AE649" s="31" t="str">
        <f t="shared" si="150"/>
        <v>pixi-dis-acr</v>
      </c>
      <c r="AF649" s="31" t="str">
        <f t="shared" si="151"/>
        <v>Pio XI - Discorso - Con grande ai Cardinali di Santa Romana Chiesa in risposta degli omaggi e degli auguri espressi in occasione del Natale e del nuovo anno</v>
      </c>
    </row>
    <row r="650" spans="2:32" s="31" customFormat="1" x14ac:dyDescent="0.2">
      <c r="B650" s="31">
        <v>259</v>
      </c>
      <c r="C650" s="31" t="s">
        <v>3481</v>
      </c>
      <c r="D650" s="31" t="s">
        <v>715</v>
      </c>
      <c r="E650" s="31" t="s">
        <v>739</v>
      </c>
      <c r="F650" s="31" t="s">
        <v>661</v>
      </c>
      <c r="G650" s="31" t="s">
        <v>660</v>
      </c>
      <c r="H650" s="31" t="str">
        <f t="shared" si="148"/>
        <v>Pio XI</v>
      </c>
      <c r="K650" s="31" t="s">
        <v>827</v>
      </c>
      <c r="L650" s="31" t="str">
        <f t="shared" ref="L650:L668" si="160">IF(J650&lt;&gt;"",_xlfn.CONCAT(J650 &amp; " " &amp; K650),K650)</f>
        <v>Discorso</v>
      </c>
      <c r="M650" s="31" t="s">
        <v>566</v>
      </c>
      <c r="O650" s="31" t="s">
        <v>3501</v>
      </c>
      <c r="P650" s="31" t="s">
        <v>3530</v>
      </c>
      <c r="Q650" s="40">
        <v>14171</v>
      </c>
      <c r="R650" s="35">
        <f t="shared" si="146"/>
        <v>18</v>
      </c>
      <c r="S650" s="35"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5">
        <f t="shared" si="147"/>
        <v>1938</v>
      </c>
      <c r="U650" s="31"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6"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31"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31">
        <v>677</v>
      </c>
      <c r="Y650" s="31" t="str">
        <f t="shared" si="153"/>
        <v>['Pio XI', 'Discorso', 'Radiomessaggio Dum Christus Dominus a tutti i cattolici convenuti a Nuova Orléans per celebrare l’inizio dell’ottavo Congresso Eucaristico degli Stati Uniti d’America', 'pixi-dis-dcd', '18 ottobre 1938', '18/10/1938', '1938/10/18'],</v>
      </c>
      <c r="Z650" s="31" t="str">
        <f t="shared" si="154"/>
        <v>Radiomessaggio Dum Christus Dominus a tutti i cattolici convenuti a Nuova Orléans per celebrare l’inizio dell’ottavo Congresso Eucaristico degli Stati Uniti d’America (14171) | Pio XI</v>
      </c>
      <c r="AA650" s="31" t="str">
        <f t="shared" si="155"/>
        <v>Discorso Radiomessaggio Dum Christus Dominus a tutti i cattolici convenuti a Nuova Orléans per celebrare l’inizio dell’ottavo Congresso Eucaristico degli Stati Uniti d’America</v>
      </c>
      <c r="AB650" s="31" t="str">
        <f t="shared" si="156"/>
        <v>Discorso Radiomessaggio Dum Christus Dominus a tutti i cattolici convenuti a Nuova Orléans per celebrare l’inizio dell’ottavo Congresso Eucaristico degli Stati Uniti d’America</v>
      </c>
      <c r="AC650" s="31" t="str">
        <f t="shared" si="157"/>
        <v>Pio XI, Discorso Radiomessaggio Dum Christus Dominus a tutti i cattolici convenuti a Nuova Orléans per celebrare l’inizio dell’ottavo Congresso Eucaristico degli Stati Uniti d’America, 18 ottobre 1938</v>
      </c>
      <c r="AD650" s="31" t="str">
        <f t="shared" si="158"/>
        <v>1938-10-18T08:00:00.000+02:00</v>
      </c>
      <c r="AE650" s="31" t="str">
        <f t="shared" si="150"/>
        <v>pixi-dis-dcd</v>
      </c>
      <c r="AF650" s="31" t="str">
        <f t="shared" si="151"/>
        <v>Pio XI - Discorso - Radiomessaggio Dum Christus Dominus a tutti i cattolici convenuti a Nuova Orléans per celebrare l’inizio dell’ottavo Congresso Eucaristico degli Stati Uniti d’America</v>
      </c>
    </row>
    <row r="651" spans="2:32" s="31" customFormat="1" x14ac:dyDescent="0.2">
      <c r="B651" s="31">
        <v>259</v>
      </c>
      <c r="C651" s="31" t="s">
        <v>3482</v>
      </c>
      <c r="D651" s="31" t="s">
        <v>715</v>
      </c>
      <c r="E651" s="31" t="s">
        <v>739</v>
      </c>
      <c r="F651" s="31" t="s">
        <v>661</v>
      </c>
      <c r="G651" s="31" t="s">
        <v>660</v>
      </c>
      <c r="H651" s="31" t="str">
        <f t="shared" si="148"/>
        <v>Pio XI</v>
      </c>
      <c r="K651" s="31" t="s">
        <v>827</v>
      </c>
      <c r="L651" s="31" t="str">
        <f t="shared" si="160"/>
        <v>Discorso</v>
      </c>
      <c r="M651" s="31" t="s">
        <v>566</v>
      </c>
      <c r="O651" s="31" t="s">
        <v>3502</v>
      </c>
      <c r="P651" s="31" t="s">
        <v>3531</v>
      </c>
      <c r="Q651" s="40">
        <v>14152</v>
      </c>
      <c r="R651" s="35">
        <f t="shared" si="146"/>
        <v>29</v>
      </c>
      <c r="S651" s="35"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5">
        <f t="shared" si="147"/>
        <v>1938</v>
      </c>
      <c r="U651" s="31"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6"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31"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31">
        <v>678</v>
      </c>
      <c r="Y651" s="31" t="str">
        <f t="shared" si="153"/>
        <v>['Pio XI', 'Discorso', 'Radiomessaggio Mentre milioni a tutti i cattolici e al mondo intero nella festa di San Michele Arcangelo', 'pixi-dis-mem', '29 settembre 1938', '29/09/1938', '1938/09/29'],</v>
      </c>
      <c r="Z651" s="31" t="str">
        <f t="shared" si="154"/>
        <v>Radiomessaggio Mentre milioni a tutti i cattolici e al mondo intero nella festa di San Michele Arcangelo (14152) | Pio XI</v>
      </c>
      <c r="AA651" s="31" t="str">
        <f t="shared" si="155"/>
        <v>Discorso Radiomessaggio Mentre milioni a tutti i cattolici e al mondo intero nella festa di San Michele Arcangelo</v>
      </c>
      <c r="AB651" s="31" t="str">
        <f t="shared" si="156"/>
        <v>Discorso Radiomessaggio Mentre milioni a tutti i cattolici e al mondo intero nella festa di San Michele Arcangelo</v>
      </c>
      <c r="AC651" s="31" t="str">
        <f t="shared" si="157"/>
        <v>Pio XI, Discorso Radiomessaggio Mentre milioni a tutti i cattolici e al mondo intero nella festa di San Michele Arcangelo, 29 settembre 1938</v>
      </c>
      <c r="AD651" s="31" t="str">
        <f t="shared" si="158"/>
        <v>1938-09-29T08:00:00.000+02:00</v>
      </c>
      <c r="AE651" s="31" t="str">
        <f t="shared" si="150"/>
        <v>pixi-dis-mem</v>
      </c>
      <c r="AF651" s="31" t="str">
        <f t="shared" si="151"/>
        <v>Pio XI - Discorso - Radiomessaggio Mentre milioni a tutti i cattolici e al mondo intero nella festa di San Michele Arcangelo</v>
      </c>
    </row>
    <row r="652" spans="2:32" s="31" customFormat="1" x14ac:dyDescent="0.2">
      <c r="B652" s="31">
        <v>259</v>
      </c>
      <c r="C652" s="31" t="s">
        <v>3483</v>
      </c>
      <c r="D652" s="31" t="s">
        <v>715</v>
      </c>
      <c r="E652" s="31" t="s">
        <v>739</v>
      </c>
      <c r="F652" s="31" t="s">
        <v>661</v>
      </c>
      <c r="G652" s="31" t="s">
        <v>660</v>
      </c>
      <c r="H652" s="31" t="str">
        <f t="shared" si="148"/>
        <v>Pio XI</v>
      </c>
      <c r="K652" s="31" t="s">
        <v>827</v>
      </c>
      <c r="L652" s="31" t="str">
        <f t="shared" si="160"/>
        <v>Discorso</v>
      </c>
      <c r="M652" s="31" t="s">
        <v>566</v>
      </c>
      <c r="O652" s="31" t="s">
        <v>3503</v>
      </c>
      <c r="P652" s="31" t="s">
        <v>3532</v>
      </c>
      <c r="Q652" s="40">
        <v>14057</v>
      </c>
      <c r="R652" s="35">
        <f t="shared" si="146"/>
        <v>26</v>
      </c>
      <c r="S652" s="35"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5">
        <f t="shared" si="147"/>
        <v>1938</v>
      </c>
      <c r="U652" s="31"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6"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31"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31">
        <v>679</v>
      </c>
      <c r="Y652" s="31" t="str">
        <f t="shared" si="153"/>
        <v>['Pio XI', 'Discorso', 'Radiomessaggio Hac sollemni hora ai partecipanti al Congresso Eucaristico Nazionale del Canada svoltosi a Québec', 'pixi-dis-hsh', '26 giugno 1938', '26/06/1938', '1938/06/26'],</v>
      </c>
      <c r="Z652" s="31" t="str">
        <f t="shared" si="154"/>
        <v>Radiomessaggio Hac sollemni hora ai partecipanti al Congresso Eucaristico Nazionale del Canada svoltosi a Québec (14057) | Pio XI</v>
      </c>
      <c r="AA652" s="31" t="str">
        <f t="shared" si="155"/>
        <v>Discorso Radiomessaggio Hac sollemni hora ai partecipanti al Congresso Eucaristico Nazionale del Canada svoltosi a Québec</v>
      </c>
      <c r="AB652" s="31" t="str">
        <f t="shared" si="156"/>
        <v>Discorso Radiomessaggio Hac sollemni hora ai partecipanti al Congresso Eucaristico Nazionale del Canada svoltosi a Québec</v>
      </c>
      <c r="AC652" s="31" t="str">
        <f t="shared" si="157"/>
        <v>Pio XI, Discorso Radiomessaggio Hac sollemni hora ai partecipanti al Congresso Eucaristico Nazionale del Canada svoltosi a Québec, 26 giugno 1938</v>
      </c>
      <c r="AD652" s="31" t="str">
        <f t="shared" si="158"/>
        <v>1938-06-26T08:00:00.000+02:00</v>
      </c>
      <c r="AE652" s="31" t="str">
        <f t="shared" si="150"/>
        <v>pixi-dis-hsh</v>
      </c>
      <c r="AF652" s="31" t="str">
        <f t="shared" si="151"/>
        <v>Pio XI - Discorso - Radiomessaggio Hac sollemni hora ai partecipanti al Congresso Eucaristico Nazionale del Canada svoltosi a Québec</v>
      </c>
    </row>
    <row r="653" spans="2:32" s="31" customFormat="1" x14ac:dyDescent="0.2">
      <c r="B653" s="31">
        <v>259</v>
      </c>
      <c r="C653" s="31" t="s">
        <v>3484</v>
      </c>
      <c r="D653" s="31" t="s">
        <v>715</v>
      </c>
      <c r="E653" s="31" t="s">
        <v>739</v>
      </c>
      <c r="F653" s="31" t="s">
        <v>661</v>
      </c>
      <c r="G653" s="31" t="s">
        <v>660</v>
      </c>
      <c r="H653" s="31" t="str">
        <f t="shared" si="148"/>
        <v>Pio XI</v>
      </c>
      <c r="K653" s="31" t="s">
        <v>827</v>
      </c>
      <c r="L653" s="31" t="str">
        <f t="shared" si="160"/>
        <v>Discorso</v>
      </c>
      <c r="M653" s="31" t="s">
        <v>566</v>
      </c>
      <c r="O653" s="31" t="s">
        <v>3504</v>
      </c>
      <c r="P653" s="31" t="s">
        <v>3533</v>
      </c>
      <c r="Q653" s="40">
        <v>14029</v>
      </c>
      <c r="R653" s="35">
        <f t="shared" si="146"/>
        <v>29</v>
      </c>
      <c r="S653" s="35"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5">
        <f t="shared" si="147"/>
        <v>1938</v>
      </c>
      <c r="U653" s="31"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6"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31"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31">
        <v>680</v>
      </c>
      <c r="Y653" s="31" t="str">
        <f t="shared" si="153"/>
        <v>['Pio XI', 'Discorso', 'Radiomessaggio Dum datur nobis ai partecipanti al XXIV Congresso Eucaristico Internazionale di Budapest', 'pixi-dis-ddn', '29 maggio 1938', '29/05/1938', '1938/05/29'],</v>
      </c>
      <c r="Z653" s="31" t="str">
        <f t="shared" si="154"/>
        <v>Radiomessaggio Dum datur nobis ai partecipanti al XXIV Congresso Eucaristico Internazionale di Budapest (14029) | Pio XI</v>
      </c>
      <c r="AA653" s="31" t="str">
        <f t="shared" si="155"/>
        <v>Discorso Radiomessaggio Dum datur nobis ai partecipanti al XXIV Congresso Eucaristico Internazionale di Budapest</v>
      </c>
      <c r="AB653" s="31" t="str">
        <f t="shared" si="156"/>
        <v>Discorso Radiomessaggio Dum datur nobis ai partecipanti al XXIV Congresso Eucaristico Internazionale di Budapest</v>
      </c>
      <c r="AC653" s="31" t="str">
        <f t="shared" si="157"/>
        <v>Pio XI, Discorso Radiomessaggio Dum datur nobis ai partecipanti al XXIV Congresso Eucaristico Internazionale di Budapest, 29 maggio 1938</v>
      </c>
      <c r="AD653" s="31" t="str">
        <f t="shared" si="158"/>
        <v>1938-05-29T08:00:00.000+02:00</v>
      </c>
      <c r="AE653" s="31" t="str">
        <f t="shared" si="150"/>
        <v>pixi-dis-ddn</v>
      </c>
      <c r="AF653" s="31" t="str">
        <f t="shared" si="151"/>
        <v>Pio XI - Discorso - Radiomessaggio Dum datur nobis ai partecipanti al XXIV Congresso Eucaristico Internazionale di Budapest</v>
      </c>
    </row>
    <row r="654" spans="2:32" s="31" customFormat="1" x14ac:dyDescent="0.2">
      <c r="B654" s="31">
        <v>259</v>
      </c>
      <c r="C654" s="31" t="s">
        <v>3485</v>
      </c>
      <c r="D654" s="31" t="s">
        <v>715</v>
      </c>
      <c r="E654" s="31" t="s">
        <v>739</v>
      </c>
      <c r="F654" s="31" t="s">
        <v>661</v>
      </c>
      <c r="G654" s="31" t="s">
        <v>660</v>
      </c>
      <c r="H654" s="31" t="str">
        <f t="shared" si="148"/>
        <v>Pio XI</v>
      </c>
      <c r="K654" s="31" t="s">
        <v>827</v>
      </c>
      <c r="L654" s="31" t="str">
        <f t="shared" si="160"/>
        <v>Discorso</v>
      </c>
      <c r="M654" s="31" t="s">
        <v>566</v>
      </c>
      <c r="O654" s="31" t="s">
        <v>3505</v>
      </c>
      <c r="P654" s="31" t="s">
        <v>3534</v>
      </c>
      <c r="Q654" s="40">
        <v>13880</v>
      </c>
      <c r="R654" s="35">
        <f t="shared" si="146"/>
        <v>31</v>
      </c>
      <c r="S654" s="35"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5">
        <f t="shared" si="147"/>
        <v>1937</v>
      </c>
      <c r="U654" s="31"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6"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31"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31">
        <v>681</v>
      </c>
      <c r="Y654" s="31" t="str">
        <f t="shared" si="153"/>
        <v>['Pio XI', 'Discorso', 'Radiomessaggio Audite populi de longe ai cattolici delle regioni indiane convenuti per il primo Congresso Eucaristico Nazionale', 'pixi-dis-apl', '31 dicembre 1937', '31/12/1937', '1937/12/31'],</v>
      </c>
      <c r="Z654" s="31" t="str">
        <f t="shared" si="154"/>
        <v>Radiomessaggio Audite populi de longe ai cattolici delle regioni indiane convenuti per il primo Congresso Eucaristico Nazionale (13880) | Pio XI</v>
      </c>
      <c r="AA654" s="31" t="str">
        <f t="shared" si="155"/>
        <v>Discorso Radiomessaggio Audite populi de longe ai cattolici delle regioni indiane convenuti per il primo Congresso Eucaristico Nazionale</v>
      </c>
      <c r="AB654" s="31" t="str">
        <f t="shared" si="156"/>
        <v>Discorso Radiomessaggio Audite populi de longe ai cattolici delle regioni indiane convenuti per il primo Congresso Eucaristico Nazionale</v>
      </c>
      <c r="AC654" s="31" t="str">
        <f t="shared" si="157"/>
        <v>Pio XI, Discorso Radiomessaggio Audite populi de longe ai cattolici delle regioni indiane convenuti per il primo Congresso Eucaristico Nazionale, 31 dicembre 1937</v>
      </c>
      <c r="AD654" s="31" t="str">
        <f t="shared" si="158"/>
        <v>1937-12-31T08:00:00.000+02:00</v>
      </c>
      <c r="AE654" s="31" t="str">
        <f t="shared" si="150"/>
        <v>pixi-dis-apl</v>
      </c>
      <c r="AF654" s="31" t="str">
        <f t="shared" si="151"/>
        <v>Pio XI - Discorso - Radiomessaggio Audite populi de longe ai cattolici delle regioni indiane convenuti per il primo Congresso Eucaristico Nazionale</v>
      </c>
    </row>
    <row r="655" spans="2:32" s="31" customFormat="1" x14ac:dyDescent="0.2">
      <c r="B655" s="31">
        <v>259</v>
      </c>
      <c r="C655" s="31" t="s">
        <v>3486</v>
      </c>
      <c r="D655" s="31" t="s">
        <v>715</v>
      </c>
      <c r="E655" s="31" t="s">
        <v>739</v>
      </c>
      <c r="F655" s="31" t="s">
        <v>661</v>
      </c>
      <c r="G655" s="31" t="s">
        <v>660</v>
      </c>
      <c r="H655" s="31" t="str">
        <f t="shared" si="148"/>
        <v>Pio XI</v>
      </c>
      <c r="K655" s="31" t="s">
        <v>827</v>
      </c>
      <c r="L655" s="31" t="str">
        <f t="shared" si="160"/>
        <v>Discorso</v>
      </c>
      <c r="M655" s="31" t="s">
        <v>566</v>
      </c>
      <c r="O655" s="31" t="s">
        <v>3506</v>
      </c>
      <c r="P655" s="31" t="s">
        <v>3535</v>
      </c>
      <c r="Q655" s="40">
        <v>13407</v>
      </c>
      <c r="R655" s="35">
        <f t="shared" si="146"/>
        <v>14</v>
      </c>
      <c r="S655" s="35"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5">
        <f t="shared" si="147"/>
        <v>1936</v>
      </c>
      <c r="U655" s="31"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6"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31"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31">
        <v>682</v>
      </c>
      <c r="Y655" s="31" t="str">
        <f t="shared" si="153"/>
        <v>['Pio XI', 'Discorso', 'La vostra presenza ai Vescovi, sacerdoti, religiosi e fedeli profughi dalla Spagna', 'pixi-dis-lvp', '14 settembre 1936', '14/09/1936', '1936/09/14'],</v>
      </c>
      <c r="Z655" s="31" t="str">
        <f t="shared" si="154"/>
        <v>La vostra presenza ai Vescovi, sacerdoti, religiosi e fedeli profughi dalla Spagna (13407) | Pio XI</v>
      </c>
      <c r="AA655" s="31" t="str">
        <f t="shared" si="155"/>
        <v>Discorso La vostra presenza ai Vescovi, sacerdoti, religiosi e fedeli profughi dalla Spagna</v>
      </c>
      <c r="AB655" s="31" t="str">
        <f t="shared" si="156"/>
        <v>Discorso La vostra presenza ai Vescovi, sacerdoti, religiosi e fedeli profughi dalla Spagna</v>
      </c>
      <c r="AC655" s="31" t="str">
        <f t="shared" si="157"/>
        <v>Pio XI, Discorso La vostra presenza ai Vescovi, sacerdoti, religiosi e fedeli profughi dalla Spagna, 14 settembre 1936</v>
      </c>
      <c r="AD655" s="31" t="str">
        <f t="shared" si="158"/>
        <v>1936-09-14T08:00:00.000+02:00</v>
      </c>
      <c r="AE655" s="31" t="str">
        <f t="shared" si="150"/>
        <v>pixi-dis-lvp</v>
      </c>
      <c r="AF655" s="31" t="str">
        <f t="shared" si="151"/>
        <v>Pio XI - Discorso - La vostra presenza ai Vescovi, sacerdoti, religiosi e fedeli profughi dalla Spagna</v>
      </c>
    </row>
    <row r="656" spans="2:32" s="31" customFormat="1" x14ac:dyDescent="0.2">
      <c r="B656" s="31">
        <v>259</v>
      </c>
      <c r="C656" s="31" t="s">
        <v>3487</v>
      </c>
      <c r="D656" s="31" t="s">
        <v>715</v>
      </c>
      <c r="E656" s="31" t="s">
        <v>739</v>
      </c>
      <c r="F656" s="31" t="s">
        <v>661</v>
      </c>
      <c r="G656" s="31" t="s">
        <v>660</v>
      </c>
      <c r="H656" s="31" t="str">
        <f t="shared" si="148"/>
        <v>Pio XI</v>
      </c>
      <c r="K656" s="31" t="s">
        <v>827</v>
      </c>
      <c r="L656" s="31" t="str">
        <f t="shared" si="160"/>
        <v>Discorso</v>
      </c>
      <c r="M656" s="31" t="s">
        <v>566</v>
      </c>
      <c r="O656" s="31" t="s">
        <v>3507</v>
      </c>
      <c r="P656" s="31" t="s">
        <v>3536</v>
      </c>
      <c r="Q656" s="40">
        <v>13282</v>
      </c>
      <c r="R656" s="35">
        <f t="shared" si="146"/>
        <v>12</v>
      </c>
      <c r="S656" s="35"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5">
        <f t="shared" si="147"/>
        <v>1936</v>
      </c>
      <c r="U656" s="31"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6"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31"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31">
        <v>683</v>
      </c>
      <c r="Y656" s="31" t="str">
        <f t="shared" si="153"/>
        <v>['Pio XI', 'Discorso', 'Siamo ancora in occasione dell'inaugurazione dell'Esposizione Mondiale della Stampa Cattolica', 'pixi-dis-ems', '12 maggio 1936', '12/05/1936', '1936/05/12'],</v>
      </c>
      <c r="Z656" s="31" t="str">
        <f t="shared" si="154"/>
        <v>Siamo ancora in occasione dell'inaugurazione dell'Esposizione Mondiale della Stampa Cattolica (13282) | Pio XI</v>
      </c>
      <c r="AA656" s="31" t="str">
        <f t="shared" si="155"/>
        <v>Discorso Siamo ancora in occasione dell'inaugurazione dell'Esposizione Mondiale della Stampa Cattolica</v>
      </c>
      <c r="AB656" s="31" t="str">
        <f t="shared" si="156"/>
        <v>Discorso Siamo ancora in occasione dell'inaugurazione dell'Esposizione Mondiale della Stampa Cattolica</v>
      </c>
      <c r="AC656" s="31" t="str">
        <f t="shared" si="157"/>
        <v>Pio XI, Discorso Siamo ancora in occasione dell'inaugurazione dell'Esposizione Mondiale della Stampa Cattolica, 12 maggio 1936</v>
      </c>
      <c r="AD656" s="31" t="str">
        <f t="shared" si="158"/>
        <v>1936-05-12T08:00:00.000+02:00</v>
      </c>
      <c r="AE656" s="31" t="str">
        <f t="shared" si="150"/>
        <v>pixi-dis-ems</v>
      </c>
      <c r="AF656" s="31" t="str">
        <f t="shared" si="151"/>
        <v>Pio XI - Discorso - Siamo ancora in occasione dell'inaugurazione dell'Esposizione Mondiale della Stampa Cattolica</v>
      </c>
    </row>
    <row r="657" spans="2:32" s="31" customFormat="1" x14ac:dyDescent="0.2">
      <c r="B657" s="31">
        <v>259</v>
      </c>
      <c r="C657" s="31" t="s">
        <v>3488</v>
      </c>
      <c r="D657" s="31" t="s">
        <v>715</v>
      </c>
      <c r="E657" s="31" t="s">
        <v>739</v>
      </c>
      <c r="F657" s="31" t="s">
        <v>661</v>
      </c>
      <c r="G657" s="31" t="s">
        <v>660</v>
      </c>
      <c r="H657" s="31" t="str">
        <f t="shared" si="148"/>
        <v>Pio XI</v>
      </c>
      <c r="K657" s="31" t="s">
        <v>827</v>
      </c>
      <c r="L657" s="31" t="str">
        <f t="shared" si="160"/>
        <v>Discorso</v>
      </c>
      <c r="M657" s="31" t="s">
        <v>566</v>
      </c>
      <c r="O657" s="31" t="s">
        <v>3508</v>
      </c>
      <c r="P657" s="31" t="s">
        <v>3537</v>
      </c>
      <c r="Q657" s="40">
        <v>11989</v>
      </c>
      <c r="R657" s="35">
        <f t="shared" si="146"/>
        <v>27</v>
      </c>
      <c r="S657" s="35"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5">
        <f t="shared" si="147"/>
        <v>1932</v>
      </c>
      <c r="U657" s="31"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6"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31"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31">
        <v>684</v>
      </c>
      <c r="Y657" s="31" t="str">
        <f t="shared" si="153"/>
        <v>['Pio XI', 'Discorso', 'Abbiamo poco in occasione dell'inaugurazione della Pinacoteca Vaticana', 'pixi-dis-ipv', '27 ottobre 1932', '27/10/1932', '1932/10/27'],</v>
      </c>
      <c r="Z657" s="31" t="str">
        <f t="shared" si="154"/>
        <v>Abbiamo poco in occasione dell'inaugurazione della Pinacoteca Vaticana (11989) | Pio XI</v>
      </c>
      <c r="AA657" s="31" t="str">
        <f t="shared" si="155"/>
        <v>Discorso Abbiamo poco in occasione dell'inaugurazione della Pinacoteca Vaticana</v>
      </c>
      <c r="AB657" s="31" t="str">
        <f t="shared" si="156"/>
        <v>Discorso Abbiamo poco in occasione dell'inaugurazione della Pinacoteca Vaticana</v>
      </c>
      <c r="AC657" s="31" t="str">
        <f t="shared" si="157"/>
        <v>Pio XI, Discorso Abbiamo poco in occasione dell'inaugurazione della Pinacoteca Vaticana, 27 ottobre 1932</v>
      </c>
      <c r="AD657" s="31" t="str">
        <f t="shared" si="158"/>
        <v>1932-10-27T08:00:00.000+02:00</v>
      </c>
      <c r="AE657" s="31" t="str">
        <f t="shared" si="150"/>
        <v>pixi-dis-ipv</v>
      </c>
      <c r="AF657" s="31" t="str">
        <f t="shared" si="151"/>
        <v>Pio XI - Discorso - Abbiamo poco in occasione dell'inaugurazione della Pinacoteca Vaticana</v>
      </c>
    </row>
    <row r="658" spans="2:32" s="31" customFormat="1" x14ac:dyDescent="0.2">
      <c r="B658" s="31">
        <v>259</v>
      </c>
      <c r="C658" s="31" t="s">
        <v>3489</v>
      </c>
      <c r="D658" s="31" t="s">
        <v>715</v>
      </c>
      <c r="E658" s="31" t="s">
        <v>739</v>
      </c>
      <c r="F658" s="31" t="s">
        <v>661</v>
      </c>
      <c r="G658" s="31" t="s">
        <v>660</v>
      </c>
      <c r="H658" s="31" t="str">
        <f t="shared" si="148"/>
        <v>Pio XI</v>
      </c>
      <c r="K658" s="31" t="s">
        <v>827</v>
      </c>
      <c r="L658" s="31" t="str">
        <f t="shared" si="160"/>
        <v>Discorso</v>
      </c>
      <c r="M658" s="31" t="s">
        <v>566</v>
      </c>
      <c r="O658" s="31" t="s">
        <v>3509</v>
      </c>
      <c r="P658" s="31" t="s">
        <v>3538</v>
      </c>
      <c r="Q658" s="40">
        <v>11366</v>
      </c>
      <c r="R658" s="35">
        <f t="shared" ref="R658:R721" si="161">IF(ISERROR(DAY(Q658)),TEXT((LEFT(Q658,2)),"00"),DAY(Q658))</f>
        <v>12</v>
      </c>
      <c r="S658" s="35"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5">
        <f t="shared" ref="T658:T721" si="162">IF(ISERROR(DAY(Q658)),VALUE(RIGHT(Q658,4)),YEAR(Q658))</f>
        <v>1931</v>
      </c>
      <c r="U658" s="31"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6"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31"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31">
        <v>685</v>
      </c>
      <c r="Y658" s="31" t="str">
        <f t="shared" si="153"/>
        <v>['Pio XI', 'Discorso', 'Primo radiomessaggio Qui arcano Dei a tutte le genti e ad ogni creatura', 'pixi-dis-qad', '12 febbraio 1931', '12/02/1931', '1931/02/12'],</v>
      </c>
      <c r="Z658" s="31" t="str">
        <f t="shared" si="154"/>
        <v>Primo radiomessaggio Qui arcano Dei a tutte le genti e ad ogni creatura (11366) | Pio XI</v>
      </c>
      <c r="AA658" s="31" t="str">
        <f t="shared" si="155"/>
        <v>Discorso Primo radiomessaggio Qui arcano Dei a tutte le genti e ad ogni creatura</v>
      </c>
      <c r="AB658" s="31" t="str">
        <f t="shared" si="156"/>
        <v>Discorso Primo radiomessaggio Qui arcano Dei a tutte le genti e ad ogni creatura</v>
      </c>
      <c r="AC658" s="31" t="str">
        <f t="shared" si="157"/>
        <v>Pio XI, Discorso Primo radiomessaggio Qui arcano Dei a tutte le genti e ad ogni creatura, 12 febbraio 1931</v>
      </c>
      <c r="AD658" s="31" t="str">
        <f t="shared" si="158"/>
        <v>1931-02-12T08:00:00.000+02:00</v>
      </c>
      <c r="AE658" s="31" t="str">
        <f t="shared" si="150"/>
        <v>pixi-dis-qad</v>
      </c>
      <c r="AF658" s="31" t="str">
        <f t="shared" si="151"/>
        <v>Pio XI - Discorso - Primo radiomessaggio Qui arcano Dei a tutte le genti e ad ogni creatura</v>
      </c>
    </row>
    <row r="659" spans="2:32" s="31" customFormat="1" x14ac:dyDescent="0.2">
      <c r="B659" s="31">
        <v>259</v>
      </c>
      <c r="C659" s="31" t="s">
        <v>3490</v>
      </c>
      <c r="D659" s="31" t="s">
        <v>715</v>
      </c>
      <c r="E659" s="31" t="s">
        <v>739</v>
      </c>
      <c r="F659" s="31" t="s">
        <v>661</v>
      </c>
      <c r="G659" s="31" t="s">
        <v>660</v>
      </c>
      <c r="H659" s="31" t="str">
        <f t="shared" si="148"/>
        <v>Pio XI</v>
      </c>
      <c r="K659" s="31" t="s">
        <v>827</v>
      </c>
      <c r="L659" s="31" t="str">
        <f t="shared" si="160"/>
        <v>Discorso</v>
      </c>
      <c r="M659" s="31" t="s">
        <v>566</v>
      </c>
      <c r="O659" s="31" t="s">
        <v>3510</v>
      </c>
      <c r="P659" s="31" t="s">
        <v>3539</v>
      </c>
      <c r="Q659" s="40">
        <v>11316</v>
      </c>
      <c r="R659" s="35">
        <f t="shared" si="161"/>
        <v>24</v>
      </c>
      <c r="S659" s="35"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5">
        <f t="shared" si="162"/>
        <v>1930</v>
      </c>
      <c r="U659" s="31"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6"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31"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31">
        <v>686</v>
      </c>
      <c r="Y659" s="31" t="str">
        <f t="shared" si="153"/>
        <v>['Pio XI', 'Discorso', 'Benedetto il Natale alla Curia Romana per la presentazione degli auguri natalizi', 'pixi-dis-bin', '24 dicembre 1930', '24/12/1930', '1930/12/24'],</v>
      </c>
      <c r="Z659" s="31" t="str">
        <f t="shared" si="154"/>
        <v>Benedetto il Natale alla Curia Romana per la presentazione degli auguri natalizi (11316) | Pio XI</v>
      </c>
      <c r="AA659" s="31" t="str">
        <f t="shared" si="155"/>
        <v>Discorso Benedetto il Natale alla Curia Romana per la presentazione degli auguri natalizi</v>
      </c>
      <c r="AB659" s="31" t="str">
        <f t="shared" si="156"/>
        <v>Discorso Benedetto il Natale alla Curia Romana per la presentazione degli auguri natalizi</v>
      </c>
      <c r="AC659" s="31" t="str">
        <f t="shared" si="157"/>
        <v>Pio XI, Discorso Benedetto il Natale alla Curia Romana per la presentazione degli auguri natalizi, 24 dicembre 1930</v>
      </c>
      <c r="AD659" s="31" t="str">
        <f t="shared" si="158"/>
        <v>1930-12-24T08:00:00.000+02:00</v>
      </c>
      <c r="AE659" s="31" t="str">
        <f t="shared" si="150"/>
        <v>pixi-dis-bin</v>
      </c>
      <c r="AF659" s="31" t="str">
        <f t="shared" si="151"/>
        <v>Pio XI - Discorso - Benedetto il Natale alla Curia Romana per la presentazione degli auguri natalizi</v>
      </c>
    </row>
    <row r="660" spans="2:32" s="31" customFormat="1" x14ac:dyDescent="0.2">
      <c r="B660" s="31">
        <v>259</v>
      </c>
      <c r="C660" s="31" t="s">
        <v>3491</v>
      </c>
      <c r="D660" s="31" t="s">
        <v>715</v>
      </c>
      <c r="E660" s="31" t="s">
        <v>739</v>
      </c>
      <c r="F660" s="31" t="s">
        <v>661</v>
      </c>
      <c r="G660" s="31" t="s">
        <v>660</v>
      </c>
      <c r="H660" s="31" t="str">
        <f t="shared" si="148"/>
        <v>Pio XI</v>
      </c>
      <c r="K660" s="31" t="s">
        <v>827</v>
      </c>
      <c r="L660" s="31" t="str">
        <f t="shared" si="160"/>
        <v>Discorso</v>
      </c>
      <c r="M660" s="31" t="s">
        <v>566</v>
      </c>
      <c r="O660" s="31" t="s">
        <v>3511</v>
      </c>
      <c r="P660" s="31" t="s">
        <v>3540</v>
      </c>
      <c r="Q660" s="40">
        <v>10951</v>
      </c>
      <c r="R660" s="35">
        <f t="shared" si="161"/>
        <v>24</v>
      </c>
      <c r="S660" s="35"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5">
        <f t="shared" si="162"/>
        <v>1929</v>
      </c>
      <c r="U660" s="31"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6"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31"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31">
        <v>687</v>
      </c>
      <c r="Y660" s="31" t="str">
        <f t="shared" si="153"/>
        <v>['Pio XI', 'Discorso', 'Ci affrettiamo ai Cardinali e ai Collegi della Prelatura Romana convenuti nell'aula del Concistoro', 'pixi-dis-acc', '24 dicembre 1929', '24/12/1929', '1929/12/24'],</v>
      </c>
      <c r="Z660" s="31" t="str">
        <f t="shared" si="154"/>
        <v>Ci affrettiamo ai Cardinali e ai Collegi della Prelatura Romana convenuti nell'aula del Concistoro (10951) | Pio XI</v>
      </c>
      <c r="AA660" s="31" t="str">
        <f t="shared" si="155"/>
        <v>Discorso Ci affrettiamo ai Cardinali e ai Collegi della Prelatura Romana convenuti nell'aula del Concistoro</v>
      </c>
      <c r="AB660" s="31" t="str">
        <f t="shared" si="156"/>
        <v>Discorso Ci affrettiamo ai Cardinali e ai Collegi della Prelatura Romana convenuti nell'aula del Concistoro</v>
      </c>
      <c r="AC660" s="31" t="str">
        <f t="shared" si="157"/>
        <v>Pio XI, Discorso Ci affrettiamo ai Cardinali e ai Collegi della Prelatura Romana convenuti nell'aula del Concistoro, 24 dicembre 1929</v>
      </c>
      <c r="AD660" s="31" t="str">
        <f t="shared" si="158"/>
        <v>1929-12-24T08:00:00.000+02:00</v>
      </c>
      <c r="AE660" s="31" t="str">
        <f t="shared" si="150"/>
        <v>pixi-dis-acc</v>
      </c>
      <c r="AF660" s="31" t="str">
        <f t="shared" si="151"/>
        <v>Pio XI - Discorso - Ci affrettiamo ai Cardinali e ai Collegi della Prelatura Romana convenuti nell'aula del Concistoro</v>
      </c>
    </row>
    <row r="661" spans="2:32" s="31" customFormat="1" x14ac:dyDescent="0.2">
      <c r="B661" s="31">
        <v>259</v>
      </c>
      <c r="C661" s="31" t="s">
        <v>3492</v>
      </c>
      <c r="D661" s="31" t="s">
        <v>715</v>
      </c>
      <c r="E661" s="31" t="s">
        <v>739</v>
      </c>
      <c r="F661" s="31" t="s">
        <v>661</v>
      </c>
      <c r="G661" s="31" t="s">
        <v>660</v>
      </c>
      <c r="H661" s="31" t="str">
        <f t="shared" si="148"/>
        <v>Pio XI</v>
      </c>
      <c r="K661" s="31" t="s">
        <v>827</v>
      </c>
      <c r="L661" s="31" t="str">
        <f t="shared" si="160"/>
        <v>Discorso</v>
      </c>
      <c r="M661" s="31" t="s">
        <v>566</v>
      </c>
      <c r="O661" s="31" t="s">
        <v>3512</v>
      </c>
      <c r="P661" s="31" t="s">
        <v>3550</v>
      </c>
      <c r="Q661" s="40">
        <v>10943</v>
      </c>
      <c r="R661" s="35">
        <f t="shared" si="161"/>
        <v>16</v>
      </c>
      <c r="S661" s="35"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5">
        <f t="shared" si="162"/>
        <v>1929</v>
      </c>
      <c r="U661" s="31"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6"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31"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31">
        <v>688</v>
      </c>
      <c r="Y661" s="31" t="str">
        <f t="shared" si="153"/>
        <v>['Pio XI', 'Discorso', 'Al Corpo Diplomatico accreditato presso la Santa Sede', 'pixi-dis-cds', '16 dicembre 1929', '16/12/1929', '1929/12/16'],</v>
      </c>
      <c r="Z661" s="31" t="str">
        <f t="shared" si="154"/>
        <v>Al Corpo Diplomatico accreditato presso la Santa Sede (10943) | Pio XI</v>
      </c>
      <c r="AA661" s="31" t="str">
        <f t="shared" si="155"/>
        <v>Discorso Al Corpo Diplomatico accreditato presso la Santa Sede</v>
      </c>
      <c r="AB661" s="31" t="str">
        <f t="shared" si="156"/>
        <v>Discorso Al Corpo Diplomatico accreditato presso la Santa Sede</v>
      </c>
      <c r="AC661" s="31" t="str">
        <f t="shared" si="157"/>
        <v>Pio XI, Discorso Al Corpo Diplomatico accreditato presso la Santa Sede, 16 dicembre 1929</v>
      </c>
      <c r="AD661" s="31" t="str">
        <f t="shared" si="158"/>
        <v>1929-12-16T08:00:00.000+02:00</v>
      </c>
      <c r="AE661" s="31" t="str">
        <f t="shared" si="150"/>
        <v>pixi-dis-cds</v>
      </c>
      <c r="AF661" s="31" t="str">
        <f t="shared" si="151"/>
        <v>Pio XI - Discorso - Al Corpo Diplomatico accreditato presso la Santa Sede</v>
      </c>
    </row>
    <row r="662" spans="2:32" s="31" customFormat="1" x14ac:dyDescent="0.2">
      <c r="B662" s="31">
        <v>259</v>
      </c>
      <c r="C662" s="31" t="s">
        <v>3493</v>
      </c>
      <c r="D662" s="31" t="s">
        <v>715</v>
      </c>
      <c r="E662" s="31" t="s">
        <v>739</v>
      </c>
      <c r="F662" s="31" t="s">
        <v>661</v>
      </c>
      <c r="G662" s="31" t="s">
        <v>660</v>
      </c>
      <c r="H662" s="31" t="str">
        <f t="shared" si="148"/>
        <v>Pio XI</v>
      </c>
      <c r="K662" s="31" t="s">
        <v>827</v>
      </c>
      <c r="L662" s="31" t="str">
        <f t="shared" si="160"/>
        <v>Discorso</v>
      </c>
      <c r="M662" s="31" t="s">
        <v>566</v>
      </c>
      <c r="O662" s="31" t="s">
        <v>3513</v>
      </c>
      <c r="P662" s="31" t="s">
        <v>3541</v>
      </c>
      <c r="Q662" s="40">
        <v>8724</v>
      </c>
      <c r="R662" s="35">
        <f t="shared" si="161"/>
        <v>19</v>
      </c>
      <c r="S662" s="35"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5">
        <f t="shared" si="162"/>
        <v>1923</v>
      </c>
      <c r="U662" s="31"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6"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31"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31">
        <v>689</v>
      </c>
      <c r="Y662" s="31" t="str">
        <f t="shared" si="153"/>
        <v>['Pio XI', 'Discorso', 'Ai Reali di Spagna, Re Alfonso XIII e la Regina Vittoria', 'pixi-dis-ars', '19 novembre 1923', '19/11/1923', '1923/11/19'],</v>
      </c>
      <c r="Z662" s="31" t="str">
        <f t="shared" si="154"/>
        <v>Ai Reali di Spagna, Re Alfonso XIII e la Regina Vittoria (8724) | Pio XI</v>
      </c>
      <c r="AA662" s="31" t="str">
        <f t="shared" si="155"/>
        <v>Discorso Ai Reali di Spagna, Re Alfonso XIII e la Regina Vittoria</v>
      </c>
      <c r="AB662" s="31" t="str">
        <f t="shared" si="156"/>
        <v>Discorso Ai Reali di Spagna, Re Alfonso XIII e la Regina Vittoria</v>
      </c>
      <c r="AC662" s="31" t="str">
        <f t="shared" si="157"/>
        <v>Pio XI, Discorso Ai Reali di Spagna, Re Alfonso XIII e la Regina Vittoria, 19 novembre 1923</v>
      </c>
      <c r="AD662" s="31" t="str">
        <f t="shared" si="158"/>
        <v>1923-11-19T08:00:00.000+02:00</v>
      </c>
      <c r="AE662" s="31" t="str">
        <f t="shared" si="150"/>
        <v>pixi-dis-ars</v>
      </c>
      <c r="AF662" s="31" t="str">
        <f t="shared" si="151"/>
        <v>Pio XI - Discorso - Ai Reali di Spagna, Re Alfonso XIII e la Regina Vittoria</v>
      </c>
    </row>
    <row r="663" spans="2:32" s="31" customFormat="1" x14ac:dyDescent="0.2">
      <c r="B663" s="31">
        <v>259</v>
      </c>
      <c r="C663" s="31" t="s">
        <v>3494</v>
      </c>
      <c r="D663" s="31" t="s">
        <v>715</v>
      </c>
      <c r="E663" s="31" t="s">
        <v>739</v>
      </c>
      <c r="F663" s="31" t="s">
        <v>661</v>
      </c>
      <c r="G663" s="31" t="s">
        <v>660</v>
      </c>
      <c r="H663" s="31" t="str">
        <f t="shared" si="148"/>
        <v>Pio XI</v>
      </c>
      <c r="K663" s="31" t="s">
        <v>827</v>
      </c>
      <c r="L663" s="31" t="str">
        <f t="shared" si="160"/>
        <v>Discorso</v>
      </c>
      <c r="M663" s="31" t="s">
        <v>566</v>
      </c>
      <c r="O663" s="31" t="s">
        <v>3514</v>
      </c>
      <c r="P663" s="31" t="s">
        <v>3542</v>
      </c>
      <c r="Q663" s="40">
        <v>10769</v>
      </c>
      <c r="R663" s="35">
        <f t="shared" si="161"/>
        <v>25</v>
      </c>
      <c r="S663" s="35"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5">
        <f t="shared" si="162"/>
        <v>1929</v>
      </c>
      <c r="U663" s="31"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6"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31"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31">
        <v>690</v>
      </c>
      <c r="Y663" s="31" t="str">
        <f t="shared" si="153"/>
        <v>['Pio XI', 'Discorso', 'All'Ambasciatore d'Italia', 'pixi-dis-aai', '25 giugno 1929', '25/06/1929', '1929/06/25'],</v>
      </c>
      <c r="Z663" s="31" t="str">
        <f t="shared" si="154"/>
        <v>All'Ambasciatore d'Italia (10769) | Pio XI</v>
      </c>
      <c r="AA663" s="31" t="str">
        <f t="shared" si="155"/>
        <v>Discorso All'Ambasciatore d'Italia</v>
      </c>
      <c r="AB663" s="31" t="str">
        <f t="shared" si="156"/>
        <v>Discorso All'Ambasciatore d'Italia</v>
      </c>
      <c r="AC663" s="31" t="str">
        <f t="shared" si="157"/>
        <v>Pio XI, Discorso All'Ambasciatore d'Italia, 25 giugno 1929</v>
      </c>
      <c r="AD663" s="31" t="str">
        <f t="shared" si="158"/>
        <v>1929-06-25T08:00:00.000+02:00</v>
      </c>
      <c r="AE663" s="31" t="str">
        <f t="shared" si="150"/>
        <v>pixi-dis-aai</v>
      </c>
      <c r="AF663" s="31" t="str">
        <f t="shared" si="151"/>
        <v>Pio XI - Discorso - All'Ambasciatore d'Italia</v>
      </c>
    </row>
    <row r="664" spans="2:32" s="31" customFormat="1" x14ac:dyDescent="0.2">
      <c r="B664" s="31">
        <v>259</v>
      </c>
      <c r="C664" s="31" t="s">
        <v>3495</v>
      </c>
      <c r="D664" s="31" t="s">
        <v>715</v>
      </c>
      <c r="E664" s="31" t="s">
        <v>739</v>
      </c>
      <c r="F664" s="31" t="s">
        <v>661</v>
      </c>
      <c r="G664" s="31" t="s">
        <v>660</v>
      </c>
      <c r="H664" s="31" t="str">
        <f t="shared" si="148"/>
        <v>Pio XI</v>
      </c>
      <c r="K664" s="31" t="s">
        <v>827</v>
      </c>
      <c r="L664" s="31" t="str">
        <f t="shared" si="160"/>
        <v>Discorso</v>
      </c>
      <c r="M664" s="31" t="s">
        <v>566</v>
      </c>
      <c r="O664" s="31" t="s">
        <v>3515</v>
      </c>
      <c r="P664" s="31" t="s">
        <v>3543</v>
      </c>
      <c r="Q664" s="40">
        <v>10727</v>
      </c>
      <c r="R664" s="35">
        <f t="shared" si="161"/>
        <v>14</v>
      </c>
      <c r="S664" s="35"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5">
        <f t="shared" si="162"/>
        <v>1929</v>
      </c>
      <c r="U664" s="31"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6"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31"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31">
        <v>691</v>
      </c>
      <c r="Y664" s="31" t="str">
        <f t="shared" si="153"/>
        <v>['Pio XI', 'Discorso', 'Ecco una ai professori ed agli alunni del Collegio di Mondragone', 'pixi-dis-cdm', '14 maggio 1929', '14/05/1929', '1929/05/14'],</v>
      </c>
      <c r="Z664" s="31" t="str">
        <f t="shared" si="154"/>
        <v>Ecco una ai professori ed agli alunni del Collegio di Mondragone (10727) | Pio XI</v>
      </c>
      <c r="AA664" s="31" t="str">
        <f t="shared" si="155"/>
        <v>Discorso Ecco una ai professori ed agli alunni del Collegio di Mondragone</v>
      </c>
      <c r="AB664" s="31" t="str">
        <f t="shared" si="156"/>
        <v>Discorso Ecco una ai professori ed agli alunni del Collegio di Mondragone</v>
      </c>
      <c r="AC664" s="31" t="str">
        <f t="shared" si="157"/>
        <v>Pio XI, Discorso Ecco una ai professori ed agli alunni del Collegio di Mondragone, 14 maggio 1929</v>
      </c>
      <c r="AD664" s="31" t="str">
        <f t="shared" si="158"/>
        <v>1929-05-14T08:00:00.000+02:00</v>
      </c>
      <c r="AE664" s="31" t="str">
        <f t="shared" si="150"/>
        <v>pixi-dis-cdm</v>
      </c>
      <c r="AF664" s="31" t="str">
        <f t="shared" si="151"/>
        <v>Pio XI - Discorso - Ecco una ai professori ed agli alunni del Collegio di Mondragone</v>
      </c>
    </row>
    <row r="665" spans="2:32" s="31" customFormat="1" x14ac:dyDescent="0.2">
      <c r="B665" s="31">
        <v>259</v>
      </c>
      <c r="C665" s="31" t="s">
        <v>3496</v>
      </c>
      <c r="D665" s="31" t="s">
        <v>715</v>
      </c>
      <c r="E665" s="31" t="s">
        <v>739</v>
      </c>
      <c r="F665" s="31" t="s">
        <v>661</v>
      </c>
      <c r="G665" s="31" t="s">
        <v>660</v>
      </c>
      <c r="H665" s="31" t="str">
        <f t="shared" si="148"/>
        <v>Pio XI</v>
      </c>
      <c r="K665" s="31" t="s">
        <v>827</v>
      </c>
      <c r="L665" s="31" t="str">
        <f t="shared" si="160"/>
        <v>Discorso</v>
      </c>
      <c r="M665" s="31" t="s">
        <v>566</v>
      </c>
      <c r="O665" s="31" t="s">
        <v>3516</v>
      </c>
      <c r="P665" s="31" t="s">
        <v>3544</v>
      </c>
      <c r="Q665" s="40">
        <v>10661</v>
      </c>
      <c r="R665" s="35">
        <f t="shared" si="161"/>
        <v>9</v>
      </c>
      <c r="S665" s="35"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5">
        <f t="shared" si="162"/>
        <v>1929</v>
      </c>
      <c r="U665" s="31"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6"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31"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31">
        <v>692</v>
      </c>
      <c r="Y665" s="31" t="str">
        <f t="shared" si="153"/>
        <v>['Pio XI', 'Discorso', 'Voilà une magnifique ai membri del Corpo Diplomatico accreditato presso la Santa Sede', 'pixi-dis-vum', '09 marzo 1929', '09/03/1929', '1929/03/09'],</v>
      </c>
      <c r="Z665" s="31" t="str">
        <f t="shared" si="154"/>
        <v>Voilà une magnifique ai membri del Corpo Diplomatico accreditato presso la Santa Sede (10661) | Pio XI</v>
      </c>
      <c r="AA665" s="31" t="str">
        <f t="shared" si="155"/>
        <v>Discorso Voilà une magnifique ai membri del Corpo Diplomatico accreditato presso la Santa Sede</v>
      </c>
      <c r="AB665" s="31" t="str">
        <f t="shared" si="156"/>
        <v>Discorso Voilà une magnifique ai membri del Corpo Diplomatico accreditato presso la Santa Sede</v>
      </c>
      <c r="AC665" s="31" t="str">
        <f t="shared" si="157"/>
        <v>Pio XI, Discorso Voilà une magnifique ai membri del Corpo Diplomatico accreditato presso la Santa Sede, 09 marzo 1929</v>
      </c>
      <c r="AD665" s="31" t="str">
        <f t="shared" si="158"/>
        <v>1929-03-09T08:00:00.000+02:00</v>
      </c>
      <c r="AE665" s="31" t="str">
        <f t="shared" si="150"/>
        <v>pixi-dis-vum</v>
      </c>
      <c r="AF665" s="31" t="str">
        <f t="shared" si="151"/>
        <v>Pio XI - Discorso - Voilà une magnifique ai membri del Corpo Diplomatico accreditato presso la Santa Sede</v>
      </c>
    </row>
    <row r="666" spans="2:32" s="31" customFormat="1" x14ac:dyDescent="0.2">
      <c r="B666" s="31">
        <v>259</v>
      </c>
      <c r="C666" s="31" t="s">
        <v>3497</v>
      </c>
      <c r="D666" s="31" t="s">
        <v>715</v>
      </c>
      <c r="E666" s="31" t="s">
        <v>739</v>
      </c>
      <c r="F666" s="31" t="s">
        <v>661</v>
      </c>
      <c r="G666" s="31" t="s">
        <v>660</v>
      </c>
      <c r="H666" s="31" t="str">
        <f t="shared" si="148"/>
        <v>Pio XI</v>
      </c>
      <c r="K666" s="31" t="s">
        <v>827</v>
      </c>
      <c r="L666" s="31" t="str">
        <f t="shared" si="160"/>
        <v>Discorso</v>
      </c>
      <c r="M666" s="31" t="s">
        <v>566</v>
      </c>
      <c r="O666" s="31" t="s">
        <v>3517</v>
      </c>
      <c r="P666" s="31" t="s">
        <v>3545</v>
      </c>
      <c r="Q666" s="40">
        <v>10637</v>
      </c>
      <c r="R666" s="35">
        <f t="shared" si="161"/>
        <v>13</v>
      </c>
      <c r="S666" s="35"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5">
        <f t="shared" si="162"/>
        <v>1929</v>
      </c>
      <c r="U666" s="31"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6"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31"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31">
        <v>693</v>
      </c>
      <c r="Y666" s="31" t="str">
        <f t="shared" si="153"/>
        <v>['Pio XI', 'Discorso', 'Vogliamo anzitutto ai professori e agli studenti dell'Università Cattolica del Sacro Cuore di Milano', 'pixi-dis-psc', '13 febbraio 1929', '13/02/1929', '1929/02/13'],</v>
      </c>
      <c r="Z666" s="31" t="str">
        <f t="shared" si="154"/>
        <v>Vogliamo anzitutto ai professori e agli studenti dell'Università Cattolica del Sacro Cuore di Milano (10637) | Pio XI</v>
      </c>
      <c r="AA666" s="31" t="str">
        <f t="shared" si="155"/>
        <v>Discorso Vogliamo anzitutto ai professori e agli studenti dell'Università Cattolica del Sacro Cuore di Milano</v>
      </c>
      <c r="AB666" s="31" t="str">
        <f t="shared" si="156"/>
        <v>Discorso Vogliamo anzitutto ai professori e agli studenti dell'Università Cattolica del Sacro Cuore di Milano</v>
      </c>
      <c r="AC666" s="31" t="str">
        <f t="shared" si="157"/>
        <v>Pio XI, Discorso Vogliamo anzitutto ai professori e agli studenti dell'Università Cattolica del Sacro Cuore di Milano, 13 febbraio 1929</v>
      </c>
      <c r="AD666" s="31" t="str">
        <f t="shared" si="158"/>
        <v>1929-02-13T08:00:00.000+02:00</v>
      </c>
      <c r="AE666" s="31" t="str">
        <f t="shared" si="150"/>
        <v>pixi-dis-psc</v>
      </c>
      <c r="AF666" s="31" t="str">
        <f t="shared" si="151"/>
        <v>Pio XI - Discorso - Vogliamo anzitutto ai professori e agli studenti dell'Università Cattolica del Sacro Cuore di Milano</v>
      </c>
    </row>
    <row r="667" spans="2:32" s="31" customFormat="1" x14ac:dyDescent="0.2">
      <c r="B667" s="31">
        <v>259</v>
      </c>
      <c r="C667" s="31" t="s">
        <v>3498</v>
      </c>
      <c r="D667" s="31" t="s">
        <v>715</v>
      </c>
      <c r="E667" s="31" t="s">
        <v>739</v>
      </c>
      <c r="F667" s="31" t="s">
        <v>661</v>
      </c>
      <c r="G667" s="31" t="s">
        <v>660</v>
      </c>
      <c r="H667" s="31" t="str">
        <f t="shared" si="148"/>
        <v>Pio XI</v>
      </c>
      <c r="K667" s="31" t="s">
        <v>827</v>
      </c>
      <c r="L667" s="31" t="str">
        <f t="shared" si="160"/>
        <v>Discorso</v>
      </c>
      <c r="M667" s="31" t="s">
        <v>566</v>
      </c>
      <c r="O667" s="31" t="s">
        <v>3518</v>
      </c>
      <c r="P667" s="31" t="s">
        <v>3546</v>
      </c>
      <c r="Q667" s="40">
        <v>10635</v>
      </c>
      <c r="R667" s="35">
        <f t="shared" si="161"/>
        <v>11</v>
      </c>
      <c r="S667" s="35"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5">
        <f t="shared" si="162"/>
        <v>1929</v>
      </c>
      <c r="U667" s="31"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6"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31"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31">
        <v>694</v>
      </c>
      <c r="Y667" s="31" t="str">
        <f t="shared" si="153"/>
        <v>['Pio XI', 'Discorso', 'Il nostro più cordiale ai Parroci di Roma ed ai Predicatori del periodo quaresimale, in occasione della firma del Trattato e del Concordato nel Palazzo Lateranense', 'pixi-dis-apr', '11 febbraio 1929', '11/02/1929', '1929/02/11'],</v>
      </c>
      <c r="Z667" s="31" t="str">
        <f t="shared" si="154"/>
        <v>Il nostro più cordiale ai Parroci di Roma ed ai Predicatori del periodo quaresimale, in occasione della firma del Trattato e del Concordato nel Palazzo Lateranense (10635) | Pio XI</v>
      </c>
      <c r="AA667" s="31" t="str">
        <f t="shared" si="155"/>
        <v>Discorso Il nostro più cordiale ai Parroci di Roma ed ai Predicatori del periodo quaresimale, in occasione della firma del Trattato e del Concordato nel Palazzo Lateranense</v>
      </c>
      <c r="AB667" s="31" t="str">
        <f t="shared" si="156"/>
        <v>Discorso Il nostro più cordiale ai Parroci di Roma ed ai Predicatori del periodo quaresimale, in occasione della firma del Trattato e del Concordato nel Palazzo Lateranense</v>
      </c>
      <c r="AC667" s="31" t="str">
        <f t="shared" si="157"/>
        <v>Pio XI, Discorso Il nostro più cordiale ai Parroci di Roma ed ai Predicatori del periodo quaresimale, in occasione della firma del Trattato e del Concordato nel Palazzo Lateranense, 11 febbraio 1929</v>
      </c>
      <c r="AD667" s="31" t="str">
        <f t="shared" si="158"/>
        <v>1929-02-11T08:00:00.000+02:00</v>
      </c>
      <c r="AE667" s="31" t="str">
        <f t="shared" si="150"/>
        <v>pixi-dis-apr</v>
      </c>
      <c r="AF667" s="31" t="str">
        <f t="shared" si="151"/>
        <v>Pio XI - Discorso - Il nostro più cordiale ai Parroci di Roma ed ai Predicatori del periodo quaresimale, in occasione della firma del Trattato e del Concordato nel Palazzo Lateranense</v>
      </c>
    </row>
    <row r="668" spans="2:32" s="31" customFormat="1" x14ac:dyDescent="0.2">
      <c r="B668" s="31">
        <v>259</v>
      </c>
      <c r="C668" s="31" t="s">
        <v>3499</v>
      </c>
      <c r="D668" s="31" t="s">
        <v>715</v>
      </c>
      <c r="E668" s="31" t="s">
        <v>739</v>
      </c>
      <c r="F668" s="31" t="s">
        <v>661</v>
      </c>
      <c r="G668" s="31" t="s">
        <v>660</v>
      </c>
      <c r="H668" s="31" t="str">
        <f t="shared" si="148"/>
        <v>Pio XI</v>
      </c>
      <c r="K668" s="31" t="s">
        <v>827</v>
      </c>
      <c r="L668" s="31" t="str">
        <f t="shared" si="160"/>
        <v>Discorso</v>
      </c>
      <c r="M668" s="31" t="s">
        <v>566</v>
      </c>
      <c r="O668" s="31" t="s">
        <v>3519</v>
      </c>
      <c r="P668" s="31" t="s">
        <v>3551</v>
      </c>
      <c r="Q668" s="40">
        <v>10033</v>
      </c>
      <c r="R668" s="35">
        <f t="shared" si="161"/>
        <v>20</v>
      </c>
      <c r="S668" s="35"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5">
        <f t="shared" si="162"/>
        <v>1927</v>
      </c>
      <c r="U668" s="31"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6"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31"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31">
        <v>695</v>
      </c>
      <c r="Y668" s="31" t="str">
        <f t="shared" si="153"/>
        <v>['Pio XI', 'Discorso', 'Amplissimum Conlegium ai Cardinali di Santa Romana Chiesa presenti nel Concistoro segreto svoltosi nel Palazzo Apostolico Vaticano', 'pixi-dis-aco', '20 giugno 1927', '20/06/1927', '1927/06/20'],</v>
      </c>
      <c r="Z668" s="31" t="str">
        <f t="shared" si="154"/>
        <v>Amplissimum Conlegium ai Cardinali di Santa Romana Chiesa presenti nel Concistoro segreto svoltosi nel Palazzo Apostolico Vaticano (10033) | Pio XI</v>
      </c>
      <c r="AA668" s="31" t="str">
        <f t="shared" si="155"/>
        <v>Discorso Amplissimum Conlegium ai Cardinali di Santa Romana Chiesa presenti nel Concistoro segreto svoltosi nel Palazzo Apostolico Vaticano</v>
      </c>
      <c r="AB668" s="31" t="str">
        <f t="shared" si="156"/>
        <v>Discorso Amplissimum Conlegium ai Cardinali di Santa Romana Chiesa presenti nel Concistoro segreto svoltosi nel Palazzo Apostolico Vaticano</v>
      </c>
      <c r="AC668" s="31" t="str">
        <f t="shared" si="157"/>
        <v>Pio XI, Discorso Amplissimum Conlegium ai Cardinali di Santa Romana Chiesa presenti nel Concistoro segreto svoltosi nel Palazzo Apostolico Vaticano, 20 giugno 1927</v>
      </c>
      <c r="AD668" s="31" t="str">
        <f t="shared" si="158"/>
        <v>1927-06-20T08:00:00.000+02:00</v>
      </c>
      <c r="AE668" s="31" t="str">
        <f t="shared" si="150"/>
        <v>pixi-dis-aco</v>
      </c>
      <c r="AF668" s="31" t="str">
        <f t="shared" si="151"/>
        <v>Pio XI - Discorso - Amplissimum Conlegium ai Cardinali di Santa Romana Chiesa presenti nel Concistoro segreto svoltosi nel Palazzo Apostolico Vaticano</v>
      </c>
    </row>
    <row r="669" spans="2:32" s="31" customFormat="1" x14ac:dyDescent="0.2">
      <c r="B669" s="31">
        <v>259</v>
      </c>
      <c r="C669" s="31" t="s">
        <v>3525</v>
      </c>
      <c r="D669" s="31" t="s">
        <v>715</v>
      </c>
      <c r="E669" s="31" t="s">
        <v>739</v>
      </c>
      <c r="F669" s="31" t="s">
        <v>661</v>
      </c>
      <c r="G669" s="31" t="s">
        <v>660</v>
      </c>
      <c r="H669" s="31" t="str">
        <f t="shared" si="148"/>
        <v>Pio XI</v>
      </c>
      <c r="K669" s="31" t="s">
        <v>827</v>
      </c>
      <c r="L669" s="31" t="str">
        <f t="shared" ref="L669:L673" si="163">IF(J669&lt;&gt;"",_xlfn.CONCAT(J669 &amp; " " &amp; K669),K669)</f>
        <v>Discorso</v>
      </c>
      <c r="M669" s="31" t="s">
        <v>566</v>
      </c>
      <c r="O669" s="31" t="s">
        <v>3520</v>
      </c>
      <c r="P669" s="31" t="s">
        <v>3547</v>
      </c>
      <c r="Q669" s="40">
        <v>9480</v>
      </c>
      <c r="R669" s="35">
        <f t="shared" si="161"/>
        <v>14</v>
      </c>
      <c r="S669" s="35"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5">
        <f t="shared" si="162"/>
        <v>1925</v>
      </c>
      <c r="U669" s="31"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6"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31"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31">
        <v>696</v>
      </c>
      <c r="Y669" s="31" t="str">
        <f t="shared" si="153"/>
        <v>['Pio XI', 'Discorso', 'Iam annus ai Cardinali di Santa Romana Chiesa presenti nel Concistoro segreto svoltosi nel Palazzo Apostolico Vaticano', 'pixi-dis-iaa', '14 dicembre 1925', '14/12/1925', '1925/12/14'],</v>
      </c>
      <c r="Z669" s="31" t="str">
        <f t="shared" si="154"/>
        <v>Iam annus ai Cardinali di Santa Romana Chiesa presenti nel Concistoro segreto svoltosi nel Palazzo Apostolico Vaticano (9480) | Pio XI</v>
      </c>
      <c r="AA669" s="31" t="str">
        <f t="shared" si="155"/>
        <v>Discorso Iam annus ai Cardinali di Santa Romana Chiesa presenti nel Concistoro segreto svoltosi nel Palazzo Apostolico Vaticano</v>
      </c>
      <c r="AB669" s="31" t="str">
        <f t="shared" si="156"/>
        <v>Discorso Iam annus ai Cardinali di Santa Romana Chiesa presenti nel Concistoro segreto svoltosi nel Palazzo Apostolico Vaticano</v>
      </c>
      <c r="AC669" s="31" t="str">
        <f t="shared" si="157"/>
        <v>Pio XI, Discorso Iam annus ai Cardinali di Santa Romana Chiesa presenti nel Concistoro segreto svoltosi nel Palazzo Apostolico Vaticano, 14 dicembre 1925</v>
      </c>
      <c r="AD669" s="31" t="str">
        <f t="shared" si="158"/>
        <v>1925-12-14T08:00:00.000+02:00</v>
      </c>
      <c r="AE669" s="31" t="str">
        <f t="shared" si="150"/>
        <v>pixi-dis-iaa</v>
      </c>
      <c r="AF669" s="31" t="str">
        <f t="shared" si="151"/>
        <v>Pio XI - Discorso - Iam annus ai Cardinali di Santa Romana Chiesa presenti nel Concistoro segreto svoltosi nel Palazzo Apostolico Vaticano</v>
      </c>
    </row>
    <row r="670" spans="2:32" s="31" customFormat="1" x14ac:dyDescent="0.2">
      <c r="B670" s="31">
        <v>259</v>
      </c>
      <c r="C670" s="31" t="s">
        <v>3526</v>
      </c>
      <c r="D670" s="31" t="s">
        <v>715</v>
      </c>
      <c r="E670" s="31" t="s">
        <v>739</v>
      </c>
      <c r="F670" s="31" t="s">
        <v>661</v>
      </c>
      <c r="G670" s="31" t="s">
        <v>660</v>
      </c>
      <c r="H670" s="31" t="str">
        <f t="shared" si="148"/>
        <v>Pio XI</v>
      </c>
      <c r="K670" s="31" t="s">
        <v>827</v>
      </c>
      <c r="L670" s="31" t="str">
        <f t="shared" si="163"/>
        <v>Discorso</v>
      </c>
      <c r="M670" s="31" t="s">
        <v>566</v>
      </c>
      <c r="O670" s="31" t="s">
        <v>3521</v>
      </c>
      <c r="P670" s="31" t="s">
        <v>2974</v>
      </c>
      <c r="Q670" s="40">
        <v>8911</v>
      </c>
      <c r="R670" s="35">
        <f t="shared" si="161"/>
        <v>24</v>
      </c>
      <c r="S670" s="35"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5">
        <f t="shared" si="162"/>
        <v>1924</v>
      </c>
      <c r="U670" s="31"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6"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31"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31">
        <v>697</v>
      </c>
      <c r="Y670" s="31" t="str">
        <f t="shared" si="153"/>
        <v>['Pio XI', 'Discorso', 'Amplissimum Consessum durante il Concistoro segreto sulla situazione della Chiesa nel mondo', 'pixi-dis-amc', '24 maggio 1924', '24/05/1924', '1924/05/24'],</v>
      </c>
      <c r="Z670" s="31" t="str">
        <f t="shared" si="154"/>
        <v>Amplissimum Consessum durante il Concistoro segreto sulla situazione della Chiesa nel mondo (8911) | Pio XI</v>
      </c>
      <c r="AA670" s="31" t="str">
        <f t="shared" si="155"/>
        <v>Discorso Amplissimum Consessum durante il Concistoro segreto sulla situazione della Chiesa nel mondo</v>
      </c>
      <c r="AB670" s="31" t="str">
        <f t="shared" si="156"/>
        <v>Discorso Amplissimum Consessum durante il Concistoro segreto sulla situazione della Chiesa nel mondo</v>
      </c>
      <c r="AC670" s="31" t="str">
        <f t="shared" si="157"/>
        <v>Pio XI, Discorso Amplissimum Consessum durante il Concistoro segreto sulla situazione della Chiesa nel mondo, 24 maggio 1924</v>
      </c>
      <c r="AD670" s="31" t="str">
        <f t="shared" si="158"/>
        <v>1924-05-24T08:00:00.000+02:00</v>
      </c>
      <c r="AE670" s="31" t="str">
        <f t="shared" si="150"/>
        <v>pixi-dis-amc</v>
      </c>
      <c r="AF670" s="31" t="str">
        <f t="shared" si="151"/>
        <v>Pio XI - Discorso - Amplissimum Consessum durante il Concistoro segreto sulla situazione della Chiesa nel mondo</v>
      </c>
    </row>
    <row r="671" spans="2:32" s="31" customFormat="1" x14ac:dyDescent="0.2">
      <c r="B671" s="31">
        <v>259</v>
      </c>
      <c r="C671" s="31" t="s">
        <v>3527</v>
      </c>
      <c r="D671" s="31" t="s">
        <v>715</v>
      </c>
      <c r="E671" s="31" t="s">
        <v>739</v>
      </c>
      <c r="F671" s="31" t="s">
        <v>661</v>
      </c>
      <c r="G671" s="31" t="s">
        <v>660</v>
      </c>
      <c r="H671" s="31" t="str">
        <f t="shared" si="148"/>
        <v>Pio XI</v>
      </c>
      <c r="K671" s="31" t="s">
        <v>827</v>
      </c>
      <c r="L671" s="31" t="str">
        <f t="shared" si="163"/>
        <v>Discorso</v>
      </c>
      <c r="M671" s="31" t="s">
        <v>566</v>
      </c>
      <c r="O671" s="31" t="s">
        <v>3522</v>
      </c>
      <c r="P671" s="31" t="s">
        <v>3548</v>
      </c>
      <c r="Q671" s="40">
        <v>8544</v>
      </c>
      <c r="R671" s="35">
        <f t="shared" si="161"/>
        <v>23</v>
      </c>
      <c r="S671" s="35"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5">
        <f t="shared" si="162"/>
        <v>1923</v>
      </c>
      <c r="U671" s="31"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6"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31"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31">
        <v>698</v>
      </c>
      <c r="Y671" s="31" t="str">
        <f t="shared" si="153"/>
        <v>['Pio XI', 'Discorso', 'Gratum Nobis durante il Concistoro segreto, sulla vita della Chiesa Cattolica', 'pixi-dis-grn', '23 maggio 1923', '23/05/1923', '1923/05/23'],</v>
      </c>
      <c r="Z671" s="31" t="str">
        <f t="shared" si="154"/>
        <v>Gratum Nobis durante il Concistoro segreto, sulla vita della Chiesa Cattolica (8544) | Pio XI</v>
      </c>
      <c r="AA671" s="31" t="str">
        <f t="shared" si="155"/>
        <v>Discorso Gratum Nobis durante il Concistoro segreto, sulla vita della Chiesa Cattolica</v>
      </c>
      <c r="AB671" s="31" t="str">
        <f t="shared" si="156"/>
        <v>Discorso Gratum Nobis durante il Concistoro segreto, sulla vita della Chiesa Cattolica</v>
      </c>
      <c r="AC671" s="31" t="str">
        <f t="shared" si="157"/>
        <v>Pio XI, Discorso Gratum Nobis durante il Concistoro segreto, sulla vita della Chiesa Cattolica, 23 maggio 1923</v>
      </c>
      <c r="AD671" s="31" t="str">
        <f t="shared" si="158"/>
        <v>1923-05-23T08:00:00.000+02:00</v>
      </c>
      <c r="AE671" s="31" t="str">
        <f t="shared" si="150"/>
        <v>pixi-dis-grn</v>
      </c>
      <c r="AF671" s="31" t="str">
        <f t="shared" si="151"/>
        <v>Pio XI - Discorso - Gratum Nobis durante il Concistoro segreto, sulla vita della Chiesa Cattolica</v>
      </c>
    </row>
    <row r="672" spans="2:32" s="31" customFormat="1" x14ac:dyDescent="0.2">
      <c r="B672" s="31">
        <v>259</v>
      </c>
      <c r="C672" s="31" t="s">
        <v>3528</v>
      </c>
      <c r="D672" s="31" t="s">
        <v>715</v>
      </c>
      <c r="E672" s="31" t="s">
        <v>739</v>
      </c>
      <c r="F672" s="31" t="s">
        <v>661</v>
      </c>
      <c r="G672" s="31" t="s">
        <v>660</v>
      </c>
      <c r="H672" s="31" t="str">
        <f t="shared" ref="H672:H730" si="164">_xlfn.CONCAT(D672 &amp; " " &amp; E672)</f>
        <v>Pio XI</v>
      </c>
      <c r="K672" s="31" t="s">
        <v>827</v>
      </c>
      <c r="L672" s="31" t="str">
        <f t="shared" si="163"/>
        <v>Discorso</v>
      </c>
      <c r="M672" s="31" t="s">
        <v>566</v>
      </c>
      <c r="O672" s="31" t="s">
        <v>3523</v>
      </c>
      <c r="P672" s="31" t="s">
        <v>3549</v>
      </c>
      <c r="Q672" s="40">
        <v>8381</v>
      </c>
      <c r="R672" s="35">
        <f t="shared" si="161"/>
        <v>11</v>
      </c>
      <c r="S672" s="35"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5">
        <f t="shared" si="162"/>
        <v>1922</v>
      </c>
      <c r="U672" s="31"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6"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31"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31">
        <v>699</v>
      </c>
      <c r="Y672" s="31" t="str">
        <f t="shared" si="153"/>
        <v>['Pio XI', 'Discorso', 'Prima allocuzione Concistoriale Vehementer gratum', 'pixi-dis-veg', '11 dicembre 1922', '11/12/1922', '1922/12/11'],</v>
      </c>
      <c r="Z672" s="31" t="str">
        <f t="shared" si="154"/>
        <v>Prima allocuzione Concistoriale Vehementer gratum (8381) | Pio XI</v>
      </c>
      <c r="AA672" s="31" t="str">
        <f t="shared" si="155"/>
        <v>Discorso Prima allocuzione Concistoriale Vehementer gratum</v>
      </c>
      <c r="AB672" s="31" t="str">
        <f t="shared" si="156"/>
        <v>Discorso Prima allocuzione Concistoriale Vehementer gratum</v>
      </c>
      <c r="AC672" s="31" t="str">
        <f t="shared" si="157"/>
        <v>Pio XI, Discorso Prima allocuzione Concistoriale Vehementer gratum, 11 dicembre 1922</v>
      </c>
      <c r="AD672" s="31" t="str">
        <f t="shared" si="158"/>
        <v>1922-12-11T08:00:00.000+02:00</v>
      </c>
      <c r="AE672" s="31" t="str">
        <f t="shared" si="150"/>
        <v>pixi-dis-veg</v>
      </c>
      <c r="AF672" s="31" t="str">
        <f t="shared" si="151"/>
        <v>Pio XI - Discorso - Prima allocuzione Concistoriale Vehementer gratum</v>
      </c>
    </row>
    <row r="673" spans="2:32" s="31" customFormat="1" x14ac:dyDescent="0.2">
      <c r="B673" s="31">
        <v>259</v>
      </c>
      <c r="C673" s="31" t="s">
        <v>3529</v>
      </c>
      <c r="D673" s="31" t="s">
        <v>715</v>
      </c>
      <c r="E673" s="31" t="s">
        <v>739</v>
      </c>
      <c r="F673" s="31" t="s">
        <v>661</v>
      </c>
      <c r="G673" s="31" t="s">
        <v>660</v>
      </c>
      <c r="H673" s="31" t="str">
        <f t="shared" si="164"/>
        <v>Pio XI</v>
      </c>
      <c r="K673" s="31" t="s">
        <v>827</v>
      </c>
      <c r="L673" s="31" t="str">
        <f t="shared" si="163"/>
        <v>Discorso</v>
      </c>
      <c r="M673" s="31" t="s">
        <v>566</v>
      </c>
      <c r="O673" s="31" t="s">
        <v>3524</v>
      </c>
      <c r="P673" s="31" t="s">
        <v>3218</v>
      </c>
      <c r="Q673" s="40">
        <v>8085</v>
      </c>
      <c r="R673" s="35">
        <f t="shared" si="161"/>
        <v>18</v>
      </c>
      <c r="S673" s="35"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5">
        <f t="shared" si="162"/>
        <v>1922</v>
      </c>
      <c r="U673" s="31"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6"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31"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31">
        <v>700</v>
      </c>
      <c r="Y673" s="31" t="str">
        <f t="shared" si="153"/>
        <v>['Pio XI', 'Discorso', 'Al Corpo Diplomatico', 'pixi-dis-acd', '18 febbraio 1922', '18/02/1922', '1922/02/18'],</v>
      </c>
      <c r="Z673" s="31" t="str">
        <f t="shared" si="154"/>
        <v>Al Corpo Diplomatico (8085) | Pio XI</v>
      </c>
      <c r="AA673" s="31" t="str">
        <f t="shared" si="155"/>
        <v>Discorso Al Corpo Diplomatico</v>
      </c>
      <c r="AB673" s="31" t="str">
        <f t="shared" si="156"/>
        <v>Discorso Al Corpo Diplomatico</v>
      </c>
      <c r="AC673" s="31" t="str">
        <f t="shared" si="157"/>
        <v>Pio XI, Discorso Al Corpo Diplomatico, 18 febbraio 1922</v>
      </c>
      <c r="AD673" s="31" t="str">
        <f t="shared" si="158"/>
        <v>1922-02-18T08:00:00.000+02:00</v>
      </c>
      <c r="AE673" s="31" t="str">
        <f t="shared" si="150"/>
        <v>pixi-dis-acd</v>
      </c>
      <c r="AF673" s="31" t="str">
        <f t="shared" si="151"/>
        <v>Pio XI - Discorso - Al Corpo Diplomatico</v>
      </c>
    </row>
    <row r="674" spans="2:32" s="31" customFormat="1" x14ac:dyDescent="0.2">
      <c r="B674" s="31">
        <v>259</v>
      </c>
      <c r="C674" s="31" t="s">
        <v>3552</v>
      </c>
      <c r="D674" s="31" t="s">
        <v>715</v>
      </c>
      <c r="E674" s="31" t="s">
        <v>739</v>
      </c>
      <c r="F674" s="31" t="s">
        <v>661</v>
      </c>
      <c r="G674" s="31" t="s">
        <v>660</v>
      </c>
      <c r="H674" s="31" t="str">
        <f t="shared" si="164"/>
        <v>Pio XI</v>
      </c>
      <c r="K674" s="31" t="s">
        <v>829</v>
      </c>
      <c r="L674" s="31" t="str">
        <f t="shared" si="152"/>
        <v>Lettera</v>
      </c>
      <c r="M674" s="31" t="s">
        <v>568</v>
      </c>
      <c r="O674" s="31" t="s">
        <v>3568</v>
      </c>
      <c r="P674" s="31" t="s">
        <v>3603</v>
      </c>
      <c r="Q674" s="40">
        <v>13766</v>
      </c>
      <c r="R674" s="35">
        <f t="shared" si="161"/>
        <v>8</v>
      </c>
      <c r="S674" s="35"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5">
        <f t="shared" si="162"/>
        <v>1937</v>
      </c>
      <c r="U674" s="31"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6"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31"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31">
        <v>701</v>
      </c>
      <c r="Y674" s="31" t="str">
        <f t="shared" si="153"/>
        <v>['Pio XI', 'Lettera', 'al Cardinale Eugenio Pacelli, affidando al Cardinale Segretario di Stato pro tempore la Protettoria della Pontificia Accademia dei Nobili ecclesiastici', 'pixi-let-ppa', '08 settembre 1937', '08/09/1937', '1937/09/08'],</v>
      </c>
      <c r="Z674" s="31" t="str">
        <f t="shared" si="154"/>
        <v>al Cardinale Eugenio Pacelli, affidando al Cardinale Segretario di Stato pro tempore la Protettoria della Pontificia Accademia dei Nobili ecclesiastici (13766) | Pio XI</v>
      </c>
      <c r="AA674" s="31" t="str">
        <f t="shared" si="155"/>
        <v>Lettera al Cardinale Eugenio Pacelli, affidando al Cardinale Segretario di Stato pro tempore la Protettoria della Pontificia Accademia dei Nobili ecclesiastici</v>
      </c>
      <c r="AB674" s="31" t="str">
        <f t="shared" si="156"/>
        <v>Lettera al Cardinale Eugenio Pacelli, affidando al Cardinale Segretario di Stato pro tempore la Protettoria della Pontificia Accademia dei Nobili ecclesiastici</v>
      </c>
      <c r="AC674" s="31" t="str">
        <f t="shared" si="157"/>
        <v>Pio XI, Lettera al Cardinale Eugenio Pacelli, affidando al Cardinale Segretario di Stato pro tempore la Protettoria della Pontificia Accademia dei Nobili ecclesiastici, 08 settembre 1937</v>
      </c>
      <c r="AD674" s="31" t="str">
        <f t="shared" si="158"/>
        <v>1937-09-08T08:00:00.000+02:00</v>
      </c>
      <c r="AE674" s="31" t="str">
        <f t="shared" si="150"/>
        <v>pixi-let-ppa</v>
      </c>
      <c r="AF674" s="31" t="str">
        <f t="shared" si="151"/>
        <v>Pio XI - Lettera - al Cardinale Eugenio Pacelli, affidando al Cardinale Segretario di Stato pro tempore la Protettoria della Pontificia Accademia dei Nobili ecclesiastici</v>
      </c>
    </row>
    <row r="675" spans="2:32" s="31" customFormat="1" x14ac:dyDescent="0.2">
      <c r="B675" s="31">
        <v>259</v>
      </c>
      <c r="C675" s="31" t="s">
        <v>3553</v>
      </c>
      <c r="D675" s="31" t="s">
        <v>715</v>
      </c>
      <c r="E675" s="31" t="s">
        <v>739</v>
      </c>
      <c r="F675" s="31" t="s">
        <v>661</v>
      </c>
      <c r="G675" s="31" t="s">
        <v>660</v>
      </c>
      <c r="H675" s="31" t="str">
        <f t="shared" si="164"/>
        <v>Pio XI</v>
      </c>
      <c r="K675" s="31" t="s">
        <v>829</v>
      </c>
      <c r="L675" s="31" t="str">
        <f t="shared" ref="L675:L689" si="165">IF(J675&lt;&gt;"",_xlfn.CONCAT(J675 &amp; " " &amp; K675),K675)</f>
        <v>Lettera</v>
      </c>
      <c r="M675" s="31" t="s">
        <v>568</v>
      </c>
      <c r="O675" s="31" t="s">
        <v>3569</v>
      </c>
      <c r="P675" s="31" t="s">
        <v>3602</v>
      </c>
      <c r="Q675" s="40">
        <v>14491</v>
      </c>
      <c r="R675" s="35">
        <f t="shared" si="161"/>
        <v>3</v>
      </c>
      <c r="S675" s="35"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5">
        <f t="shared" si="162"/>
        <v>1939</v>
      </c>
      <c r="U675" s="31"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6"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31"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31">
        <v>702</v>
      </c>
      <c r="Y675" s="31" t="str">
        <f t="shared" si="153"/>
        <v>['Pio XI', 'Lettera', 'al Cardinale Eugenio Pacelli, Segretario di Stato, col quale il Sommo Pontefice si riserva la Prefettura della Sacra Congregazione dei Seminari e delle Università degli Studi', 'pixi-let-cep', '03 settembre 1939', '03/09/1939', '1939/09/03'],</v>
      </c>
      <c r="Z675" s="31" t="str">
        <f t="shared" si="154"/>
        <v>al Cardinale Eugenio Pacelli, Segretario di Stato, col quale il Sommo Pontefice si riserva la Prefettura della Sacra Congregazione dei Seminari e delle Università degli Studi (14491) | Pio XI</v>
      </c>
      <c r="AA675" s="31" t="str">
        <f t="shared" si="155"/>
        <v>Lettera al Cardinale Eugenio Pacelli, Segretario di Stato, col quale il Sommo Pontefice si riserva la Prefettura della Sacra Congregazione dei Seminari e delle Università degli Studi</v>
      </c>
      <c r="AB675" s="31" t="str">
        <f t="shared" si="156"/>
        <v>Lettera al Cardinale Eugenio Pacelli, Segretario di Stato, col quale il Sommo Pontefice si riserva la Prefettura della Sacra Congregazione dei Seminari e delle Università degli Studi</v>
      </c>
      <c r="AC675" s="31" t="str">
        <f t="shared" si="157"/>
        <v>Pio XI, Lettera al Cardinale Eugenio Pacelli, Segretario di Stato, col quale il Sommo Pontefice si riserva la Prefettura della Sacra Congregazione dei Seminari e delle Università degli Studi, 03 settembre 1939</v>
      </c>
      <c r="AD675" s="31" t="str">
        <f t="shared" si="158"/>
        <v>1939-09-03T08:00:00.000+02:00</v>
      </c>
      <c r="AE675" s="31" t="str">
        <f t="shared" si="150"/>
        <v>pixi-let-cep</v>
      </c>
      <c r="AF675" s="31" t="str">
        <f t="shared" si="151"/>
        <v>Pio XI - Lettera - al Cardinale Eugenio Pacelli, Segretario di Stato, col quale il Sommo Pontefice si riserva la Prefettura della Sacra Congregazione dei Seminari e delle Università degli Studi</v>
      </c>
    </row>
    <row r="676" spans="2:32" s="31" customFormat="1" x14ac:dyDescent="0.2">
      <c r="B676" s="31">
        <v>259</v>
      </c>
      <c r="C676" s="31" t="s">
        <v>3554</v>
      </c>
      <c r="D676" s="31" t="s">
        <v>715</v>
      </c>
      <c r="E676" s="31" t="s">
        <v>739</v>
      </c>
      <c r="F676" s="31" t="s">
        <v>661</v>
      </c>
      <c r="G676" s="31" t="s">
        <v>660</v>
      </c>
      <c r="H676" s="31" t="str">
        <f t="shared" si="164"/>
        <v>Pio XI</v>
      </c>
      <c r="K676" s="31" t="s">
        <v>829</v>
      </c>
      <c r="L676" s="31" t="str">
        <f t="shared" si="165"/>
        <v>Lettera</v>
      </c>
      <c r="M676" s="31" t="s">
        <v>568</v>
      </c>
      <c r="O676" s="31" t="s">
        <v>3570</v>
      </c>
      <c r="P676" s="31" t="s">
        <v>1000</v>
      </c>
      <c r="Q676" s="40">
        <v>13084</v>
      </c>
      <c r="R676" s="35">
        <f t="shared" si="161"/>
        <v>27</v>
      </c>
      <c r="S676" s="35"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5">
        <f t="shared" si="162"/>
        <v>1935</v>
      </c>
      <c r="U676" s="31"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6"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31"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31">
        <v>703</v>
      </c>
      <c r="Y676" s="31" t="str">
        <f t="shared" si="153"/>
        <v>['Pio XI', 'Lettera', 'Quamvis Nostra al Cardinale Presbitero Sebastiano Leme de Silveira Cintra, Arcivescovo di San Sebastiano di Rio de Janeiro, sulla carenza di sacerdoti in Brasile', 'pixi-let-qun', '27 ottobre 1935', '27/10/1935', '1935/10/27'],</v>
      </c>
      <c r="Z676" s="31" t="str">
        <f t="shared" si="154"/>
        <v>Quamvis Nostra al Cardinale Presbitero Sebastiano Leme de Silveira Cintra, Arcivescovo di San Sebastiano di Rio de Janeiro, sulla carenza di sacerdoti in Brasile (13084) | Pio XI</v>
      </c>
      <c r="AA676" s="31" t="str">
        <f t="shared" si="155"/>
        <v>Lettera Quamvis Nostra al Cardinale Presbitero Sebastiano Leme de Silveira Cintra, Arcivescovo di San Sebastiano di Rio de Janeiro, sulla carenza di sacerdoti in Brasile</v>
      </c>
      <c r="AB676" s="31" t="str">
        <f t="shared" si="156"/>
        <v>Lettera Quamvis Nostra al Cardinale Presbitero Sebastiano Leme de Silveira Cintra, Arcivescovo di San Sebastiano di Rio de Janeiro, sulla carenza di sacerdoti in Brasile</v>
      </c>
      <c r="AC676" s="31" t="str">
        <f t="shared" si="157"/>
        <v>Pio XI, Lettera Quamvis Nostra al Cardinale Presbitero Sebastiano Leme de Silveira Cintra, Arcivescovo di San Sebastiano di Rio de Janeiro, sulla carenza di sacerdoti in Brasile, 27 ottobre 1935</v>
      </c>
      <c r="AD676" s="31" t="str">
        <f t="shared" si="158"/>
        <v>1935-10-27T08:00:00.000+02:00</v>
      </c>
      <c r="AE676" s="31" t="str">
        <f t="shared" si="150"/>
        <v>pixi-let-qun</v>
      </c>
      <c r="AF676" s="31" t="str">
        <f t="shared" si="151"/>
        <v>Pio XI - Lettera - Quamvis Nostra al Cardinale Presbitero Sebastiano Leme de Silveira Cintra, Arcivescovo di San Sebastiano di Rio de Janeiro, sulla carenza di sacerdoti in Brasile</v>
      </c>
    </row>
    <row r="677" spans="2:32" s="31" customFormat="1" x14ac:dyDescent="0.2">
      <c r="B677" s="31">
        <v>259</v>
      </c>
      <c r="C677" s="31" t="s">
        <v>3555</v>
      </c>
      <c r="D677" s="31" t="s">
        <v>715</v>
      </c>
      <c r="E677" s="31" t="s">
        <v>739</v>
      </c>
      <c r="F677" s="31" t="s">
        <v>661</v>
      </c>
      <c r="G677" s="31" t="s">
        <v>660</v>
      </c>
      <c r="H677" s="31" t="str">
        <f t="shared" si="164"/>
        <v>Pio XI</v>
      </c>
      <c r="K677" s="31" t="s">
        <v>829</v>
      </c>
      <c r="L677" s="31" t="str">
        <f t="shared" si="165"/>
        <v>Lettera</v>
      </c>
      <c r="M677" s="31" t="s">
        <v>568</v>
      </c>
      <c r="O677" s="31" t="s">
        <v>3571</v>
      </c>
      <c r="P677" s="31" t="s">
        <v>3601</v>
      </c>
      <c r="Q677" s="40">
        <v>12510</v>
      </c>
      <c r="R677" s="35">
        <f t="shared" si="161"/>
        <v>1</v>
      </c>
      <c r="S677" s="35"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5">
        <f t="shared" si="162"/>
        <v>1934</v>
      </c>
      <c r="U677" s="31"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6"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31"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31">
        <v>704</v>
      </c>
      <c r="Y677" s="31" t="str">
        <f t="shared" si="153"/>
        <v>['Pio XI', 'Lettera', 'Decretale Geminata Laetitia, per la Canonizzazione di Don Giovanni Bosco', 'pixi-let-dgl', '01 aprile 1934', '01/04/1934', '1934/04/01'],</v>
      </c>
      <c r="Z677" s="31" t="str">
        <f t="shared" si="154"/>
        <v>Decretale Geminata Laetitia, per la Canonizzazione di Don Giovanni Bosco (12510) | Pio XI</v>
      </c>
      <c r="AA677" s="31" t="str">
        <f t="shared" si="155"/>
        <v>Lettera Decretale Geminata Laetitia, per la Canonizzazione di Don Giovanni Bosco</v>
      </c>
      <c r="AB677" s="31" t="str">
        <f t="shared" si="156"/>
        <v>Lettera Decretale Geminata Laetitia, per la Canonizzazione di Don Giovanni Bosco</v>
      </c>
      <c r="AC677" s="31" t="str">
        <f t="shared" si="157"/>
        <v>Pio XI, Lettera Decretale Geminata Laetitia, per la Canonizzazione di Don Giovanni Bosco, 01 aprile 1934</v>
      </c>
      <c r="AD677" s="31" t="str">
        <f t="shared" si="158"/>
        <v>1934-04-01T08:00:00.000+02:00</v>
      </c>
      <c r="AE677" s="31" t="str">
        <f t="shared" si="150"/>
        <v>pixi-let-dgl</v>
      </c>
      <c r="AF677" s="31" t="str">
        <f t="shared" si="151"/>
        <v>Pio XI - Lettera - Decretale Geminata Laetitia, per la Canonizzazione di Don Giovanni Bosco</v>
      </c>
    </row>
    <row r="678" spans="2:32" s="31" customFormat="1" x14ac:dyDescent="0.2">
      <c r="B678" s="31">
        <v>259</v>
      </c>
      <c r="C678" s="31" t="s">
        <v>3556</v>
      </c>
      <c r="D678" s="31" t="s">
        <v>715</v>
      </c>
      <c r="E678" s="31" t="s">
        <v>739</v>
      </c>
      <c r="F678" s="31" t="s">
        <v>661</v>
      </c>
      <c r="G678" s="31" t="s">
        <v>660</v>
      </c>
      <c r="H678" s="31" t="str">
        <f t="shared" si="164"/>
        <v>Pio XI</v>
      </c>
      <c r="K678" s="31" t="s">
        <v>829</v>
      </c>
      <c r="L678" s="31" t="str">
        <f t="shared" si="165"/>
        <v>Lettera</v>
      </c>
      <c r="M678" s="31" t="s">
        <v>568</v>
      </c>
      <c r="O678" s="31" t="s">
        <v>3572</v>
      </c>
      <c r="P678" s="31" t="s">
        <v>3600</v>
      </c>
      <c r="Q678" s="40">
        <v>11439</v>
      </c>
      <c r="R678" s="35">
        <f t="shared" si="161"/>
        <v>26</v>
      </c>
      <c r="S678" s="35"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5">
        <f t="shared" si="162"/>
        <v>1931</v>
      </c>
      <c r="U678" s="31"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6"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31"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31">
        <v>705</v>
      </c>
      <c r="Y678" s="31" t="str">
        <f t="shared" si="153"/>
        <v>['Pio XI', 'Lettera', 'al Cardinale Presbitero Alfredo Ildefonso Schuster, Arcivescovo di Milano, in difesa dell'Azione Cattolica Italiana', 'pixi-let-ais', '26 aprile 1931', '26/04/1931', '1931/04/26'],</v>
      </c>
      <c r="Z678" s="31" t="str">
        <f t="shared" si="154"/>
        <v>al Cardinale Presbitero Alfredo Ildefonso Schuster, Arcivescovo di Milano, in difesa dell'Azione Cattolica Italiana (11439) | Pio XI</v>
      </c>
      <c r="AA678" s="31" t="str">
        <f t="shared" si="155"/>
        <v>Lettera al Cardinale Presbitero Alfredo Ildefonso Schuster, Arcivescovo di Milano, in difesa dell'Azione Cattolica Italiana</v>
      </c>
      <c r="AB678" s="31" t="str">
        <f t="shared" si="156"/>
        <v>Lettera al Cardinale Presbitero Alfredo Ildefonso Schuster, Arcivescovo di Milano, in difesa dell'Azione Cattolica Italiana</v>
      </c>
      <c r="AC678" s="31" t="str">
        <f t="shared" si="157"/>
        <v>Pio XI, Lettera al Cardinale Presbitero Alfredo Ildefonso Schuster, Arcivescovo di Milano, in difesa dell'Azione Cattolica Italiana, 26 aprile 1931</v>
      </c>
      <c r="AD678" s="31" t="str">
        <f t="shared" si="158"/>
        <v>1931-04-26T08:00:00.000+02:00</v>
      </c>
      <c r="AE678" s="31" t="str">
        <f t="shared" si="150"/>
        <v>pixi-let-ais</v>
      </c>
      <c r="AF678" s="31" t="str">
        <f t="shared" si="151"/>
        <v>Pio XI - Lettera - al Cardinale Presbitero Alfredo Ildefonso Schuster, Arcivescovo di Milano, in difesa dell'Azione Cattolica Italiana</v>
      </c>
    </row>
    <row r="679" spans="2:32" s="31" customFormat="1" x14ac:dyDescent="0.2">
      <c r="B679" s="31">
        <v>259</v>
      </c>
      <c r="C679" s="31" t="s">
        <v>3557</v>
      </c>
      <c r="D679" s="31" t="s">
        <v>715</v>
      </c>
      <c r="E679" s="31" t="s">
        <v>739</v>
      </c>
      <c r="F679" s="31" t="s">
        <v>661</v>
      </c>
      <c r="G679" s="31" t="s">
        <v>660</v>
      </c>
      <c r="H679" s="31" t="str">
        <f t="shared" si="164"/>
        <v>Pio XI</v>
      </c>
      <c r="K679" s="31" t="s">
        <v>829</v>
      </c>
      <c r="L679" s="31" t="str">
        <f t="shared" si="165"/>
        <v>Lettera</v>
      </c>
      <c r="M679" s="31" t="s">
        <v>568</v>
      </c>
      <c r="O679" s="31" t="s">
        <v>3573</v>
      </c>
      <c r="P679" s="31" t="s">
        <v>3431</v>
      </c>
      <c r="Q679" s="40">
        <v>10996</v>
      </c>
      <c r="R679" s="35">
        <f t="shared" si="161"/>
        <v>7</v>
      </c>
      <c r="S679" s="35"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5">
        <f t="shared" si="162"/>
        <v>1930</v>
      </c>
      <c r="U679" s="31"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6"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31"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31">
        <v>706</v>
      </c>
      <c r="Y679" s="31" t="str">
        <f t="shared" si="153"/>
        <v>['Pio XI', 'Lettera', 'Avendo Noi creduto, al Card. Eugenio Pacelli, nominato Segretario di Stato del Santo Padre', 'pixi-let-anc', '07 febbraio 1930', '07/02/1930', '1930/02/07'],</v>
      </c>
      <c r="Z679" s="31" t="str">
        <f t="shared" si="154"/>
        <v>Avendo Noi creduto, al Card. Eugenio Pacelli, nominato Segretario di Stato del Santo Padre (10996) | Pio XI</v>
      </c>
      <c r="AA679" s="31" t="str">
        <f t="shared" si="155"/>
        <v>Lettera Avendo Noi creduto, al Card. Eugenio Pacelli, nominato Segretario di Stato del Santo Padre</v>
      </c>
      <c r="AB679" s="31" t="str">
        <f t="shared" si="156"/>
        <v>Lettera Avendo Noi creduto, al Card. Eugenio Pacelli, nominato Segretario di Stato del Santo Padre</v>
      </c>
      <c r="AC679" s="31" t="str">
        <f t="shared" si="157"/>
        <v>Pio XI, Lettera Avendo Noi creduto, al Card. Eugenio Pacelli, nominato Segretario di Stato del Santo Padre, 07 febbraio 1930</v>
      </c>
      <c r="AD679" s="31" t="str">
        <f t="shared" si="158"/>
        <v>1930-02-07T08:00:00.000+02:00</v>
      </c>
      <c r="AE679" s="31" t="str">
        <f t="shared" ref="AE679:AE742" si="166">_xlfn.CONCAT(F679 &amp; "-" &amp; M679 &amp; "-" &amp; P679)</f>
        <v>pixi-let-anc</v>
      </c>
      <c r="AF679" s="31" t="str">
        <f t="shared" ref="AF679:AF742" si="167">_xlfn.CONCAT(H679 &amp; " - " &amp; L679 &amp; " - " &amp; O679)</f>
        <v>Pio XI - Lettera - Avendo Noi creduto, al Card. Eugenio Pacelli, nominato Segretario di Stato del Santo Padre</v>
      </c>
    </row>
    <row r="680" spans="2:32" s="31" customFormat="1" x14ac:dyDescent="0.2">
      <c r="B680" s="31">
        <v>259</v>
      </c>
      <c r="C680" s="31" t="s">
        <v>3558</v>
      </c>
      <c r="D680" s="31" t="s">
        <v>715</v>
      </c>
      <c r="E680" s="31" t="s">
        <v>739</v>
      </c>
      <c r="F680" s="31" t="s">
        <v>661</v>
      </c>
      <c r="G680" s="31" t="s">
        <v>660</v>
      </c>
      <c r="H680" s="31" t="str">
        <f t="shared" si="164"/>
        <v>Pio XI</v>
      </c>
      <c r="K680" s="31" t="s">
        <v>829</v>
      </c>
      <c r="L680" s="31" t="str">
        <f t="shared" si="165"/>
        <v>Lettera</v>
      </c>
      <c r="M680" s="31" t="s">
        <v>568</v>
      </c>
      <c r="O680" s="31" t="s">
        <v>3574</v>
      </c>
      <c r="P680" s="31" t="s">
        <v>3025</v>
      </c>
      <c r="Q680" s="40">
        <v>10996</v>
      </c>
      <c r="R680" s="35">
        <f t="shared" si="161"/>
        <v>7</v>
      </c>
      <c r="S680" s="35"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5">
        <f t="shared" si="162"/>
        <v>1930</v>
      </c>
      <c r="U680" s="31"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6"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31"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31">
        <v>707</v>
      </c>
      <c r="Y680" s="31" t="str">
        <f t="shared" si="153"/>
        <v>['Pio XI', 'Lettera', 'Si compie oggi, al Card. Pietro Gasparri, in occasione della presentazione delle dimissioni da Segretario di Stato del Santo Padre', 'pixi-let-sco', '07 febbraio 1930', '07/02/1930', '1930/02/07'],</v>
      </c>
      <c r="Z680" s="31" t="str">
        <f t="shared" si="154"/>
        <v>Si compie oggi, al Card. Pietro Gasparri, in occasione della presentazione delle dimissioni da Segretario di Stato del Santo Padre (10996) | Pio XI</v>
      </c>
      <c r="AA680" s="31" t="str">
        <f t="shared" si="155"/>
        <v>Lettera Si compie oggi, al Card. Pietro Gasparri, in occasione della presentazione delle dimissioni da Segretario di Stato del Santo Padre</v>
      </c>
      <c r="AB680" s="31" t="str">
        <f t="shared" si="156"/>
        <v>Lettera Si compie oggi, al Card. Pietro Gasparri, in occasione della presentazione delle dimissioni da Segretario di Stato del Santo Padre</v>
      </c>
      <c r="AC680" s="31" t="str">
        <f t="shared" si="157"/>
        <v>Pio XI, Lettera Si compie oggi, al Card. Pietro Gasparri, in occasione della presentazione delle dimissioni da Segretario di Stato del Santo Padre, 07 febbraio 1930</v>
      </c>
      <c r="AD680" s="31" t="str">
        <f t="shared" si="158"/>
        <v>1930-02-07T08:00:00.000+02:00</v>
      </c>
      <c r="AE680" s="31" t="str">
        <f t="shared" si="166"/>
        <v>pixi-let-sco</v>
      </c>
      <c r="AF680" s="31" t="str">
        <f t="shared" si="167"/>
        <v>Pio XI - Lettera - Si compie oggi, al Card. Pietro Gasparri, in occasione della presentazione delle dimissioni da Segretario di Stato del Santo Padre</v>
      </c>
    </row>
    <row r="681" spans="2:32" s="31" customFormat="1" x14ac:dyDescent="0.2">
      <c r="B681" s="31">
        <v>259</v>
      </c>
      <c r="C681" s="31" t="s">
        <v>3559</v>
      </c>
      <c r="D681" s="31" t="s">
        <v>715</v>
      </c>
      <c r="E681" s="31" t="s">
        <v>739</v>
      </c>
      <c r="F681" s="31" t="s">
        <v>661</v>
      </c>
      <c r="G681" s="31" t="s">
        <v>660</v>
      </c>
      <c r="H681" s="31" t="str">
        <f t="shared" si="164"/>
        <v>Pio XI</v>
      </c>
      <c r="K681" s="31" t="s">
        <v>829</v>
      </c>
      <c r="L681" s="31" t="str">
        <f t="shared" si="165"/>
        <v>Lettera</v>
      </c>
      <c r="M681" s="31" t="s">
        <v>568</v>
      </c>
      <c r="O681" s="31" t="s">
        <v>3575</v>
      </c>
      <c r="P681" s="31" t="s">
        <v>3599</v>
      </c>
      <c r="Q681" s="40">
        <v>10995</v>
      </c>
      <c r="R681" s="35">
        <f t="shared" si="161"/>
        <v>6</v>
      </c>
      <c r="S681" s="35"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5">
        <f t="shared" si="162"/>
        <v>1930</v>
      </c>
      <c r="U681" s="31"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6"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31"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31">
        <v>708</v>
      </c>
      <c r="Y681" s="31" t="str">
        <f t="shared" si="153"/>
        <v>['Pio XI', 'Lettera', 'Con grande Nostra, al Card. Bisleti circa l'istituzione di una Commissione per il conferimento dei gradi accademici nelle discipline sacre', 'pixi-let-cgn', '06 febbraio 1930', '06/02/1930', '1930/02/06'],</v>
      </c>
      <c r="Z681" s="31" t="str">
        <f t="shared" si="154"/>
        <v>Con grande Nostra, al Card. Bisleti circa l'istituzione di una Commissione per il conferimento dei gradi accademici nelle discipline sacre (10995) | Pio XI</v>
      </c>
      <c r="AA681" s="31" t="str">
        <f t="shared" si="155"/>
        <v>Lettera Con grande Nostra, al Card. Bisleti circa l'istituzione di una Commissione per il conferimento dei gradi accademici nelle discipline sacre</v>
      </c>
      <c r="AB681" s="31" t="str">
        <f t="shared" si="156"/>
        <v>Lettera Con grande Nostra, al Card. Bisleti circa l'istituzione di una Commissione per il conferimento dei gradi accademici nelle discipline sacre</v>
      </c>
      <c r="AC681" s="31" t="str">
        <f t="shared" si="157"/>
        <v>Pio XI, Lettera Con grande Nostra, al Card. Bisleti circa l'istituzione di una Commissione per il conferimento dei gradi accademici nelle discipline sacre, 06 febbraio 1930</v>
      </c>
      <c r="AD681" s="31" t="str">
        <f t="shared" si="158"/>
        <v>1930-02-06T08:00:00.000+02:00</v>
      </c>
      <c r="AE681" s="31" t="str">
        <f t="shared" si="166"/>
        <v>pixi-let-cgn</v>
      </c>
      <c r="AF681" s="31" t="str">
        <f t="shared" si="167"/>
        <v>Pio XI - Lettera - Con grande Nostra, al Card. Bisleti circa l'istituzione di una Commissione per il conferimento dei gradi accademici nelle discipline sacre</v>
      </c>
    </row>
    <row r="682" spans="2:32" s="31" customFormat="1" x14ac:dyDescent="0.2">
      <c r="B682" s="31">
        <v>259</v>
      </c>
      <c r="C682" s="31" t="s">
        <v>3560</v>
      </c>
      <c r="D682" s="31" t="s">
        <v>715</v>
      </c>
      <c r="E682" s="31" t="s">
        <v>739</v>
      </c>
      <c r="F682" s="31" t="s">
        <v>661</v>
      </c>
      <c r="G682" s="31" t="s">
        <v>660</v>
      </c>
      <c r="H682" s="31" t="str">
        <f t="shared" si="164"/>
        <v>Pio XI</v>
      </c>
      <c r="K682" s="31" t="s">
        <v>829</v>
      </c>
      <c r="L682" s="31" t="str">
        <f t="shared" si="165"/>
        <v>Lettera</v>
      </c>
      <c r="M682" s="31" t="s">
        <v>568</v>
      </c>
      <c r="O682" s="31" t="s">
        <v>3576</v>
      </c>
      <c r="P682" s="31" t="s">
        <v>3598</v>
      </c>
      <c r="Q682" s="40">
        <v>10991</v>
      </c>
      <c r="R682" s="35">
        <f t="shared" si="161"/>
        <v>2</v>
      </c>
      <c r="S682" s="35"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5">
        <f t="shared" si="162"/>
        <v>1930</v>
      </c>
      <c r="U682" s="31"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6"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31"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31">
        <v>709</v>
      </c>
      <c r="Y682" s="31" t="str">
        <f t="shared" si="153"/>
        <v>['Pio XI', 'Lettera', 'al Cardinale Basilio Pompili, Vicario di Roma, sulle violenze compiute in Russia', 'pixi-let-vcr', '02 febbraio 1930', '02/02/1930', '1930/02/02'],</v>
      </c>
      <c r="Z682" s="31" t="str">
        <f t="shared" si="154"/>
        <v>al Cardinale Basilio Pompili, Vicario di Roma, sulle violenze compiute in Russia (10991) | Pio XI</v>
      </c>
      <c r="AA682" s="31" t="str">
        <f t="shared" si="155"/>
        <v>Lettera al Cardinale Basilio Pompili, Vicario di Roma, sulle violenze compiute in Russia</v>
      </c>
      <c r="AB682" s="31" t="str">
        <f t="shared" si="156"/>
        <v>Lettera al Cardinale Basilio Pompili, Vicario di Roma, sulle violenze compiute in Russia</v>
      </c>
      <c r="AC682" s="31" t="str">
        <f t="shared" si="157"/>
        <v>Pio XI, Lettera al Cardinale Basilio Pompili, Vicario di Roma, sulle violenze compiute in Russia, 02 febbraio 1930</v>
      </c>
      <c r="AD682" s="31" t="str">
        <f t="shared" si="158"/>
        <v>1930-02-02T08:00:00.000+02:00</v>
      </c>
      <c r="AE682" s="31" t="str">
        <f t="shared" si="166"/>
        <v>pixi-let-vcr</v>
      </c>
      <c r="AF682" s="31" t="str">
        <f t="shared" si="167"/>
        <v>Pio XI - Lettera - al Cardinale Basilio Pompili, Vicario di Roma, sulle violenze compiute in Russia</v>
      </c>
    </row>
    <row r="683" spans="2:32" s="31" customFormat="1" x14ac:dyDescent="0.2">
      <c r="B683" s="31">
        <v>259</v>
      </c>
      <c r="C683" s="31" t="s">
        <v>3561</v>
      </c>
      <c r="D683" s="31" t="s">
        <v>715</v>
      </c>
      <c r="E683" s="31" t="s">
        <v>739</v>
      </c>
      <c r="F683" s="31" t="s">
        <v>661</v>
      </c>
      <c r="G683" s="31" t="s">
        <v>660</v>
      </c>
      <c r="H683" s="31" t="str">
        <f t="shared" si="164"/>
        <v>Pio XI</v>
      </c>
      <c r="K683" s="31" t="s">
        <v>829</v>
      </c>
      <c r="L683" s="31" t="str">
        <f t="shared" si="165"/>
        <v>Lettera</v>
      </c>
      <c r="M683" s="31" t="s">
        <v>568</v>
      </c>
      <c r="O683" s="31" t="s">
        <v>3577</v>
      </c>
      <c r="P683" s="31" t="s">
        <v>3597</v>
      </c>
      <c r="Q683" s="40">
        <v>10751</v>
      </c>
      <c r="R683" s="35">
        <f t="shared" si="161"/>
        <v>7</v>
      </c>
      <c r="S683" s="35"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5">
        <f t="shared" si="162"/>
        <v>1929</v>
      </c>
      <c r="U683" s="31"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6"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31"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31">
        <v>710</v>
      </c>
      <c r="Y683" s="31" t="str">
        <f t="shared" si="153"/>
        <v>['Pio XI', 'Lettera', 'al Cardinale Pietro Gasparri, Segretario di Stato, sulla ratifica dei Patti Lateranensi', 'pixi-let-rpl', '07 giugno 1929', '07/06/1929', '1929/06/07'],</v>
      </c>
      <c r="Z683" s="31" t="str">
        <f t="shared" si="154"/>
        <v>al Cardinale Pietro Gasparri, Segretario di Stato, sulla ratifica dei Patti Lateranensi (10751) | Pio XI</v>
      </c>
      <c r="AA683" s="31" t="str">
        <f t="shared" si="155"/>
        <v>Lettera al Cardinale Pietro Gasparri, Segretario di Stato, sulla ratifica dei Patti Lateranensi</v>
      </c>
      <c r="AB683" s="31" t="str">
        <f t="shared" si="156"/>
        <v>Lettera al Cardinale Pietro Gasparri, Segretario di Stato, sulla ratifica dei Patti Lateranensi</v>
      </c>
      <c r="AC683" s="31" t="str">
        <f t="shared" si="157"/>
        <v>Pio XI, Lettera al Cardinale Pietro Gasparri, Segretario di Stato, sulla ratifica dei Patti Lateranensi, 07 giugno 1929</v>
      </c>
      <c r="AD683" s="31" t="str">
        <f t="shared" si="158"/>
        <v>1929-06-07T08:00:00.000+02:00</v>
      </c>
      <c r="AE683" s="31" t="str">
        <f t="shared" si="166"/>
        <v>pixi-let-rpl</v>
      </c>
      <c r="AF683" s="31" t="str">
        <f t="shared" si="167"/>
        <v>Pio XI - Lettera - al Cardinale Pietro Gasparri, Segretario di Stato, sulla ratifica dei Patti Lateranensi</v>
      </c>
    </row>
    <row r="684" spans="2:32" s="31" customFormat="1" x14ac:dyDescent="0.2">
      <c r="B684" s="31">
        <v>259</v>
      </c>
      <c r="C684" s="31" t="s">
        <v>3562</v>
      </c>
      <c r="D684" s="31" t="s">
        <v>715</v>
      </c>
      <c r="E684" s="31" t="s">
        <v>739</v>
      </c>
      <c r="F684" s="31" t="s">
        <v>661</v>
      </c>
      <c r="G684" s="31" t="s">
        <v>660</v>
      </c>
      <c r="H684" s="31" t="str">
        <f t="shared" si="164"/>
        <v>Pio XI</v>
      </c>
      <c r="K684" s="31" t="s">
        <v>829</v>
      </c>
      <c r="L684" s="31" t="str">
        <f t="shared" si="165"/>
        <v>Lettera</v>
      </c>
      <c r="M684" s="31" t="s">
        <v>568</v>
      </c>
      <c r="O684" s="31" t="s">
        <v>3578</v>
      </c>
      <c r="P684" s="31" t="s">
        <v>3596</v>
      </c>
      <c r="Q684" s="40">
        <v>10743</v>
      </c>
      <c r="R684" s="35">
        <f t="shared" si="161"/>
        <v>30</v>
      </c>
      <c r="S684" s="35"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5">
        <f t="shared" si="162"/>
        <v>1929</v>
      </c>
      <c r="U684" s="31"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6"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31"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31">
        <v>711</v>
      </c>
      <c r="Y684" s="31" t="str">
        <f t="shared" si="153"/>
        <v>['Pio XI', 'Lettera', 'al Cardinale Pietro Gasparri, Segretario di Stato, sulla firma dei Trattati Lateranensi', 'pixi-let-ftr', '30 maggio 1929', '30/05/1929', '1929/05/30'],</v>
      </c>
      <c r="Z684" s="31" t="str">
        <f t="shared" si="154"/>
        <v>al Cardinale Pietro Gasparri, Segretario di Stato, sulla firma dei Trattati Lateranensi (10743) | Pio XI</v>
      </c>
      <c r="AA684" s="31" t="str">
        <f t="shared" si="155"/>
        <v>Lettera al Cardinale Pietro Gasparri, Segretario di Stato, sulla firma dei Trattati Lateranensi</v>
      </c>
      <c r="AB684" s="31" t="str">
        <f t="shared" si="156"/>
        <v>Lettera al Cardinale Pietro Gasparri, Segretario di Stato, sulla firma dei Trattati Lateranensi</v>
      </c>
      <c r="AC684" s="31" t="str">
        <f t="shared" si="157"/>
        <v>Pio XI, Lettera al Cardinale Pietro Gasparri, Segretario di Stato, sulla firma dei Trattati Lateranensi, 30 maggio 1929</v>
      </c>
      <c r="AD684" s="31" t="str">
        <f t="shared" si="158"/>
        <v>1929-05-30T08:00:00.000+02:00</v>
      </c>
      <c r="AE684" s="31" t="str">
        <f t="shared" si="166"/>
        <v>pixi-let-ftr</v>
      </c>
      <c r="AF684" s="31" t="str">
        <f t="shared" si="167"/>
        <v>Pio XI - Lettera - al Cardinale Pietro Gasparri, Segretario di Stato, sulla firma dei Trattati Lateranensi</v>
      </c>
    </row>
    <row r="685" spans="2:32" s="31" customFormat="1" x14ac:dyDescent="0.2">
      <c r="B685" s="31">
        <v>259</v>
      </c>
      <c r="C685" s="31" t="s">
        <v>3563</v>
      </c>
      <c r="D685" s="31" t="s">
        <v>715</v>
      </c>
      <c r="E685" s="31" t="s">
        <v>739</v>
      </c>
      <c r="F685" s="31" t="s">
        <v>661</v>
      </c>
      <c r="G685" s="31" t="s">
        <v>660</v>
      </c>
      <c r="H685" s="31" t="str">
        <f t="shared" si="164"/>
        <v>Pio XI</v>
      </c>
      <c r="K685" s="31" t="s">
        <v>829</v>
      </c>
      <c r="L685" s="31" t="str">
        <f t="shared" si="165"/>
        <v>Lettera</v>
      </c>
      <c r="M685" s="31" t="s">
        <v>568</v>
      </c>
      <c r="O685" s="31" t="s">
        <v>3578</v>
      </c>
      <c r="P685" s="31" t="s">
        <v>3595</v>
      </c>
      <c r="Q685" s="40">
        <v>10743</v>
      </c>
      <c r="R685" s="35">
        <f t="shared" si="161"/>
        <v>30</v>
      </c>
      <c r="S685" s="35"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5">
        <f t="shared" si="162"/>
        <v>1929</v>
      </c>
      <c r="U685" s="31"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6"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31"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31">
        <v>712</v>
      </c>
      <c r="Y685" s="31" t="str">
        <f t="shared" si="153"/>
        <v>['Pio XI', 'Lettera', 'al Cardinale Pietro Gasparri, Segretario di Stato, sulla firma dei Trattati Lateranensi', 'pixi-let-ftl', '30 maggio 1929', '30/05/1929', '1929/05/30'],</v>
      </c>
      <c r="Z685" s="31" t="str">
        <f t="shared" si="154"/>
        <v>al Cardinale Pietro Gasparri, Segretario di Stato, sulla firma dei Trattati Lateranensi (10743) | Pio XI</v>
      </c>
      <c r="AA685" s="31" t="str">
        <f t="shared" si="155"/>
        <v>Lettera al Cardinale Pietro Gasparri, Segretario di Stato, sulla firma dei Trattati Lateranensi</v>
      </c>
      <c r="AB685" s="31" t="str">
        <f t="shared" si="156"/>
        <v>Lettera al Cardinale Pietro Gasparri, Segretario di Stato, sulla firma dei Trattati Lateranensi</v>
      </c>
      <c r="AC685" s="31" t="str">
        <f t="shared" si="157"/>
        <v>Pio XI, Lettera al Cardinale Pietro Gasparri, Segretario di Stato, sulla firma dei Trattati Lateranensi, 30 maggio 1929</v>
      </c>
      <c r="AD685" s="31" t="str">
        <f t="shared" si="158"/>
        <v>1929-05-30T08:00:00.000+02:00</v>
      </c>
      <c r="AE685" s="31" t="str">
        <f t="shared" si="166"/>
        <v>pixi-let-ftl</v>
      </c>
      <c r="AF685" s="31" t="str">
        <f t="shared" si="167"/>
        <v>Pio XI - Lettera - al Cardinale Pietro Gasparri, Segretario di Stato, sulla firma dei Trattati Lateranensi</v>
      </c>
    </row>
    <row r="686" spans="2:32" s="31" customFormat="1" x14ac:dyDescent="0.2">
      <c r="B686" s="31">
        <v>259</v>
      </c>
      <c r="C686" s="31" t="s">
        <v>3564</v>
      </c>
      <c r="D686" s="31" t="s">
        <v>715</v>
      </c>
      <c r="E686" s="31" t="s">
        <v>739</v>
      </c>
      <c r="F686" s="31" t="s">
        <v>661</v>
      </c>
      <c r="G686" s="31" t="s">
        <v>660</v>
      </c>
      <c r="H686" s="31" t="str">
        <f t="shared" si="164"/>
        <v>Pio XI</v>
      </c>
      <c r="K686" s="31" t="s">
        <v>829</v>
      </c>
      <c r="L686" s="31" t="str">
        <f t="shared" si="165"/>
        <v>Lettera</v>
      </c>
      <c r="M686" s="31" t="s">
        <v>568</v>
      </c>
      <c r="O686" s="31" t="s">
        <v>3579</v>
      </c>
      <c r="P686" s="31" t="s">
        <v>3594</v>
      </c>
      <c r="Q686" s="40">
        <v>9546</v>
      </c>
      <c r="R686" s="35">
        <f t="shared" si="161"/>
        <v>18</v>
      </c>
      <c r="S686" s="35"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5">
        <f t="shared" si="162"/>
        <v>1926</v>
      </c>
      <c r="U686" s="31"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6"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31"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31">
        <v>713</v>
      </c>
      <c r="Y686" s="31" t="str">
        <f t="shared" si="153"/>
        <v>['Pio XI', 'Lettera', 'al Cardinale Pietro Gasparri, Segretario di Stato, sulla riforma della legislazione ecclesiastica', 'pixi-let-rle', '18 febbraio 1926', '18/02/1926', '1926/02/18'],</v>
      </c>
      <c r="Z686" s="31" t="str">
        <f t="shared" si="154"/>
        <v>al Cardinale Pietro Gasparri, Segretario di Stato, sulla riforma della legislazione ecclesiastica (9546) | Pio XI</v>
      </c>
      <c r="AA686" s="31" t="str">
        <f t="shared" si="155"/>
        <v>Lettera al Cardinale Pietro Gasparri, Segretario di Stato, sulla riforma della legislazione ecclesiastica</v>
      </c>
      <c r="AB686" s="31" t="str">
        <f t="shared" si="156"/>
        <v>Lettera al Cardinale Pietro Gasparri, Segretario di Stato, sulla riforma della legislazione ecclesiastica</v>
      </c>
      <c r="AC686" s="31" t="str">
        <f t="shared" si="157"/>
        <v>Pio XI, Lettera al Cardinale Pietro Gasparri, Segretario di Stato, sulla riforma della legislazione ecclesiastica, 18 febbraio 1926</v>
      </c>
      <c r="AD686" s="31" t="str">
        <f t="shared" si="158"/>
        <v>1926-02-18T08:00:00.000+02:00</v>
      </c>
      <c r="AE686" s="31" t="str">
        <f t="shared" si="166"/>
        <v>pixi-let-rle</v>
      </c>
      <c r="AF686" s="31" t="str">
        <f t="shared" si="167"/>
        <v>Pio XI - Lettera - al Cardinale Pietro Gasparri, Segretario di Stato, sulla riforma della legislazione ecclesiastica</v>
      </c>
    </row>
    <row r="687" spans="2:32" s="31" customFormat="1" x14ac:dyDescent="0.2">
      <c r="B687" s="31">
        <v>259</v>
      </c>
      <c r="C687" s="31" t="s">
        <v>3565</v>
      </c>
      <c r="D687" s="31" t="s">
        <v>715</v>
      </c>
      <c r="E687" s="31" t="s">
        <v>739</v>
      </c>
      <c r="F687" s="31" t="s">
        <v>661</v>
      </c>
      <c r="G687" s="31" t="s">
        <v>660</v>
      </c>
      <c r="H687" s="31" t="str">
        <f t="shared" si="164"/>
        <v>Pio XI</v>
      </c>
      <c r="K687" s="31" t="s">
        <v>829</v>
      </c>
      <c r="L687" s="31" t="str">
        <f t="shared" si="165"/>
        <v>Lettera</v>
      </c>
      <c r="M687" s="31" t="s">
        <v>568</v>
      </c>
      <c r="O687" s="31" t="s">
        <v>3580</v>
      </c>
      <c r="P687" s="31" t="s">
        <v>3593</v>
      </c>
      <c r="Q687" s="40">
        <v>9546</v>
      </c>
      <c r="R687" s="35">
        <f t="shared" si="161"/>
        <v>18</v>
      </c>
      <c r="S687" s="35"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5">
        <f t="shared" si="162"/>
        <v>1926</v>
      </c>
      <c r="U687" s="31"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6"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31"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31">
        <v>714</v>
      </c>
      <c r="Y687" s="31" t="str">
        <f t="shared" si="153"/>
        <v>['Pio XI', 'Lettera', 'al Cardinale Gasparri, sulle proposte formulate dalla Commissione Ministeriale circa la legislazione ecclesiastica in Italia', 'pixi-let-cml', '18 febbraio 1926', '18/02/1926', '1926/02/18'],</v>
      </c>
      <c r="Z687" s="31" t="str">
        <f t="shared" si="154"/>
        <v>al Cardinale Gasparri, sulle proposte formulate dalla Commissione Ministeriale circa la legislazione ecclesiastica in Italia (9546) | Pio XI</v>
      </c>
      <c r="AA687" s="31" t="str">
        <f t="shared" si="155"/>
        <v>Lettera al Cardinale Gasparri, sulle proposte formulate dalla Commissione Ministeriale circa la legislazione ecclesiastica in Italia</v>
      </c>
      <c r="AB687" s="31" t="str">
        <f t="shared" si="156"/>
        <v>Lettera al Cardinale Gasparri, sulle proposte formulate dalla Commissione Ministeriale circa la legislazione ecclesiastica in Italia</v>
      </c>
      <c r="AC687" s="31" t="str">
        <f t="shared" si="157"/>
        <v>Pio XI, Lettera al Cardinale Gasparri, sulle proposte formulate dalla Commissione Ministeriale circa la legislazione ecclesiastica in Italia, 18 febbraio 1926</v>
      </c>
      <c r="AD687" s="31" t="str">
        <f t="shared" si="158"/>
        <v>1926-02-18T08:00:00.000+02:00</v>
      </c>
      <c r="AE687" s="31" t="str">
        <f t="shared" si="166"/>
        <v>pixi-let-cml</v>
      </c>
      <c r="AF687" s="31" t="str">
        <f t="shared" si="167"/>
        <v>Pio XI - Lettera - al Cardinale Gasparri, sulle proposte formulate dalla Commissione Ministeriale circa la legislazione ecclesiastica in Italia</v>
      </c>
    </row>
    <row r="688" spans="2:32" s="31" customFormat="1" x14ac:dyDescent="0.2">
      <c r="B688" s="31">
        <v>259</v>
      </c>
      <c r="C688" s="31" t="s">
        <v>3566</v>
      </c>
      <c r="D688" s="31" t="s">
        <v>715</v>
      </c>
      <c r="E688" s="31" t="s">
        <v>739</v>
      </c>
      <c r="F688" s="31" t="s">
        <v>661</v>
      </c>
      <c r="G688" s="31" t="s">
        <v>660</v>
      </c>
      <c r="H688" s="31" t="str">
        <f t="shared" si="164"/>
        <v>Pio XI</v>
      </c>
      <c r="K688" s="31" t="s">
        <v>829</v>
      </c>
      <c r="L688" s="31" t="str">
        <f t="shared" si="165"/>
        <v>Lettera</v>
      </c>
      <c r="M688" s="31" t="s">
        <v>568</v>
      </c>
      <c r="O688" s="31" t="s">
        <v>3581</v>
      </c>
      <c r="P688" s="31" t="s">
        <v>1645</v>
      </c>
      <c r="Q688" s="40">
        <v>8633</v>
      </c>
      <c r="R688" s="35">
        <f t="shared" si="161"/>
        <v>20</v>
      </c>
      <c r="S688" s="35"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5">
        <f t="shared" si="162"/>
        <v>1923</v>
      </c>
      <c r="U688" s="31"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6"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31"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31">
        <v>715</v>
      </c>
      <c r="Y688" s="31" t="str">
        <f t="shared" si="153"/>
        <v>['Pio XI', 'Lettera', 'Quod Sancti al Vescovo di Annecy, Fiorenzo Du Bois De La Villerabel', 'pixi-let-qus', '20 agosto 1923', '20/08/1923', '1923/08/20'],</v>
      </c>
      <c r="Z688" s="31" t="str">
        <f t="shared" si="154"/>
        <v>Quod Sancti al Vescovo di Annecy, Fiorenzo Du Bois De La Villerabel (8633) | Pio XI</v>
      </c>
      <c r="AA688" s="31" t="str">
        <f t="shared" si="155"/>
        <v>Lettera Quod Sancti al Vescovo di Annecy, Fiorenzo Du Bois De La Villerabel</v>
      </c>
      <c r="AB688" s="31" t="str">
        <f t="shared" si="156"/>
        <v>Lettera Quod Sancti al Vescovo di Annecy, Fiorenzo Du Bois De La Villerabel</v>
      </c>
      <c r="AC688" s="31" t="str">
        <f t="shared" si="157"/>
        <v>Pio XI, Lettera Quod Sancti al Vescovo di Annecy, Fiorenzo Du Bois De La Villerabel, 20 agosto 1923</v>
      </c>
      <c r="AD688" s="31" t="str">
        <f t="shared" si="158"/>
        <v>1923-08-20T08:00:00.000+02:00</v>
      </c>
      <c r="AE688" s="31" t="str">
        <f t="shared" si="166"/>
        <v>pixi-let-qus</v>
      </c>
      <c r="AF688" s="31" t="str">
        <f t="shared" si="167"/>
        <v>Pio XI - Lettera - Quod Sancti al Vescovo di Annecy, Fiorenzo Du Bois De La Villerabel</v>
      </c>
    </row>
    <row r="689" spans="2:32" s="31" customFormat="1" x14ac:dyDescent="0.2">
      <c r="B689" s="31">
        <v>259</v>
      </c>
      <c r="C689" s="31" t="s">
        <v>3567</v>
      </c>
      <c r="D689" s="31" t="s">
        <v>715</v>
      </c>
      <c r="E689" s="31" t="s">
        <v>739</v>
      </c>
      <c r="F689" s="31" t="s">
        <v>661</v>
      </c>
      <c r="G689" s="31" t="s">
        <v>660</v>
      </c>
      <c r="H689" s="31" t="str">
        <f t="shared" si="164"/>
        <v>Pio XI</v>
      </c>
      <c r="K689" s="31" t="s">
        <v>829</v>
      </c>
      <c r="L689" s="31" t="str">
        <f t="shared" si="165"/>
        <v>Lettera</v>
      </c>
      <c r="M689" s="31" t="s">
        <v>568</v>
      </c>
      <c r="O689" s="31" t="s">
        <v>3582</v>
      </c>
      <c r="P689" s="31" t="s">
        <v>3592</v>
      </c>
      <c r="Q689" s="40">
        <v>8576</v>
      </c>
      <c r="R689" s="35">
        <f t="shared" si="161"/>
        <v>24</v>
      </c>
      <c r="S689" s="35"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5">
        <f t="shared" si="162"/>
        <v>1923</v>
      </c>
      <c r="U689" s="31"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6"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31"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31">
        <v>716</v>
      </c>
      <c r="Y689" s="31" t="str">
        <f t="shared" si="153"/>
        <v>['Pio XI', 'Lettera', 'Quando nel principio al Cardinal Pietro Gasparri, in merito ai rapporti internazionali tra le nazioni europee', 'pixi-let-qnp', '24 giugno 1923', '24/06/1923', '1923/06/24'],</v>
      </c>
      <c r="Z689" s="31" t="str">
        <f t="shared" si="154"/>
        <v>Quando nel principio al Cardinal Pietro Gasparri, in merito ai rapporti internazionali tra le nazioni europee (8576) | Pio XI</v>
      </c>
      <c r="AA689" s="31" t="str">
        <f t="shared" si="155"/>
        <v>Lettera Quando nel principio al Cardinal Pietro Gasparri, in merito ai rapporti internazionali tra le nazioni europee</v>
      </c>
      <c r="AB689" s="31" t="str">
        <f t="shared" si="156"/>
        <v>Lettera Quando nel principio al Cardinal Pietro Gasparri, in merito ai rapporti internazionali tra le nazioni europee</v>
      </c>
      <c r="AC689" s="31" t="str">
        <f t="shared" si="157"/>
        <v>Pio XI, Lettera Quando nel principio al Cardinal Pietro Gasparri, in merito ai rapporti internazionali tra le nazioni europee, 24 giugno 1923</v>
      </c>
      <c r="AD689" s="31" t="str">
        <f t="shared" si="158"/>
        <v>1923-06-24T08:00:00.000+02:00</v>
      </c>
      <c r="AE689" s="31" t="str">
        <f t="shared" si="166"/>
        <v>pixi-let-qnp</v>
      </c>
      <c r="AF689" s="31" t="str">
        <f t="shared" si="167"/>
        <v>Pio XI - Lettera - Quando nel principio al Cardinal Pietro Gasparri, in merito ai rapporti internazionali tra le nazioni europee</v>
      </c>
    </row>
    <row r="690" spans="2:32" s="31" customFormat="1" x14ac:dyDescent="0.2">
      <c r="B690" s="31">
        <v>259</v>
      </c>
      <c r="C690" s="31" t="s">
        <v>3586</v>
      </c>
      <c r="D690" s="31" t="s">
        <v>715</v>
      </c>
      <c r="E690" s="31" t="s">
        <v>739</v>
      </c>
      <c r="F690" s="31" t="s">
        <v>661</v>
      </c>
      <c r="G690" s="31" t="s">
        <v>660</v>
      </c>
      <c r="H690" s="31" t="str">
        <f t="shared" si="164"/>
        <v>Pio XI</v>
      </c>
      <c r="K690" s="31" t="s">
        <v>829</v>
      </c>
      <c r="L690" s="31" t="str">
        <f t="shared" ref="L690:L693" si="168">IF(J690&lt;&gt;"",_xlfn.CONCAT(J690 &amp; " " &amp; K690),K690)</f>
        <v>Lettera</v>
      </c>
      <c r="M690" s="31" t="s">
        <v>568</v>
      </c>
      <c r="O690" s="31" t="s">
        <v>3583</v>
      </c>
      <c r="P690" s="31" t="s">
        <v>3591</v>
      </c>
      <c r="Q690" s="40">
        <v>8148</v>
      </c>
      <c r="R690" s="35">
        <f t="shared" si="161"/>
        <v>22</v>
      </c>
      <c r="S690" s="35"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5">
        <f t="shared" si="162"/>
        <v>1922</v>
      </c>
      <c r="U690" s="31"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6"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31"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31">
        <v>717</v>
      </c>
      <c r="Y690" s="31" t="str">
        <f t="shared" si="153"/>
        <v>['Pio XI', 'Lettera', 'al Reverendo Padre Agostino Gemelli, fondatore dell'Università Cattolica del Sacro Cuore, di Milano', 'pixi-let-pag', '22 aprile 1922', '22/04/1922', '1922/04/22'],</v>
      </c>
      <c r="Z690" s="31" t="str">
        <f t="shared" si="154"/>
        <v>al Reverendo Padre Agostino Gemelli, fondatore dell'Università Cattolica del Sacro Cuore, di Milano (8148) | Pio XI</v>
      </c>
      <c r="AA690" s="31" t="str">
        <f t="shared" si="155"/>
        <v>Lettera al Reverendo Padre Agostino Gemelli, fondatore dell'Università Cattolica del Sacro Cuore, di Milano</v>
      </c>
      <c r="AB690" s="31" t="str">
        <f t="shared" si="156"/>
        <v>Lettera al Reverendo Padre Agostino Gemelli, fondatore dell'Università Cattolica del Sacro Cuore, di Milano</v>
      </c>
      <c r="AC690" s="31" t="str">
        <f t="shared" si="157"/>
        <v>Pio XI, Lettera al Reverendo Padre Agostino Gemelli, fondatore dell'Università Cattolica del Sacro Cuore, di Milano, 22 aprile 1922</v>
      </c>
      <c r="AD690" s="31" t="str">
        <f t="shared" si="158"/>
        <v>1922-04-22T08:00:00.000+02:00</v>
      </c>
      <c r="AE690" s="31" t="str">
        <f t="shared" si="166"/>
        <v>pixi-let-pag</v>
      </c>
      <c r="AF690" s="31" t="str">
        <f t="shared" si="167"/>
        <v>Pio XI - Lettera - al Reverendo Padre Agostino Gemelli, fondatore dell'Università Cattolica del Sacro Cuore, di Milano</v>
      </c>
    </row>
    <row r="691" spans="2:32" s="31" customFormat="1" x14ac:dyDescent="0.2">
      <c r="B691" s="31">
        <v>259</v>
      </c>
      <c r="C691" s="31" t="s">
        <v>3587</v>
      </c>
      <c r="D691" s="31" t="s">
        <v>715</v>
      </c>
      <c r="E691" s="31" t="s">
        <v>739</v>
      </c>
      <c r="F691" s="31" t="s">
        <v>661</v>
      </c>
      <c r="G691" s="31" t="s">
        <v>660</v>
      </c>
      <c r="H691" s="31" t="str">
        <f t="shared" si="164"/>
        <v>Pio XI</v>
      </c>
      <c r="K691" s="31" t="s">
        <v>829</v>
      </c>
      <c r="L691" s="31" t="str">
        <f t="shared" si="168"/>
        <v>Lettera</v>
      </c>
      <c r="M691" s="31" t="s">
        <v>568</v>
      </c>
      <c r="O691" s="31" t="s">
        <v>3584</v>
      </c>
      <c r="P691" s="31" t="s">
        <v>3590</v>
      </c>
      <c r="Q691" s="40">
        <v>8133</v>
      </c>
      <c r="R691" s="35">
        <f t="shared" si="161"/>
        <v>7</v>
      </c>
      <c r="S691" s="35"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5">
        <f t="shared" si="162"/>
        <v>1922</v>
      </c>
      <c r="U691" s="31"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6"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31"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31">
        <v>718</v>
      </c>
      <c r="Y691" s="31" t="str">
        <f t="shared" si="153"/>
        <v>['Pio XI', 'Lettera', 'al Reverendo Padre Giosuè Signori, Arcivescovo di Genova', 'pixi-let-pgs', '07 aprile 1922', '07/04/1922', '1922/04/07'],</v>
      </c>
      <c r="Z691" s="31" t="str">
        <f t="shared" si="154"/>
        <v>al Reverendo Padre Giosuè Signori, Arcivescovo di Genova (8133) | Pio XI</v>
      </c>
      <c r="AA691" s="31" t="str">
        <f t="shared" si="155"/>
        <v>Lettera al Reverendo Padre Giosuè Signori, Arcivescovo di Genova</v>
      </c>
      <c r="AB691" s="31" t="str">
        <f t="shared" si="156"/>
        <v>Lettera al Reverendo Padre Giosuè Signori, Arcivescovo di Genova</v>
      </c>
      <c r="AC691" s="31" t="str">
        <f t="shared" si="157"/>
        <v>Pio XI, Lettera al Reverendo Padre Giosuè Signori, Arcivescovo di Genova, 07 aprile 1922</v>
      </c>
      <c r="AD691" s="31" t="str">
        <f t="shared" si="158"/>
        <v>1922-04-07T08:00:00.000+02:00</v>
      </c>
      <c r="AE691" s="31" t="str">
        <f t="shared" si="166"/>
        <v>pixi-let-pgs</v>
      </c>
      <c r="AF691" s="31" t="str">
        <f t="shared" si="167"/>
        <v>Pio XI - Lettera - al Reverendo Padre Giosuè Signori, Arcivescovo di Genova</v>
      </c>
    </row>
    <row r="692" spans="2:32" s="31" customFormat="1" x14ac:dyDescent="0.2">
      <c r="B692" s="31">
        <v>259</v>
      </c>
      <c r="C692" s="31" t="s">
        <v>3588</v>
      </c>
      <c r="D692" s="31" t="s">
        <v>715</v>
      </c>
      <c r="E692" s="31" t="s">
        <v>739</v>
      </c>
      <c r="F692" s="31" t="s">
        <v>661</v>
      </c>
      <c r="G692" s="31" t="s">
        <v>660</v>
      </c>
      <c r="H692" s="31" t="str">
        <f t="shared" si="164"/>
        <v>Pio XI</v>
      </c>
      <c r="K692" s="31" t="s">
        <v>829</v>
      </c>
      <c r="L692" s="31" t="str">
        <f t="shared" si="168"/>
        <v>Lettera</v>
      </c>
      <c r="M692" s="31" t="s">
        <v>568</v>
      </c>
      <c r="O692" s="31" t="s">
        <v>3585</v>
      </c>
      <c r="P692" s="31" t="s">
        <v>3589</v>
      </c>
      <c r="Q692" s="40">
        <v>8103</v>
      </c>
      <c r="R692" s="35">
        <f t="shared" si="161"/>
        <v>8</v>
      </c>
      <c r="S692" s="35"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5">
        <f t="shared" si="162"/>
        <v>1922</v>
      </c>
      <c r="U692" s="31"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6"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31"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31">
        <v>719</v>
      </c>
      <c r="Y692" s="31" t="str">
        <f t="shared" si="153"/>
        <v>['Pio XI', 'Lettera', 'al Principe Camillo Francesco Massimo in occasione del terzo centenario della canonizzazione di san Filippo Neri', 'pixi-let-pcf', '08 marzo 1922', '08/03/1922', '1922/03/08'],</v>
      </c>
      <c r="Z692" s="31" t="str">
        <f t="shared" si="154"/>
        <v>al Principe Camillo Francesco Massimo in occasione del terzo centenario della canonizzazione di san Filippo Neri (8103) | Pio XI</v>
      </c>
      <c r="AA692" s="31" t="str">
        <f t="shared" si="155"/>
        <v>Lettera al Principe Camillo Francesco Massimo in occasione del terzo centenario della canonizzazione di san Filippo Neri</v>
      </c>
      <c r="AB692" s="31" t="str">
        <f t="shared" si="156"/>
        <v>Lettera al Principe Camillo Francesco Massimo in occasione del terzo centenario della canonizzazione di san Filippo Neri</v>
      </c>
      <c r="AC692" s="31" t="str">
        <f t="shared" si="157"/>
        <v>Pio XI, Lettera al Principe Camillo Francesco Massimo in occasione del terzo centenario della canonizzazione di san Filippo Neri, 08 marzo 1922</v>
      </c>
      <c r="AD692" s="31" t="str">
        <f t="shared" si="158"/>
        <v>1922-03-08T08:00:00.000+02:00</v>
      </c>
      <c r="AE692" s="31" t="str">
        <f t="shared" si="166"/>
        <v>pixi-let-pcf</v>
      </c>
      <c r="AF692" s="31" t="str">
        <f t="shared" si="167"/>
        <v>Pio XI - Lettera - al Principe Camillo Francesco Massimo in occasione del terzo centenario della canonizzazione di san Filippo Neri</v>
      </c>
    </row>
    <row r="693" spans="2:32" s="31" customFormat="1" x14ac:dyDescent="0.2">
      <c r="B693" s="31">
        <v>259</v>
      </c>
      <c r="C693" s="31" t="s">
        <v>3604</v>
      </c>
      <c r="D693" s="31" t="s">
        <v>715</v>
      </c>
      <c r="E693" s="31" t="s">
        <v>739</v>
      </c>
      <c r="F693" s="31" t="s">
        <v>661</v>
      </c>
      <c r="G693" s="31" t="s">
        <v>660</v>
      </c>
      <c r="H693" s="31" t="str">
        <f t="shared" si="164"/>
        <v>Pio XI</v>
      </c>
      <c r="I693" s="31" t="s">
        <v>603</v>
      </c>
      <c r="J693" s="31" t="s">
        <v>829</v>
      </c>
      <c r="K693" s="31" t="s">
        <v>694</v>
      </c>
      <c r="L693" s="31" t="str">
        <f t="shared" si="168"/>
        <v>Lettera Enciclica</v>
      </c>
      <c r="M693" s="31" t="s">
        <v>579</v>
      </c>
      <c r="O693" s="31" t="s">
        <v>141</v>
      </c>
      <c r="P693" s="31" t="s">
        <v>991</v>
      </c>
      <c r="Q693" s="40">
        <v>13787</v>
      </c>
      <c r="R693" s="35">
        <f t="shared" si="161"/>
        <v>29</v>
      </c>
      <c r="S693" s="35"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5">
        <f t="shared" si="162"/>
        <v>1937</v>
      </c>
      <c r="U693" s="31"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6"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31"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31">
        <v>720</v>
      </c>
      <c r="Y693" s="31" t="str">
        <f t="shared" si="153"/>
        <v>['Pio XI', 'Enciclica', 'Ingravescentibus Malis', 'pixi-enc-inm', '29 settembre 1937', '29/09/1937', '1937/09/29'],</v>
      </c>
      <c r="Z693" s="31" t="str">
        <f t="shared" si="154"/>
        <v>Ingravescentibus Malis (13787) | Pio XI</v>
      </c>
      <c r="AA693" s="31" t="str">
        <f t="shared" si="155"/>
        <v>Enciclica Ingravescentibus Malis</v>
      </c>
      <c r="AB693" s="31" t="str">
        <f t="shared" si="156"/>
        <v>Enciclica Ingravescentibus Malis</v>
      </c>
      <c r="AC693" s="31" t="str">
        <f t="shared" si="157"/>
        <v>Pio XI, Lettera Enciclica Ingravescentibus Malis, 29 settembre 1937</v>
      </c>
      <c r="AD693" s="31" t="str">
        <f t="shared" si="158"/>
        <v>1937-09-29T08:00:00.000+02:00</v>
      </c>
      <c r="AE693" s="31" t="str">
        <f t="shared" si="166"/>
        <v>pixi-enc-inm</v>
      </c>
      <c r="AF693" s="31" t="str">
        <f t="shared" si="167"/>
        <v>Pio XI - Lettera Enciclica - Ingravescentibus Malis</v>
      </c>
    </row>
    <row r="694" spans="2:32" s="31" customFormat="1" x14ac:dyDescent="0.2">
      <c r="B694" s="31">
        <v>259</v>
      </c>
      <c r="C694" s="31" t="s">
        <v>3605</v>
      </c>
      <c r="D694" s="31" t="s">
        <v>715</v>
      </c>
      <c r="E694" s="31" t="s">
        <v>739</v>
      </c>
      <c r="F694" s="31" t="s">
        <v>661</v>
      </c>
      <c r="G694" s="31" t="s">
        <v>660</v>
      </c>
      <c r="H694" s="31" t="str">
        <f t="shared" si="164"/>
        <v>Pio XI</v>
      </c>
      <c r="I694" s="31" t="s">
        <v>603</v>
      </c>
      <c r="J694" s="31" t="s">
        <v>829</v>
      </c>
      <c r="K694" s="31" t="s">
        <v>694</v>
      </c>
      <c r="L694" s="31" t="str">
        <f t="shared" ref="L694:L722" si="169">IF(J694&lt;&gt;"",_xlfn.CONCAT(J694 &amp; " " &amp; K694),K694)</f>
        <v>Lettera Enciclica</v>
      </c>
      <c r="M694" s="31" t="s">
        <v>579</v>
      </c>
      <c r="O694" s="31" t="s">
        <v>3624</v>
      </c>
      <c r="P694" s="31" t="s">
        <v>3635</v>
      </c>
      <c r="Q694" s="40">
        <v>13602</v>
      </c>
      <c r="R694" s="35">
        <f t="shared" si="161"/>
        <v>28</v>
      </c>
      <c r="S694" s="35"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5">
        <f t="shared" si="162"/>
        <v>1937</v>
      </c>
      <c r="U694" s="31"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6"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31"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31">
        <v>721</v>
      </c>
      <c r="Y694" s="31" t="str">
        <f t="shared" si="153"/>
        <v>['Pio XI', 'Enciclica', 'Firmissimam Constantiam', 'pixi-enc-fic', '28 marzo 1937', '28/03/1937', '1937/03/28'],</v>
      </c>
      <c r="Z694" s="31" t="str">
        <f t="shared" si="154"/>
        <v>Firmissimam Constantiam (13602) | Pio XI</v>
      </c>
      <c r="AA694" s="31" t="str">
        <f t="shared" si="155"/>
        <v>Enciclica Firmissimam Constantiam</v>
      </c>
      <c r="AB694" s="31" t="str">
        <f t="shared" si="156"/>
        <v>Enciclica Firmissimam Constantiam</v>
      </c>
      <c r="AC694" s="31" t="str">
        <f t="shared" si="157"/>
        <v>Pio XI, Lettera Enciclica Firmissimam Constantiam, 28 marzo 1937</v>
      </c>
      <c r="AD694" s="31" t="str">
        <f t="shared" si="158"/>
        <v>1937-03-28T08:00:00.000+02:00</v>
      </c>
      <c r="AE694" s="31" t="str">
        <f t="shared" si="166"/>
        <v>pixi-enc-fic</v>
      </c>
      <c r="AF694" s="31" t="str">
        <f t="shared" si="167"/>
        <v>Pio XI - Lettera Enciclica - Firmissimam Constantiam</v>
      </c>
    </row>
    <row r="695" spans="2:32" s="31" customFormat="1" x14ac:dyDescent="0.2">
      <c r="B695" s="31">
        <v>259</v>
      </c>
      <c r="C695" s="31" t="s">
        <v>3606</v>
      </c>
      <c r="D695" s="31" t="s">
        <v>715</v>
      </c>
      <c r="E695" s="31" t="s">
        <v>739</v>
      </c>
      <c r="F695" s="31" t="s">
        <v>661</v>
      </c>
      <c r="G695" s="31" t="s">
        <v>660</v>
      </c>
      <c r="H695" s="31" t="str">
        <f t="shared" si="164"/>
        <v>Pio XI</v>
      </c>
      <c r="I695" s="31" t="s">
        <v>603</v>
      </c>
      <c r="J695" s="31" t="s">
        <v>829</v>
      </c>
      <c r="K695" s="31" t="s">
        <v>694</v>
      </c>
      <c r="L695" s="31" t="str">
        <f t="shared" si="169"/>
        <v>Lettera Enciclica</v>
      </c>
      <c r="M695" s="31" t="s">
        <v>579</v>
      </c>
      <c r="O695" s="31" t="s">
        <v>139</v>
      </c>
      <c r="P695" s="31" t="s">
        <v>3636</v>
      </c>
      <c r="Q695" s="40">
        <v>13593</v>
      </c>
      <c r="R695" s="35">
        <f t="shared" si="161"/>
        <v>19</v>
      </c>
      <c r="S695" s="35"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5">
        <f t="shared" si="162"/>
        <v>1937</v>
      </c>
      <c r="U695" s="31"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6"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31"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31">
        <v>722</v>
      </c>
      <c r="Y695" s="31" t="str">
        <f t="shared" si="153"/>
        <v>['Pio XI', 'Enciclica', 'Divini Redemptoris', 'pixi-enc-dir', '19 marzo 1937', '19/03/1937', '1937/03/19'],</v>
      </c>
      <c r="Z695" s="31" t="str">
        <f t="shared" si="154"/>
        <v>Divini Redemptoris (13593) | Pio XI</v>
      </c>
      <c r="AA695" s="31" t="str">
        <f t="shared" si="155"/>
        <v>Enciclica Divini Redemptoris</v>
      </c>
      <c r="AB695" s="31" t="str">
        <f t="shared" si="156"/>
        <v>Enciclica Divini Redemptoris</v>
      </c>
      <c r="AC695" s="31" t="str">
        <f t="shared" si="157"/>
        <v>Pio XI, Lettera Enciclica Divini Redemptoris, 19 marzo 1937</v>
      </c>
      <c r="AD695" s="31" t="str">
        <f t="shared" si="158"/>
        <v>1937-03-19T08:00:00.000+02:00</v>
      </c>
      <c r="AE695" s="31" t="str">
        <f t="shared" si="166"/>
        <v>pixi-enc-dir</v>
      </c>
      <c r="AF695" s="31" t="str">
        <f t="shared" si="167"/>
        <v>Pio XI - Lettera Enciclica - Divini Redemptoris</v>
      </c>
    </row>
    <row r="696" spans="2:32" s="31" customFormat="1" x14ac:dyDescent="0.2">
      <c r="B696" s="31">
        <v>259</v>
      </c>
      <c r="C696" s="31" t="s">
        <v>3607</v>
      </c>
      <c r="D696" s="31" t="s">
        <v>715</v>
      </c>
      <c r="E696" s="31" t="s">
        <v>739</v>
      </c>
      <c r="F696" s="31" t="s">
        <v>661</v>
      </c>
      <c r="G696" s="31" t="s">
        <v>660</v>
      </c>
      <c r="H696" s="31" t="str">
        <f t="shared" si="164"/>
        <v>Pio XI</v>
      </c>
      <c r="I696" s="31" t="s">
        <v>603</v>
      </c>
      <c r="J696" s="31" t="s">
        <v>829</v>
      </c>
      <c r="K696" s="31" t="s">
        <v>694</v>
      </c>
      <c r="L696" s="31" t="str">
        <f t="shared" si="169"/>
        <v>Lettera Enciclica</v>
      </c>
      <c r="M696" s="31" t="s">
        <v>579</v>
      </c>
      <c r="O696" s="31" t="s">
        <v>138</v>
      </c>
      <c r="P696" s="31" t="s">
        <v>3637</v>
      </c>
      <c r="Q696" s="40">
        <v>13588</v>
      </c>
      <c r="R696" s="35">
        <f t="shared" si="161"/>
        <v>14</v>
      </c>
      <c r="S696" s="35"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5">
        <f t="shared" si="162"/>
        <v>1937</v>
      </c>
      <c r="U696" s="31"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6"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31"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31">
        <v>723</v>
      </c>
      <c r="Y696" s="31" t="str">
        <f t="shared" si="153"/>
        <v>['Pio XI', 'Enciclica', 'Mit brennender Sorge', 'pixi-enc-mbs', '14 marzo 1937', '14/03/1937', '1937/03/14'],</v>
      </c>
      <c r="Z696" s="31" t="str">
        <f t="shared" si="154"/>
        <v>Mit brennender Sorge (13588) | Pio XI</v>
      </c>
      <c r="AA696" s="31" t="str">
        <f t="shared" si="155"/>
        <v>Enciclica Mit brennender Sorge</v>
      </c>
      <c r="AB696" s="31" t="str">
        <f t="shared" si="156"/>
        <v>Enciclica Mit brennender Sorge</v>
      </c>
      <c r="AC696" s="31" t="str">
        <f t="shared" si="157"/>
        <v>Pio XI, Lettera Enciclica Mit brennender Sorge, 14 marzo 1937</v>
      </c>
      <c r="AD696" s="31" t="str">
        <f t="shared" si="158"/>
        <v>1937-03-14T08:00:00.000+02:00</v>
      </c>
      <c r="AE696" s="31" t="str">
        <f t="shared" si="166"/>
        <v>pixi-enc-mbs</v>
      </c>
      <c r="AF696" s="31" t="str">
        <f t="shared" si="167"/>
        <v>Pio XI - Lettera Enciclica - Mit brennender Sorge</v>
      </c>
    </row>
    <row r="697" spans="2:32" s="31" customFormat="1" x14ac:dyDescent="0.2">
      <c r="B697" s="31">
        <v>259</v>
      </c>
      <c r="C697" s="31" t="s">
        <v>3608</v>
      </c>
      <c r="D697" s="31" t="s">
        <v>715</v>
      </c>
      <c r="E697" s="31" t="s">
        <v>739</v>
      </c>
      <c r="F697" s="31" t="s">
        <v>661</v>
      </c>
      <c r="G697" s="31" t="s">
        <v>660</v>
      </c>
      <c r="H697" s="31" t="str">
        <f t="shared" si="164"/>
        <v>Pio XI</v>
      </c>
      <c r="I697" s="31" t="s">
        <v>603</v>
      </c>
      <c r="J697" s="31" t="s">
        <v>829</v>
      </c>
      <c r="K697" s="31" t="s">
        <v>694</v>
      </c>
      <c r="L697" s="31" t="str">
        <f t="shared" si="169"/>
        <v>Lettera Enciclica</v>
      </c>
      <c r="M697" s="31" t="s">
        <v>579</v>
      </c>
      <c r="O697" s="31" t="s">
        <v>137</v>
      </c>
      <c r="P697" s="31" t="s">
        <v>3638</v>
      </c>
      <c r="Q697" s="40">
        <v>13330</v>
      </c>
      <c r="R697" s="35">
        <f t="shared" si="161"/>
        <v>29</v>
      </c>
      <c r="S697" s="35"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5">
        <f t="shared" si="162"/>
        <v>1936</v>
      </c>
      <c r="U697" s="31"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6"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31"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31">
        <v>724</v>
      </c>
      <c r="Y697" s="31" t="str">
        <f t="shared" si="153"/>
        <v>['Pio XI', 'Enciclica', 'Vigilanti cura', 'pixi-enc-vic', '29 giugno 1936', '29/06/1936', '1936/06/29'],</v>
      </c>
      <c r="Z697" s="31" t="str">
        <f t="shared" si="154"/>
        <v>Vigilanti cura (13330) | Pio XI</v>
      </c>
      <c r="AA697" s="31" t="str">
        <f t="shared" si="155"/>
        <v>Enciclica Vigilanti cura</v>
      </c>
      <c r="AB697" s="31" t="str">
        <f t="shared" si="156"/>
        <v>Enciclica Vigilanti cura</v>
      </c>
      <c r="AC697" s="31" t="str">
        <f t="shared" si="157"/>
        <v>Pio XI, Lettera Enciclica Vigilanti cura, 29 giugno 1936</v>
      </c>
      <c r="AD697" s="31" t="str">
        <f t="shared" si="158"/>
        <v>1936-06-29T08:00:00.000+02:00</v>
      </c>
      <c r="AE697" s="31" t="str">
        <f t="shared" si="166"/>
        <v>pixi-enc-vic</v>
      </c>
      <c r="AF697" s="31" t="str">
        <f t="shared" si="167"/>
        <v>Pio XI - Lettera Enciclica - Vigilanti cura</v>
      </c>
    </row>
    <row r="698" spans="2:32" s="31" customFormat="1" x14ac:dyDescent="0.2">
      <c r="B698" s="31">
        <v>259</v>
      </c>
      <c r="C698" s="31" t="s">
        <v>3609</v>
      </c>
      <c r="D698" s="31" t="s">
        <v>715</v>
      </c>
      <c r="E698" s="31" t="s">
        <v>739</v>
      </c>
      <c r="F698" s="31" t="s">
        <v>661</v>
      </c>
      <c r="G698" s="31" t="s">
        <v>660</v>
      </c>
      <c r="H698" s="31" t="str">
        <f t="shared" si="164"/>
        <v>Pio XI</v>
      </c>
      <c r="I698" s="31" t="s">
        <v>603</v>
      </c>
      <c r="J698" s="31" t="s">
        <v>829</v>
      </c>
      <c r="K698" s="31" t="s">
        <v>694</v>
      </c>
      <c r="L698" s="31" t="str">
        <f t="shared" si="169"/>
        <v>Lettera Enciclica</v>
      </c>
      <c r="M698" s="31" t="s">
        <v>579</v>
      </c>
      <c r="O698" s="31" t="s">
        <v>136</v>
      </c>
      <c r="P698" s="31" t="s">
        <v>3639</v>
      </c>
      <c r="Q698" s="40">
        <v>13138</v>
      </c>
      <c r="R698" s="35">
        <f t="shared" si="161"/>
        <v>20</v>
      </c>
      <c r="S698" s="35"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5">
        <f t="shared" si="162"/>
        <v>1935</v>
      </c>
      <c r="U698" s="31"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6"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31"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31">
        <v>725</v>
      </c>
      <c r="Y698" s="31" t="str">
        <f t="shared" si="153"/>
        <v>['Pio XI', 'Enciclica', 'Ad Catholici Sacerdotii', 'pixi-enc-acs', '20 dicembre 1935', '20/12/1935', '1935/12/20'],</v>
      </c>
      <c r="Z698" s="31" t="str">
        <f t="shared" si="154"/>
        <v>Ad Catholici Sacerdotii (13138) | Pio XI</v>
      </c>
      <c r="AA698" s="31" t="str">
        <f t="shared" si="155"/>
        <v>Enciclica Ad Catholici Sacerdotii</v>
      </c>
      <c r="AB698" s="31" t="str">
        <f t="shared" si="156"/>
        <v>Enciclica Ad Catholici Sacerdotii</v>
      </c>
      <c r="AC698" s="31" t="str">
        <f t="shared" si="157"/>
        <v>Pio XI, Lettera Enciclica Ad Catholici Sacerdotii, 20 dicembre 1935</v>
      </c>
      <c r="AD698" s="31" t="str">
        <f t="shared" si="158"/>
        <v>1935-12-20T08:00:00.000+02:00</v>
      </c>
      <c r="AE698" s="31" t="str">
        <f t="shared" si="166"/>
        <v>pixi-enc-acs</v>
      </c>
      <c r="AF698" s="31" t="str">
        <f t="shared" si="167"/>
        <v>Pio XI - Lettera Enciclica - Ad Catholici Sacerdotii</v>
      </c>
    </row>
    <row r="699" spans="2:32" s="31" customFormat="1" x14ac:dyDescent="0.2">
      <c r="B699" s="31">
        <v>259</v>
      </c>
      <c r="C699" s="31" t="s">
        <v>3610</v>
      </c>
      <c r="D699" s="31" t="s">
        <v>715</v>
      </c>
      <c r="E699" s="31" t="s">
        <v>739</v>
      </c>
      <c r="F699" s="31" t="s">
        <v>661</v>
      </c>
      <c r="G699" s="31" t="s">
        <v>660</v>
      </c>
      <c r="H699" s="31" t="str">
        <f t="shared" si="164"/>
        <v>Pio XI</v>
      </c>
      <c r="I699" s="31" t="s">
        <v>603</v>
      </c>
      <c r="J699" s="31" t="s">
        <v>829</v>
      </c>
      <c r="K699" s="31" t="s">
        <v>694</v>
      </c>
      <c r="L699" s="31" t="str">
        <f t="shared" si="169"/>
        <v>Lettera Enciclica</v>
      </c>
      <c r="M699" s="31" t="s">
        <v>579</v>
      </c>
      <c r="O699" s="31" t="s">
        <v>135</v>
      </c>
      <c r="P699" s="31" t="s">
        <v>3640</v>
      </c>
      <c r="Q699" s="40">
        <v>12208</v>
      </c>
      <c r="R699" s="35">
        <f t="shared" si="161"/>
        <v>3</v>
      </c>
      <c r="S699" s="35"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5">
        <f t="shared" si="162"/>
        <v>1933</v>
      </c>
      <c r="U699" s="31"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6"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31"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31">
        <v>726</v>
      </c>
      <c r="Y699" s="31" t="str">
        <f t="shared" si="153"/>
        <v>['Pio XI', 'Enciclica', 'Dilectissima Nobis', 'pixi-enc-din', '03 giugno 1933', '03/06/1933', '1933/06/03'],</v>
      </c>
      <c r="Z699" s="31" t="str">
        <f t="shared" si="154"/>
        <v>Dilectissima Nobis (12208) | Pio XI</v>
      </c>
      <c r="AA699" s="31" t="str">
        <f t="shared" si="155"/>
        <v>Enciclica Dilectissima Nobis</v>
      </c>
      <c r="AB699" s="31" t="str">
        <f t="shared" si="156"/>
        <v>Enciclica Dilectissima Nobis</v>
      </c>
      <c r="AC699" s="31" t="str">
        <f t="shared" si="157"/>
        <v>Pio XI, Lettera Enciclica Dilectissima Nobis, 03 giugno 1933</v>
      </c>
      <c r="AD699" s="31" t="str">
        <f t="shared" si="158"/>
        <v>1933-06-03T08:00:00.000+02:00</v>
      </c>
      <c r="AE699" s="31" t="str">
        <f t="shared" si="166"/>
        <v>pixi-enc-din</v>
      </c>
      <c r="AF699" s="31" t="str">
        <f t="shared" si="167"/>
        <v>Pio XI - Lettera Enciclica - Dilectissima Nobis</v>
      </c>
    </row>
    <row r="700" spans="2:32" s="31" customFormat="1" x14ac:dyDescent="0.2">
      <c r="B700" s="31">
        <v>259</v>
      </c>
      <c r="C700" s="31" t="s">
        <v>3611</v>
      </c>
      <c r="D700" s="31" t="s">
        <v>715</v>
      </c>
      <c r="E700" s="31" t="s">
        <v>739</v>
      </c>
      <c r="F700" s="31" t="s">
        <v>661</v>
      </c>
      <c r="G700" s="31" t="s">
        <v>660</v>
      </c>
      <c r="H700" s="31" t="str">
        <f t="shared" si="164"/>
        <v>Pio XI</v>
      </c>
      <c r="I700" s="31" t="s">
        <v>603</v>
      </c>
      <c r="J700" s="31" t="s">
        <v>829</v>
      </c>
      <c r="K700" s="31" t="s">
        <v>694</v>
      </c>
      <c r="L700" s="31" t="str">
        <f t="shared" si="169"/>
        <v>Lettera Enciclica</v>
      </c>
      <c r="M700" s="31" t="s">
        <v>579</v>
      </c>
      <c r="O700" s="31" t="s">
        <v>134</v>
      </c>
      <c r="P700" s="31" t="s">
        <v>3641</v>
      </c>
      <c r="Q700" s="40">
        <v>11961</v>
      </c>
      <c r="R700" s="35">
        <f t="shared" si="161"/>
        <v>29</v>
      </c>
      <c r="S700" s="35"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5">
        <f t="shared" si="162"/>
        <v>1932</v>
      </c>
      <c r="U700" s="31"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6"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31"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31">
        <v>727</v>
      </c>
      <c r="Y700" s="31" t="str">
        <f t="shared" si="153"/>
        <v>['Pio XI', 'Enciclica', 'Acerba Animi', 'pixi-enc-aca', '29 settembre 1932', '29/09/1932', '1932/09/29'],</v>
      </c>
      <c r="Z700" s="31" t="str">
        <f t="shared" si="154"/>
        <v>Acerba Animi (11961) | Pio XI</v>
      </c>
      <c r="AA700" s="31" t="str">
        <f t="shared" si="155"/>
        <v>Enciclica Acerba Animi</v>
      </c>
      <c r="AB700" s="31" t="str">
        <f t="shared" si="156"/>
        <v>Enciclica Acerba Animi</v>
      </c>
      <c r="AC700" s="31" t="str">
        <f t="shared" si="157"/>
        <v>Pio XI, Lettera Enciclica Acerba Animi, 29 settembre 1932</v>
      </c>
      <c r="AD700" s="31" t="str">
        <f t="shared" si="158"/>
        <v>1932-09-29T08:00:00.000+02:00</v>
      </c>
      <c r="AE700" s="31" t="str">
        <f t="shared" si="166"/>
        <v>pixi-enc-aca</v>
      </c>
      <c r="AF700" s="31" t="str">
        <f t="shared" si="167"/>
        <v>Pio XI - Lettera Enciclica - Acerba Animi</v>
      </c>
    </row>
    <row r="701" spans="2:32" s="31" customFormat="1" x14ac:dyDescent="0.2">
      <c r="B701" s="31">
        <v>259</v>
      </c>
      <c r="C701" s="31" t="s">
        <v>3612</v>
      </c>
      <c r="D701" s="31" t="s">
        <v>715</v>
      </c>
      <c r="E701" s="31" t="s">
        <v>739</v>
      </c>
      <c r="F701" s="31" t="s">
        <v>661</v>
      </c>
      <c r="G701" s="31" t="s">
        <v>660</v>
      </c>
      <c r="H701" s="31" t="str">
        <f t="shared" ref="H701:H722" si="170">_xlfn.CONCAT(D701 &amp; " " &amp; E701)</f>
        <v>Pio XI</v>
      </c>
      <c r="I701" s="31" t="s">
        <v>603</v>
      </c>
      <c r="J701" s="31" t="s">
        <v>829</v>
      </c>
      <c r="K701" s="31" t="s">
        <v>694</v>
      </c>
      <c r="L701" s="31" t="str">
        <f t="shared" si="169"/>
        <v>Lettera Enciclica</v>
      </c>
      <c r="M701" s="31" t="s">
        <v>579</v>
      </c>
      <c r="O701" s="31" t="s">
        <v>133</v>
      </c>
      <c r="P701" s="31" t="s">
        <v>3642</v>
      </c>
      <c r="Q701" s="40">
        <v>11812</v>
      </c>
      <c r="R701" s="35">
        <f t="shared" si="161"/>
        <v>3</v>
      </c>
      <c r="S701" s="35"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5">
        <f t="shared" si="162"/>
        <v>1932</v>
      </c>
      <c r="U701" s="31"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6"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31"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31">
        <v>728</v>
      </c>
      <c r="Y701" s="31" t="str">
        <f t="shared" si="153"/>
        <v>['Pio XI', 'Enciclica', 'Caritate Christi Compulsi', 'pixi-enc-ccc', '03 maggio 1932', '03/05/1932', '1932/05/03'],</v>
      </c>
      <c r="Z701" s="31" t="str">
        <f t="shared" si="154"/>
        <v>Caritate Christi Compulsi (11812) | Pio XI</v>
      </c>
      <c r="AA701" s="31" t="str">
        <f t="shared" si="155"/>
        <v>Enciclica Caritate Christi Compulsi</v>
      </c>
      <c r="AB701" s="31" t="str">
        <f t="shared" si="156"/>
        <v>Enciclica Caritate Christi Compulsi</v>
      </c>
      <c r="AC701" s="31" t="str">
        <f t="shared" si="157"/>
        <v>Pio XI, Lettera Enciclica Caritate Christi Compulsi, 03 maggio 1932</v>
      </c>
      <c r="AD701" s="31" t="str">
        <f t="shared" si="158"/>
        <v>1932-05-03T08:00:00.000+02:00</v>
      </c>
      <c r="AE701" s="31" t="str">
        <f t="shared" si="166"/>
        <v>pixi-enc-ccc</v>
      </c>
      <c r="AF701" s="31" t="str">
        <f t="shared" si="167"/>
        <v>Pio XI - Lettera Enciclica - Caritate Christi Compulsi</v>
      </c>
    </row>
    <row r="702" spans="2:32" s="31" customFormat="1" x14ac:dyDescent="0.2">
      <c r="B702" s="31">
        <v>259</v>
      </c>
      <c r="C702" s="31" t="s">
        <v>3613</v>
      </c>
      <c r="D702" s="31" t="s">
        <v>715</v>
      </c>
      <c r="E702" s="31" t="s">
        <v>739</v>
      </c>
      <c r="F702" s="31" t="s">
        <v>661</v>
      </c>
      <c r="G702" s="31" t="s">
        <v>660</v>
      </c>
      <c r="H702" s="31" t="str">
        <f t="shared" si="170"/>
        <v>Pio XI</v>
      </c>
      <c r="I702" s="31" t="s">
        <v>603</v>
      </c>
      <c r="J702" s="31" t="s">
        <v>829</v>
      </c>
      <c r="K702" s="31" t="s">
        <v>694</v>
      </c>
      <c r="L702" s="31" t="str">
        <f t="shared" si="169"/>
        <v>Lettera Enciclica</v>
      </c>
      <c r="M702" s="31" t="s">
        <v>579</v>
      </c>
      <c r="O702" s="31" t="s">
        <v>132</v>
      </c>
      <c r="P702" s="31" t="s">
        <v>3643</v>
      </c>
      <c r="Q702" s="40">
        <v>11682</v>
      </c>
      <c r="R702" s="35">
        <f t="shared" si="161"/>
        <v>25</v>
      </c>
      <c r="S702" s="35"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5">
        <f t="shared" si="162"/>
        <v>1931</v>
      </c>
      <c r="U702" s="31"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6"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31"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31">
        <v>729</v>
      </c>
      <c r="Y702" s="31" t="str">
        <f t="shared" si="153"/>
        <v>['Pio XI', 'Enciclica', 'Lux Veritatis', 'pixi-enc-luv', '25 dicembre 1931', '25/12/1931', '1931/12/25'],</v>
      </c>
      <c r="Z702" s="31" t="str">
        <f t="shared" si="154"/>
        <v>Lux Veritatis (11682) | Pio XI</v>
      </c>
      <c r="AA702" s="31" t="str">
        <f t="shared" si="155"/>
        <v>Enciclica Lux Veritatis</v>
      </c>
      <c r="AB702" s="31" t="str">
        <f t="shared" si="156"/>
        <v>Enciclica Lux Veritatis</v>
      </c>
      <c r="AC702" s="31" t="str">
        <f t="shared" si="157"/>
        <v>Pio XI, Lettera Enciclica Lux Veritatis, 25 dicembre 1931</v>
      </c>
      <c r="AD702" s="31" t="str">
        <f t="shared" si="158"/>
        <v>1931-12-25T08:00:00.000+02:00</v>
      </c>
      <c r="AE702" s="31" t="str">
        <f t="shared" si="166"/>
        <v>pixi-enc-luv</v>
      </c>
      <c r="AF702" s="31" t="str">
        <f t="shared" si="167"/>
        <v>Pio XI - Lettera Enciclica - Lux Veritatis</v>
      </c>
    </row>
    <row r="703" spans="2:32" s="31" customFormat="1" x14ac:dyDescent="0.2">
      <c r="B703" s="31">
        <v>259</v>
      </c>
      <c r="C703" s="31" t="s">
        <v>3614</v>
      </c>
      <c r="D703" s="31" t="s">
        <v>715</v>
      </c>
      <c r="E703" s="31" t="s">
        <v>739</v>
      </c>
      <c r="F703" s="31" t="s">
        <v>661</v>
      </c>
      <c r="G703" s="31" t="s">
        <v>660</v>
      </c>
      <c r="H703" s="31" t="str">
        <f t="shared" si="170"/>
        <v>Pio XI</v>
      </c>
      <c r="I703" s="31" t="s">
        <v>603</v>
      </c>
      <c r="J703" s="31" t="s">
        <v>829</v>
      </c>
      <c r="K703" s="31" t="s">
        <v>694</v>
      </c>
      <c r="L703" s="31" t="str">
        <f t="shared" si="169"/>
        <v>Lettera Enciclica</v>
      </c>
      <c r="M703" s="31" t="s">
        <v>579</v>
      </c>
      <c r="O703" s="31" t="s">
        <v>131</v>
      </c>
      <c r="P703" s="31" t="s">
        <v>3644</v>
      </c>
      <c r="Q703" s="40">
        <v>11598</v>
      </c>
      <c r="R703" s="35">
        <f t="shared" si="161"/>
        <v>2</v>
      </c>
      <c r="S703" s="35"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5">
        <f t="shared" si="162"/>
        <v>1931</v>
      </c>
      <c r="U703" s="31"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6"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31"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31">
        <v>730</v>
      </c>
      <c r="Y703" s="31" t="str">
        <f t="shared" si="153"/>
        <v>['Pio XI', 'Enciclica', 'Nova Impendet', 'pixi-enc-noi', '02 ottobre 1931', '02/10/1931', '1931/10/02'],</v>
      </c>
      <c r="Z703" s="31" t="str">
        <f t="shared" si="154"/>
        <v>Nova Impendet (11598) | Pio XI</v>
      </c>
      <c r="AA703" s="31" t="str">
        <f t="shared" si="155"/>
        <v>Enciclica Nova Impendet</v>
      </c>
      <c r="AB703" s="31" t="str">
        <f t="shared" si="156"/>
        <v>Enciclica Nova Impendet</v>
      </c>
      <c r="AC703" s="31" t="str">
        <f t="shared" si="157"/>
        <v>Pio XI, Lettera Enciclica Nova Impendet, 02 ottobre 1931</v>
      </c>
      <c r="AD703" s="31" t="str">
        <f t="shared" si="158"/>
        <v>1931-10-02T08:00:00.000+02:00</v>
      </c>
      <c r="AE703" s="31" t="str">
        <f t="shared" si="166"/>
        <v>pixi-enc-noi</v>
      </c>
      <c r="AF703" s="31" t="str">
        <f t="shared" si="167"/>
        <v>Pio XI - Lettera Enciclica - Nova Impendet</v>
      </c>
    </row>
    <row r="704" spans="2:32" s="31" customFormat="1" x14ac:dyDescent="0.2">
      <c r="B704" s="31">
        <v>259</v>
      </c>
      <c r="C704" s="31" t="s">
        <v>3615</v>
      </c>
      <c r="D704" s="31" t="s">
        <v>715</v>
      </c>
      <c r="E704" s="31" t="s">
        <v>739</v>
      </c>
      <c r="F704" s="31" t="s">
        <v>661</v>
      </c>
      <c r="G704" s="31" t="s">
        <v>660</v>
      </c>
      <c r="H704" s="31" t="str">
        <f t="shared" si="170"/>
        <v>Pio XI</v>
      </c>
      <c r="I704" s="31" t="s">
        <v>603</v>
      </c>
      <c r="J704" s="31" t="s">
        <v>829</v>
      </c>
      <c r="K704" s="31" t="s">
        <v>694</v>
      </c>
      <c r="L704" s="31" t="str">
        <f t="shared" si="169"/>
        <v>Lettera Enciclica</v>
      </c>
      <c r="M704" s="31" t="s">
        <v>579</v>
      </c>
      <c r="O704" s="31" t="s">
        <v>130</v>
      </c>
      <c r="P704" s="31" t="s">
        <v>3645</v>
      </c>
      <c r="Q704" s="40">
        <v>11503</v>
      </c>
      <c r="R704" s="35">
        <f t="shared" si="161"/>
        <v>29</v>
      </c>
      <c r="S704" s="35"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5">
        <f t="shared" si="162"/>
        <v>1931</v>
      </c>
      <c r="U704" s="31"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6"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31"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31">
        <v>731</v>
      </c>
      <c r="Y704" s="31" t="str">
        <f t="shared" si="153"/>
        <v>['Pio XI', 'Enciclica', 'Non Abbiamo Bisogno', 'pixi-enc-nab', '29 giugno 1931', '29/06/1931', '1931/06/29'],</v>
      </c>
      <c r="Z704" s="31" t="str">
        <f t="shared" si="154"/>
        <v>Non Abbiamo Bisogno (11503) | Pio XI</v>
      </c>
      <c r="AA704" s="31" t="str">
        <f t="shared" si="155"/>
        <v>Enciclica Non Abbiamo Bisogno</v>
      </c>
      <c r="AB704" s="31" t="str">
        <f t="shared" si="156"/>
        <v>Enciclica Non Abbiamo Bisogno</v>
      </c>
      <c r="AC704" s="31" t="str">
        <f t="shared" si="157"/>
        <v>Pio XI, Lettera Enciclica Non Abbiamo Bisogno, 29 giugno 1931</v>
      </c>
      <c r="AD704" s="31" t="str">
        <f t="shared" si="158"/>
        <v>1931-06-29T08:00:00.000+02:00</v>
      </c>
      <c r="AE704" s="31" t="str">
        <f t="shared" si="166"/>
        <v>pixi-enc-nab</v>
      </c>
      <c r="AF704" s="31" t="str">
        <f t="shared" si="167"/>
        <v>Pio XI - Lettera Enciclica - Non Abbiamo Bisogno</v>
      </c>
    </row>
    <row r="705" spans="2:32" s="31" customFormat="1" x14ac:dyDescent="0.2">
      <c r="B705" s="31">
        <v>259</v>
      </c>
      <c r="C705" s="31" t="s">
        <v>3616</v>
      </c>
      <c r="D705" s="31" t="s">
        <v>715</v>
      </c>
      <c r="E705" s="31" t="s">
        <v>739</v>
      </c>
      <c r="F705" s="31" t="s">
        <v>661</v>
      </c>
      <c r="G705" s="31" t="s">
        <v>660</v>
      </c>
      <c r="H705" s="31" t="str">
        <f t="shared" si="170"/>
        <v>Pio XI</v>
      </c>
      <c r="I705" s="31" t="s">
        <v>603</v>
      </c>
      <c r="J705" s="31" t="s">
        <v>829</v>
      </c>
      <c r="K705" s="31" t="s">
        <v>694</v>
      </c>
      <c r="L705" s="31" t="str">
        <f t="shared" si="169"/>
        <v>Lettera Enciclica</v>
      </c>
      <c r="M705" s="31" t="s">
        <v>579</v>
      </c>
      <c r="O705" s="31" t="s">
        <v>129</v>
      </c>
      <c r="P705" s="31" t="s">
        <v>1037</v>
      </c>
      <c r="Q705" s="40">
        <v>11458</v>
      </c>
      <c r="R705" s="35">
        <f t="shared" si="161"/>
        <v>15</v>
      </c>
      <c r="S705" s="35"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5">
        <f t="shared" si="162"/>
        <v>1931</v>
      </c>
      <c r="U705" s="31"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6"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31"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31">
        <v>732</v>
      </c>
      <c r="Y705" s="31" t="str">
        <f t="shared" si="153"/>
        <v>['Pio XI', 'Enciclica', 'Quadragesimo anno', 'pixi-enc-qua', '15 maggio 1931', '15/05/1931', '1931/05/15'],</v>
      </c>
      <c r="Z705" s="31" t="str">
        <f t="shared" si="154"/>
        <v>Quadragesimo anno (11458) | Pio XI</v>
      </c>
      <c r="AA705" s="31" t="str">
        <f t="shared" si="155"/>
        <v>Enciclica Quadragesimo anno</v>
      </c>
      <c r="AB705" s="31" t="str">
        <f t="shared" si="156"/>
        <v>Enciclica Quadragesimo anno</v>
      </c>
      <c r="AC705" s="31" t="str">
        <f t="shared" si="157"/>
        <v>Pio XI, Lettera Enciclica Quadragesimo anno, 15 maggio 1931</v>
      </c>
      <c r="AD705" s="31" t="str">
        <f t="shared" si="158"/>
        <v>1931-05-15T08:00:00.000+02:00</v>
      </c>
      <c r="AE705" s="31" t="str">
        <f t="shared" si="166"/>
        <v>pixi-enc-qua</v>
      </c>
      <c r="AF705" s="31" t="str">
        <f t="shared" si="167"/>
        <v>Pio XI - Lettera Enciclica - Quadragesimo anno</v>
      </c>
    </row>
    <row r="706" spans="2:32" s="31" customFormat="1" x14ac:dyDescent="0.2">
      <c r="B706" s="31">
        <v>259</v>
      </c>
      <c r="C706" s="31" t="s">
        <v>3617</v>
      </c>
      <c r="D706" s="31" t="s">
        <v>715</v>
      </c>
      <c r="E706" s="31" t="s">
        <v>739</v>
      </c>
      <c r="F706" s="31" t="s">
        <v>661</v>
      </c>
      <c r="G706" s="31" t="s">
        <v>660</v>
      </c>
      <c r="H706" s="31" t="str">
        <f t="shared" si="170"/>
        <v>Pio XI</v>
      </c>
      <c r="I706" s="31" t="s">
        <v>603</v>
      </c>
      <c r="J706" s="31" t="s">
        <v>829</v>
      </c>
      <c r="K706" s="31" t="s">
        <v>694</v>
      </c>
      <c r="L706" s="31" t="str">
        <f t="shared" si="169"/>
        <v>Lettera Enciclica</v>
      </c>
      <c r="M706" s="31" t="s">
        <v>579</v>
      </c>
      <c r="O706" s="31" t="s">
        <v>128</v>
      </c>
      <c r="P706" s="31" t="s">
        <v>3646</v>
      </c>
      <c r="Q706" s="40">
        <v>11323</v>
      </c>
      <c r="R706" s="35">
        <f t="shared" si="161"/>
        <v>31</v>
      </c>
      <c r="S706" s="35"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5">
        <f t="shared" si="162"/>
        <v>1930</v>
      </c>
      <c r="U706" s="31"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6"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31"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31">
        <v>733</v>
      </c>
      <c r="Y706" s="31" t="str">
        <f t="shared" ref="Y706:Y769" si="171">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31" t="str">
        <f t="shared" ref="Z706:Z769" si="172">_xlfn.CONCAT(O706 &amp; " (" &amp; Q706 &amp; ") | " &amp; D706 &amp; " " &amp; E706)</f>
        <v>Casti Connubii (11323) | Pio XI</v>
      </c>
      <c r="AA706" s="31" t="str">
        <f t="shared" ref="AA706:AA769" si="173">_xlfn.CONCAT(K706 &amp; " " &amp; O706)</f>
        <v>Enciclica Casti Connubii</v>
      </c>
      <c r="AB706" s="31" t="str">
        <f t="shared" ref="AB706:AB769" si="174">_xlfn.CONCAT(K706 &amp; " " &amp; O706)</f>
        <v>Enciclica Casti Connubii</v>
      </c>
      <c r="AC706" s="31" t="str">
        <f t="shared" ref="AC706:AC769" si="175">_xlfn.CONCAT(H706 &amp; ", " &amp; L706 &amp; " " &amp; O706 &amp; ", " &amp; LEFT(U706,2) &amp; " " &amp; TEXT(VALUE(MID(U706,4,2))*29,"mmmm") &amp; " " &amp; RIGHT(U706,4))</f>
        <v>Pio XI, Lettera Enciclica Casti Connubii, 31 dicembre 1930</v>
      </c>
      <c r="AD706" s="31" t="str">
        <f t="shared" ref="AD706:AD769" si="176">_xlfn.CONCAT(RIGHT(U706,4) &amp; "-" &amp; MID(U706,4,2) &amp; "-" &amp; LEFT(U706,2) &amp; "T08:00:00.000+02:00")</f>
        <v>1930-12-31T08:00:00.000+02:00</v>
      </c>
      <c r="AE706" s="31" t="str">
        <f t="shared" si="166"/>
        <v>pixi-enc-cac</v>
      </c>
      <c r="AF706" s="31" t="str">
        <f t="shared" si="167"/>
        <v>Pio XI - Lettera Enciclica - Casti Connubii</v>
      </c>
    </row>
    <row r="707" spans="2:32" s="31" customFormat="1" x14ac:dyDescent="0.2">
      <c r="B707" s="31">
        <v>259</v>
      </c>
      <c r="C707" s="31" t="s">
        <v>3618</v>
      </c>
      <c r="D707" s="31" t="s">
        <v>715</v>
      </c>
      <c r="E707" s="31" t="s">
        <v>739</v>
      </c>
      <c r="F707" s="31" t="s">
        <v>661</v>
      </c>
      <c r="G707" s="31" t="s">
        <v>660</v>
      </c>
      <c r="H707" s="31" t="str">
        <f t="shared" si="170"/>
        <v>Pio XI</v>
      </c>
      <c r="I707" s="31" t="s">
        <v>603</v>
      </c>
      <c r="J707" s="31" t="s">
        <v>829</v>
      </c>
      <c r="K707" s="31" t="s">
        <v>694</v>
      </c>
      <c r="L707" s="31" t="str">
        <f t="shared" si="169"/>
        <v>Lettera Enciclica</v>
      </c>
      <c r="M707" s="31" t="s">
        <v>579</v>
      </c>
      <c r="O707" s="31" t="s">
        <v>127</v>
      </c>
      <c r="P707" s="31" t="s">
        <v>3647</v>
      </c>
      <c r="Q707" s="40">
        <v>11068</v>
      </c>
      <c r="R707" s="35">
        <f t="shared" si="161"/>
        <v>20</v>
      </c>
      <c r="S707" s="35"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5">
        <f t="shared" si="162"/>
        <v>1930</v>
      </c>
      <c r="U707" s="31"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6"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31"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31">
        <v>734</v>
      </c>
      <c r="Y707" s="31" t="str">
        <f t="shared" si="171"/>
        <v>['Pio XI', 'Enciclica', 'Ad Salutem Humani', 'pixi-enc-ash', '20 aprile 1930', '20/04/1930', '1930/04/20'],</v>
      </c>
      <c r="Z707" s="31" t="str">
        <f t="shared" si="172"/>
        <v>Ad Salutem Humani (11068) | Pio XI</v>
      </c>
      <c r="AA707" s="31" t="str">
        <f t="shared" si="173"/>
        <v>Enciclica Ad Salutem Humani</v>
      </c>
      <c r="AB707" s="31" t="str">
        <f t="shared" si="174"/>
        <v>Enciclica Ad Salutem Humani</v>
      </c>
      <c r="AC707" s="31" t="str">
        <f t="shared" si="175"/>
        <v>Pio XI, Lettera Enciclica Ad Salutem Humani, 20 aprile 1930</v>
      </c>
      <c r="AD707" s="31" t="str">
        <f t="shared" si="176"/>
        <v>1930-04-20T08:00:00.000+02:00</v>
      </c>
      <c r="AE707" s="31" t="str">
        <f t="shared" si="166"/>
        <v>pixi-enc-ash</v>
      </c>
      <c r="AF707" s="31" t="str">
        <f t="shared" si="167"/>
        <v>Pio XI - Lettera Enciclica - Ad Salutem Humani</v>
      </c>
    </row>
    <row r="708" spans="2:32" s="31" customFormat="1" x14ac:dyDescent="0.2">
      <c r="B708" s="31">
        <v>259</v>
      </c>
      <c r="C708" s="31" t="s">
        <v>3619</v>
      </c>
      <c r="D708" s="31" t="s">
        <v>715</v>
      </c>
      <c r="E708" s="31" t="s">
        <v>739</v>
      </c>
      <c r="F708" s="31" t="s">
        <v>661</v>
      </c>
      <c r="G708" s="31" t="s">
        <v>660</v>
      </c>
      <c r="H708" s="31" t="str">
        <f t="shared" si="170"/>
        <v>Pio XI</v>
      </c>
      <c r="I708" s="31" t="s">
        <v>603</v>
      </c>
      <c r="J708" s="31" t="s">
        <v>829</v>
      </c>
      <c r="K708" s="31" t="s">
        <v>694</v>
      </c>
      <c r="L708" s="31" t="str">
        <f t="shared" si="169"/>
        <v>Lettera Enciclica</v>
      </c>
      <c r="M708" s="31" t="s">
        <v>579</v>
      </c>
      <c r="O708" s="31" t="s">
        <v>126</v>
      </c>
      <c r="P708" s="31" t="s">
        <v>601</v>
      </c>
      <c r="Q708" s="40">
        <v>10958</v>
      </c>
      <c r="R708" s="35">
        <f t="shared" si="161"/>
        <v>31</v>
      </c>
      <c r="S708" s="35"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5">
        <f t="shared" si="162"/>
        <v>1929</v>
      </c>
      <c r="U708" s="31"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6"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31"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31">
        <v>735</v>
      </c>
      <c r="Y708" s="31" t="str">
        <f t="shared" si="171"/>
        <v>['Pio XI', 'Enciclica', 'Divini Illius Magistri', 'pixi-enc-dim', '31 dicembre 1929', '31/12/1929', '1929/12/31'],</v>
      </c>
      <c r="Z708" s="31" t="str">
        <f t="shared" si="172"/>
        <v>Divini Illius Magistri (10958) | Pio XI</v>
      </c>
      <c r="AA708" s="31" t="str">
        <f t="shared" si="173"/>
        <v>Enciclica Divini Illius Magistri</v>
      </c>
      <c r="AB708" s="31" t="str">
        <f t="shared" si="174"/>
        <v>Enciclica Divini Illius Magistri</v>
      </c>
      <c r="AC708" s="31" t="str">
        <f t="shared" si="175"/>
        <v>Pio XI, Lettera Enciclica Divini Illius Magistri, 31 dicembre 1929</v>
      </c>
      <c r="AD708" s="31" t="str">
        <f t="shared" si="176"/>
        <v>1929-12-31T08:00:00.000+02:00</v>
      </c>
      <c r="AE708" s="31" t="str">
        <f t="shared" si="166"/>
        <v>pixi-enc-dim</v>
      </c>
      <c r="AF708" s="31" t="str">
        <f t="shared" si="167"/>
        <v>Pio XI - Lettera Enciclica - Divini Illius Magistri</v>
      </c>
    </row>
    <row r="709" spans="2:32" s="31" customFormat="1" x14ac:dyDescent="0.2">
      <c r="B709" s="31">
        <v>259</v>
      </c>
      <c r="C709" s="31" t="s">
        <v>3620</v>
      </c>
      <c r="D709" s="31" t="s">
        <v>715</v>
      </c>
      <c r="E709" s="31" t="s">
        <v>739</v>
      </c>
      <c r="F709" s="31" t="s">
        <v>661</v>
      </c>
      <c r="G709" s="31" t="s">
        <v>660</v>
      </c>
      <c r="H709" s="31" t="str">
        <f t="shared" si="170"/>
        <v>Pio XI</v>
      </c>
      <c r="I709" s="31" t="s">
        <v>603</v>
      </c>
      <c r="J709" s="31" t="s">
        <v>829</v>
      </c>
      <c r="K709" s="31" t="s">
        <v>694</v>
      </c>
      <c r="L709" s="31" t="str">
        <f t="shared" si="169"/>
        <v>Lettera Enciclica</v>
      </c>
      <c r="M709" s="31" t="s">
        <v>579</v>
      </c>
      <c r="O709" s="31" t="s">
        <v>125</v>
      </c>
      <c r="P709" s="31" t="s">
        <v>3648</v>
      </c>
      <c r="Q709" s="40">
        <v>10950</v>
      </c>
      <c r="R709" s="35">
        <f t="shared" si="161"/>
        <v>23</v>
      </c>
      <c r="S709" s="35"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5">
        <f t="shared" si="162"/>
        <v>1929</v>
      </c>
      <c r="U709" s="31"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6"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31"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31">
        <v>736</v>
      </c>
      <c r="Y709" s="31" t="str">
        <f t="shared" si="171"/>
        <v>['Pio XI', 'Enciclica', 'Quinquagesimo Ante Anno', 'pixi-enc-qaa', '23 dicembre 1929', '23/12/1929', '1929/12/23'],</v>
      </c>
      <c r="Z709" s="31" t="str">
        <f t="shared" si="172"/>
        <v>Quinquagesimo Ante Anno (10950) | Pio XI</v>
      </c>
      <c r="AA709" s="31" t="str">
        <f t="shared" si="173"/>
        <v>Enciclica Quinquagesimo Ante Anno</v>
      </c>
      <c r="AB709" s="31" t="str">
        <f t="shared" si="174"/>
        <v>Enciclica Quinquagesimo Ante Anno</v>
      </c>
      <c r="AC709" s="31" t="str">
        <f t="shared" si="175"/>
        <v>Pio XI, Lettera Enciclica Quinquagesimo Ante Anno, 23 dicembre 1929</v>
      </c>
      <c r="AD709" s="31" t="str">
        <f t="shared" si="176"/>
        <v>1929-12-23T08:00:00.000+02:00</v>
      </c>
      <c r="AE709" s="31" t="str">
        <f t="shared" si="166"/>
        <v>pixi-enc-qaa</v>
      </c>
      <c r="AF709" s="31" t="str">
        <f t="shared" si="167"/>
        <v>Pio XI - Lettera Enciclica - Quinquagesimo Ante Anno</v>
      </c>
    </row>
    <row r="710" spans="2:32" s="31" customFormat="1" x14ac:dyDescent="0.2">
      <c r="B710" s="31">
        <v>259</v>
      </c>
      <c r="C710" s="31" t="s">
        <v>3621</v>
      </c>
      <c r="D710" s="31" t="s">
        <v>715</v>
      </c>
      <c r="E710" s="31" t="s">
        <v>739</v>
      </c>
      <c r="F710" s="31" t="s">
        <v>661</v>
      </c>
      <c r="G710" s="31" t="s">
        <v>660</v>
      </c>
      <c r="H710" s="31" t="str">
        <f t="shared" si="170"/>
        <v>Pio XI</v>
      </c>
      <c r="I710" s="31" t="s">
        <v>603</v>
      </c>
      <c r="J710" s="31" t="s">
        <v>829</v>
      </c>
      <c r="K710" s="31" t="s">
        <v>694</v>
      </c>
      <c r="L710" s="31" t="str">
        <f t="shared" si="169"/>
        <v>Lettera Enciclica</v>
      </c>
      <c r="M710" s="31" t="s">
        <v>579</v>
      </c>
      <c r="O710" s="31" t="s">
        <v>124</v>
      </c>
      <c r="P710" s="31" t="s">
        <v>3649</v>
      </c>
      <c r="Q710" s="40">
        <v>10947</v>
      </c>
      <c r="R710" s="35">
        <f t="shared" si="161"/>
        <v>20</v>
      </c>
      <c r="S710" s="35"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5">
        <f t="shared" si="162"/>
        <v>1929</v>
      </c>
      <c r="U710" s="31"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6"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31"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31">
        <v>737</v>
      </c>
      <c r="Y710" s="31" t="str">
        <f t="shared" si="171"/>
        <v>['Pio XI', 'Enciclica', 'Mens Nostra', 'pixi-enc-men', '20 dicembre 1929', '20/12/1929', '1929/12/20'],</v>
      </c>
      <c r="Z710" s="31" t="str">
        <f t="shared" si="172"/>
        <v>Mens Nostra (10947) | Pio XI</v>
      </c>
      <c r="AA710" s="31" t="str">
        <f t="shared" si="173"/>
        <v>Enciclica Mens Nostra</v>
      </c>
      <c r="AB710" s="31" t="str">
        <f t="shared" si="174"/>
        <v>Enciclica Mens Nostra</v>
      </c>
      <c r="AC710" s="31" t="str">
        <f t="shared" si="175"/>
        <v>Pio XI, Lettera Enciclica Mens Nostra, 20 dicembre 1929</v>
      </c>
      <c r="AD710" s="31" t="str">
        <f t="shared" si="176"/>
        <v>1929-12-20T08:00:00.000+02:00</v>
      </c>
      <c r="AE710" s="31" t="str">
        <f t="shared" si="166"/>
        <v>pixi-enc-men</v>
      </c>
      <c r="AF710" s="31" t="str">
        <f t="shared" si="167"/>
        <v>Pio XI - Lettera Enciclica - Mens Nostra</v>
      </c>
    </row>
    <row r="711" spans="2:32" s="31" customFormat="1" x14ac:dyDescent="0.2">
      <c r="B711" s="31">
        <v>259</v>
      </c>
      <c r="C711" s="31" t="s">
        <v>3622</v>
      </c>
      <c r="D711" s="31" t="s">
        <v>715</v>
      </c>
      <c r="E711" s="31" t="s">
        <v>739</v>
      </c>
      <c r="F711" s="31" t="s">
        <v>661</v>
      </c>
      <c r="G711" s="31" t="s">
        <v>660</v>
      </c>
      <c r="H711" s="31" t="str">
        <f t="shared" si="170"/>
        <v>Pio XI</v>
      </c>
      <c r="I711" s="31" t="s">
        <v>603</v>
      </c>
      <c r="J711" s="31" t="s">
        <v>829</v>
      </c>
      <c r="K711" s="31" t="s">
        <v>694</v>
      </c>
      <c r="L711" s="31" t="str">
        <f t="shared" si="169"/>
        <v>Lettera Enciclica</v>
      </c>
      <c r="M711" s="31" t="s">
        <v>579</v>
      </c>
      <c r="O711" s="31" t="s">
        <v>123</v>
      </c>
      <c r="P711" s="31" t="s">
        <v>3650</v>
      </c>
      <c r="Q711" s="40">
        <v>10479</v>
      </c>
      <c r="R711" s="35">
        <f t="shared" si="161"/>
        <v>8</v>
      </c>
      <c r="S711" s="35"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5">
        <f t="shared" si="162"/>
        <v>1928</v>
      </c>
      <c r="U711" s="31"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6"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31"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31">
        <v>738</v>
      </c>
      <c r="Y711" s="31" t="str">
        <f t="shared" si="171"/>
        <v>['Pio XI', 'Enciclica', 'Rerum Orientalium', 'pixi-enc-reo', '08 settembre 1928', '08/09/1928', '1928/09/08'],</v>
      </c>
      <c r="Z711" s="31" t="str">
        <f t="shared" si="172"/>
        <v>Rerum Orientalium (10479) | Pio XI</v>
      </c>
      <c r="AA711" s="31" t="str">
        <f t="shared" si="173"/>
        <v>Enciclica Rerum Orientalium</v>
      </c>
      <c r="AB711" s="31" t="str">
        <f t="shared" si="174"/>
        <v>Enciclica Rerum Orientalium</v>
      </c>
      <c r="AC711" s="31" t="str">
        <f t="shared" si="175"/>
        <v>Pio XI, Lettera Enciclica Rerum Orientalium, 08 settembre 1928</v>
      </c>
      <c r="AD711" s="31" t="str">
        <f t="shared" si="176"/>
        <v>1928-09-08T08:00:00.000+02:00</v>
      </c>
      <c r="AE711" s="31" t="str">
        <f t="shared" si="166"/>
        <v>pixi-enc-reo</v>
      </c>
      <c r="AF711" s="31" t="str">
        <f t="shared" si="167"/>
        <v>Pio XI - Lettera Enciclica - Rerum Orientalium</v>
      </c>
    </row>
    <row r="712" spans="2:32" s="31" customFormat="1" x14ac:dyDescent="0.2">
      <c r="B712" s="31">
        <v>259</v>
      </c>
      <c r="C712" s="31" t="s">
        <v>3623</v>
      </c>
      <c r="D712" s="31" t="s">
        <v>715</v>
      </c>
      <c r="E712" s="31" t="s">
        <v>739</v>
      </c>
      <c r="F712" s="31" t="s">
        <v>661</v>
      </c>
      <c r="G712" s="31" t="s">
        <v>660</v>
      </c>
      <c r="H712" s="31" t="str">
        <f t="shared" si="170"/>
        <v>Pio XI</v>
      </c>
      <c r="I712" s="31" t="s">
        <v>603</v>
      </c>
      <c r="J712" s="31" t="s">
        <v>829</v>
      </c>
      <c r="K712" s="31" t="s">
        <v>694</v>
      </c>
      <c r="L712" s="31" t="str">
        <f t="shared" si="169"/>
        <v>Lettera Enciclica</v>
      </c>
      <c r="M712" s="31" t="s">
        <v>579</v>
      </c>
      <c r="O712" s="31" t="s">
        <v>122</v>
      </c>
      <c r="P712" s="31" t="s">
        <v>3017</v>
      </c>
      <c r="Q712" s="40">
        <v>10356</v>
      </c>
      <c r="R712" s="35">
        <f t="shared" si="161"/>
        <v>8</v>
      </c>
      <c r="S712" s="35"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5">
        <f t="shared" si="162"/>
        <v>1928</v>
      </c>
      <c r="U712" s="31"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6"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31"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31">
        <v>739</v>
      </c>
      <c r="Y712" s="31" t="str">
        <f t="shared" si="171"/>
        <v>['Pio XI', 'Enciclica', 'Miserentissimus Redemptor', 'pixi-enc-mir', '08 maggio 1928', '08/05/1928', '1928/05/08'],</v>
      </c>
      <c r="Z712" s="31" t="str">
        <f t="shared" si="172"/>
        <v>Miserentissimus Redemptor (10356) | Pio XI</v>
      </c>
      <c r="AA712" s="31" t="str">
        <f t="shared" si="173"/>
        <v>Enciclica Miserentissimus Redemptor</v>
      </c>
      <c r="AB712" s="31" t="str">
        <f t="shared" si="174"/>
        <v>Enciclica Miserentissimus Redemptor</v>
      </c>
      <c r="AC712" s="31" t="str">
        <f t="shared" si="175"/>
        <v>Pio XI, Lettera Enciclica Miserentissimus Redemptor, 08 maggio 1928</v>
      </c>
      <c r="AD712" s="31" t="str">
        <f t="shared" si="176"/>
        <v>1928-05-08T08:00:00.000+02:00</v>
      </c>
      <c r="AE712" s="31" t="str">
        <f t="shared" si="166"/>
        <v>pixi-enc-mir</v>
      </c>
      <c r="AF712" s="31" t="str">
        <f t="shared" si="167"/>
        <v>Pio XI - Lettera Enciclica - Miserentissimus Redemptor</v>
      </c>
    </row>
    <row r="713" spans="2:32" s="31" customFormat="1" x14ac:dyDescent="0.2">
      <c r="B713" s="31">
        <v>259</v>
      </c>
      <c r="C713" s="31" t="s">
        <v>3625</v>
      </c>
      <c r="D713" s="31" t="s">
        <v>715</v>
      </c>
      <c r="E713" s="31" t="s">
        <v>739</v>
      </c>
      <c r="F713" s="31" t="s">
        <v>661</v>
      </c>
      <c r="G713" s="31" t="s">
        <v>660</v>
      </c>
      <c r="H713" s="31" t="str">
        <f t="shared" si="170"/>
        <v>Pio XI</v>
      </c>
      <c r="I713" s="31" t="s">
        <v>603</v>
      </c>
      <c r="J713" s="31" t="s">
        <v>829</v>
      </c>
      <c r="K713" s="31" t="s">
        <v>694</v>
      </c>
      <c r="L713" s="31" t="str">
        <f t="shared" si="169"/>
        <v>Lettera Enciclica</v>
      </c>
      <c r="M713" s="31" t="s">
        <v>579</v>
      </c>
      <c r="O713" s="31" t="s">
        <v>121</v>
      </c>
      <c r="P713" s="31" t="s">
        <v>3651</v>
      </c>
      <c r="Q713" s="40">
        <v>10233</v>
      </c>
      <c r="R713" s="35">
        <f t="shared" si="161"/>
        <v>6</v>
      </c>
      <c r="S713" s="35"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5">
        <f t="shared" si="162"/>
        <v>1928</v>
      </c>
      <c r="U713" s="31"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6"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31"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31">
        <v>740</v>
      </c>
      <c r="Y713" s="31" t="str">
        <f t="shared" si="171"/>
        <v>['Pio XI', 'Enciclica', 'Mortalium Animos', 'pixi-enc-moa', '06 gennaio 1928', '06/01/1928', '1928/01/06'],</v>
      </c>
      <c r="Z713" s="31" t="str">
        <f t="shared" si="172"/>
        <v>Mortalium Animos (10233) | Pio XI</v>
      </c>
      <c r="AA713" s="31" t="str">
        <f t="shared" si="173"/>
        <v>Enciclica Mortalium Animos</v>
      </c>
      <c r="AB713" s="31" t="str">
        <f t="shared" si="174"/>
        <v>Enciclica Mortalium Animos</v>
      </c>
      <c r="AC713" s="31" t="str">
        <f t="shared" si="175"/>
        <v>Pio XI, Lettera Enciclica Mortalium Animos, 06 gennaio 1928</v>
      </c>
      <c r="AD713" s="31" t="str">
        <f t="shared" si="176"/>
        <v>1928-01-06T08:00:00.000+02:00</v>
      </c>
      <c r="AE713" s="31" t="str">
        <f t="shared" si="166"/>
        <v>pixi-enc-moa</v>
      </c>
      <c r="AF713" s="31" t="str">
        <f t="shared" si="167"/>
        <v>Pio XI - Lettera Enciclica - Mortalium Animos</v>
      </c>
    </row>
    <row r="714" spans="2:32" s="31" customFormat="1" x14ac:dyDescent="0.2">
      <c r="B714" s="31">
        <v>259</v>
      </c>
      <c r="C714" s="31" t="s">
        <v>3626</v>
      </c>
      <c r="D714" s="31" t="s">
        <v>715</v>
      </c>
      <c r="E714" s="31" t="s">
        <v>739</v>
      </c>
      <c r="F714" s="31" t="s">
        <v>661</v>
      </c>
      <c r="G714" s="31" t="s">
        <v>660</v>
      </c>
      <c r="H714" s="31" t="str">
        <f t="shared" si="170"/>
        <v>Pio XI</v>
      </c>
      <c r="I714" s="31" t="s">
        <v>603</v>
      </c>
      <c r="J714" s="31" t="s">
        <v>829</v>
      </c>
      <c r="K714" s="31" t="s">
        <v>694</v>
      </c>
      <c r="L714" s="31" t="str">
        <f t="shared" si="169"/>
        <v>Lettera Enciclica</v>
      </c>
      <c r="M714" s="31" t="s">
        <v>579</v>
      </c>
      <c r="O714" s="31" t="s">
        <v>120</v>
      </c>
      <c r="P714" s="31" t="s">
        <v>1004</v>
      </c>
      <c r="Q714" s="40">
        <v>9819</v>
      </c>
      <c r="R714" s="35">
        <f t="shared" si="161"/>
        <v>18</v>
      </c>
      <c r="S714" s="35"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5">
        <f t="shared" si="162"/>
        <v>1926</v>
      </c>
      <c r="U714" s="31"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6"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31"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31">
        <v>741</v>
      </c>
      <c r="Y714" s="31" t="str">
        <f t="shared" si="171"/>
        <v>['Pio XI', 'Enciclica', 'Iniquis Afflictisque', 'pixi-enc-ina', '18 novembre 1926', '18/11/1926', '1926/11/18'],</v>
      </c>
      <c r="Z714" s="31" t="str">
        <f t="shared" si="172"/>
        <v>Iniquis Afflictisque (9819) | Pio XI</v>
      </c>
      <c r="AA714" s="31" t="str">
        <f t="shared" si="173"/>
        <v>Enciclica Iniquis Afflictisque</v>
      </c>
      <c r="AB714" s="31" t="str">
        <f t="shared" si="174"/>
        <v>Enciclica Iniquis Afflictisque</v>
      </c>
      <c r="AC714" s="31" t="str">
        <f t="shared" si="175"/>
        <v>Pio XI, Lettera Enciclica Iniquis Afflictisque, 18 novembre 1926</v>
      </c>
      <c r="AD714" s="31" t="str">
        <f t="shared" si="176"/>
        <v>1926-11-18T08:00:00.000+02:00</v>
      </c>
      <c r="AE714" s="31" t="str">
        <f t="shared" si="166"/>
        <v>pixi-enc-ina</v>
      </c>
      <c r="AF714" s="31" t="str">
        <f t="shared" si="167"/>
        <v>Pio XI - Lettera Enciclica - Iniquis Afflictisque</v>
      </c>
    </row>
    <row r="715" spans="2:32" s="31" customFormat="1" x14ac:dyDescent="0.2">
      <c r="B715" s="31">
        <v>259</v>
      </c>
      <c r="C715" s="31" t="s">
        <v>3627</v>
      </c>
      <c r="D715" s="31" t="s">
        <v>715</v>
      </c>
      <c r="E715" s="31" t="s">
        <v>739</v>
      </c>
      <c r="F715" s="31" t="s">
        <v>661</v>
      </c>
      <c r="G715" s="31" t="s">
        <v>660</v>
      </c>
      <c r="H715" s="31" t="str">
        <f t="shared" si="170"/>
        <v>Pio XI</v>
      </c>
      <c r="I715" s="31" t="s">
        <v>603</v>
      </c>
      <c r="J715" s="31" t="s">
        <v>829</v>
      </c>
      <c r="K715" s="31" t="s">
        <v>694</v>
      </c>
      <c r="L715" s="31" t="str">
        <f t="shared" si="169"/>
        <v>Lettera Enciclica</v>
      </c>
      <c r="M715" s="31" t="s">
        <v>579</v>
      </c>
      <c r="O715" s="31" t="s">
        <v>119</v>
      </c>
      <c r="P715" s="31" t="s">
        <v>3652</v>
      </c>
      <c r="Q715" s="40">
        <v>9617</v>
      </c>
      <c r="R715" s="35">
        <f t="shared" si="161"/>
        <v>30</v>
      </c>
      <c r="S715" s="35"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5">
        <f t="shared" si="162"/>
        <v>1926</v>
      </c>
      <c r="U715" s="31"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6"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31"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31">
        <v>742</v>
      </c>
      <c r="Y715" s="31" t="str">
        <f t="shared" si="171"/>
        <v>['Pio XI', 'Enciclica', 'Rite Expiatis', 'pixi-enc-rie', '30 aprile 1926', '30/04/1926', '1926/04/30'],</v>
      </c>
      <c r="Z715" s="31" t="str">
        <f t="shared" si="172"/>
        <v>Rite Expiatis (9617) | Pio XI</v>
      </c>
      <c r="AA715" s="31" t="str">
        <f t="shared" si="173"/>
        <v>Enciclica Rite Expiatis</v>
      </c>
      <c r="AB715" s="31" t="str">
        <f t="shared" si="174"/>
        <v>Enciclica Rite Expiatis</v>
      </c>
      <c r="AC715" s="31" t="str">
        <f t="shared" si="175"/>
        <v>Pio XI, Lettera Enciclica Rite Expiatis, 30 aprile 1926</v>
      </c>
      <c r="AD715" s="31" t="str">
        <f t="shared" si="176"/>
        <v>1926-04-30T08:00:00.000+02:00</v>
      </c>
      <c r="AE715" s="31" t="str">
        <f t="shared" si="166"/>
        <v>pixi-enc-rie</v>
      </c>
      <c r="AF715" s="31" t="str">
        <f t="shared" si="167"/>
        <v>Pio XI - Lettera Enciclica - Rite Expiatis</v>
      </c>
    </row>
    <row r="716" spans="2:32" s="31" customFormat="1" x14ac:dyDescent="0.2">
      <c r="B716" s="31">
        <v>259</v>
      </c>
      <c r="C716" s="31" t="s">
        <v>3628</v>
      </c>
      <c r="D716" s="31" t="s">
        <v>715</v>
      </c>
      <c r="E716" s="31" t="s">
        <v>739</v>
      </c>
      <c r="F716" s="31" t="s">
        <v>661</v>
      </c>
      <c r="G716" s="31" t="s">
        <v>660</v>
      </c>
      <c r="H716" s="31" t="str">
        <f t="shared" si="170"/>
        <v>Pio XI</v>
      </c>
      <c r="I716" s="31" t="s">
        <v>603</v>
      </c>
      <c r="J716" s="31" t="s">
        <v>829</v>
      </c>
      <c r="K716" s="31" t="s">
        <v>694</v>
      </c>
      <c r="L716" s="31" t="str">
        <f t="shared" si="169"/>
        <v>Lettera Enciclica</v>
      </c>
      <c r="M716" s="31" t="s">
        <v>579</v>
      </c>
      <c r="O716" s="31" t="s">
        <v>118</v>
      </c>
      <c r="P716" s="31" t="s">
        <v>1008</v>
      </c>
      <c r="Q716" s="40">
        <v>9556</v>
      </c>
      <c r="R716" s="35">
        <f t="shared" si="161"/>
        <v>28</v>
      </c>
      <c r="S716" s="35"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5">
        <f t="shared" si="162"/>
        <v>1926</v>
      </c>
      <c r="U716" s="31"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6"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31"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31">
        <v>743</v>
      </c>
      <c r="Y716" s="31" t="str">
        <f t="shared" si="171"/>
        <v>['Pio XI', 'Enciclica', 'Rerum Ecclesiae', 'pixi-enc-ree', '28 febbraio 1926', '28/02/1926', '1926/02/28'],</v>
      </c>
      <c r="Z716" s="31" t="str">
        <f t="shared" si="172"/>
        <v>Rerum Ecclesiae (9556) | Pio XI</v>
      </c>
      <c r="AA716" s="31" t="str">
        <f t="shared" si="173"/>
        <v>Enciclica Rerum Ecclesiae</v>
      </c>
      <c r="AB716" s="31" t="str">
        <f t="shared" si="174"/>
        <v>Enciclica Rerum Ecclesiae</v>
      </c>
      <c r="AC716" s="31" t="str">
        <f t="shared" si="175"/>
        <v>Pio XI, Lettera Enciclica Rerum Ecclesiae, 28 febbraio 1926</v>
      </c>
      <c r="AD716" s="31" t="str">
        <f t="shared" si="176"/>
        <v>1926-02-28T08:00:00.000+02:00</v>
      </c>
      <c r="AE716" s="31" t="str">
        <f t="shared" si="166"/>
        <v>pixi-enc-ree</v>
      </c>
      <c r="AF716" s="31" t="str">
        <f t="shared" si="167"/>
        <v>Pio XI - Lettera Enciclica - Rerum Ecclesiae</v>
      </c>
    </row>
    <row r="717" spans="2:32" s="31" customFormat="1" x14ac:dyDescent="0.2">
      <c r="B717" s="31">
        <v>259</v>
      </c>
      <c r="C717" s="31" t="s">
        <v>3629</v>
      </c>
      <c r="D717" s="31" t="s">
        <v>715</v>
      </c>
      <c r="E717" s="31" t="s">
        <v>739</v>
      </c>
      <c r="F717" s="31" t="s">
        <v>661</v>
      </c>
      <c r="G717" s="31" t="s">
        <v>660</v>
      </c>
      <c r="H717" s="31" t="str">
        <f t="shared" si="170"/>
        <v>Pio XI</v>
      </c>
      <c r="I717" s="31" t="s">
        <v>603</v>
      </c>
      <c r="J717" s="31" t="s">
        <v>829</v>
      </c>
      <c r="K717" s="31" t="s">
        <v>694</v>
      </c>
      <c r="L717" s="31" t="str">
        <f t="shared" si="169"/>
        <v>Lettera Enciclica</v>
      </c>
      <c r="M717" s="31" t="s">
        <v>579</v>
      </c>
      <c r="O717" s="31" t="s">
        <v>117</v>
      </c>
      <c r="P717" s="31" t="s">
        <v>612</v>
      </c>
      <c r="Q717" s="40">
        <v>9477</v>
      </c>
      <c r="R717" s="35">
        <f t="shared" si="161"/>
        <v>11</v>
      </c>
      <c r="S717" s="35"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5">
        <f t="shared" si="162"/>
        <v>1925</v>
      </c>
      <c r="U717" s="31"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6"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31"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31">
        <v>744</v>
      </c>
      <c r="Y717" s="31" t="str">
        <f t="shared" si="171"/>
        <v>['Pio XI', 'Enciclica', 'Quas Primas', 'pixi-enc-qup', '11 dicembre 1925', '11/12/1925', '1925/12/11'],</v>
      </c>
      <c r="Z717" s="31" t="str">
        <f t="shared" si="172"/>
        <v>Quas Primas (9477) | Pio XI</v>
      </c>
      <c r="AA717" s="31" t="str">
        <f t="shared" si="173"/>
        <v>Enciclica Quas Primas</v>
      </c>
      <c r="AB717" s="31" t="str">
        <f t="shared" si="174"/>
        <v>Enciclica Quas Primas</v>
      </c>
      <c r="AC717" s="31" t="str">
        <f t="shared" si="175"/>
        <v>Pio XI, Lettera Enciclica Quas Primas, 11 dicembre 1925</v>
      </c>
      <c r="AD717" s="31" t="str">
        <f t="shared" si="176"/>
        <v>1925-12-11T08:00:00.000+02:00</v>
      </c>
      <c r="AE717" s="31" t="str">
        <f t="shared" si="166"/>
        <v>pixi-enc-qup</v>
      </c>
      <c r="AF717" s="31" t="str">
        <f t="shared" si="167"/>
        <v>Pio XI - Lettera Enciclica - Quas Primas</v>
      </c>
    </row>
    <row r="718" spans="2:32" s="31" customFormat="1" x14ac:dyDescent="0.2">
      <c r="B718" s="31">
        <v>259</v>
      </c>
      <c r="C718" s="31" t="s">
        <v>3630</v>
      </c>
      <c r="D718" s="31" t="s">
        <v>715</v>
      </c>
      <c r="E718" s="31" t="s">
        <v>739</v>
      </c>
      <c r="F718" s="31" t="s">
        <v>661</v>
      </c>
      <c r="G718" s="31" t="s">
        <v>660</v>
      </c>
      <c r="H718" s="31" t="str">
        <f t="shared" si="170"/>
        <v>Pio XI</v>
      </c>
      <c r="I718" s="31" t="s">
        <v>603</v>
      </c>
      <c r="J718" s="31" t="s">
        <v>829</v>
      </c>
      <c r="K718" s="31" t="s">
        <v>694</v>
      </c>
      <c r="L718" s="31" t="str">
        <f t="shared" si="169"/>
        <v>Lettera Enciclica</v>
      </c>
      <c r="M718" s="31" t="s">
        <v>579</v>
      </c>
      <c r="O718" s="31" t="s">
        <v>116</v>
      </c>
      <c r="P718" s="31" t="s">
        <v>3653</v>
      </c>
      <c r="Q718" s="40">
        <v>8784</v>
      </c>
      <c r="R718" s="35">
        <f t="shared" si="161"/>
        <v>18</v>
      </c>
      <c r="S718" s="35"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5">
        <f t="shared" si="162"/>
        <v>1924</v>
      </c>
      <c r="U718" s="31"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6"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31"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31">
        <v>745</v>
      </c>
      <c r="Y718" s="31" t="str">
        <f t="shared" si="171"/>
        <v>['Pio XI', 'Enciclica', 'Maximam Gravissimamque', 'pixi-enc-mag', '18 gennaio 1924', '18/01/1924', '1924/01/18'],</v>
      </c>
      <c r="Z718" s="31" t="str">
        <f t="shared" si="172"/>
        <v>Maximam Gravissimamque (8784) | Pio XI</v>
      </c>
      <c r="AA718" s="31" t="str">
        <f t="shared" si="173"/>
        <v>Enciclica Maximam Gravissimamque</v>
      </c>
      <c r="AB718" s="31" t="str">
        <f t="shared" si="174"/>
        <v>Enciclica Maximam Gravissimamque</v>
      </c>
      <c r="AC718" s="31" t="str">
        <f t="shared" si="175"/>
        <v>Pio XI, Lettera Enciclica Maximam Gravissimamque, 18 gennaio 1924</v>
      </c>
      <c r="AD718" s="31" t="str">
        <f t="shared" si="176"/>
        <v>1924-01-18T08:00:00.000+02:00</v>
      </c>
      <c r="AE718" s="31" t="str">
        <f t="shared" si="166"/>
        <v>pixi-enc-mag</v>
      </c>
      <c r="AF718" s="31" t="str">
        <f t="shared" si="167"/>
        <v>Pio XI - Lettera Enciclica - Maximam Gravissimamque</v>
      </c>
    </row>
    <row r="719" spans="2:32" s="31" customFormat="1" x14ac:dyDescent="0.2">
      <c r="B719" s="31">
        <v>259</v>
      </c>
      <c r="C719" s="31" t="s">
        <v>3631</v>
      </c>
      <c r="D719" s="31" t="s">
        <v>715</v>
      </c>
      <c r="E719" s="31" t="s">
        <v>739</v>
      </c>
      <c r="F719" s="31" t="s">
        <v>661</v>
      </c>
      <c r="G719" s="31" t="s">
        <v>660</v>
      </c>
      <c r="H719" s="31" t="str">
        <f t="shared" si="170"/>
        <v>Pio XI</v>
      </c>
      <c r="I719" s="31" t="s">
        <v>603</v>
      </c>
      <c r="J719" s="31" t="s">
        <v>829</v>
      </c>
      <c r="K719" s="31" t="s">
        <v>694</v>
      </c>
      <c r="L719" s="31" t="str">
        <f t="shared" si="169"/>
        <v>Lettera Enciclica</v>
      </c>
      <c r="M719" s="31" t="s">
        <v>579</v>
      </c>
      <c r="O719" s="31" t="s">
        <v>115</v>
      </c>
      <c r="P719" s="31" t="s">
        <v>1900</v>
      </c>
      <c r="Q719" s="40">
        <v>8717</v>
      </c>
      <c r="R719" s="35">
        <f t="shared" si="161"/>
        <v>12</v>
      </c>
      <c r="S719" s="35"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5">
        <f t="shared" si="162"/>
        <v>1923</v>
      </c>
      <c r="U719" s="31"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6"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31"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31">
        <v>746</v>
      </c>
      <c r="Y719" s="31" t="str">
        <f t="shared" si="171"/>
        <v>['Pio XI', 'Enciclica', 'Ecclesiam Dei', 'pixi-enc-ecd', '12 novembre 1923', '12/11/1923', '1923/11/12'],</v>
      </c>
      <c r="Z719" s="31" t="str">
        <f t="shared" si="172"/>
        <v>Ecclesiam Dei (8717) | Pio XI</v>
      </c>
      <c r="AA719" s="31" t="str">
        <f t="shared" si="173"/>
        <v>Enciclica Ecclesiam Dei</v>
      </c>
      <c r="AB719" s="31" t="str">
        <f t="shared" si="174"/>
        <v>Enciclica Ecclesiam Dei</v>
      </c>
      <c r="AC719" s="31" t="str">
        <f t="shared" si="175"/>
        <v>Pio XI, Lettera Enciclica Ecclesiam Dei, 12 novembre 1923</v>
      </c>
      <c r="AD719" s="31" t="str">
        <f t="shared" si="176"/>
        <v>1923-11-12T08:00:00.000+02:00</v>
      </c>
      <c r="AE719" s="31" t="str">
        <f t="shared" si="166"/>
        <v>pixi-enc-ecd</v>
      </c>
      <c r="AF719" s="31" t="str">
        <f t="shared" si="167"/>
        <v>Pio XI - Lettera Enciclica - Ecclesiam Dei</v>
      </c>
    </row>
    <row r="720" spans="2:32" s="31" customFormat="1" x14ac:dyDescent="0.2">
      <c r="B720" s="31">
        <v>259</v>
      </c>
      <c r="C720" s="31" t="s">
        <v>3632</v>
      </c>
      <c r="D720" s="31" t="s">
        <v>715</v>
      </c>
      <c r="E720" s="31" t="s">
        <v>739</v>
      </c>
      <c r="F720" s="31" t="s">
        <v>661</v>
      </c>
      <c r="G720" s="31" t="s">
        <v>660</v>
      </c>
      <c r="H720" s="31" t="str">
        <f t="shared" si="170"/>
        <v>Pio XI</v>
      </c>
      <c r="I720" s="31" t="s">
        <v>603</v>
      </c>
      <c r="J720" s="31" t="s">
        <v>829</v>
      </c>
      <c r="K720" s="31" t="s">
        <v>694</v>
      </c>
      <c r="L720" s="31" t="str">
        <f t="shared" si="169"/>
        <v>Lettera Enciclica</v>
      </c>
      <c r="M720" s="31" t="s">
        <v>579</v>
      </c>
      <c r="O720" s="31" t="s">
        <v>114</v>
      </c>
      <c r="P720" s="31" t="s">
        <v>3654</v>
      </c>
      <c r="Q720" s="40">
        <v>8581</v>
      </c>
      <c r="R720" s="35">
        <f t="shared" si="161"/>
        <v>29</v>
      </c>
      <c r="S720" s="35"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5">
        <f t="shared" si="162"/>
        <v>1923</v>
      </c>
      <c r="U720" s="31"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6"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31"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31">
        <v>747</v>
      </c>
      <c r="Y720" s="31" t="str">
        <f t="shared" si="171"/>
        <v>['Pio XI', 'Enciclica', 'Studiorum Ducem', 'pixi-enc-std', '29 giugno 1923', '29/06/1923', '1923/06/29'],</v>
      </c>
      <c r="Z720" s="31" t="str">
        <f t="shared" si="172"/>
        <v>Studiorum Ducem (8581) | Pio XI</v>
      </c>
      <c r="AA720" s="31" t="str">
        <f t="shared" si="173"/>
        <v>Enciclica Studiorum Ducem</v>
      </c>
      <c r="AB720" s="31" t="str">
        <f t="shared" si="174"/>
        <v>Enciclica Studiorum Ducem</v>
      </c>
      <c r="AC720" s="31" t="str">
        <f t="shared" si="175"/>
        <v>Pio XI, Lettera Enciclica Studiorum Ducem, 29 giugno 1923</v>
      </c>
      <c r="AD720" s="31" t="str">
        <f t="shared" si="176"/>
        <v>1923-06-29T08:00:00.000+02:00</v>
      </c>
      <c r="AE720" s="31" t="str">
        <f t="shared" si="166"/>
        <v>pixi-enc-std</v>
      </c>
      <c r="AF720" s="31" t="str">
        <f t="shared" si="167"/>
        <v>Pio XI - Lettera Enciclica - Studiorum Ducem</v>
      </c>
    </row>
    <row r="721" spans="2:32" s="31" customFormat="1" x14ac:dyDescent="0.2">
      <c r="B721" s="31">
        <v>259</v>
      </c>
      <c r="C721" s="31" t="s">
        <v>3633</v>
      </c>
      <c r="D721" s="31" t="s">
        <v>715</v>
      </c>
      <c r="E721" s="31" t="s">
        <v>739</v>
      </c>
      <c r="F721" s="31" t="s">
        <v>661</v>
      </c>
      <c r="G721" s="31" t="s">
        <v>660</v>
      </c>
      <c r="H721" s="31" t="str">
        <f t="shared" si="170"/>
        <v>Pio XI</v>
      </c>
      <c r="I721" s="31" t="s">
        <v>603</v>
      </c>
      <c r="J721" s="31" t="s">
        <v>829</v>
      </c>
      <c r="K721" s="31" t="s">
        <v>694</v>
      </c>
      <c r="L721" s="31" t="str">
        <f t="shared" si="169"/>
        <v>Lettera Enciclica</v>
      </c>
      <c r="M721" s="31" t="s">
        <v>579</v>
      </c>
      <c r="O721" s="31" t="s">
        <v>113</v>
      </c>
      <c r="P721" s="31" t="s">
        <v>3058</v>
      </c>
      <c r="Q721" s="40">
        <v>8427</v>
      </c>
      <c r="R721" s="35">
        <f t="shared" si="161"/>
        <v>26</v>
      </c>
      <c r="S721" s="35"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5">
        <f t="shared" si="162"/>
        <v>1923</v>
      </c>
      <c r="U721" s="31"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6"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31"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31">
        <v>748</v>
      </c>
      <c r="Y721" s="31" t="str">
        <f t="shared" si="171"/>
        <v>['Pio XI', 'Enciclica', 'Rerum Omnium Perturbationem', 'pixi-enc-rop', '26 gennaio 1923', '26/01/1923', '1923/01/26'],</v>
      </c>
      <c r="Z721" s="31" t="str">
        <f t="shared" si="172"/>
        <v>Rerum Omnium Perturbationem (8427) | Pio XI</v>
      </c>
      <c r="AA721" s="31" t="str">
        <f t="shared" si="173"/>
        <v>Enciclica Rerum Omnium Perturbationem</v>
      </c>
      <c r="AB721" s="31" t="str">
        <f t="shared" si="174"/>
        <v>Enciclica Rerum Omnium Perturbationem</v>
      </c>
      <c r="AC721" s="31" t="str">
        <f t="shared" si="175"/>
        <v>Pio XI, Lettera Enciclica Rerum Omnium Perturbationem, 26 gennaio 1923</v>
      </c>
      <c r="AD721" s="31" t="str">
        <f t="shared" si="176"/>
        <v>1923-01-26T08:00:00.000+02:00</v>
      </c>
      <c r="AE721" s="31" t="str">
        <f t="shared" si="166"/>
        <v>pixi-enc-rop</v>
      </c>
      <c r="AF721" s="31" t="str">
        <f t="shared" si="167"/>
        <v>Pio XI - Lettera Enciclica - Rerum Omnium Perturbationem</v>
      </c>
    </row>
    <row r="722" spans="2:32" s="31" customFormat="1" x14ac:dyDescent="0.2">
      <c r="B722" s="31">
        <v>259</v>
      </c>
      <c r="C722" s="31" t="s">
        <v>3634</v>
      </c>
      <c r="D722" s="31" t="s">
        <v>715</v>
      </c>
      <c r="E722" s="31" t="s">
        <v>739</v>
      </c>
      <c r="F722" s="31" t="s">
        <v>661</v>
      </c>
      <c r="G722" s="31" t="s">
        <v>660</v>
      </c>
      <c r="H722" s="31" t="str">
        <f t="shared" si="170"/>
        <v>Pio XI</v>
      </c>
      <c r="I722" s="31" t="s">
        <v>603</v>
      </c>
      <c r="J722" s="31" t="s">
        <v>829</v>
      </c>
      <c r="K722" s="31" t="s">
        <v>694</v>
      </c>
      <c r="L722" s="31" t="str">
        <f t="shared" si="169"/>
        <v>Lettera Enciclica</v>
      </c>
      <c r="M722" s="31" t="s">
        <v>579</v>
      </c>
      <c r="O722" s="31" t="s">
        <v>112</v>
      </c>
      <c r="P722" s="31" t="s">
        <v>3655</v>
      </c>
      <c r="Q722" s="40">
        <v>8393</v>
      </c>
      <c r="R722" s="35">
        <f t="shared" ref="R722:R785" si="177">IF(ISERROR(DAY(Q722)),TEXT((LEFT(Q722,2)),"00"),DAY(Q722))</f>
        <v>23</v>
      </c>
      <c r="S722" s="35"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5">
        <f t="shared" ref="T722:T785" si="178">IF(ISERROR(DAY(Q722)),VALUE(RIGHT(Q722,4)),YEAR(Q722))</f>
        <v>1922</v>
      </c>
      <c r="U722" s="31"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6"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31"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31">
        <v>749</v>
      </c>
      <c r="Y722" s="31" t="str">
        <f t="shared" si="171"/>
        <v>['Pio XI', 'Enciclica', 'Ubi Arcano Dei Consilio', 'pixi-enc-uad', '23 dicembre 1922', '23/12/1922', '1922/12/23'],</v>
      </c>
      <c r="Z722" s="31" t="str">
        <f t="shared" si="172"/>
        <v>Ubi Arcano Dei Consilio (8393) | Pio XI</v>
      </c>
      <c r="AA722" s="31" t="str">
        <f t="shared" si="173"/>
        <v>Enciclica Ubi Arcano Dei Consilio</v>
      </c>
      <c r="AB722" s="31" t="str">
        <f t="shared" si="174"/>
        <v>Enciclica Ubi Arcano Dei Consilio</v>
      </c>
      <c r="AC722" s="31" t="str">
        <f t="shared" si="175"/>
        <v>Pio XI, Lettera Enciclica Ubi Arcano Dei Consilio, 23 dicembre 1922</v>
      </c>
      <c r="AD722" s="31" t="str">
        <f t="shared" si="176"/>
        <v>1922-12-23T08:00:00.000+02:00</v>
      </c>
      <c r="AE722" s="31" t="str">
        <f t="shared" si="166"/>
        <v>pixi-enc-uad</v>
      </c>
      <c r="AF722" s="31" t="str">
        <f t="shared" si="167"/>
        <v>Pio XI - Lettera Enciclica - Ubi Arcano Dei Consilio</v>
      </c>
    </row>
    <row r="723" spans="2:32" s="31" customFormat="1" x14ac:dyDescent="0.2">
      <c r="B723" s="31">
        <v>259</v>
      </c>
      <c r="C723" s="31" t="s">
        <v>3660</v>
      </c>
      <c r="D723" s="31" t="s">
        <v>715</v>
      </c>
      <c r="E723" s="31" t="s">
        <v>739</v>
      </c>
      <c r="F723" s="31" t="s">
        <v>661</v>
      </c>
      <c r="G723" s="31" t="s">
        <v>660</v>
      </c>
      <c r="H723" s="31" t="str">
        <f t="shared" ref="H723:H729" si="179">_xlfn.CONCAT(D723 &amp; " " &amp; E723)</f>
        <v>Pio XI</v>
      </c>
      <c r="K723" s="31" t="s">
        <v>830</v>
      </c>
      <c r="L723" s="31" t="str">
        <f t="shared" ref="L723:L741" si="180">IF(J723&lt;&gt;"",_xlfn.CONCAT(J723 &amp; " " &amp; K723),K723)</f>
        <v>Lettera Apostolica</v>
      </c>
      <c r="M723" s="31" t="s">
        <v>569</v>
      </c>
      <c r="O723" s="31" t="s">
        <v>3661</v>
      </c>
      <c r="P723" s="31" t="s">
        <v>3670</v>
      </c>
      <c r="Q723" s="40">
        <v>9661</v>
      </c>
      <c r="R723" s="35">
        <f t="shared" si="177"/>
        <v>13</v>
      </c>
      <c r="S723" s="35"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5">
        <f t="shared" si="178"/>
        <v>1926</v>
      </c>
      <c r="U723" s="31"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6"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31"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31">
        <v>750</v>
      </c>
      <c r="Y723" s="31" t="str">
        <f t="shared" si="171"/>
        <v>['Pio XI', 'Lettera Apostolica', 'Singulare Illud: sulla figura di Luigi Gonzaga, patrono della gioventù cattolica', 'pixi-lea-sii', '13 giugno 1926', '13/06/1926', '1926/06/13'],</v>
      </c>
      <c r="Z723" s="31" t="str">
        <f t="shared" si="172"/>
        <v>Singulare Illud: sulla figura di Luigi Gonzaga, patrono della gioventù cattolica (9661) | Pio XI</v>
      </c>
      <c r="AA723" s="31" t="str">
        <f t="shared" si="173"/>
        <v>Lettera Apostolica Singulare Illud: sulla figura di Luigi Gonzaga, patrono della gioventù cattolica</v>
      </c>
      <c r="AB723" s="31" t="str">
        <f t="shared" si="174"/>
        <v>Lettera Apostolica Singulare Illud: sulla figura di Luigi Gonzaga, patrono della gioventù cattolica</v>
      </c>
      <c r="AC723" s="31" t="str">
        <f t="shared" si="175"/>
        <v>Pio XI, Lettera Apostolica Singulare Illud: sulla figura di Luigi Gonzaga, patrono della gioventù cattolica, 13 giugno 1926</v>
      </c>
      <c r="AD723" s="31" t="str">
        <f t="shared" si="176"/>
        <v>1926-06-13T08:00:00.000+02:00</v>
      </c>
      <c r="AE723" s="31" t="str">
        <f t="shared" si="166"/>
        <v>pixi-lea-sii</v>
      </c>
      <c r="AF723" s="31" t="str">
        <f t="shared" si="167"/>
        <v>Pio XI - Lettera Apostolica - Singulare Illud: sulla figura di Luigi Gonzaga, patrono della gioventù cattolica</v>
      </c>
    </row>
    <row r="724" spans="2:32" s="31" customFormat="1" x14ac:dyDescent="0.2">
      <c r="B724" s="31">
        <v>259</v>
      </c>
      <c r="C724" s="31" t="s">
        <v>3658</v>
      </c>
      <c r="D724" s="31" t="s">
        <v>715</v>
      </c>
      <c r="E724" s="31" t="s">
        <v>739</v>
      </c>
      <c r="F724" s="31" t="s">
        <v>661</v>
      </c>
      <c r="G724" s="31" t="s">
        <v>660</v>
      </c>
      <c r="H724" s="31" t="str">
        <f t="shared" si="179"/>
        <v>Pio XI</v>
      </c>
      <c r="K724" s="31" t="s">
        <v>830</v>
      </c>
      <c r="L724" s="31" t="str">
        <f t="shared" si="180"/>
        <v>Lettera Apostolica</v>
      </c>
      <c r="M724" s="31" t="s">
        <v>569</v>
      </c>
      <c r="O724" s="31" t="s">
        <v>3659</v>
      </c>
      <c r="P724" s="31" t="s">
        <v>3671</v>
      </c>
      <c r="Q724" s="40">
        <v>9530</v>
      </c>
      <c r="R724" s="35">
        <f t="shared" si="177"/>
        <v>2</v>
      </c>
      <c r="S724" s="35"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5">
        <f t="shared" si="178"/>
        <v>1926</v>
      </c>
      <c r="U724" s="31"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6"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31"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31">
        <v>751</v>
      </c>
      <c r="Y724" s="31" t="str">
        <f t="shared" si="171"/>
        <v>['Pio XI', 'Lettera Apostolica', 'Paterna Sane: ai Vescovi, al clero e ai fedeli messicani affinché rivendichino i diritti civili e i doveri comuni senza l'intervento dei partiti politici', 'pixi-lea-pas', '02 febbraio 1926', '02/02/1926', '1926/02/02'],</v>
      </c>
      <c r="Z724" s="31" t="str">
        <f t="shared" si="172"/>
        <v>Paterna Sane: ai Vescovi, al clero e ai fedeli messicani affinché rivendichino i diritti civili e i doveri comuni senza l'intervento dei partiti politici (9530) | Pio XI</v>
      </c>
      <c r="AA724" s="31" t="str">
        <f t="shared" si="173"/>
        <v>Lettera Apostolica Paterna Sane: ai Vescovi, al clero e ai fedeli messicani affinché rivendichino i diritti civili e i doveri comuni senza l'intervento dei partiti politici</v>
      </c>
      <c r="AB724" s="31" t="str">
        <f t="shared" si="174"/>
        <v>Lettera Apostolica Paterna Sane: ai Vescovi, al clero e ai fedeli messicani affinché rivendichino i diritti civili e i doveri comuni senza l'intervento dei partiti politici</v>
      </c>
      <c r="AC724" s="31" t="str">
        <f t="shared" si="175"/>
        <v>Pio XI, Lettera Apostolica Paterna Sane: ai Vescovi, al clero e ai fedeli messicani affinché rivendichino i diritti civili e i doveri comuni senza l'intervento dei partiti politici, 02 febbraio 1926</v>
      </c>
      <c r="AD724" s="31" t="str">
        <f t="shared" si="176"/>
        <v>1926-02-02T08:00:00.000+02:00</v>
      </c>
      <c r="AE724" s="31" t="str">
        <f t="shared" si="166"/>
        <v>pixi-lea-pas</v>
      </c>
      <c r="AF724" s="31" t="str">
        <f t="shared" si="167"/>
        <v>Pio XI - Lettera Apostolica - Paterna Sane: ai Vescovi, al clero e ai fedeli messicani affinché rivendichino i diritti civili e i doveri comuni senza l'intervento dei partiti politici</v>
      </c>
    </row>
    <row r="725" spans="2:32" s="31" customFormat="1" x14ac:dyDescent="0.2">
      <c r="B725" s="31">
        <v>259</v>
      </c>
      <c r="C725" s="31" t="s">
        <v>3656</v>
      </c>
      <c r="D725" s="31" t="s">
        <v>715</v>
      </c>
      <c r="E725" s="31" t="s">
        <v>739</v>
      </c>
      <c r="F725" s="31" t="s">
        <v>661</v>
      </c>
      <c r="G725" s="31" t="s">
        <v>660</v>
      </c>
      <c r="H725" s="31" t="str">
        <f t="shared" si="179"/>
        <v>Pio XI</v>
      </c>
      <c r="K725" s="31" t="s">
        <v>830</v>
      </c>
      <c r="L725" s="31" t="str">
        <f t="shared" si="180"/>
        <v>Lettera Apostolica</v>
      </c>
      <c r="M725" s="31" t="s">
        <v>569</v>
      </c>
      <c r="O725" s="31" t="s">
        <v>3657</v>
      </c>
      <c r="P725" s="31" t="s">
        <v>1667</v>
      </c>
      <c r="Q725" s="40">
        <v>8845</v>
      </c>
      <c r="R725" s="35">
        <f t="shared" si="177"/>
        <v>19</v>
      </c>
      <c r="S725" s="35"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5">
        <f t="shared" si="178"/>
        <v>1924</v>
      </c>
      <c r="U725" s="31"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6"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31"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31">
        <v>752</v>
      </c>
      <c r="Y725" s="31" t="str">
        <f t="shared" si="171"/>
        <v>['Pio XI', 'Lettera Apostolica', 'Unigenitus Dei: sui criteri cui deve ispirarsi la formazione del clero regolare', 'pixi-lea-und', '19 marzo 1924', '19/03/1924', '1924/03/19'],</v>
      </c>
      <c r="Z725" s="31" t="str">
        <f t="shared" si="172"/>
        <v>Unigenitus Dei: sui criteri cui deve ispirarsi la formazione del clero regolare (8845) | Pio XI</v>
      </c>
      <c r="AA725" s="31" t="str">
        <f t="shared" si="173"/>
        <v>Lettera Apostolica Unigenitus Dei: sui criteri cui deve ispirarsi la formazione del clero regolare</v>
      </c>
      <c r="AB725" s="31" t="str">
        <f t="shared" si="174"/>
        <v>Lettera Apostolica Unigenitus Dei: sui criteri cui deve ispirarsi la formazione del clero regolare</v>
      </c>
      <c r="AC725" s="31" t="str">
        <f t="shared" si="175"/>
        <v>Pio XI, Lettera Apostolica Unigenitus Dei: sui criteri cui deve ispirarsi la formazione del clero regolare, 19 marzo 1924</v>
      </c>
      <c r="AD725" s="31" t="str">
        <f t="shared" si="176"/>
        <v>1924-03-19T08:00:00.000+02:00</v>
      </c>
      <c r="AE725" s="31" t="str">
        <f t="shared" si="166"/>
        <v>pixi-lea-und</v>
      </c>
      <c r="AF725" s="31" t="str">
        <f t="shared" si="167"/>
        <v>Pio XI - Lettera Apostolica - Unigenitus Dei: sui criteri cui deve ispirarsi la formazione del clero regolare</v>
      </c>
    </row>
    <row r="726" spans="2:32" s="31" customFormat="1" x14ac:dyDescent="0.2">
      <c r="B726" s="31">
        <v>259</v>
      </c>
      <c r="C726" s="31" t="s">
        <v>3668</v>
      </c>
      <c r="D726" s="31" t="s">
        <v>715</v>
      </c>
      <c r="E726" s="31" t="s">
        <v>739</v>
      </c>
      <c r="F726" s="31" t="s">
        <v>661</v>
      </c>
      <c r="G726" s="31" t="s">
        <v>660</v>
      </c>
      <c r="H726" s="31" t="str">
        <f t="shared" si="179"/>
        <v>Pio XI</v>
      </c>
      <c r="K726" s="31" t="s">
        <v>830</v>
      </c>
      <c r="L726" s="31" t="str">
        <f t="shared" si="180"/>
        <v>Lettera Apostolica</v>
      </c>
      <c r="M726" s="31" t="s">
        <v>569</v>
      </c>
      <c r="O726" s="31" t="s">
        <v>3669</v>
      </c>
      <c r="P726" s="31" t="s">
        <v>3649</v>
      </c>
      <c r="Q726" s="40">
        <v>8373</v>
      </c>
      <c r="R726" s="35">
        <f t="shared" si="177"/>
        <v>3</v>
      </c>
      <c r="S726" s="35"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5">
        <f t="shared" si="178"/>
        <v>1922</v>
      </c>
      <c r="U726" s="31"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6"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31"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31">
        <v>753</v>
      </c>
      <c r="Y726" s="31" t="str">
        <f t="shared" si="171"/>
        <v>['Pio XI', 'Lettera Apostolica', 'Meditantibus Nobis: in ricordo di Ignazio di Loyola e Francesco Saverio nel terzo centenario della loro canonizzazione', 'pixi-lea-men', '03 dicembre 1922', '03/12/1922', '1922/12/03'],</v>
      </c>
      <c r="Z726" s="31" t="str">
        <f t="shared" si="172"/>
        <v>Meditantibus Nobis: in ricordo di Ignazio di Loyola e Francesco Saverio nel terzo centenario della loro canonizzazione (8373) | Pio XI</v>
      </c>
      <c r="AA726" s="31" t="str">
        <f t="shared" si="173"/>
        <v>Lettera Apostolica Meditantibus Nobis: in ricordo di Ignazio di Loyola e Francesco Saverio nel terzo centenario della loro canonizzazione</v>
      </c>
      <c r="AB726" s="31" t="str">
        <f t="shared" si="174"/>
        <v>Lettera Apostolica Meditantibus Nobis: in ricordo di Ignazio di Loyola e Francesco Saverio nel terzo centenario della loro canonizzazione</v>
      </c>
      <c r="AC726" s="31" t="str">
        <f t="shared" si="175"/>
        <v>Pio XI, Lettera Apostolica Meditantibus Nobis: in ricordo di Ignazio di Loyola e Francesco Saverio nel terzo centenario della loro canonizzazione, 03 dicembre 1922</v>
      </c>
      <c r="AD726" s="31" t="str">
        <f t="shared" si="176"/>
        <v>1922-12-03T08:00:00.000+02:00</v>
      </c>
      <c r="AE726" s="31" t="str">
        <f t="shared" si="166"/>
        <v>pixi-lea-men</v>
      </c>
      <c r="AF726" s="31" t="str">
        <f t="shared" si="167"/>
        <v>Pio XI - Lettera Apostolica - Meditantibus Nobis: in ricordo di Ignazio di Loyola e Francesco Saverio nel terzo centenario della loro canonizzazione</v>
      </c>
    </row>
    <row r="727" spans="2:32" s="31" customFormat="1" x14ac:dyDescent="0.2">
      <c r="B727" s="31">
        <v>259</v>
      </c>
      <c r="C727" s="31" t="s">
        <v>3666</v>
      </c>
      <c r="D727" s="31" t="s">
        <v>715</v>
      </c>
      <c r="E727" s="31" t="s">
        <v>739</v>
      </c>
      <c r="F727" s="31" t="s">
        <v>661</v>
      </c>
      <c r="G727" s="31" t="s">
        <v>660</v>
      </c>
      <c r="H727" s="31" t="str">
        <f t="shared" si="179"/>
        <v>Pio XI</v>
      </c>
      <c r="K727" s="31" t="s">
        <v>830</v>
      </c>
      <c r="L727" s="31" t="str">
        <f t="shared" si="180"/>
        <v>Lettera Apostolica</v>
      </c>
      <c r="M727" s="31" t="s">
        <v>569</v>
      </c>
      <c r="O727" s="31" t="s">
        <v>3667</v>
      </c>
      <c r="P727" s="31" t="s">
        <v>3672</v>
      </c>
      <c r="Q727" s="40">
        <v>8337</v>
      </c>
      <c r="R727" s="35">
        <f t="shared" si="177"/>
        <v>28</v>
      </c>
      <c r="S727" s="35"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5">
        <f t="shared" si="178"/>
        <v>1922</v>
      </c>
      <c r="U727" s="31"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6"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31"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31">
        <v>754</v>
      </c>
      <c r="Y727" s="31" t="str">
        <f t="shared" si="171"/>
        <v>['Pio XI', 'Lettera Apostolica', 'Ora sono pochi: nel giorno della «Marcia su Roma»', 'pixi-lea-osp', '28 ottobre 1922', '28/10/1922', '1922/10/28'],</v>
      </c>
      <c r="Z727" s="31" t="str">
        <f t="shared" si="172"/>
        <v>Ora sono pochi: nel giorno della «Marcia su Roma» (8337) | Pio XI</v>
      </c>
      <c r="AA727" s="31" t="str">
        <f t="shared" si="173"/>
        <v>Lettera Apostolica Ora sono pochi: nel giorno della «Marcia su Roma»</v>
      </c>
      <c r="AB727" s="31" t="str">
        <f t="shared" si="174"/>
        <v>Lettera Apostolica Ora sono pochi: nel giorno della «Marcia su Roma»</v>
      </c>
      <c r="AC727" s="31" t="str">
        <f t="shared" si="175"/>
        <v>Pio XI, Lettera Apostolica Ora sono pochi: nel giorno della «Marcia su Roma», 28 ottobre 1922</v>
      </c>
      <c r="AD727" s="31" t="str">
        <f t="shared" si="176"/>
        <v>1922-10-28T08:00:00.000+02:00</v>
      </c>
      <c r="AE727" s="31" t="str">
        <f t="shared" si="166"/>
        <v>pixi-lea-osp</v>
      </c>
      <c r="AF727" s="31" t="str">
        <f t="shared" si="167"/>
        <v>Pio XI - Lettera Apostolica - Ora sono pochi: nel giorno della «Marcia su Roma»</v>
      </c>
    </row>
    <row r="728" spans="2:32" s="31" customFormat="1" x14ac:dyDescent="0.2">
      <c r="B728" s="31">
        <v>259</v>
      </c>
      <c r="C728" s="31" t="s">
        <v>3664</v>
      </c>
      <c r="D728" s="31" t="s">
        <v>715</v>
      </c>
      <c r="E728" s="31" t="s">
        <v>739</v>
      </c>
      <c r="F728" s="31" t="s">
        <v>661</v>
      </c>
      <c r="G728" s="31" t="s">
        <v>660</v>
      </c>
      <c r="H728" s="31" t="str">
        <f t="shared" si="179"/>
        <v>Pio XI</v>
      </c>
      <c r="K728" s="31" t="s">
        <v>830</v>
      </c>
      <c r="L728" s="31" t="str">
        <f t="shared" si="180"/>
        <v>Lettera Apostolica</v>
      </c>
      <c r="M728" s="31" t="s">
        <v>569</v>
      </c>
      <c r="O728" s="31" t="s">
        <v>3665</v>
      </c>
      <c r="P728" s="31" t="s">
        <v>1690</v>
      </c>
      <c r="Q728" s="40">
        <v>8254</v>
      </c>
      <c r="R728" s="35">
        <f t="shared" si="177"/>
        <v>6</v>
      </c>
      <c r="S728" s="35"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5">
        <f t="shared" si="178"/>
        <v>1922</v>
      </c>
      <c r="U728" s="31"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6"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31"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31">
        <v>755</v>
      </c>
      <c r="Y728" s="31" t="str">
        <f t="shared" si="171"/>
        <v>['Pio XI', 'Lettera Apostolica', 'I disordini: ai Vescovi italiani affinché venga ristabilita la pace', 'pixi-lea-idi', '06 agosto 1922', '06/08/1922', '1922/08/06'],</v>
      </c>
      <c r="Z728" s="31" t="str">
        <f t="shared" si="172"/>
        <v>I disordini: ai Vescovi italiani affinché venga ristabilita la pace (8254) | Pio XI</v>
      </c>
      <c r="AA728" s="31" t="str">
        <f t="shared" si="173"/>
        <v>Lettera Apostolica I disordini: ai Vescovi italiani affinché venga ristabilita la pace</v>
      </c>
      <c r="AB728" s="31" t="str">
        <f t="shared" si="174"/>
        <v>Lettera Apostolica I disordini: ai Vescovi italiani affinché venga ristabilita la pace</v>
      </c>
      <c r="AC728" s="31" t="str">
        <f t="shared" si="175"/>
        <v>Pio XI, Lettera Apostolica I disordini: ai Vescovi italiani affinché venga ristabilita la pace, 06 agosto 1922</v>
      </c>
      <c r="AD728" s="31" t="str">
        <f t="shared" si="176"/>
        <v>1922-08-06T08:00:00.000+02:00</v>
      </c>
      <c r="AE728" s="31" t="str">
        <f t="shared" si="166"/>
        <v>pixi-lea-idi</v>
      </c>
      <c r="AF728" s="31" t="str">
        <f t="shared" si="167"/>
        <v>Pio XI - Lettera Apostolica - I disordini: ai Vescovi italiani affinché venga ristabilita la pace</v>
      </c>
    </row>
    <row r="729" spans="2:32" s="31" customFormat="1" x14ac:dyDescent="0.2">
      <c r="B729" s="31">
        <v>259</v>
      </c>
      <c r="C729" s="31" t="s">
        <v>3662</v>
      </c>
      <c r="D729" s="31" t="s">
        <v>715</v>
      </c>
      <c r="E729" s="31" t="s">
        <v>739</v>
      </c>
      <c r="F729" s="31" t="s">
        <v>661</v>
      </c>
      <c r="G729" s="31" t="s">
        <v>660</v>
      </c>
      <c r="H729" s="31" t="str">
        <f t="shared" si="179"/>
        <v>Pio XI</v>
      </c>
      <c r="K729" s="31" t="s">
        <v>830</v>
      </c>
      <c r="L729" s="31" t="str">
        <f t="shared" si="180"/>
        <v>Lettera Apostolica</v>
      </c>
      <c r="M729" s="31" t="s">
        <v>569</v>
      </c>
      <c r="O729" s="31" t="s">
        <v>3663</v>
      </c>
      <c r="P729" s="31" t="s">
        <v>3673</v>
      </c>
      <c r="Q729" s="40">
        <v>8227</v>
      </c>
      <c r="R729" s="35">
        <f t="shared" si="177"/>
        <v>10</v>
      </c>
      <c r="S729" s="35"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5">
        <f t="shared" si="178"/>
        <v>1922</v>
      </c>
      <c r="U729" s="31"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6"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31"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31">
        <v>756</v>
      </c>
      <c r="Y729" s="31" t="str">
        <f t="shared" si="171"/>
        <v>['Pio XI', 'Lettera Apostolica', 'Annus Fere: ai Vescovi di tutto il mondo cattolico affinché si adoperino per far fronte alle esigenze dei popoli russi travolti dalla fame e dalla pestilenza', 'pixi-lea-anf', '10 luglio 1922', '10/07/1922', '1922/07/10'],</v>
      </c>
      <c r="Z729" s="31" t="str">
        <f t="shared" si="172"/>
        <v>Annus Fere: ai Vescovi di tutto il mondo cattolico affinché si adoperino per far fronte alle esigenze dei popoli russi travolti dalla fame e dalla pestilenza (8227) | Pio XI</v>
      </c>
      <c r="AA729" s="31" t="str">
        <f t="shared" si="173"/>
        <v>Lettera Apostolica Annus Fere: ai Vescovi di tutto il mondo cattolico affinché si adoperino per far fronte alle esigenze dei popoli russi travolti dalla fame e dalla pestilenza</v>
      </c>
      <c r="AB729" s="31" t="str">
        <f t="shared" si="174"/>
        <v>Lettera Apostolica Annus Fere: ai Vescovi di tutto il mondo cattolico affinché si adoperino per far fronte alle esigenze dei popoli russi travolti dalla fame e dalla pestilenza</v>
      </c>
      <c r="AC729" s="31" t="str">
        <f t="shared" si="175"/>
        <v>Pio XI, Lettera Apostolica Annus Fere: ai Vescovi di tutto il mondo cattolico affinché si adoperino per far fronte alle esigenze dei popoli russi travolti dalla fame e dalla pestilenza, 10 luglio 1922</v>
      </c>
      <c r="AD729" s="31" t="str">
        <f t="shared" si="176"/>
        <v>1922-07-10T08:00:00.000+02:00</v>
      </c>
      <c r="AE729" s="31" t="str">
        <f t="shared" si="166"/>
        <v>pixi-lea-anf</v>
      </c>
      <c r="AF729" s="31" t="str">
        <f t="shared" si="167"/>
        <v>Pio XI - Lettera Apostolica - Annus Fere: ai Vescovi di tutto il mondo cattolico affinché si adoperino per far fronte alle esigenze dei popoli russi travolti dalla fame e dalla pestilenza</v>
      </c>
    </row>
    <row r="730" spans="2:32" s="31" customFormat="1" x14ac:dyDescent="0.2">
      <c r="B730" s="31">
        <v>260</v>
      </c>
      <c r="C730" s="31" t="s">
        <v>3722</v>
      </c>
      <c r="D730" s="31" t="s">
        <v>715</v>
      </c>
      <c r="E730" s="31" t="s">
        <v>724</v>
      </c>
      <c r="F730" s="31" t="s">
        <v>663</v>
      </c>
      <c r="G730" s="31" t="s">
        <v>659</v>
      </c>
      <c r="H730" s="31" t="str">
        <f t="shared" si="164"/>
        <v>Pio XII</v>
      </c>
      <c r="K730" s="31" t="s">
        <v>824</v>
      </c>
      <c r="L730" s="31" t="str">
        <f t="shared" si="180"/>
        <v>Bolla</v>
      </c>
      <c r="M730" s="31" t="s">
        <v>564</v>
      </c>
      <c r="O730" s="31" t="s">
        <v>3721</v>
      </c>
      <c r="P730" s="31" t="s">
        <v>3723</v>
      </c>
      <c r="Q730" s="40">
        <v>18044</v>
      </c>
      <c r="R730" s="35">
        <f t="shared" si="177"/>
        <v>26</v>
      </c>
      <c r="S730" s="35"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5">
        <f t="shared" si="178"/>
        <v>1949</v>
      </c>
      <c r="U730" s="31"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6"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31"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31">
        <v>757</v>
      </c>
      <c r="Y730" s="31" t="str">
        <f t="shared" si="171"/>
        <v>['Pio XII', 'Bolla', 'Iubilaeum maximum -  di indizione del Giubileo Universale dell'Anno Santo 1950', 'pixii-bol-ium', '26 maggio 1949', '26/05/1949', '1949/05/26'],</v>
      </c>
      <c r="Z730" s="31" t="str">
        <f t="shared" si="172"/>
        <v>Iubilaeum maximum -  di indizione del Giubileo Universale dell'Anno Santo 1950 (18044) | Pio XII</v>
      </c>
      <c r="AA730" s="31" t="str">
        <f t="shared" si="173"/>
        <v>Bolla Iubilaeum maximum -  di indizione del Giubileo Universale dell'Anno Santo 1950</v>
      </c>
      <c r="AB730" s="31" t="str">
        <f t="shared" si="174"/>
        <v>Bolla Iubilaeum maximum -  di indizione del Giubileo Universale dell'Anno Santo 1950</v>
      </c>
      <c r="AC730" s="31" t="str">
        <f t="shared" si="175"/>
        <v>Pio XII, Bolla Iubilaeum maximum -  di indizione del Giubileo Universale dell'Anno Santo 1950, 26 maggio 1949</v>
      </c>
      <c r="AD730" s="31" t="str">
        <f t="shared" si="176"/>
        <v>1949-05-26T08:00:00.000+02:00</v>
      </c>
      <c r="AE730" s="31" t="str">
        <f t="shared" si="166"/>
        <v>pixii-bol-ium</v>
      </c>
      <c r="AF730" s="31" t="str">
        <f t="shared" si="167"/>
        <v>Pio XII - Bolla - Iubilaeum maximum -  di indizione del Giubileo Universale dell'Anno Santo 1950</v>
      </c>
    </row>
    <row r="731" spans="2:32" s="31" customFormat="1" x14ac:dyDescent="0.2">
      <c r="B731" s="31">
        <v>260</v>
      </c>
      <c r="C731" s="31" t="s">
        <v>3725</v>
      </c>
      <c r="D731" s="31" t="s">
        <v>715</v>
      </c>
      <c r="E731" s="31" t="s">
        <v>724</v>
      </c>
      <c r="F731" s="31" t="s">
        <v>663</v>
      </c>
      <c r="G731" s="31" t="s">
        <v>659</v>
      </c>
      <c r="H731" s="31" t="str">
        <f t="shared" ref="H731:H794" si="181">_xlfn.CONCAT(D731 &amp; " " &amp; E731)</f>
        <v>Pio XII</v>
      </c>
      <c r="K731" s="31" t="s">
        <v>825</v>
      </c>
      <c r="L731" s="31" t="str">
        <f t="shared" si="180"/>
        <v>Breve</v>
      </c>
      <c r="M731" s="31" t="s">
        <v>577</v>
      </c>
      <c r="O731" s="31" t="s">
        <v>3724</v>
      </c>
      <c r="P731" s="31" t="s">
        <v>3726</v>
      </c>
      <c r="Q731" s="40">
        <v>14414</v>
      </c>
      <c r="R731" s="35">
        <f t="shared" si="177"/>
        <v>18</v>
      </c>
      <c r="S731" s="35"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5">
        <f t="shared" si="178"/>
        <v>1939</v>
      </c>
      <c r="U731" s="31"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6"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31"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31">
        <v>758</v>
      </c>
      <c r="Y731" s="31" t="str">
        <f t="shared" si="171"/>
        <v>['Pio XII', 'Breve', 'Pontificio con il quale San Francesco d'Assisi e Santa Caterina da Siena vengono proclamati Patroni Primari d'Italia', 'pixii-bre-psf', '18 giugno 1939', '18/06/1939', '1939/06/18'],</v>
      </c>
      <c r="Z731" s="31" t="str">
        <f t="shared" si="172"/>
        <v>Pontificio con il quale San Francesco d'Assisi e Santa Caterina da Siena vengono proclamati Patroni Primari d'Italia (14414) | Pio XII</v>
      </c>
      <c r="AA731" s="31" t="str">
        <f t="shared" si="173"/>
        <v>Breve Pontificio con il quale San Francesco d'Assisi e Santa Caterina da Siena vengono proclamati Patroni Primari d'Italia</v>
      </c>
      <c r="AB731" s="31" t="str">
        <f t="shared" si="174"/>
        <v>Breve Pontificio con il quale San Francesco d'Assisi e Santa Caterina da Siena vengono proclamati Patroni Primari d'Italia</v>
      </c>
      <c r="AC731" s="31" t="str">
        <f t="shared" si="175"/>
        <v>Pio XII, Breve Pontificio con il quale San Francesco d'Assisi e Santa Caterina da Siena vengono proclamati Patroni Primari d'Italia, 18 giugno 1939</v>
      </c>
      <c r="AD731" s="31" t="str">
        <f t="shared" si="176"/>
        <v>1939-06-18T08:00:00.000+02:00</v>
      </c>
      <c r="AE731" s="31" t="str">
        <f t="shared" si="166"/>
        <v>pixii-bre-psf</v>
      </c>
      <c r="AF731" s="31" t="str">
        <f t="shared" si="167"/>
        <v>Pio XII - Breve - Pontificio con il quale San Francesco d'Assisi e Santa Caterina da Siena vengono proclamati Patroni Primari d'Italia</v>
      </c>
    </row>
    <row r="732" spans="2:32" s="31" customFormat="1" x14ac:dyDescent="0.2">
      <c r="B732" s="31">
        <v>260</v>
      </c>
      <c r="C732" s="31" t="s">
        <v>3735</v>
      </c>
      <c r="D732" s="31" t="s">
        <v>715</v>
      </c>
      <c r="E732" s="31" t="s">
        <v>724</v>
      </c>
      <c r="F732" s="31" t="s">
        <v>663</v>
      </c>
      <c r="G732" s="31" t="s">
        <v>659</v>
      </c>
      <c r="H732" s="31" t="str">
        <f t="shared" si="181"/>
        <v>Pio XII</v>
      </c>
      <c r="K732" s="31" t="s">
        <v>828</v>
      </c>
      <c r="L732" s="31" t="str">
        <f t="shared" si="180"/>
        <v>Esortazione Apostolica</v>
      </c>
      <c r="M732" s="31" t="s">
        <v>567</v>
      </c>
      <c r="O732" s="31" t="s">
        <v>3727</v>
      </c>
      <c r="P732" s="31" t="s">
        <v>3743</v>
      </c>
      <c r="Q732" s="40">
        <v>20261</v>
      </c>
      <c r="R732" s="35">
        <f t="shared" si="177"/>
        <v>21</v>
      </c>
      <c r="S732" s="35"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5">
        <f t="shared" si="178"/>
        <v>1955</v>
      </c>
      <c r="U732" s="31"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6"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31"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31">
        <v>759</v>
      </c>
      <c r="Y732" s="31" t="str">
        <f t="shared" si="171"/>
        <v>['Pio XII', 'Esortazione Apostolica', 'Il Film Ideale - Esortazioni ai rappresentanti del mondo cinematografico', 'pixii-esa-ifi', '21 giugno 1955', '21/06/1955', '1955/06/21'],</v>
      </c>
      <c r="Z732" s="31" t="str">
        <f t="shared" si="172"/>
        <v>Il Film Ideale - Esortazioni ai rappresentanti del mondo cinematografico (20261) | Pio XII</v>
      </c>
      <c r="AA732" s="31" t="str">
        <f t="shared" si="173"/>
        <v>Esortazione Apostolica Il Film Ideale - Esortazioni ai rappresentanti del mondo cinematografico</v>
      </c>
      <c r="AB732" s="31" t="str">
        <f t="shared" si="174"/>
        <v>Esortazione Apostolica Il Film Ideale - Esortazioni ai rappresentanti del mondo cinematografico</v>
      </c>
      <c r="AC732" s="31" t="str">
        <f t="shared" si="175"/>
        <v>Pio XII, Esortazione Apostolica Il Film Ideale - Esortazioni ai rappresentanti del mondo cinematografico, 21 giugno 1955</v>
      </c>
      <c r="AD732" s="31" t="str">
        <f t="shared" si="176"/>
        <v>1955-06-21T08:00:00.000+02:00</v>
      </c>
      <c r="AE732" s="31" t="str">
        <f t="shared" si="166"/>
        <v>pixii-esa-ifi</v>
      </c>
      <c r="AF732" s="31" t="str">
        <f t="shared" si="167"/>
        <v>Pio XII - Esortazione Apostolica - Il Film Ideale - Esortazioni ai rappresentanti del mondo cinematografico</v>
      </c>
    </row>
    <row r="733" spans="2:32" s="31" customFormat="1" x14ac:dyDescent="0.2">
      <c r="B733" s="31">
        <v>260</v>
      </c>
      <c r="C733" s="31" t="s">
        <v>3736</v>
      </c>
      <c r="D733" s="31" t="s">
        <v>715</v>
      </c>
      <c r="E733" s="31" t="s">
        <v>724</v>
      </c>
      <c r="F733" s="31" t="s">
        <v>663</v>
      </c>
      <c r="G733" s="31" t="s">
        <v>659</v>
      </c>
      <c r="H733" s="31" t="str">
        <f t="shared" si="181"/>
        <v>Pio XII</v>
      </c>
      <c r="K733" s="31" t="s">
        <v>828</v>
      </c>
      <c r="L733" s="31" t="str">
        <f t="shared" si="180"/>
        <v>Esortazione Apostolica</v>
      </c>
      <c r="M733" s="31" t="s">
        <v>567</v>
      </c>
      <c r="O733" s="31" t="s">
        <v>3728</v>
      </c>
      <c r="P733" s="31" t="s">
        <v>3744</v>
      </c>
      <c r="Q733" s="40">
        <v>19725</v>
      </c>
      <c r="R733" s="35">
        <f t="shared" si="177"/>
        <v>1</v>
      </c>
      <c r="S733" s="35"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5">
        <f t="shared" si="178"/>
        <v>1954</v>
      </c>
      <c r="U733" s="31"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6"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31"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31">
        <v>760</v>
      </c>
      <c r="Y733" s="31" t="str">
        <f t="shared" si="171"/>
        <v>['Pio XII', 'Esortazione Apostolica', 'I Rapidi Progressi: Esortazione agli Em.mi o Ecc.mi Vescovi d'Italia in occasione del primo giorno di trasmissioni della Televisione Italiana', 'pixii-esa-irp', '01 gennaio 1954', '01/01/1954', '1954/01/01'],</v>
      </c>
      <c r="Z733" s="31" t="str">
        <f t="shared" si="172"/>
        <v>I Rapidi Progressi: Esortazione agli Em.mi o Ecc.mi Vescovi d'Italia in occasione del primo giorno di trasmissioni della Televisione Italiana (19725) | Pio XII</v>
      </c>
      <c r="AA733" s="31" t="str">
        <f t="shared" si="173"/>
        <v>Esortazione Apostolica I Rapidi Progressi: Esortazione agli Em.mi o Ecc.mi Vescovi d'Italia in occasione del primo giorno di trasmissioni della Televisione Italiana</v>
      </c>
      <c r="AB733" s="31" t="str">
        <f t="shared" si="174"/>
        <v>Esortazione Apostolica I Rapidi Progressi: Esortazione agli Em.mi o Ecc.mi Vescovi d'Italia in occasione del primo giorno di trasmissioni della Televisione Italiana</v>
      </c>
      <c r="AC733" s="31" t="str">
        <f t="shared" si="175"/>
        <v>Pio XII, Esortazione Apostolica I Rapidi Progressi: Esortazione agli Em.mi o Ecc.mi Vescovi d'Italia in occasione del primo giorno di trasmissioni della Televisione Italiana, 01 gennaio 1954</v>
      </c>
      <c r="AD733" s="31" t="str">
        <f t="shared" si="176"/>
        <v>1954-01-01T08:00:00.000+02:00</v>
      </c>
      <c r="AE733" s="31" t="str">
        <f t="shared" si="166"/>
        <v>pixii-esa-irp</v>
      </c>
      <c r="AF733" s="31" t="str">
        <f t="shared" si="167"/>
        <v>Pio XII - Esortazione Apostolica - I Rapidi Progressi: Esortazione agli Em.mi o Ecc.mi Vescovi d'Italia in occasione del primo giorno di trasmissioni della Televisione Italiana</v>
      </c>
    </row>
    <row r="734" spans="2:32" s="31" customFormat="1" x14ac:dyDescent="0.2">
      <c r="B734" s="31">
        <v>260</v>
      </c>
      <c r="C734" s="31" t="s">
        <v>3737</v>
      </c>
      <c r="D734" s="31" t="s">
        <v>715</v>
      </c>
      <c r="E734" s="31" t="s">
        <v>724</v>
      </c>
      <c r="F734" s="31" t="s">
        <v>663</v>
      </c>
      <c r="G734" s="31" t="s">
        <v>659</v>
      </c>
      <c r="H734" s="31" t="str">
        <f t="shared" si="181"/>
        <v>Pio XII</v>
      </c>
      <c r="K734" s="31" t="s">
        <v>828</v>
      </c>
      <c r="L734" s="31" t="str">
        <f t="shared" si="180"/>
        <v>Esortazione Apostolica</v>
      </c>
      <c r="M734" s="31" t="s">
        <v>567</v>
      </c>
      <c r="O734" s="31" t="s">
        <v>3729</v>
      </c>
      <c r="P734" s="31" t="s">
        <v>3649</v>
      </c>
      <c r="Q734" s="40">
        <v>18529</v>
      </c>
      <c r="R734" s="35">
        <f t="shared" si="177"/>
        <v>23</v>
      </c>
      <c r="S734" s="35"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5">
        <f t="shared" si="178"/>
        <v>1950</v>
      </c>
      <c r="U734" s="31"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6"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31"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31">
        <v>761</v>
      </c>
      <c r="Y734" s="31" t="str">
        <f t="shared" si="171"/>
        <v>['Pio XII', 'Esortazione Apostolica', 'Menti Nostrae', 'pixii-esa-men', '23 settembre 1950', '23/09/1950', '1950/09/23'],</v>
      </c>
      <c r="Z734" s="31" t="str">
        <f t="shared" si="172"/>
        <v>Menti Nostrae (18529) | Pio XII</v>
      </c>
      <c r="AA734" s="31" t="str">
        <f t="shared" si="173"/>
        <v>Esortazione Apostolica Menti Nostrae</v>
      </c>
      <c r="AB734" s="31" t="str">
        <f t="shared" si="174"/>
        <v>Esortazione Apostolica Menti Nostrae</v>
      </c>
      <c r="AC734" s="31" t="str">
        <f t="shared" si="175"/>
        <v>Pio XII, Esortazione Apostolica Menti Nostrae, 23 settembre 1950</v>
      </c>
      <c r="AD734" s="31" t="str">
        <f t="shared" si="176"/>
        <v>1950-09-23T08:00:00.000+02:00</v>
      </c>
      <c r="AE734" s="31" t="str">
        <f t="shared" si="166"/>
        <v>pixii-esa-men</v>
      </c>
      <c r="AF734" s="31" t="str">
        <f t="shared" si="167"/>
        <v>Pio XII - Esortazione Apostolica - Menti Nostrae</v>
      </c>
    </row>
    <row r="735" spans="2:32" s="31" customFormat="1" x14ac:dyDescent="0.2">
      <c r="B735" s="31">
        <v>260</v>
      </c>
      <c r="C735" s="31" t="s">
        <v>3738</v>
      </c>
      <c r="D735" s="31" t="s">
        <v>715</v>
      </c>
      <c r="E735" s="31" t="s">
        <v>724</v>
      </c>
      <c r="F735" s="31" t="s">
        <v>663</v>
      </c>
      <c r="G735" s="31" t="s">
        <v>659</v>
      </c>
      <c r="H735" s="31" t="str">
        <f t="shared" si="181"/>
        <v>Pio XII</v>
      </c>
      <c r="K735" s="31" t="s">
        <v>828</v>
      </c>
      <c r="L735" s="31" t="str">
        <f t="shared" si="180"/>
        <v>Esortazione Apostolica</v>
      </c>
      <c r="M735" s="31" t="s">
        <v>567</v>
      </c>
      <c r="O735" s="31" t="s">
        <v>3730</v>
      </c>
      <c r="P735" s="31" t="s">
        <v>3745</v>
      </c>
      <c r="Q735" s="40">
        <v>18288</v>
      </c>
      <c r="R735" s="35">
        <f t="shared" si="177"/>
        <v>25</v>
      </c>
      <c r="S735" s="35"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5">
        <f t="shared" si="178"/>
        <v>1950</v>
      </c>
      <c r="U735" s="31"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6"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31"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31">
        <v>762</v>
      </c>
      <c r="Y735" s="31" t="str">
        <f t="shared" si="171"/>
        <v>['Pio XII', 'Esortazione Apostolica', 'I felici sviluppi - All'Episcopato d'Italia a favore della diffusione dell' «Azione Cattolica Italiana»', 'pixii-esa-ifs', '25 gennaio 1950', '25/01/1950', '1950/01/25'],</v>
      </c>
      <c r="Z735" s="31" t="str">
        <f t="shared" si="172"/>
        <v>I felici sviluppi - All'Episcopato d'Italia a favore della diffusione dell' «Azione Cattolica Italiana» (18288) | Pio XII</v>
      </c>
      <c r="AA735" s="31" t="str">
        <f t="shared" si="173"/>
        <v>Esortazione Apostolica I felici sviluppi - All'Episcopato d'Italia a favore della diffusione dell' «Azione Cattolica Italiana»</v>
      </c>
      <c r="AB735" s="31" t="str">
        <f t="shared" si="174"/>
        <v>Esortazione Apostolica I felici sviluppi - All'Episcopato d'Italia a favore della diffusione dell' «Azione Cattolica Italiana»</v>
      </c>
      <c r="AC735" s="31" t="str">
        <f t="shared" si="175"/>
        <v>Pio XII, Esortazione Apostolica I felici sviluppi - All'Episcopato d'Italia a favore della diffusione dell' «Azione Cattolica Italiana», 25 gennaio 1950</v>
      </c>
      <c r="AD735" s="31" t="str">
        <f t="shared" si="176"/>
        <v>1950-01-25T08:00:00.000+02:00</v>
      </c>
      <c r="AE735" s="31" t="str">
        <f t="shared" si="166"/>
        <v>pixii-esa-ifs</v>
      </c>
      <c r="AF735" s="31" t="str">
        <f t="shared" si="167"/>
        <v>Pio XII - Esortazione Apostolica - I felici sviluppi - All'Episcopato d'Italia a favore della diffusione dell' «Azione Cattolica Italiana»</v>
      </c>
    </row>
    <row r="736" spans="2:32" s="31" customFormat="1" x14ac:dyDescent="0.2">
      <c r="B736" s="31">
        <v>260</v>
      </c>
      <c r="C736" s="31" t="s">
        <v>3739</v>
      </c>
      <c r="D736" s="31" t="s">
        <v>715</v>
      </c>
      <c r="E736" s="31" t="s">
        <v>724</v>
      </c>
      <c r="F736" s="31" t="s">
        <v>663</v>
      </c>
      <c r="G736" s="31" t="s">
        <v>659</v>
      </c>
      <c r="H736" s="31" t="str">
        <f t="shared" si="181"/>
        <v>Pio XII</v>
      </c>
      <c r="K736" s="31" t="s">
        <v>828</v>
      </c>
      <c r="L736" s="31" t="str">
        <f t="shared" si="180"/>
        <v>Esortazione Apostolica</v>
      </c>
      <c r="M736" s="31" t="s">
        <v>567</v>
      </c>
      <c r="O736" s="31" t="s">
        <v>3731</v>
      </c>
      <c r="P736" s="31" t="s">
        <v>3746</v>
      </c>
      <c r="Q736" s="40">
        <v>18210</v>
      </c>
      <c r="R736" s="35">
        <f t="shared" si="177"/>
        <v>8</v>
      </c>
      <c r="S736" s="35"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5">
        <f t="shared" si="178"/>
        <v>1949</v>
      </c>
      <c r="U736" s="31"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6"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31"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31">
        <v>763</v>
      </c>
      <c r="Y736" s="31" t="str">
        <f t="shared" si="171"/>
        <v>['Pio XII', 'Esortazione Apostolica', 'Sollemnibus Documentis', 'pixii-esa-sod', '08 novembre 1949', '08/11/1949', '1949/11/08'],</v>
      </c>
      <c r="Z736" s="31" t="str">
        <f t="shared" si="172"/>
        <v>Sollemnibus Documentis (18210) | Pio XII</v>
      </c>
      <c r="AA736" s="31" t="str">
        <f t="shared" si="173"/>
        <v>Esortazione Apostolica Sollemnibus Documentis</v>
      </c>
      <c r="AB736" s="31" t="str">
        <f t="shared" si="174"/>
        <v>Esortazione Apostolica Sollemnibus Documentis</v>
      </c>
      <c r="AC736" s="31" t="str">
        <f t="shared" si="175"/>
        <v>Pio XII, Esortazione Apostolica Sollemnibus Documentis, 08 novembre 1949</v>
      </c>
      <c r="AD736" s="31" t="str">
        <f t="shared" si="176"/>
        <v>1949-11-08T08:00:00.000+02:00</v>
      </c>
      <c r="AE736" s="31" t="str">
        <f t="shared" si="166"/>
        <v>pixii-esa-sod</v>
      </c>
      <c r="AF736" s="31" t="str">
        <f t="shared" si="167"/>
        <v>Pio XII - Esortazione Apostolica - Sollemnibus Documentis</v>
      </c>
    </row>
    <row r="737" spans="2:32" s="31" customFormat="1" x14ac:dyDescent="0.2">
      <c r="B737" s="31">
        <v>260</v>
      </c>
      <c r="C737" s="31" t="s">
        <v>3740</v>
      </c>
      <c r="D737" s="31" t="s">
        <v>715</v>
      </c>
      <c r="E737" s="31" t="s">
        <v>724</v>
      </c>
      <c r="F737" s="31" t="s">
        <v>663</v>
      </c>
      <c r="G737" s="31" t="s">
        <v>659</v>
      </c>
      <c r="H737" s="31" t="str">
        <f t="shared" si="181"/>
        <v>Pio XII</v>
      </c>
      <c r="K737" s="31" t="s">
        <v>828</v>
      </c>
      <c r="L737" s="31" t="str">
        <f t="shared" si="180"/>
        <v>Esortazione Apostolica</v>
      </c>
      <c r="M737" s="31" t="s">
        <v>567</v>
      </c>
      <c r="O737" s="31" t="s">
        <v>3732</v>
      </c>
      <c r="P737" s="31" t="s">
        <v>3747</v>
      </c>
      <c r="Q737" s="40">
        <v>17940</v>
      </c>
      <c r="R737" s="35">
        <f t="shared" si="177"/>
        <v>11</v>
      </c>
      <c r="S737" s="35"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5">
        <f t="shared" si="178"/>
        <v>1949</v>
      </c>
      <c r="U737" s="31"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6"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31"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31">
        <v>764</v>
      </c>
      <c r="Y737" s="31" t="str">
        <f t="shared" si="171"/>
        <v>['Pio XII', 'Esortazione Apostolica', 'Conflictatio Bonorum', 'pixii-esa-cob', '11 febbraio 1949', '11/02/1949', '1949/02/11'],</v>
      </c>
      <c r="Z737" s="31" t="str">
        <f t="shared" si="172"/>
        <v>Conflictatio Bonorum (17940) | Pio XII</v>
      </c>
      <c r="AA737" s="31" t="str">
        <f t="shared" si="173"/>
        <v>Esortazione Apostolica Conflictatio Bonorum</v>
      </c>
      <c r="AB737" s="31" t="str">
        <f t="shared" si="174"/>
        <v>Esortazione Apostolica Conflictatio Bonorum</v>
      </c>
      <c r="AC737" s="31" t="str">
        <f t="shared" si="175"/>
        <v>Pio XII, Esortazione Apostolica Conflictatio Bonorum, 11 febbraio 1949</v>
      </c>
      <c r="AD737" s="31" t="str">
        <f t="shared" si="176"/>
        <v>1949-02-11T08:00:00.000+02:00</v>
      </c>
      <c r="AE737" s="31" t="str">
        <f t="shared" si="166"/>
        <v>pixii-esa-cob</v>
      </c>
      <c r="AF737" s="31" t="str">
        <f t="shared" si="167"/>
        <v>Pio XII - Esortazione Apostolica - Conflictatio Bonorum</v>
      </c>
    </row>
    <row r="738" spans="2:32" s="31" customFormat="1" x14ac:dyDescent="0.2">
      <c r="B738" s="31">
        <v>260</v>
      </c>
      <c r="C738" s="31" t="s">
        <v>3741</v>
      </c>
      <c r="D738" s="31" t="s">
        <v>715</v>
      </c>
      <c r="E738" s="31" t="s">
        <v>724</v>
      </c>
      <c r="F738" s="31" t="s">
        <v>663</v>
      </c>
      <c r="G738" s="31" t="s">
        <v>659</v>
      </c>
      <c r="H738" s="31" t="str">
        <f t="shared" si="181"/>
        <v>Pio XII</v>
      </c>
      <c r="K738" s="31" t="s">
        <v>828</v>
      </c>
      <c r="L738" s="31" t="str">
        <f t="shared" si="180"/>
        <v>Esortazione Apostolica</v>
      </c>
      <c r="M738" s="31" t="s">
        <v>567</v>
      </c>
      <c r="O738" s="31" t="s">
        <v>3733</v>
      </c>
      <c r="P738" s="31" t="s">
        <v>3748</v>
      </c>
      <c r="Q738" s="40">
        <v>17712</v>
      </c>
      <c r="R738" s="35">
        <f t="shared" si="177"/>
        <v>28</v>
      </c>
      <c r="S738" s="35"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5">
        <f t="shared" si="178"/>
        <v>1948</v>
      </c>
      <c r="U738" s="31"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6"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31"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31">
        <v>765</v>
      </c>
      <c r="Y738" s="31" t="str">
        <f t="shared" si="171"/>
        <v>['Pio XII', 'Esortazione Apostolica', 'In Auspicando Super', 'pixii-esa-ias', '28 giugno 1948', '28/06/1948', '1948/06/28'],</v>
      </c>
      <c r="Z738" s="31" t="str">
        <f t="shared" si="172"/>
        <v>In Auspicando Super (17712) | Pio XII</v>
      </c>
      <c r="AA738" s="31" t="str">
        <f t="shared" si="173"/>
        <v>Esortazione Apostolica In Auspicando Super</v>
      </c>
      <c r="AB738" s="31" t="str">
        <f t="shared" si="174"/>
        <v>Esortazione Apostolica In Auspicando Super</v>
      </c>
      <c r="AC738" s="31" t="str">
        <f t="shared" si="175"/>
        <v>Pio XII, Esortazione Apostolica In Auspicando Super, 28 giugno 1948</v>
      </c>
      <c r="AD738" s="31" t="str">
        <f t="shared" si="176"/>
        <v>1948-06-28T08:00:00.000+02:00</v>
      </c>
      <c r="AE738" s="31" t="str">
        <f t="shared" si="166"/>
        <v>pixii-esa-ias</v>
      </c>
      <c r="AF738" s="31" t="str">
        <f t="shared" si="167"/>
        <v>Pio XII - Esortazione Apostolica - In Auspicando Super</v>
      </c>
    </row>
    <row r="739" spans="2:32" s="31" customFormat="1" x14ac:dyDescent="0.2">
      <c r="B739" s="31">
        <v>260</v>
      </c>
      <c r="C739" s="31" t="s">
        <v>3742</v>
      </c>
      <c r="D739" s="31" t="s">
        <v>715</v>
      </c>
      <c r="E739" s="31" t="s">
        <v>724</v>
      </c>
      <c r="F739" s="31" t="s">
        <v>663</v>
      </c>
      <c r="G739" s="31" t="s">
        <v>659</v>
      </c>
      <c r="H739" s="31" t="str">
        <f t="shared" si="181"/>
        <v>Pio XII</v>
      </c>
      <c r="K739" s="31" t="s">
        <v>828</v>
      </c>
      <c r="L739" s="31" t="str">
        <f t="shared" si="180"/>
        <v>Esortazione Apostolica</v>
      </c>
      <c r="M739" s="31" t="s">
        <v>567</v>
      </c>
      <c r="O739" s="31" t="s">
        <v>3734</v>
      </c>
      <c r="P739" s="31" t="s">
        <v>3749</v>
      </c>
      <c r="Q739" s="40">
        <v>14587</v>
      </c>
      <c r="R739" s="35">
        <f t="shared" si="177"/>
        <v>8</v>
      </c>
      <c r="S739" s="35"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5">
        <f t="shared" si="178"/>
        <v>1939</v>
      </c>
      <c r="U739" s="31"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6"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31"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31">
        <v>766</v>
      </c>
      <c r="Y739" s="31" t="str">
        <f t="shared" si="171"/>
        <v>['Pio XII', 'Esortazione Apostolica', 'Asperis Commoti', 'pixii-esa-asc', '08 dicembre 1939', '08/12/1939', '1939/12/08'],</v>
      </c>
      <c r="Z739" s="31" t="str">
        <f t="shared" si="172"/>
        <v>Asperis Commoti (14587) | Pio XII</v>
      </c>
      <c r="AA739" s="31" t="str">
        <f t="shared" si="173"/>
        <v>Esortazione Apostolica Asperis Commoti</v>
      </c>
      <c r="AB739" s="31" t="str">
        <f t="shared" si="174"/>
        <v>Esortazione Apostolica Asperis Commoti</v>
      </c>
      <c r="AC739" s="31" t="str">
        <f t="shared" si="175"/>
        <v>Pio XII, Esortazione Apostolica Asperis Commoti, 08 dicembre 1939</v>
      </c>
      <c r="AD739" s="31" t="str">
        <f t="shared" si="176"/>
        <v>1939-12-08T08:00:00.000+02:00</v>
      </c>
      <c r="AE739" s="31" t="str">
        <f t="shared" si="166"/>
        <v>pixii-esa-asc</v>
      </c>
      <c r="AF739" s="31" t="str">
        <f t="shared" si="167"/>
        <v>Pio XII - Esortazione Apostolica - Asperis Commoti</v>
      </c>
    </row>
    <row r="740" spans="2:32" s="31" customFormat="1" x14ac:dyDescent="0.2">
      <c r="B740" s="31">
        <v>260</v>
      </c>
      <c r="C740" s="31" t="s">
        <v>3755</v>
      </c>
      <c r="D740" s="31" t="s">
        <v>715</v>
      </c>
      <c r="E740" s="31" t="s">
        <v>724</v>
      </c>
      <c r="F740" s="31" t="s">
        <v>663</v>
      </c>
      <c r="G740" s="31" t="s">
        <v>659</v>
      </c>
      <c r="H740" s="31" t="str">
        <f t="shared" si="181"/>
        <v>Pio XII</v>
      </c>
      <c r="K740" s="31" t="s">
        <v>557</v>
      </c>
      <c r="L740" s="31" t="str">
        <f t="shared" si="180"/>
        <v>Motu Proprio</v>
      </c>
      <c r="M740" s="31" t="s">
        <v>571</v>
      </c>
      <c r="O740" s="31" t="s">
        <v>3750</v>
      </c>
      <c r="P740" s="31" t="s">
        <v>3753</v>
      </c>
      <c r="Q740" s="40">
        <v>17604</v>
      </c>
      <c r="R740" s="35">
        <f t="shared" si="177"/>
        <v>12</v>
      </c>
      <c r="S740" s="35"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5">
        <f t="shared" si="178"/>
        <v>1948</v>
      </c>
      <c r="U740" s="31"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6"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31"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31">
        <v>767</v>
      </c>
      <c r="Y740" s="31" t="str">
        <f t="shared" si="171"/>
        <v>['Pio XII', 'Motu Proprio', 'Primo feliciter', 'pixii-mpr-prf', '12 marzo 1948', '12/03/1948', '1948/03/12'],</v>
      </c>
      <c r="Z740" s="31" t="str">
        <f t="shared" si="172"/>
        <v>Primo feliciter (17604) | Pio XII</v>
      </c>
      <c r="AA740" s="31" t="str">
        <f t="shared" si="173"/>
        <v>Motu Proprio Primo feliciter</v>
      </c>
      <c r="AB740" s="31" t="str">
        <f t="shared" si="174"/>
        <v>Motu Proprio Primo feliciter</v>
      </c>
      <c r="AC740" s="31" t="str">
        <f t="shared" si="175"/>
        <v>Pio XII, Motu Proprio Primo feliciter, 12 marzo 1948</v>
      </c>
      <c r="AD740" s="31" t="str">
        <f t="shared" si="176"/>
        <v>1948-03-12T08:00:00.000+02:00</v>
      </c>
      <c r="AE740" s="31" t="str">
        <f t="shared" si="166"/>
        <v>pixii-mpr-prf</v>
      </c>
      <c r="AF740" s="31" t="str">
        <f t="shared" si="167"/>
        <v>Pio XII - Motu Proprio - Primo feliciter</v>
      </c>
    </row>
    <row r="741" spans="2:32" s="31" customFormat="1" x14ac:dyDescent="0.2">
      <c r="B741" s="31">
        <v>260</v>
      </c>
      <c r="C741" s="31" t="s">
        <v>3756</v>
      </c>
      <c r="D741" s="31" t="s">
        <v>715</v>
      </c>
      <c r="E741" s="31" t="s">
        <v>724</v>
      </c>
      <c r="F741" s="31" t="s">
        <v>663</v>
      </c>
      <c r="G741" s="31" t="s">
        <v>659</v>
      </c>
      <c r="H741" s="31" t="str">
        <f t="shared" si="181"/>
        <v>Pio XII</v>
      </c>
      <c r="K741" s="31" t="s">
        <v>557</v>
      </c>
      <c r="L741" s="31" t="str">
        <f t="shared" si="180"/>
        <v>Motu Proprio</v>
      </c>
      <c r="M741" s="31" t="s">
        <v>571</v>
      </c>
      <c r="O741" s="31" t="s">
        <v>3751</v>
      </c>
      <c r="P741" s="31" t="s">
        <v>1079</v>
      </c>
      <c r="Q741" s="40">
        <v>17517</v>
      </c>
      <c r="R741" s="35">
        <f t="shared" si="177"/>
        <v>16</v>
      </c>
      <c r="S741" s="35"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5">
        <f t="shared" si="178"/>
        <v>1947</v>
      </c>
      <c r="U741" s="31"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6"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31"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31">
        <v>768</v>
      </c>
      <c r="Y741" s="31" t="str">
        <f t="shared" si="171"/>
        <v>['Pio XII', 'Motu Proprio', 'Animarum studio', 'pixii-mpr-ans', '16 dicembre 1947', '16/12/1947', '1947/12/16'],</v>
      </c>
      <c r="Z741" s="31" t="str">
        <f t="shared" si="172"/>
        <v>Animarum studio (17517) | Pio XII</v>
      </c>
      <c r="AA741" s="31" t="str">
        <f t="shared" si="173"/>
        <v>Motu Proprio Animarum studio</v>
      </c>
      <c r="AB741" s="31" t="str">
        <f t="shared" si="174"/>
        <v>Motu Proprio Animarum studio</v>
      </c>
      <c r="AC741" s="31" t="str">
        <f t="shared" si="175"/>
        <v>Pio XII, Motu Proprio Animarum studio, 16 dicembre 1947</v>
      </c>
      <c r="AD741" s="31" t="str">
        <f t="shared" si="176"/>
        <v>1947-12-16T08:00:00.000+02:00</v>
      </c>
      <c r="AE741" s="31" t="str">
        <f t="shared" si="166"/>
        <v>pixii-mpr-ans</v>
      </c>
      <c r="AF741" s="31" t="str">
        <f t="shared" si="167"/>
        <v>Pio XII - Motu Proprio - Animarum studio</v>
      </c>
    </row>
    <row r="742" spans="2:32" s="31" customFormat="1" x14ac:dyDescent="0.2">
      <c r="B742" s="31">
        <v>260</v>
      </c>
      <c r="C742" s="31" t="s">
        <v>3757</v>
      </c>
      <c r="D742" s="31" t="s">
        <v>715</v>
      </c>
      <c r="E742" s="31" t="s">
        <v>724</v>
      </c>
      <c r="F742" s="31" t="s">
        <v>663</v>
      </c>
      <c r="G742" s="31" t="s">
        <v>659</v>
      </c>
      <c r="H742" s="31" t="str">
        <f t="shared" si="181"/>
        <v>Pio XII</v>
      </c>
      <c r="K742" s="31" t="s">
        <v>557</v>
      </c>
      <c r="L742" s="31" t="str">
        <f t="shared" ref="L742:L771" si="182">IF(J742&lt;&gt;"",_xlfn.CONCAT(J742 &amp; " " &amp; K742),K742)</f>
        <v>Motu Proprio</v>
      </c>
      <c r="M742" s="31" t="s">
        <v>571</v>
      </c>
      <c r="O742" s="31" t="s">
        <v>3752</v>
      </c>
      <c r="P742" s="31" t="s">
        <v>3754</v>
      </c>
      <c r="Q742" s="40">
        <v>14911</v>
      </c>
      <c r="R742" s="35">
        <f t="shared" si="177"/>
        <v>27</v>
      </c>
      <c r="S742" s="35"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5">
        <f t="shared" si="178"/>
        <v>1940</v>
      </c>
      <c r="U742" s="31"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6"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31"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31">
        <v>769</v>
      </c>
      <c r="Y742" s="31" t="str">
        <f t="shared" si="171"/>
        <v>['Pio XII', 'Motu Proprio', 'Norunt profecto', 'pixii-mpr-nop', '27 ottobre 1940', '27/10/1940', '1940/10/27'],</v>
      </c>
      <c r="Z742" s="31" t="str">
        <f t="shared" si="172"/>
        <v>Norunt profecto (14911) | Pio XII</v>
      </c>
      <c r="AA742" s="31" t="str">
        <f t="shared" si="173"/>
        <v>Motu Proprio Norunt profecto</v>
      </c>
      <c r="AB742" s="31" t="str">
        <f t="shared" si="174"/>
        <v>Motu Proprio Norunt profecto</v>
      </c>
      <c r="AC742" s="31" t="str">
        <f t="shared" si="175"/>
        <v>Pio XII, Motu Proprio Norunt profecto, 27 ottobre 1940</v>
      </c>
      <c r="AD742" s="31" t="str">
        <f t="shared" si="176"/>
        <v>1940-10-27T08:00:00.000+02:00</v>
      </c>
      <c r="AE742" s="31" t="str">
        <f t="shared" si="166"/>
        <v>pixii-mpr-nop</v>
      </c>
      <c r="AF742" s="31" t="str">
        <f t="shared" si="167"/>
        <v>Pio XII - Motu Proprio - Norunt profecto</v>
      </c>
    </row>
    <row r="743" spans="2:32" s="31" customFormat="1" x14ac:dyDescent="0.2">
      <c r="B743" s="31">
        <v>260</v>
      </c>
      <c r="C743" s="31" t="s">
        <v>3758</v>
      </c>
      <c r="D743" s="31" t="s">
        <v>715</v>
      </c>
      <c r="E743" s="31" t="s">
        <v>724</v>
      </c>
      <c r="F743" s="31" t="s">
        <v>663</v>
      </c>
      <c r="G743" s="31" t="s">
        <v>659</v>
      </c>
      <c r="H743" s="31" t="str">
        <f t="shared" si="181"/>
        <v>Pio XII</v>
      </c>
      <c r="K743" s="31" t="s">
        <v>834</v>
      </c>
      <c r="L743" s="31" t="str">
        <f t="shared" si="182"/>
        <v>Preghiera</v>
      </c>
      <c r="M743" s="31" t="s">
        <v>573</v>
      </c>
      <c r="O743" s="31" t="s">
        <v>3776</v>
      </c>
      <c r="P743" s="31" t="s">
        <v>3799</v>
      </c>
      <c r="Q743" s="40">
        <v>21399</v>
      </c>
      <c r="R743" s="35">
        <f t="shared" si="177"/>
        <v>2</v>
      </c>
      <c r="S743" s="35"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5">
        <f t="shared" si="178"/>
        <v>1958</v>
      </c>
      <c r="U743" s="31"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6"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31"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31">
        <v>770</v>
      </c>
      <c r="Y743" s="31" t="str">
        <f t="shared" si="171"/>
        <v>['Pio XII', 'Preghiera', 'Preghiera delle donne cristiane a Maria SS.ma Regina', 'pixii-pre-dcm', '02 agosto 1958', '02/08/1958', '1958/08/02'],</v>
      </c>
      <c r="Z743" s="31" t="str">
        <f t="shared" si="172"/>
        <v>Preghiera delle donne cristiane a Maria SS.ma Regina (21399) | Pio XII</v>
      </c>
      <c r="AA743" s="31" t="str">
        <f t="shared" si="173"/>
        <v>Preghiera Preghiera delle donne cristiane a Maria SS.ma Regina</v>
      </c>
      <c r="AB743" s="31" t="str">
        <f t="shared" si="174"/>
        <v>Preghiera Preghiera delle donne cristiane a Maria SS.ma Regina</v>
      </c>
      <c r="AC743" s="31" t="str">
        <f t="shared" si="175"/>
        <v>Pio XII, Preghiera Preghiera delle donne cristiane a Maria SS.ma Regina, 02 agosto 1958</v>
      </c>
      <c r="AD743" s="31" t="str">
        <f t="shared" si="176"/>
        <v>1958-08-02T08:00:00.000+02:00</v>
      </c>
      <c r="AE743" s="31" t="str">
        <f t="shared" ref="AE743:AE806" si="183">_xlfn.CONCAT(F743 &amp; "-" &amp; M743 &amp; "-" &amp; P743)</f>
        <v>pixii-pre-dcm</v>
      </c>
      <c r="AF743" s="31" t="str">
        <f t="shared" ref="AF743:AF806" si="184">_xlfn.CONCAT(H743 &amp; " - " &amp; L743 &amp; " - " &amp; O743)</f>
        <v>Pio XII - Preghiera - Preghiera delle donne cristiane a Maria SS.ma Regina</v>
      </c>
    </row>
    <row r="744" spans="2:32" s="31" customFormat="1" x14ac:dyDescent="0.2">
      <c r="B744" s="31">
        <v>260</v>
      </c>
      <c r="C744" s="31" t="s">
        <v>3759</v>
      </c>
      <c r="D744" s="31" t="s">
        <v>715</v>
      </c>
      <c r="E744" s="31" t="s">
        <v>724</v>
      </c>
      <c r="F744" s="31" t="s">
        <v>663</v>
      </c>
      <c r="G744" s="31" t="s">
        <v>659</v>
      </c>
      <c r="H744" s="31" t="str">
        <f t="shared" si="181"/>
        <v>Pio XII</v>
      </c>
      <c r="K744" s="31" t="s">
        <v>834</v>
      </c>
      <c r="L744" s="31" t="str">
        <f t="shared" ref="L744:L760" si="185">IF(J744&lt;&gt;"",_xlfn.CONCAT(J744 &amp; " " &amp; K744),K744)</f>
        <v>Preghiera</v>
      </c>
      <c r="M744" s="31" t="s">
        <v>573</v>
      </c>
      <c r="O744" s="31" t="s">
        <v>3778</v>
      </c>
      <c r="P744" s="31" t="s">
        <v>3795</v>
      </c>
      <c r="Q744" s="40">
        <v>21360</v>
      </c>
      <c r="R744" s="35">
        <f t="shared" si="177"/>
        <v>24</v>
      </c>
      <c r="S744" s="35"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5">
        <f t="shared" si="178"/>
        <v>1958</v>
      </c>
      <c r="U744" s="31"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6"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31"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31">
        <v>771</v>
      </c>
      <c r="Y744" s="31" t="str">
        <f t="shared" si="171"/>
        <v>['Pio XII', 'Preghiera', 'Preghiera per il Congresso Eucaristico Nazionale in Catania', 'pixii-pre-pce', '24 giugno 1958', '24/06/1958', '1958/06/24'],</v>
      </c>
      <c r="Z744" s="31" t="str">
        <f t="shared" si="172"/>
        <v>Preghiera per il Congresso Eucaristico Nazionale in Catania (21360) | Pio XII</v>
      </c>
      <c r="AA744" s="31" t="str">
        <f t="shared" si="173"/>
        <v>Preghiera Preghiera per il Congresso Eucaristico Nazionale in Catania</v>
      </c>
      <c r="AB744" s="31" t="str">
        <f t="shared" si="174"/>
        <v>Preghiera Preghiera per il Congresso Eucaristico Nazionale in Catania</v>
      </c>
      <c r="AC744" s="31" t="str">
        <f t="shared" si="175"/>
        <v>Pio XII, Preghiera Preghiera per il Congresso Eucaristico Nazionale in Catania, 24 giugno 1958</v>
      </c>
      <c r="AD744" s="31" t="str">
        <f t="shared" si="176"/>
        <v>1958-06-24T08:00:00.000+02:00</v>
      </c>
      <c r="AE744" s="31" t="str">
        <f t="shared" si="183"/>
        <v>pixii-pre-pce</v>
      </c>
      <c r="AF744" s="31" t="str">
        <f t="shared" si="184"/>
        <v>Pio XII - Preghiera - Preghiera per il Congresso Eucaristico Nazionale in Catania</v>
      </c>
    </row>
    <row r="745" spans="2:32" s="31" customFormat="1" x14ac:dyDescent="0.2">
      <c r="B745" s="31">
        <v>260</v>
      </c>
      <c r="C745" s="31" t="s">
        <v>3760</v>
      </c>
      <c r="D745" s="31" t="s">
        <v>715</v>
      </c>
      <c r="E745" s="31" t="s">
        <v>724</v>
      </c>
      <c r="F745" s="31" t="s">
        <v>663</v>
      </c>
      <c r="G745" s="31" t="s">
        <v>659</v>
      </c>
      <c r="H745" s="31" t="str">
        <f t="shared" si="181"/>
        <v>Pio XII</v>
      </c>
      <c r="K745" s="31" t="s">
        <v>834</v>
      </c>
      <c r="L745" s="31" t="str">
        <f t="shared" si="185"/>
        <v>Preghiera</v>
      </c>
      <c r="M745" s="31" t="s">
        <v>573</v>
      </c>
      <c r="O745" s="31" t="s">
        <v>3779</v>
      </c>
      <c r="P745" s="31" t="s">
        <v>3796</v>
      </c>
      <c r="Q745" s="40">
        <v>21326</v>
      </c>
      <c r="R745" s="35">
        <f t="shared" si="177"/>
        <v>21</v>
      </c>
      <c r="S745" s="35"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5">
        <f t="shared" si="178"/>
        <v>1958</v>
      </c>
      <c r="U745" s="31"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6"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31"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31">
        <v>772</v>
      </c>
      <c r="Y745" s="31" t="str">
        <f t="shared" si="171"/>
        <v>['Pio XII', 'Preghiera', 'Preghiera nelle missioni per il popolo', 'pixii-pre-pmm', '21 maggio 1958', '21/05/1958', '1958/05/21'],</v>
      </c>
      <c r="Z745" s="31" t="str">
        <f t="shared" si="172"/>
        <v>Preghiera nelle missioni per il popolo (21326) | Pio XII</v>
      </c>
      <c r="AA745" s="31" t="str">
        <f t="shared" si="173"/>
        <v>Preghiera Preghiera nelle missioni per il popolo</v>
      </c>
      <c r="AB745" s="31" t="str">
        <f t="shared" si="174"/>
        <v>Preghiera Preghiera nelle missioni per il popolo</v>
      </c>
      <c r="AC745" s="31" t="str">
        <f t="shared" si="175"/>
        <v>Pio XII, Preghiera Preghiera nelle missioni per il popolo, 21 maggio 1958</v>
      </c>
      <c r="AD745" s="31" t="str">
        <f t="shared" si="176"/>
        <v>1958-05-21T08:00:00.000+02:00</v>
      </c>
      <c r="AE745" s="31" t="str">
        <f t="shared" si="183"/>
        <v>pixii-pre-pmm</v>
      </c>
      <c r="AF745" s="31" t="str">
        <f t="shared" si="184"/>
        <v>Pio XII - Preghiera - Preghiera nelle missioni per il popolo</v>
      </c>
    </row>
    <row r="746" spans="2:32" s="31" customFormat="1" x14ac:dyDescent="0.2">
      <c r="B746" s="31">
        <v>260</v>
      </c>
      <c r="C746" s="31" t="s">
        <v>3761</v>
      </c>
      <c r="D746" s="31" t="s">
        <v>715</v>
      </c>
      <c r="E746" s="31" t="s">
        <v>724</v>
      </c>
      <c r="F746" s="31" t="s">
        <v>663</v>
      </c>
      <c r="G746" s="31" t="s">
        <v>659</v>
      </c>
      <c r="H746" s="31" t="str">
        <f t="shared" si="181"/>
        <v>Pio XII</v>
      </c>
      <c r="K746" s="31" t="s">
        <v>834</v>
      </c>
      <c r="L746" s="31" t="str">
        <f t="shared" si="185"/>
        <v>Preghiera</v>
      </c>
      <c r="M746" s="31" t="s">
        <v>573</v>
      </c>
      <c r="O746" s="31" t="s">
        <v>3780</v>
      </c>
      <c r="P746" s="31" t="s">
        <v>3777</v>
      </c>
      <c r="Q746" s="40">
        <v>21285</v>
      </c>
      <c r="R746" s="35">
        <f t="shared" si="177"/>
        <v>10</v>
      </c>
      <c r="S746" s="35"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5">
        <f t="shared" si="178"/>
        <v>1958</v>
      </c>
      <c r="U746" s="31"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6"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31"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31">
        <v>773</v>
      </c>
      <c r="Y746" s="31" t="str">
        <f t="shared" si="171"/>
        <v>['Pio XII', 'Preghiera', 'Preghiera dei carcerati', 'pixii-pre-pdc', '10 aprile 1958', '10/04/1958', '1958/04/10'],</v>
      </c>
      <c r="Z746" s="31" t="str">
        <f t="shared" si="172"/>
        <v>Preghiera dei carcerati (21285) | Pio XII</v>
      </c>
      <c r="AA746" s="31" t="str">
        <f t="shared" si="173"/>
        <v>Preghiera Preghiera dei carcerati</v>
      </c>
      <c r="AB746" s="31" t="str">
        <f t="shared" si="174"/>
        <v>Preghiera Preghiera dei carcerati</v>
      </c>
      <c r="AC746" s="31" t="str">
        <f t="shared" si="175"/>
        <v>Pio XII, Preghiera Preghiera dei carcerati, 10 aprile 1958</v>
      </c>
      <c r="AD746" s="31" t="str">
        <f t="shared" si="176"/>
        <v>1958-04-10T08:00:00.000+02:00</v>
      </c>
      <c r="AE746" s="31" t="str">
        <f t="shared" si="183"/>
        <v>pixii-pre-pdc</v>
      </c>
      <c r="AF746" s="31" t="str">
        <f t="shared" si="184"/>
        <v>Pio XII - Preghiera - Preghiera dei carcerati</v>
      </c>
    </row>
    <row r="747" spans="2:32" s="31" customFormat="1" x14ac:dyDescent="0.2">
      <c r="B747" s="31">
        <v>260</v>
      </c>
      <c r="C747" s="31" t="s">
        <v>3762</v>
      </c>
      <c r="D747" s="31" t="s">
        <v>715</v>
      </c>
      <c r="E747" s="31" t="s">
        <v>724</v>
      </c>
      <c r="F747" s="31" t="s">
        <v>663</v>
      </c>
      <c r="G747" s="31" t="s">
        <v>659</v>
      </c>
      <c r="H747" s="31" t="str">
        <f t="shared" si="181"/>
        <v>Pio XII</v>
      </c>
      <c r="K747" s="31" t="s">
        <v>834</v>
      </c>
      <c r="L747" s="31" t="str">
        <f t="shared" si="185"/>
        <v>Preghiera</v>
      </c>
      <c r="M747" s="31" t="s">
        <v>573</v>
      </c>
      <c r="O747" s="31" t="s">
        <v>3781</v>
      </c>
      <c r="P747" s="31" t="s">
        <v>3797</v>
      </c>
      <c r="Q747" s="40">
        <v>21255</v>
      </c>
      <c r="R747" s="35">
        <f t="shared" si="177"/>
        <v>11</v>
      </c>
      <c r="S747" s="35"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5">
        <f t="shared" si="178"/>
        <v>1958</v>
      </c>
      <c r="U747" s="31"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6"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31"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31">
        <v>774</v>
      </c>
      <c r="Y747" s="31" t="str">
        <f t="shared" si="171"/>
        <v>['Pio XII', 'Preghiera', 'Preghiera a San Giuseppe Artigiano', 'pixii-pre-psg', '11 marzo 1958', '11/03/1958', '1958/03/11'],</v>
      </c>
      <c r="Z747" s="31" t="str">
        <f t="shared" si="172"/>
        <v>Preghiera a San Giuseppe Artigiano (21255) | Pio XII</v>
      </c>
      <c r="AA747" s="31" t="str">
        <f t="shared" si="173"/>
        <v>Preghiera Preghiera a San Giuseppe Artigiano</v>
      </c>
      <c r="AB747" s="31" t="str">
        <f t="shared" si="174"/>
        <v>Preghiera Preghiera a San Giuseppe Artigiano</v>
      </c>
      <c r="AC747" s="31" t="str">
        <f t="shared" si="175"/>
        <v>Pio XII, Preghiera Preghiera a San Giuseppe Artigiano, 11 marzo 1958</v>
      </c>
      <c r="AD747" s="31" t="str">
        <f t="shared" si="176"/>
        <v>1958-03-11T08:00:00.000+02:00</v>
      </c>
      <c r="AE747" s="31" t="str">
        <f t="shared" si="183"/>
        <v>pixii-pre-psg</v>
      </c>
      <c r="AF747" s="31" t="str">
        <f t="shared" si="184"/>
        <v>Pio XII - Preghiera - Preghiera a San Giuseppe Artigiano</v>
      </c>
    </row>
    <row r="748" spans="2:32" s="31" customFormat="1" x14ac:dyDescent="0.2">
      <c r="B748" s="31">
        <v>260</v>
      </c>
      <c r="C748" s="31" t="s">
        <v>3763</v>
      </c>
      <c r="D748" s="31" t="s">
        <v>715</v>
      </c>
      <c r="E748" s="31" t="s">
        <v>724</v>
      </c>
      <c r="F748" s="31" t="s">
        <v>663</v>
      </c>
      <c r="G748" s="31" t="s">
        <v>659</v>
      </c>
      <c r="H748" s="31" t="str">
        <f t="shared" si="181"/>
        <v>Pio XII</v>
      </c>
      <c r="K748" s="31" t="s">
        <v>834</v>
      </c>
      <c r="L748" s="31" t="str">
        <f t="shared" si="185"/>
        <v>Preghiera</v>
      </c>
      <c r="M748" s="31" t="s">
        <v>573</v>
      </c>
      <c r="O748" s="31" t="s">
        <v>3782</v>
      </c>
      <c r="P748" s="31" t="s">
        <v>2988</v>
      </c>
      <c r="Q748" s="40">
        <v>21251</v>
      </c>
      <c r="R748" s="35">
        <f t="shared" si="177"/>
        <v>7</v>
      </c>
      <c r="S748" s="35"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5">
        <f t="shared" si="178"/>
        <v>1958</v>
      </c>
      <c r="U748" s="31"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6"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31"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31">
        <v>775</v>
      </c>
      <c r="Y748" s="31" t="str">
        <f t="shared" si="171"/>
        <v>['Pio XII', 'Preghiera', 'Preghiera da recitarsi dalle giovani', 'pixii-pre-prg', '07 marzo 1958', '07/03/1958', '1958/03/07'],</v>
      </c>
      <c r="Z748" s="31" t="str">
        <f t="shared" si="172"/>
        <v>Preghiera da recitarsi dalle giovani (21251) | Pio XII</v>
      </c>
      <c r="AA748" s="31" t="str">
        <f t="shared" si="173"/>
        <v>Preghiera Preghiera da recitarsi dalle giovani</v>
      </c>
      <c r="AB748" s="31" t="str">
        <f t="shared" si="174"/>
        <v>Preghiera Preghiera da recitarsi dalle giovani</v>
      </c>
      <c r="AC748" s="31" t="str">
        <f t="shared" si="175"/>
        <v>Pio XII, Preghiera Preghiera da recitarsi dalle giovani, 07 marzo 1958</v>
      </c>
      <c r="AD748" s="31" t="str">
        <f t="shared" si="176"/>
        <v>1958-03-07T08:00:00.000+02:00</v>
      </c>
      <c r="AE748" s="31" t="str">
        <f t="shared" si="183"/>
        <v>pixii-pre-prg</v>
      </c>
      <c r="AF748" s="31" t="str">
        <f t="shared" si="184"/>
        <v>Pio XII - Preghiera - Preghiera da recitarsi dalle giovani</v>
      </c>
    </row>
    <row r="749" spans="2:32" s="31" customFormat="1" x14ac:dyDescent="0.2">
      <c r="B749" s="31">
        <v>260</v>
      </c>
      <c r="C749" s="31" t="s">
        <v>3764</v>
      </c>
      <c r="D749" s="31" t="s">
        <v>715</v>
      </c>
      <c r="E749" s="31" t="s">
        <v>724</v>
      </c>
      <c r="F749" s="31" t="s">
        <v>663</v>
      </c>
      <c r="G749" s="31" t="s">
        <v>659</v>
      </c>
      <c r="H749" s="31" t="str">
        <f t="shared" si="181"/>
        <v>Pio XII</v>
      </c>
      <c r="K749" s="31" t="s">
        <v>834</v>
      </c>
      <c r="L749" s="31" t="str">
        <f t="shared" si="185"/>
        <v>Preghiera</v>
      </c>
      <c r="M749" s="31" t="s">
        <v>573</v>
      </c>
      <c r="O749" s="31" t="s">
        <v>3783</v>
      </c>
      <c r="P749" s="31" t="s">
        <v>3798</v>
      </c>
      <c r="Q749" s="40">
        <v>21212</v>
      </c>
      <c r="R749" s="35">
        <f t="shared" si="177"/>
        <v>27</v>
      </c>
      <c r="S749" s="35"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5">
        <f t="shared" si="178"/>
        <v>1958</v>
      </c>
      <c r="U749" s="31"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6"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31"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31">
        <v>776</v>
      </c>
      <c r="Y749" s="31" t="str">
        <f t="shared" si="171"/>
        <v>['Pio XII', 'Preghiera', 'Preghiera dei Parlamentari e degli uomini politici', 'pixii-pre-ppp', '27 gennaio 1958', '27/01/1958', '1958/01/27'],</v>
      </c>
      <c r="Z749" s="31" t="str">
        <f t="shared" si="172"/>
        <v>Preghiera dei Parlamentari e degli uomini politici (21212) | Pio XII</v>
      </c>
      <c r="AA749" s="31" t="str">
        <f t="shared" si="173"/>
        <v>Preghiera Preghiera dei Parlamentari e degli uomini politici</v>
      </c>
      <c r="AB749" s="31" t="str">
        <f t="shared" si="174"/>
        <v>Preghiera Preghiera dei Parlamentari e degli uomini politici</v>
      </c>
      <c r="AC749" s="31" t="str">
        <f t="shared" si="175"/>
        <v>Pio XII, Preghiera Preghiera dei Parlamentari e degli uomini politici, 27 gennaio 1958</v>
      </c>
      <c r="AD749" s="31" t="str">
        <f t="shared" si="176"/>
        <v>1958-01-27T08:00:00.000+02:00</v>
      </c>
      <c r="AE749" s="31" t="str">
        <f t="shared" si="183"/>
        <v>pixii-pre-ppp</v>
      </c>
      <c r="AF749" s="31" t="str">
        <f t="shared" si="184"/>
        <v>Pio XII - Preghiera - Preghiera dei Parlamentari e degli uomini politici</v>
      </c>
    </row>
    <row r="750" spans="2:32" s="31" customFormat="1" x14ac:dyDescent="0.2">
      <c r="B750" s="31">
        <v>260</v>
      </c>
      <c r="C750" s="31" t="s">
        <v>3765</v>
      </c>
      <c r="D750" s="31" t="s">
        <v>715</v>
      </c>
      <c r="E750" s="31" t="s">
        <v>724</v>
      </c>
      <c r="F750" s="31" t="s">
        <v>663</v>
      </c>
      <c r="G750" s="31" t="s">
        <v>659</v>
      </c>
      <c r="H750" s="31" t="str">
        <f t="shared" si="181"/>
        <v>Pio XII</v>
      </c>
      <c r="K750" s="31" t="s">
        <v>834</v>
      </c>
      <c r="L750" s="31" t="str">
        <f t="shared" si="185"/>
        <v>Preghiera</v>
      </c>
      <c r="M750" s="31" t="s">
        <v>573</v>
      </c>
      <c r="O750" s="31" t="s">
        <v>3784</v>
      </c>
      <c r="P750" s="31" t="s">
        <v>3726</v>
      </c>
      <c r="Q750" s="40">
        <v>21184</v>
      </c>
      <c r="R750" s="35">
        <f t="shared" si="177"/>
        <v>30</v>
      </c>
      <c r="S750" s="35"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5">
        <f t="shared" si="178"/>
        <v>1957</v>
      </c>
      <c r="U750" s="31"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6"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31"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31">
        <v>777</v>
      </c>
      <c r="Y750" s="31" t="str">
        <f t="shared" si="171"/>
        <v>['Pio XII', 'Preghiera', 'Preghiera alla Sacra Famiglia', 'pixii-pre-psf', '30 dicembre 1957', '30/12/1957', '1957/12/30'],</v>
      </c>
      <c r="Z750" s="31" t="str">
        <f t="shared" si="172"/>
        <v>Preghiera alla Sacra Famiglia (21184) | Pio XII</v>
      </c>
      <c r="AA750" s="31" t="str">
        <f t="shared" si="173"/>
        <v>Preghiera Preghiera alla Sacra Famiglia</v>
      </c>
      <c r="AB750" s="31" t="str">
        <f t="shared" si="174"/>
        <v>Preghiera Preghiera alla Sacra Famiglia</v>
      </c>
      <c r="AC750" s="31" t="str">
        <f t="shared" si="175"/>
        <v>Pio XII, Preghiera Preghiera alla Sacra Famiglia, 30 dicembre 1957</v>
      </c>
      <c r="AD750" s="31" t="str">
        <f t="shared" si="176"/>
        <v>1957-12-30T08:00:00.000+02:00</v>
      </c>
      <c r="AE750" s="31" t="str">
        <f t="shared" si="183"/>
        <v>pixii-pre-psf</v>
      </c>
      <c r="AF750" s="31" t="str">
        <f t="shared" si="184"/>
        <v>Pio XII - Preghiera - Preghiera alla Sacra Famiglia</v>
      </c>
    </row>
    <row r="751" spans="2:32" s="31" customFormat="1" x14ac:dyDescent="0.2">
      <c r="B751" s="31">
        <v>260</v>
      </c>
      <c r="C751" s="31" t="s">
        <v>3766</v>
      </c>
      <c r="D751" s="31" t="s">
        <v>715</v>
      </c>
      <c r="E751" s="31" t="s">
        <v>724</v>
      </c>
      <c r="F751" s="31" t="s">
        <v>663</v>
      </c>
      <c r="G751" s="31" t="s">
        <v>659</v>
      </c>
      <c r="H751" s="31" t="str">
        <f t="shared" si="181"/>
        <v>Pio XII</v>
      </c>
      <c r="K751" s="31" t="s">
        <v>834</v>
      </c>
      <c r="L751" s="31" t="str">
        <f t="shared" si="185"/>
        <v>Preghiera</v>
      </c>
      <c r="M751" s="31" t="s">
        <v>573</v>
      </c>
      <c r="O751" s="31" t="s">
        <v>3785</v>
      </c>
      <c r="P751" s="31" t="s">
        <v>3821</v>
      </c>
      <c r="Q751" s="40">
        <v>21182</v>
      </c>
      <c r="R751" s="35">
        <f t="shared" si="177"/>
        <v>28</v>
      </c>
      <c r="S751" s="35"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5">
        <f t="shared" si="178"/>
        <v>1957</v>
      </c>
      <c r="U751" s="31"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6"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31"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31">
        <v>778</v>
      </c>
      <c r="Y751" s="31" t="str">
        <f t="shared" si="171"/>
        <v>['Pio XII', 'Preghiera', 'Preghiera del maestro', 'pixii-pre-mae', '28 dicembre 1957', '28/12/1957', '1957/12/28'],</v>
      </c>
      <c r="Z751" s="31" t="str">
        <f t="shared" si="172"/>
        <v>Preghiera del maestro (21182) | Pio XII</v>
      </c>
      <c r="AA751" s="31" t="str">
        <f t="shared" si="173"/>
        <v>Preghiera Preghiera del maestro</v>
      </c>
      <c r="AB751" s="31" t="str">
        <f t="shared" si="174"/>
        <v>Preghiera Preghiera del maestro</v>
      </c>
      <c r="AC751" s="31" t="str">
        <f t="shared" si="175"/>
        <v>Pio XII, Preghiera Preghiera del maestro, 28 dicembre 1957</v>
      </c>
      <c r="AD751" s="31" t="str">
        <f t="shared" si="176"/>
        <v>1957-12-28T08:00:00.000+02:00</v>
      </c>
      <c r="AE751" s="31" t="str">
        <f t="shared" si="183"/>
        <v>pixii-pre-mae</v>
      </c>
      <c r="AF751" s="31" t="str">
        <f t="shared" si="184"/>
        <v>Pio XII - Preghiera - Preghiera del maestro</v>
      </c>
    </row>
    <row r="752" spans="2:32" s="31" customFormat="1" x14ac:dyDescent="0.2">
      <c r="B752" s="31">
        <v>260</v>
      </c>
      <c r="C752" s="31" t="s">
        <v>3767</v>
      </c>
      <c r="D752" s="31" t="s">
        <v>715</v>
      </c>
      <c r="E752" s="31" t="s">
        <v>724</v>
      </c>
      <c r="F752" s="31" t="s">
        <v>663</v>
      </c>
      <c r="G752" s="31" t="s">
        <v>659</v>
      </c>
      <c r="H752" s="31" t="str">
        <f t="shared" si="181"/>
        <v>Pio XII</v>
      </c>
      <c r="K752" s="31" t="s">
        <v>834</v>
      </c>
      <c r="L752" s="31" t="str">
        <f t="shared" si="185"/>
        <v>Preghiera</v>
      </c>
      <c r="M752" s="31" t="s">
        <v>573</v>
      </c>
      <c r="O752" s="31" t="s">
        <v>3786</v>
      </c>
      <c r="P752" s="31" t="s">
        <v>3822</v>
      </c>
      <c r="Q752" s="40">
        <v>21130</v>
      </c>
      <c r="R752" s="35">
        <f t="shared" si="177"/>
        <v>6</v>
      </c>
      <c r="S752" s="35"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5">
        <f t="shared" si="178"/>
        <v>1957</v>
      </c>
      <c r="U752" s="31"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6"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31"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31">
        <v>779</v>
      </c>
      <c r="Y752" s="31" t="str">
        <f t="shared" si="171"/>
        <v>['Pio XII', 'Preghiera', 'Preghiera per le vocazioni sacerdotali', 'pixii-pre-vos', '06 novembre 1957', '06/11/1957', '1957/11/06'],</v>
      </c>
      <c r="Z752" s="31" t="str">
        <f t="shared" si="172"/>
        <v>Preghiera per le vocazioni sacerdotali (21130) | Pio XII</v>
      </c>
      <c r="AA752" s="31" t="str">
        <f t="shared" si="173"/>
        <v>Preghiera Preghiera per le vocazioni sacerdotali</v>
      </c>
      <c r="AB752" s="31" t="str">
        <f t="shared" si="174"/>
        <v>Preghiera Preghiera per le vocazioni sacerdotali</v>
      </c>
      <c r="AC752" s="31" t="str">
        <f t="shared" si="175"/>
        <v>Pio XII, Preghiera Preghiera per le vocazioni sacerdotali, 06 novembre 1957</v>
      </c>
      <c r="AD752" s="31" t="str">
        <f t="shared" si="176"/>
        <v>1957-11-06T08:00:00.000+02:00</v>
      </c>
      <c r="AE752" s="31" t="str">
        <f t="shared" si="183"/>
        <v>pixii-pre-vos</v>
      </c>
      <c r="AF752" s="31" t="str">
        <f t="shared" si="184"/>
        <v>Pio XII - Preghiera - Preghiera per le vocazioni sacerdotali</v>
      </c>
    </row>
    <row r="753" spans="2:32" s="31" customFormat="1" x14ac:dyDescent="0.2">
      <c r="B753" s="31">
        <v>260</v>
      </c>
      <c r="C753" s="31" t="s">
        <v>3768</v>
      </c>
      <c r="D753" s="31" t="s">
        <v>715</v>
      </c>
      <c r="E753" s="31" t="s">
        <v>724</v>
      </c>
      <c r="F753" s="31" t="s">
        <v>663</v>
      </c>
      <c r="G753" s="31" t="s">
        <v>659</v>
      </c>
      <c r="H753" s="31" t="str">
        <f t="shared" si="181"/>
        <v>Pio XII</v>
      </c>
      <c r="K753" s="31" t="s">
        <v>834</v>
      </c>
      <c r="L753" s="31" t="str">
        <f t="shared" si="185"/>
        <v>Preghiera</v>
      </c>
      <c r="M753" s="31" t="s">
        <v>573</v>
      </c>
      <c r="O753" s="31" t="s">
        <v>3787</v>
      </c>
      <c r="P753" s="31" t="s">
        <v>3823</v>
      </c>
      <c r="Q753" s="40">
        <v>21102</v>
      </c>
      <c r="R753" s="35">
        <f t="shared" si="177"/>
        <v>9</v>
      </c>
      <c r="S753" s="35"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5">
        <f t="shared" si="178"/>
        <v>1957</v>
      </c>
      <c r="U753" s="31"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6"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31"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31">
        <v>780</v>
      </c>
      <c r="Y753" s="31" t="str">
        <f t="shared" si="171"/>
        <v>['Pio XII', 'Preghiera', 'Preghiera Atto di consacrazione dei malati a Maria', 'pixii-pre-acm', '09 ottobre 1957', '09/10/1957', '1957/10/09'],</v>
      </c>
      <c r="Z753" s="31" t="str">
        <f t="shared" si="172"/>
        <v>Preghiera Atto di consacrazione dei malati a Maria (21102) | Pio XII</v>
      </c>
      <c r="AA753" s="31" t="str">
        <f t="shared" si="173"/>
        <v>Preghiera Preghiera Atto di consacrazione dei malati a Maria</v>
      </c>
      <c r="AB753" s="31" t="str">
        <f t="shared" si="174"/>
        <v>Preghiera Preghiera Atto di consacrazione dei malati a Maria</v>
      </c>
      <c r="AC753" s="31" t="str">
        <f t="shared" si="175"/>
        <v>Pio XII, Preghiera Preghiera Atto di consacrazione dei malati a Maria, 09 ottobre 1957</v>
      </c>
      <c r="AD753" s="31" t="str">
        <f t="shared" si="176"/>
        <v>1957-10-09T08:00:00.000+02:00</v>
      </c>
      <c r="AE753" s="31" t="str">
        <f t="shared" si="183"/>
        <v>pixii-pre-acm</v>
      </c>
      <c r="AF753" s="31" t="str">
        <f t="shared" si="184"/>
        <v>Pio XII - Preghiera - Preghiera Atto di consacrazione dei malati a Maria</v>
      </c>
    </row>
    <row r="754" spans="2:32" s="31" customFormat="1" x14ac:dyDescent="0.2">
      <c r="B754" s="31">
        <v>260</v>
      </c>
      <c r="C754" s="31" t="s">
        <v>3769</v>
      </c>
      <c r="D754" s="31" t="s">
        <v>715</v>
      </c>
      <c r="E754" s="31" t="s">
        <v>724</v>
      </c>
      <c r="F754" s="31" t="s">
        <v>663</v>
      </c>
      <c r="G754" s="31" t="s">
        <v>659</v>
      </c>
      <c r="H754" s="31" t="str">
        <f t="shared" si="181"/>
        <v>Pio XII</v>
      </c>
      <c r="K754" s="31" t="s">
        <v>834</v>
      </c>
      <c r="L754" s="31" t="str">
        <f t="shared" si="185"/>
        <v>Preghiera</v>
      </c>
      <c r="M754" s="31" t="s">
        <v>573</v>
      </c>
      <c r="O754" s="31" t="s">
        <v>3788</v>
      </c>
      <c r="P754" s="31" t="s">
        <v>3550</v>
      </c>
      <c r="Q754" s="40">
        <v>21017</v>
      </c>
      <c r="R754" s="35">
        <f t="shared" si="177"/>
        <v>16</v>
      </c>
      <c r="S754" s="35"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5">
        <f t="shared" si="178"/>
        <v>1957</v>
      </c>
      <c r="U754" s="31"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6"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31"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31">
        <v>781</v>
      </c>
      <c r="Y754" s="31" t="str">
        <f t="shared" si="171"/>
        <v>['Pio XII', 'Preghiera', 'Preghiera per la «Chiesa del silenzio»', 'pixii-pre-cds', '16 luglio 1957', '16/07/1957', '1957/07/16'],</v>
      </c>
      <c r="Z754" s="31" t="str">
        <f t="shared" si="172"/>
        <v>Preghiera per la «Chiesa del silenzio» (21017) | Pio XII</v>
      </c>
      <c r="AA754" s="31" t="str">
        <f t="shared" si="173"/>
        <v>Preghiera Preghiera per la «Chiesa del silenzio»</v>
      </c>
      <c r="AB754" s="31" t="str">
        <f t="shared" si="174"/>
        <v>Preghiera Preghiera per la «Chiesa del silenzio»</v>
      </c>
      <c r="AC754" s="31" t="str">
        <f t="shared" si="175"/>
        <v>Pio XII, Preghiera Preghiera per la «Chiesa del silenzio», 16 luglio 1957</v>
      </c>
      <c r="AD754" s="31" t="str">
        <f t="shared" si="176"/>
        <v>1957-07-16T08:00:00.000+02:00</v>
      </c>
      <c r="AE754" s="31" t="str">
        <f t="shared" si="183"/>
        <v>pixii-pre-cds</v>
      </c>
      <c r="AF754" s="31" t="str">
        <f t="shared" si="184"/>
        <v>Pio XII - Preghiera - Preghiera per la «Chiesa del silenzio»</v>
      </c>
    </row>
    <row r="755" spans="2:32" s="31" customFormat="1" x14ac:dyDescent="0.2">
      <c r="B755" s="31">
        <v>260</v>
      </c>
      <c r="C755" s="31" t="s">
        <v>3770</v>
      </c>
      <c r="D755" s="31" t="s">
        <v>715</v>
      </c>
      <c r="E755" s="31" t="s">
        <v>724</v>
      </c>
      <c r="F755" s="31" t="s">
        <v>663</v>
      </c>
      <c r="G755" s="31" t="s">
        <v>659</v>
      </c>
      <c r="H755" s="31" t="str">
        <f t="shared" si="181"/>
        <v>Pio XII</v>
      </c>
      <c r="K755" s="31" t="s">
        <v>834</v>
      </c>
      <c r="L755" s="31" t="str">
        <f t="shared" si="185"/>
        <v>Preghiera</v>
      </c>
      <c r="M755" s="31" t="s">
        <v>573</v>
      </c>
      <c r="O755" s="31" t="s">
        <v>3789</v>
      </c>
      <c r="P755" s="31" t="s">
        <v>3824</v>
      </c>
      <c r="Q755" s="40">
        <v>20950</v>
      </c>
      <c r="R755" s="35">
        <f t="shared" si="177"/>
        <v>10</v>
      </c>
      <c r="S755" s="35"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5">
        <f t="shared" si="178"/>
        <v>1957</v>
      </c>
      <c r="U755" s="31"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6"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31"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31">
        <v>782</v>
      </c>
      <c r="Y755" s="31" t="str">
        <f t="shared" si="171"/>
        <v>['Pio XII', 'Preghiera', 'Preghiera del medico', 'pixii-pre-med', '10 maggio 1957', '10/05/1957', '1957/05/10'],</v>
      </c>
      <c r="Z755" s="31" t="str">
        <f t="shared" si="172"/>
        <v>Preghiera del medico (20950) | Pio XII</v>
      </c>
      <c r="AA755" s="31" t="str">
        <f t="shared" si="173"/>
        <v>Preghiera Preghiera del medico</v>
      </c>
      <c r="AB755" s="31" t="str">
        <f t="shared" si="174"/>
        <v>Preghiera Preghiera del medico</v>
      </c>
      <c r="AC755" s="31" t="str">
        <f t="shared" si="175"/>
        <v>Pio XII, Preghiera Preghiera del medico, 10 maggio 1957</v>
      </c>
      <c r="AD755" s="31" t="str">
        <f t="shared" si="176"/>
        <v>1957-05-10T08:00:00.000+02:00</v>
      </c>
      <c r="AE755" s="31" t="str">
        <f t="shared" si="183"/>
        <v>pixii-pre-med</v>
      </c>
      <c r="AF755" s="31" t="str">
        <f t="shared" si="184"/>
        <v>Pio XII - Preghiera - Preghiera del medico</v>
      </c>
    </row>
    <row r="756" spans="2:32" s="31" customFormat="1" x14ac:dyDescent="0.2">
      <c r="B756" s="31">
        <v>260</v>
      </c>
      <c r="C756" s="31" t="s">
        <v>3771</v>
      </c>
      <c r="D756" s="31" t="s">
        <v>715</v>
      </c>
      <c r="E756" s="31" t="s">
        <v>724</v>
      </c>
      <c r="F756" s="31" t="s">
        <v>663</v>
      </c>
      <c r="G756" s="31" t="s">
        <v>659</v>
      </c>
      <c r="H756" s="31" t="str">
        <f t="shared" si="181"/>
        <v>Pio XII</v>
      </c>
      <c r="K756" s="31" t="s">
        <v>834</v>
      </c>
      <c r="L756" s="31" t="str">
        <f t="shared" si="185"/>
        <v>Preghiera</v>
      </c>
      <c r="M756" s="31" t="s">
        <v>573</v>
      </c>
      <c r="O756" s="31" t="s">
        <v>3790</v>
      </c>
      <c r="P756" s="31" t="s">
        <v>3825</v>
      </c>
      <c r="Q756" s="40">
        <v>20888</v>
      </c>
      <c r="R756" s="35">
        <f t="shared" si="177"/>
        <v>9</v>
      </c>
      <c r="S756" s="35"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5">
        <f t="shared" si="178"/>
        <v>1957</v>
      </c>
      <c r="U756" s="31"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6"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31"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31">
        <v>783</v>
      </c>
      <c r="Y756" s="31" t="str">
        <f t="shared" si="171"/>
        <v>['Pio XII', 'Preghiera', 'Preghiera per le vocazioni religiose', 'pixii-pre-vor', '09 marzo 1957', '09/03/1957', '1957/03/09'],</v>
      </c>
      <c r="Z756" s="31" t="str">
        <f t="shared" si="172"/>
        <v>Preghiera per le vocazioni religiose (20888) | Pio XII</v>
      </c>
      <c r="AA756" s="31" t="str">
        <f t="shared" si="173"/>
        <v>Preghiera Preghiera per le vocazioni religiose</v>
      </c>
      <c r="AB756" s="31" t="str">
        <f t="shared" si="174"/>
        <v>Preghiera Preghiera per le vocazioni religiose</v>
      </c>
      <c r="AC756" s="31" t="str">
        <f t="shared" si="175"/>
        <v>Pio XII, Preghiera Preghiera per le vocazioni religiose, 09 marzo 1957</v>
      </c>
      <c r="AD756" s="31" t="str">
        <f t="shared" si="176"/>
        <v>1957-03-09T08:00:00.000+02:00</v>
      </c>
      <c r="AE756" s="31" t="str">
        <f t="shared" si="183"/>
        <v>pixii-pre-vor</v>
      </c>
      <c r="AF756" s="31" t="str">
        <f t="shared" si="184"/>
        <v>Pio XII - Preghiera - Preghiera per le vocazioni religiose</v>
      </c>
    </row>
    <row r="757" spans="2:32" s="31" customFormat="1" x14ac:dyDescent="0.2">
      <c r="B757" s="31">
        <v>260</v>
      </c>
      <c r="C757" s="31" t="s">
        <v>3772</v>
      </c>
      <c r="D757" s="31" t="s">
        <v>715</v>
      </c>
      <c r="E757" s="31" t="s">
        <v>724</v>
      </c>
      <c r="F757" s="31" t="s">
        <v>663</v>
      </c>
      <c r="G757" s="31" t="s">
        <v>659</v>
      </c>
      <c r="H757" s="31" t="str">
        <f t="shared" si="181"/>
        <v>Pio XII</v>
      </c>
      <c r="K757" s="31" t="s">
        <v>834</v>
      </c>
      <c r="L757" s="31" t="str">
        <f t="shared" si="185"/>
        <v>Preghiera</v>
      </c>
      <c r="M757" s="31" t="s">
        <v>573</v>
      </c>
      <c r="O757" s="31" t="s">
        <v>3791</v>
      </c>
      <c r="P757" s="31" t="s">
        <v>3826</v>
      </c>
      <c r="Q757" s="40">
        <v>20841</v>
      </c>
      <c r="R757" s="35">
        <f t="shared" si="177"/>
        <v>21</v>
      </c>
      <c r="S757" s="35"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5">
        <f t="shared" si="178"/>
        <v>1957</v>
      </c>
      <c r="U757" s="31"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6"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31"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31">
        <v>784</v>
      </c>
      <c r="Y757" s="31" t="str">
        <f t="shared" si="171"/>
        <v>['Pio XII', 'Preghiera', 'Preghiera durante la visita al Collegio Capranica', 'pixii-pre-vcc', '21 gennaio 1957', '21/01/1957', '1957/01/21'],</v>
      </c>
      <c r="Z757" s="31" t="str">
        <f t="shared" si="172"/>
        <v>Preghiera durante la visita al Collegio Capranica (20841) | Pio XII</v>
      </c>
      <c r="AA757" s="31" t="str">
        <f t="shared" si="173"/>
        <v>Preghiera Preghiera durante la visita al Collegio Capranica</v>
      </c>
      <c r="AB757" s="31" t="str">
        <f t="shared" si="174"/>
        <v>Preghiera Preghiera durante la visita al Collegio Capranica</v>
      </c>
      <c r="AC757" s="31" t="str">
        <f t="shared" si="175"/>
        <v>Pio XII, Preghiera Preghiera durante la visita al Collegio Capranica, 21 gennaio 1957</v>
      </c>
      <c r="AD757" s="31" t="str">
        <f t="shared" si="176"/>
        <v>1957-01-21T08:00:00.000+02:00</v>
      </c>
      <c r="AE757" s="31" t="str">
        <f t="shared" si="183"/>
        <v>pixii-pre-vcc</v>
      </c>
      <c r="AF757" s="31" t="str">
        <f t="shared" si="184"/>
        <v>Pio XII - Preghiera - Preghiera durante la visita al Collegio Capranica</v>
      </c>
    </row>
    <row r="758" spans="2:32" s="31" customFormat="1" x14ac:dyDescent="0.2">
      <c r="B758" s="31">
        <v>260</v>
      </c>
      <c r="C758" s="31" t="s">
        <v>3773</v>
      </c>
      <c r="D758" s="31" t="s">
        <v>715</v>
      </c>
      <c r="E758" s="31" t="s">
        <v>724</v>
      </c>
      <c r="F758" s="31" t="s">
        <v>663</v>
      </c>
      <c r="G758" s="31" t="s">
        <v>659</v>
      </c>
      <c r="H758" s="31" t="str">
        <f t="shared" si="181"/>
        <v>Pio XII</v>
      </c>
      <c r="K758" s="31" t="s">
        <v>834</v>
      </c>
      <c r="L758" s="31" t="str">
        <f t="shared" si="185"/>
        <v>Preghiera</v>
      </c>
      <c r="M758" s="31" t="s">
        <v>573</v>
      </c>
      <c r="O758" s="31" t="s">
        <v>3792</v>
      </c>
      <c r="P758" s="31" t="s">
        <v>3827</v>
      </c>
      <c r="Q758" s="40">
        <v>20833</v>
      </c>
      <c r="R758" s="35">
        <f t="shared" si="177"/>
        <v>13</v>
      </c>
      <c r="S758" s="35"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5">
        <f t="shared" si="178"/>
        <v>1957</v>
      </c>
      <c r="U758" s="31"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6"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31"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31">
        <v>785</v>
      </c>
      <c r="Y758" s="31" t="str">
        <f t="shared" si="171"/>
        <v>['Pio XII', 'Preghiera', 'Preghiera delle famiglie cristiane', 'pixii-pre-fcr', '13 gennaio 1957', '13/01/1957', '1957/01/13'],</v>
      </c>
      <c r="Z758" s="31" t="str">
        <f t="shared" si="172"/>
        <v>Preghiera delle famiglie cristiane (20833) | Pio XII</v>
      </c>
      <c r="AA758" s="31" t="str">
        <f t="shared" si="173"/>
        <v>Preghiera Preghiera delle famiglie cristiane</v>
      </c>
      <c r="AB758" s="31" t="str">
        <f t="shared" si="174"/>
        <v>Preghiera Preghiera delle famiglie cristiane</v>
      </c>
      <c r="AC758" s="31" t="str">
        <f t="shared" si="175"/>
        <v>Pio XII, Preghiera Preghiera delle famiglie cristiane, 13 gennaio 1957</v>
      </c>
      <c r="AD758" s="31" t="str">
        <f t="shared" si="176"/>
        <v>1957-01-13T08:00:00.000+02:00</v>
      </c>
      <c r="AE758" s="31" t="str">
        <f t="shared" si="183"/>
        <v>pixii-pre-fcr</v>
      </c>
      <c r="AF758" s="31" t="str">
        <f t="shared" si="184"/>
        <v>Pio XII - Preghiera - Preghiera delle famiglie cristiane</v>
      </c>
    </row>
    <row r="759" spans="2:32" s="31" customFormat="1" x14ac:dyDescent="0.2">
      <c r="B759" s="31">
        <v>260</v>
      </c>
      <c r="C759" s="31" t="s">
        <v>3774</v>
      </c>
      <c r="D759" s="31" t="s">
        <v>715</v>
      </c>
      <c r="E759" s="31" t="s">
        <v>724</v>
      </c>
      <c r="F759" s="31" t="s">
        <v>663</v>
      </c>
      <c r="G759" s="31" t="s">
        <v>659</v>
      </c>
      <c r="H759" s="31" t="str">
        <f t="shared" si="181"/>
        <v>Pio XII</v>
      </c>
      <c r="K759" s="31" t="s">
        <v>834</v>
      </c>
      <c r="L759" s="31" t="str">
        <f t="shared" si="185"/>
        <v>Preghiera</v>
      </c>
      <c r="M759" s="31" t="s">
        <v>573</v>
      </c>
      <c r="O759" s="31" t="s">
        <v>3793</v>
      </c>
      <c r="P759" s="31" t="s">
        <v>3828</v>
      </c>
      <c r="Q759" s="40">
        <v>20695</v>
      </c>
      <c r="R759" s="35">
        <f t="shared" si="177"/>
        <v>28</v>
      </c>
      <c r="S759" s="35"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5">
        <f t="shared" si="178"/>
        <v>1956</v>
      </c>
      <c r="U759" s="31"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6"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31"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31">
        <v>786</v>
      </c>
      <c r="Y759" s="31" t="str">
        <f t="shared" si="171"/>
        <v>['Pio XII', 'Preghiera', 'Preghiera a Maria SS.ma Madre degli orfani', 'pixii-pre-mmo', '28 agosto 1956', '28/08/1956', '1956/08/28'],</v>
      </c>
      <c r="Z759" s="31" t="str">
        <f t="shared" si="172"/>
        <v>Preghiera a Maria SS.ma Madre degli orfani (20695) | Pio XII</v>
      </c>
      <c r="AA759" s="31" t="str">
        <f t="shared" si="173"/>
        <v>Preghiera Preghiera a Maria SS.ma Madre degli orfani</v>
      </c>
      <c r="AB759" s="31" t="str">
        <f t="shared" si="174"/>
        <v>Preghiera Preghiera a Maria SS.ma Madre degli orfani</v>
      </c>
      <c r="AC759" s="31" t="str">
        <f t="shared" si="175"/>
        <v>Pio XII, Preghiera Preghiera a Maria SS.ma Madre degli orfani, 28 agosto 1956</v>
      </c>
      <c r="AD759" s="31" t="str">
        <f t="shared" si="176"/>
        <v>1956-08-28T08:00:00.000+02:00</v>
      </c>
      <c r="AE759" s="31" t="str">
        <f t="shared" si="183"/>
        <v>pixii-pre-mmo</v>
      </c>
      <c r="AF759" s="31" t="str">
        <f t="shared" si="184"/>
        <v>Pio XII - Preghiera - Preghiera a Maria SS.ma Madre degli orfani</v>
      </c>
    </row>
    <row r="760" spans="2:32" s="31" customFormat="1" x14ac:dyDescent="0.2">
      <c r="B760" s="31">
        <v>260</v>
      </c>
      <c r="C760" s="31" t="s">
        <v>3775</v>
      </c>
      <c r="D760" s="31" t="s">
        <v>715</v>
      </c>
      <c r="E760" s="31" t="s">
        <v>724</v>
      </c>
      <c r="F760" s="31" t="s">
        <v>663</v>
      </c>
      <c r="G760" s="31" t="s">
        <v>659</v>
      </c>
      <c r="H760" s="31" t="str">
        <f t="shared" si="181"/>
        <v>Pio XII</v>
      </c>
      <c r="K760" s="31" t="s">
        <v>834</v>
      </c>
      <c r="L760" s="31" t="str">
        <f t="shared" si="185"/>
        <v>Preghiera</v>
      </c>
      <c r="M760" s="31" t="s">
        <v>573</v>
      </c>
      <c r="O760" s="31" t="s">
        <v>3794</v>
      </c>
      <c r="P760" s="31" t="s">
        <v>3829</v>
      </c>
      <c r="Q760" s="40">
        <v>20653</v>
      </c>
      <c r="R760" s="35">
        <f t="shared" si="177"/>
        <v>17</v>
      </c>
      <c r="S760" s="35"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5">
        <f t="shared" si="178"/>
        <v>1956</v>
      </c>
      <c r="U760" s="31"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6"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31"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31">
        <v>787</v>
      </c>
      <c r="Y760" s="31" t="str">
        <f t="shared" si="171"/>
        <v>['Pio XII', 'Preghiera', 'Preghiera per la santificazione dei sacerdoti, da recitarsi dai fedeli', 'pixii-pre-sds', '17 luglio 1956', '17/07/1956', '1956/07/17'],</v>
      </c>
      <c r="Z760" s="31" t="str">
        <f t="shared" si="172"/>
        <v>Preghiera per la santificazione dei sacerdoti, da recitarsi dai fedeli (20653) | Pio XII</v>
      </c>
      <c r="AA760" s="31" t="str">
        <f t="shared" si="173"/>
        <v>Preghiera Preghiera per la santificazione dei sacerdoti, da recitarsi dai fedeli</v>
      </c>
      <c r="AB760" s="31" t="str">
        <f t="shared" si="174"/>
        <v>Preghiera Preghiera per la santificazione dei sacerdoti, da recitarsi dai fedeli</v>
      </c>
      <c r="AC760" s="31" t="str">
        <f t="shared" si="175"/>
        <v>Pio XII, Preghiera Preghiera per la santificazione dei sacerdoti, da recitarsi dai fedeli, 17 luglio 1956</v>
      </c>
      <c r="AD760" s="31" t="str">
        <f t="shared" si="176"/>
        <v>1956-07-17T08:00:00.000+02:00</v>
      </c>
      <c r="AE760" s="31" t="str">
        <f t="shared" si="183"/>
        <v>pixii-pre-sds</v>
      </c>
      <c r="AF760" s="31" t="str">
        <f t="shared" si="184"/>
        <v>Pio XII - Preghiera - Preghiera per la santificazione dei sacerdoti, da recitarsi dai fedeli</v>
      </c>
    </row>
    <row r="761" spans="2:32" s="31" customFormat="1" x14ac:dyDescent="0.2">
      <c r="B761" s="31">
        <v>260</v>
      </c>
      <c r="C761" s="31" t="s">
        <v>3810</v>
      </c>
      <c r="D761" s="31" t="s">
        <v>715</v>
      </c>
      <c r="E761" s="31" t="s">
        <v>724</v>
      </c>
      <c r="F761" s="31" t="s">
        <v>663</v>
      </c>
      <c r="G761" s="31" t="s">
        <v>659</v>
      </c>
      <c r="H761" s="31" t="str">
        <f t="shared" si="181"/>
        <v>Pio XII</v>
      </c>
      <c r="K761" s="31" t="s">
        <v>834</v>
      </c>
      <c r="L761" s="31" t="str">
        <f t="shared" ref="L761:L770" si="186">IF(J761&lt;&gt;"",_xlfn.CONCAT(J761 &amp; " " &amp; K761),K761)</f>
        <v>Preghiera</v>
      </c>
      <c r="M761" s="31" t="s">
        <v>573</v>
      </c>
      <c r="O761" s="31" t="s">
        <v>3800</v>
      </c>
      <c r="P761" s="31" t="s">
        <v>3830</v>
      </c>
      <c r="Q761" s="40">
        <v>20471</v>
      </c>
      <c r="R761" s="35">
        <f t="shared" si="177"/>
        <v>17</v>
      </c>
      <c r="S761" s="35"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5">
        <f t="shared" si="178"/>
        <v>1956</v>
      </c>
      <c r="U761" s="31"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6"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31"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31">
        <v>788</v>
      </c>
      <c r="Y761" s="31" t="str">
        <f t="shared" si="171"/>
        <v>['Pio XII', 'Preghiera', 'Preghiera alla SS.ma Vergine', 'pixii-pre-ssv', '17 gennaio 1956', '17/01/1956', '1956/01/17'],</v>
      </c>
      <c r="Z761" s="31" t="str">
        <f t="shared" si="172"/>
        <v>Preghiera alla SS.ma Vergine (20471) | Pio XII</v>
      </c>
      <c r="AA761" s="31" t="str">
        <f t="shared" si="173"/>
        <v>Preghiera Preghiera alla SS.ma Vergine</v>
      </c>
      <c r="AB761" s="31" t="str">
        <f t="shared" si="174"/>
        <v>Preghiera Preghiera alla SS.ma Vergine</v>
      </c>
      <c r="AC761" s="31" t="str">
        <f t="shared" si="175"/>
        <v>Pio XII, Preghiera Preghiera alla SS.ma Vergine, 17 gennaio 1956</v>
      </c>
      <c r="AD761" s="31" t="str">
        <f t="shared" si="176"/>
        <v>1956-01-17T08:00:00.000+02:00</v>
      </c>
      <c r="AE761" s="31" t="str">
        <f t="shared" si="183"/>
        <v>pixii-pre-ssv</v>
      </c>
      <c r="AF761" s="31" t="str">
        <f t="shared" si="184"/>
        <v>Pio XII - Preghiera - Preghiera alla SS.ma Vergine</v>
      </c>
    </row>
    <row r="762" spans="2:32" s="31" customFormat="1" x14ac:dyDescent="0.2">
      <c r="B762" s="31">
        <v>260</v>
      </c>
      <c r="C762" s="31" t="s">
        <v>3811</v>
      </c>
      <c r="D762" s="31" t="s">
        <v>715</v>
      </c>
      <c r="E762" s="31" t="s">
        <v>724</v>
      </c>
      <c r="F762" s="31" t="s">
        <v>663</v>
      </c>
      <c r="G762" s="31" t="s">
        <v>659</v>
      </c>
      <c r="H762" s="31" t="str">
        <f t="shared" si="181"/>
        <v>Pio XII</v>
      </c>
      <c r="K762" s="31" t="s">
        <v>834</v>
      </c>
      <c r="L762" s="31" t="str">
        <f t="shared" si="186"/>
        <v>Preghiera</v>
      </c>
      <c r="M762" s="31" t="s">
        <v>573</v>
      </c>
      <c r="O762" s="31" t="s">
        <v>3801</v>
      </c>
      <c r="P762" s="31" t="s">
        <v>3831</v>
      </c>
      <c r="Q762" s="40">
        <v>20029</v>
      </c>
      <c r="R762" s="35">
        <f t="shared" si="177"/>
        <v>1</v>
      </c>
      <c r="S762" s="35"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5">
        <f t="shared" si="178"/>
        <v>1954</v>
      </c>
      <c r="U762" s="31"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6"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31"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31">
        <v>789</v>
      </c>
      <c r="Y762" s="31" t="str">
        <f t="shared" si="171"/>
        <v>['Pio XII', 'Preghiera', 'Preghiera in onore di Maria Regina', 'pixii-pre-omr', '01 novembre 1954', '01/11/1954', '1954/11/01'],</v>
      </c>
      <c r="Z762" s="31" t="str">
        <f t="shared" si="172"/>
        <v>Preghiera in onore di Maria Regina (20029) | Pio XII</v>
      </c>
      <c r="AA762" s="31" t="str">
        <f t="shared" si="173"/>
        <v>Preghiera Preghiera in onore di Maria Regina</v>
      </c>
      <c r="AB762" s="31" t="str">
        <f t="shared" si="174"/>
        <v>Preghiera Preghiera in onore di Maria Regina</v>
      </c>
      <c r="AC762" s="31" t="str">
        <f t="shared" si="175"/>
        <v>Pio XII, Preghiera Preghiera in onore di Maria Regina, 01 novembre 1954</v>
      </c>
      <c r="AD762" s="31" t="str">
        <f t="shared" si="176"/>
        <v>1954-11-01T08:00:00.000+02:00</v>
      </c>
      <c r="AE762" s="31" t="str">
        <f t="shared" si="183"/>
        <v>pixii-pre-omr</v>
      </c>
      <c r="AF762" s="31" t="str">
        <f t="shared" si="184"/>
        <v>Pio XII - Preghiera - Preghiera in onore di Maria Regina</v>
      </c>
    </row>
    <row r="763" spans="2:32" s="31" customFormat="1" x14ac:dyDescent="0.2">
      <c r="B763" s="31">
        <v>260</v>
      </c>
      <c r="C763" s="31" t="s">
        <v>3812</v>
      </c>
      <c r="D763" s="31" t="s">
        <v>715</v>
      </c>
      <c r="E763" s="31" t="s">
        <v>724</v>
      </c>
      <c r="F763" s="31" t="s">
        <v>663</v>
      </c>
      <c r="G763" s="31" t="s">
        <v>659</v>
      </c>
      <c r="H763" s="31" t="str">
        <f t="shared" si="181"/>
        <v>Pio XII</v>
      </c>
      <c r="K763" s="31" t="s">
        <v>834</v>
      </c>
      <c r="L763" s="31" t="str">
        <f t="shared" si="186"/>
        <v>Preghiera</v>
      </c>
      <c r="M763" s="31" t="s">
        <v>573</v>
      </c>
      <c r="O763" s="31" t="s">
        <v>3802</v>
      </c>
      <c r="P763" s="31" t="s">
        <v>3832</v>
      </c>
      <c r="Q763" s="40">
        <v>20029</v>
      </c>
      <c r="R763" s="35">
        <f t="shared" si="177"/>
        <v>1</v>
      </c>
      <c r="S763" s="35"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5">
        <f t="shared" si="178"/>
        <v>1954</v>
      </c>
      <c r="U763" s="31"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6"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31"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31">
        <v>790</v>
      </c>
      <c r="Y763" s="31" t="str">
        <f t="shared" si="171"/>
        <v>['Pio XII', 'Preghiera', 'Preghiera della «Madonna dell'aiuto»', 'pixii-pre-mda', '01 novembre 1954', '01/11/1954', '1954/11/01'],</v>
      </c>
      <c r="Z763" s="31" t="str">
        <f t="shared" si="172"/>
        <v>Preghiera della «Madonna dell'aiuto» (20029) | Pio XII</v>
      </c>
      <c r="AA763" s="31" t="str">
        <f t="shared" si="173"/>
        <v>Preghiera Preghiera della «Madonna dell'aiuto»</v>
      </c>
      <c r="AB763" s="31" t="str">
        <f t="shared" si="174"/>
        <v>Preghiera Preghiera della «Madonna dell'aiuto»</v>
      </c>
      <c r="AC763" s="31" t="str">
        <f t="shared" si="175"/>
        <v>Pio XII, Preghiera Preghiera della «Madonna dell'aiuto», 01 novembre 1954</v>
      </c>
      <c r="AD763" s="31" t="str">
        <f t="shared" si="176"/>
        <v>1954-11-01T08:00:00.000+02:00</v>
      </c>
      <c r="AE763" s="31" t="str">
        <f t="shared" si="183"/>
        <v>pixii-pre-mda</v>
      </c>
      <c r="AF763" s="31" t="str">
        <f t="shared" si="184"/>
        <v>Pio XII - Preghiera - Preghiera della «Madonna dell'aiuto»</v>
      </c>
    </row>
    <row r="764" spans="2:32" s="31" customFormat="1" x14ac:dyDescent="0.2">
      <c r="B764" s="31">
        <v>260</v>
      </c>
      <c r="C764" s="31" t="s">
        <v>3813</v>
      </c>
      <c r="D764" s="31" t="s">
        <v>715</v>
      </c>
      <c r="E764" s="31" t="s">
        <v>724</v>
      </c>
      <c r="F764" s="31" t="s">
        <v>663</v>
      </c>
      <c r="G764" s="31" t="s">
        <v>659</v>
      </c>
      <c r="H764" s="31" t="str">
        <f t="shared" si="181"/>
        <v>Pio XII</v>
      </c>
      <c r="K764" s="31" t="s">
        <v>834</v>
      </c>
      <c r="L764" s="31" t="str">
        <f t="shared" si="186"/>
        <v>Preghiera</v>
      </c>
      <c r="M764" s="31" t="s">
        <v>573</v>
      </c>
      <c r="O764" s="31" t="s">
        <v>3803</v>
      </c>
      <c r="P764" s="31" t="s">
        <v>3833</v>
      </c>
      <c r="Q764" s="40">
        <v>20028</v>
      </c>
      <c r="R764" s="35">
        <f t="shared" si="177"/>
        <v>31</v>
      </c>
      <c r="S764" s="35"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5">
        <f t="shared" si="178"/>
        <v>1954</v>
      </c>
      <c r="U764" s="31"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6"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31"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31">
        <v>791</v>
      </c>
      <c r="Y764" s="31" t="str">
        <f t="shared" si="171"/>
        <v>['Pio XII', 'Preghiera', 'Preghiera della famiglia cristiana', 'pixii-pre-dfc', '31 ottobre 1954', '31/10/1954', '1954/10/31'],</v>
      </c>
      <c r="Z764" s="31" t="str">
        <f t="shared" si="172"/>
        <v>Preghiera della famiglia cristiana (20028) | Pio XII</v>
      </c>
      <c r="AA764" s="31" t="str">
        <f t="shared" si="173"/>
        <v>Preghiera Preghiera della famiglia cristiana</v>
      </c>
      <c r="AB764" s="31" t="str">
        <f t="shared" si="174"/>
        <v>Preghiera Preghiera della famiglia cristiana</v>
      </c>
      <c r="AC764" s="31" t="str">
        <f t="shared" si="175"/>
        <v>Pio XII, Preghiera Preghiera della famiglia cristiana, 31 ottobre 1954</v>
      </c>
      <c r="AD764" s="31" t="str">
        <f t="shared" si="176"/>
        <v>1954-10-31T08:00:00.000+02:00</v>
      </c>
      <c r="AE764" s="31" t="str">
        <f t="shared" si="183"/>
        <v>pixii-pre-dfc</v>
      </c>
      <c r="AF764" s="31" t="str">
        <f t="shared" si="184"/>
        <v>Pio XII - Preghiera - Preghiera della famiglia cristiana</v>
      </c>
    </row>
    <row r="765" spans="2:32" s="31" customFormat="1" x14ac:dyDescent="0.2">
      <c r="B765" s="31">
        <v>260</v>
      </c>
      <c r="C765" s="31" t="s">
        <v>3814</v>
      </c>
      <c r="D765" s="31" t="s">
        <v>715</v>
      </c>
      <c r="E765" s="31" t="s">
        <v>724</v>
      </c>
      <c r="F765" s="31" t="s">
        <v>663</v>
      </c>
      <c r="G765" s="31" t="s">
        <v>659</v>
      </c>
      <c r="H765" s="31" t="str">
        <f t="shared" si="181"/>
        <v>Pio XII</v>
      </c>
      <c r="K765" s="31" t="s">
        <v>834</v>
      </c>
      <c r="L765" s="31" t="str">
        <f t="shared" si="186"/>
        <v>Preghiera</v>
      </c>
      <c r="M765" s="31" t="s">
        <v>573</v>
      </c>
      <c r="O765" s="31" t="s">
        <v>3804</v>
      </c>
      <c r="P765" s="31" t="s">
        <v>3834</v>
      </c>
      <c r="Q765" s="40">
        <v>20008</v>
      </c>
      <c r="R765" s="35">
        <f t="shared" si="177"/>
        <v>11</v>
      </c>
      <c r="S765" s="35"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5">
        <f t="shared" si="178"/>
        <v>1954</v>
      </c>
      <c r="U765" s="31"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6"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31"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31">
        <v>792</v>
      </c>
      <c r="Y765" s="31" t="str">
        <f t="shared" si="171"/>
        <v>['Pio XII', 'Preghiera', 'Preghiera degli esploratori', 'pixii-pre-des', '11 ottobre 1954', '11/10/1954', '1954/10/11'],</v>
      </c>
      <c r="Z765" s="31" t="str">
        <f t="shared" si="172"/>
        <v>Preghiera degli esploratori (20008) | Pio XII</v>
      </c>
      <c r="AA765" s="31" t="str">
        <f t="shared" si="173"/>
        <v>Preghiera Preghiera degli esploratori</v>
      </c>
      <c r="AB765" s="31" t="str">
        <f t="shared" si="174"/>
        <v>Preghiera Preghiera degli esploratori</v>
      </c>
      <c r="AC765" s="31" t="str">
        <f t="shared" si="175"/>
        <v>Pio XII, Preghiera Preghiera degli esploratori, 11 ottobre 1954</v>
      </c>
      <c r="AD765" s="31" t="str">
        <f t="shared" si="176"/>
        <v>1954-10-11T08:00:00.000+02:00</v>
      </c>
      <c r="AE765" s="31" t="str">
        <f t="shared" si="183"/>
        <v>pixii-pre-des</v>
      </c>
      <c r="AF765" s="31" t="str">
        <f t="shared" si="184"/>
        <v>Pio XII - Preghiera - Preghiera degli esploratori</v>
      </c>
    </row>
    <row r="766" spans="2:32" s="31" customFormat="1" x14ac:dyDescent="0.2">
      <c r="B766" s="31">
        <v>260</v>
      </c>
      <c r="C766" s="31" t="s">
        <v>3815</v>
      </c>
      <c r="D766" s="31" t="s">
        <v>715</v>
      </c>
      <c r="E766" s="31" t="s">
        <v>724</v>
      </c>
      <c r="F766" s="31" t="s">
        <v>663</v>
      </c>
      <c r="G766" s="31" t="s">
        <v>659</v>
      </c>
      <c r="H766" s="31" t="str">
        <f t="shared" si="181"/>
        <v>Pio XII</v>
      </c>
      <c r="K766" s="31" t="s">
        <v>834</v>
      </c>
      <c r="L766" s="31" t="str">
        <f t="shared" si="186"/>
        <v>Preghiera</v>
      </c>
      <c r="M766" s="31" t="s">
        <v>573</v>
      </c>
      <c r="O766" s="31" t="s">
        <v>3805</v>
      </c>
      <c r="P766" s="31" t="s">
        <v>3835</v>
      </c>
      <c r="Q766" s="40">
        <v>19978</v>
      </c>
      <c r="R766" s="35">
        <f t="shared" si="177"/>
        <v>11</v>
      </c>
      <c r="S766" s="35"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5">
        <f t="shared" si="178"/>
        <v>1954</v>
      </c>
      <c r="U766" s="31"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6"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31"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31">
        <v>793</v>
      </c>
      <c r="Y766" s="31" t="str">
        <f t="shared" si="171"/>
        <v>['Pio XII', 'Preghiera', 'Preghiera in riparazione del grande peccato della bestemmia', 'pixii-pre-rpb', '11 settembre 1954', '11/09/1954', '1954/09/11'],</v>
      </c>
      <c r="Z766" s="31" t="str">
        <f t="shared" si="172"/>
        <v>Preghiera in riparazione del grande peccato della bestemmia (19978) | Pio XII</v>
      </c>
      <c r="AA766" s="31" t="str">
        <f t="shared" si="173"/>
        <v>Preghiera Preghiera in riparazione del grande peccato della bestemmia</v>
      </c>
      <c r="AB766" s="31" t="str">
        <f t="shared" si="174"/>
        <v>Preghiera Preghiera in riparazione del grande peccato della bestemmia</v>
      </c>
      <c r="AC766" s="31" t="str">
        <f t="shared" si="175"/>
        <v>Pio XII, Preghiera Preghiera in riparazione del grande peccato della bestemmia, 11 settembre 1954</v>
      </c>
      <c r="AD766" s="31" t="str">
        <f t="shared" si="176"/>
        <v>1954-09-11T08:00:00.000+02:00</v>
      </c>
      <c r="AE766" s="31" t="str">
        <f t="shared" si="183"/>
        <v>pixii-pre-rpb</v>
      </c>
      <c r="AF766" s="31" t="str">
        <f t="shared" si="184"/>
        <v>Pio XII - Preghiera - Preghiera in riparazione del grande peccato della bestemmia</v>
      </c>
    </row>
    <row r="767" spans="2:32" s="31" customFormat="1" x14ac:dyDescent="0.2">
      <c r="B767" s="31">
        <v>260</v>
      </c>
      <c r="C767" s="31" t="s">
        <v>3816</v>
      </c>
      <c r="D767" s="31" t="s">
        <v>715</v>
      </c>
      <c r="E767" s="31" t="s">
        <v>724</v>
      </c>
      <c r="F767" s="31" t="s">
        <v>663</v>
      </c>
      <c r="G767" s="31" t="s">
        <v>659</v>
      </c>
      <c r="H767" s="31" t="str">
        <f t="shared" si="181"/>
        <v>Pio XII</v>
      </c>
      <c r="K767" s="31" t="s">
        <v>834</v>
      </c>
      <c r="L767" s="31" t="str">
        <f t="shared" si="186"/>
        <v>Preghiera</v>
      </c>
      <c r="M767" s="31" t="s">
        <v>573</v>
      </c>
      <c r="O767" s="31" t="s">
        <v>3806</v>
      </c>
      <c r="P767" s="31" t="s">
        <v>3836</v>
      </c>
      <c r="Q767" s="40">
        <v>19802</v>
      </c>
      <c r="R767" s="35">
        <f t="shared" si="177"/>
        <v>19</v>
      </c>
      <c r="S767" s="35"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5">
        <f t="shared" si="178"/>
        <v>1954</v>
      </c>
      <c r="U767" s="31"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6"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31"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31">
        <v>794</v>
      </c>
      <c r="Y767" s="31" t="str">
        <f t="shared" si="171"/>
        <v>['Pio XII', 'Preghiera', 'Preghiera dei bambini per la pace', 'pixii-pre-bpp', '19 marzo 1954', '19/03/1954', '1954/03/19'],</v>
      </c>
      <c r="Z767" s="31" t="str">
        <f t="shared" si="172"/>
        <v>Preghiera dei bambini per la pace (19802) | Pio XII</v>
      </c>
      <c r="AA767" s="31" t="str">
        <f t="shared" si="173"/>
        <v>Preghiera Preghiera dei bambini per la pace</v>
      </c>
      <c r="AB767" s="31" t="str">
        <f t="shared" si="174"/>
        <v>Preghiera Preghiera dei bambini per la pace</v>
      </c>
      <c r="AC767" s="31" t="str">
        <f t="shared" si="175"/>
        <v>Pio XII, Preghiera Preghiera dei bambini per la pace, 19 marzo 1954</v>
      </c>
      <c r="AD767" s="31" t="str">
        <f t="shared" si="176"/>
        <v>1954-03-19T08:00:00.000+02:00</v>
      </c>
      <c r="AE767" s="31" t="str">
        <f t="shared" si="183"/>
        <v>pixii-pre-bpp</v>
      </c>
      <c r="AF767" s="31" t="str">
        <f t="shared" si="184"/>
        <v>Pio XII - Preghiera - Preghiera dei bambini per la pace</v>
      </c>
    </row>
    <row r="768" spans="2:32" s="31" customFormat="1" x14ac:dyDescent="0.2">
      <c r="B768" s="31">
        <v>260</v>
      </c>
      <c r="C768" s="31" t="s">
        <v>3817</v>
      </c>
      <c r="D768" s="31" t="s">
        <v>715</v>
      </c>
      <c r="E768" s="31" t="s">
        <v>724</v>
      </c>
      <c r="F768" s="31" t="s">
        <v>663</v>
      </c>
      <c r="G768" s="31" t="s">
        <v>659</v>
      </c>
      <c r="H768" s="31" t="str">
        <f t="shared" si="181"/>
        <v>Pio XII</v>
      </c>
      <c r="K768" s="31" t="s">
        <v>834</v>
      </c>
      <c r="L768" s="31" t="str">
        <f t="shared" si="186"/>
        <v>Preghiera</v>
      </c>
      <c r="M768" s="31" t="s">
        <v>573</v>
      </c>
      <c r="O768" s="31" t="s">
        <v>3807</v>
      </c>
      <c r="P768" s="31" t="s">
        <v>3837</v>
      </c>
      <c r="Q768" s="40">
        <v>19684</v>
      </c>
      <c r="R768" s="35">
        <f t="shared" si="177"/>
        <v>21</v>
      </c>
      <c r="S768" s="35"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5">
        <f t="shared" si="178"/>
        <v>1953</v>
      </c>
      <c r="U768" s="31"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6"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31"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31">
        <v>795</v>
      </c>
      <c r="Y768" s="31" t="str">
        <f t="shared" si="171"/>
        <v>['Pio XII', 'Preghiera', 'Preghiera alla Beata Vergine Maria in occasione della Festa della Presentazione di Maria nell'Anno Mariano', 'pixii-pre-bvm', '21 novembre 1953', '21/11/1953', '1953/11/21'],</v>
      </c>
      <c r="Z768" s="31" t="str">
        <f t="shared" si="172"/>
        <v>Preghiera alla Beata Vergine Maria in occasione della Festa della Presentazione di Maria nell'Anno Mariano (19684) | Pio XII</v>
      </c>
      <c r="AA768" s="31" t="str">
        <f t="shared" si="173"/>
        <v>Preghiera Preghiera alla Beata Vergine Maria in occasione della Festa della Presentazione di Maria nell'Anno Mariano</v>
      </c>
      <c r="AB768" s="31" t="str">
        <f t="shared" si="174"/>
        <v>Preghiera Preghiera alla Beata Vergine Maria in occasione della Festa della Presentazione di Maria nell'Anno Mariano</v>
      </c>
      <c r="AC768" s="31" t="str">
        <f t="shared" si="175"/>
        <v>Pio XII, Preghiera Preghiera alla Beata Vergine Maria in occasione della Festa della Presentazione di Maria nell'Anno Mariano, 21 novembre 1953</v>
      </c>
      <c r="AD768" s="31" t="str">
        <f t="shared" si="176"/>
        <v>1953-11-21T08:00:00.000+02:00</v>
      </c>
      <c r="AE768" s="31" t="str">
        <f t="shared" si="183"/>
        <v>pixii-pre-bvm</v>
      </c>
      <c r="AF768" s="31" t="str">
        <f t="shared" si="184"/>
        <v>Pio XII - Preghiera - Preghiera alla Beata Vergine Maria in occasione della Festa della Presentazione di Maria nell'Anno Mariano</v>
      </c>
    </row>
    <row r="769" spans="2:32" s="31" customFormat="1" x14ac:dyDescent="0.2">
      <c r="B769" s="31">
        <v>260</v>
      </c>
      <c r="C769" s="31" t="s">
        <v>3818</v>
      </c>
      <c r="D769" s="31" t="s">
        <v>715</v>
      </c>
      <c r="E769" s="31" t="s">
        <v>724</v>
      </c>
      <c r="F769" s="31" t="s">
        <v>663</v>
      </c>
      <c r="G769" s="31" t="s">
        <v>659</v>
      </c>
      <c r="H769" s="31" t="str">
        <f t="shared" si="181"/>
        <v>Pio XII</v>
      </c>
      <c r="K769" s="31" t="s">
        <v>834</v>
      </c>
      <c r="L769" s="31" t="str">
        <f t="shared" si="186"/>
        <v>Preghiera</v>
      </c>
      <c r="M769" s="31" t="s">
        <v>573</v>
      </c>
      <c r="O769" s="31" t="s">
        <v>3808</v>
      </c>
      <c r="P769" s="31" t="s">
        <v>3838</v>
      </c>
      <c r="Q769" s="40">
        <v>18568</v>
      </c>
      <c r="R769" s="35">
        <f t="shared" si="177"/>
        <v>1</v>
      </c>
      <c r="S769" s="35"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5">
        <f t="shared" si="178"/>
        <v>1950</v>
      </c>
      <c r="U769" s="31"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6"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31"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31">
        <v>796</v>
      </c>
      <c r="Y769" s="31" t="str">
        <f t="shared" si="171"/>
        <v>['Pio XII', 'Preghiera', 'Preghiera alla Vergine, Assunta in cielo', 'pixii-pre-vac', '01 novembre 1950', '01/11/1950', '1950/11/01'],</v>
      </c>
      <c r="Z769" s="31" t="str">
        <f t="shared" si="172"/>
        <v>Preghiera alla Vergine, Assunta in cielo (18568) | Pio XII</v>
      </c>
      <c r="AA769" s="31" t="str">
        <f t="shared" si="173"/>
        <v>Preghiera Preghiera alla Vergine, Assunta in cielo</v>
      </c>
      <c r="AB769" s="31" t="str">
        <f t="shared" si="174"/>
        <v>Preghiera Preghiera alla Vergine, Assunta in cielo</v>
      </c>
      <c r="AC769" s="31" t="str">
        <f t="shared" si="175"/>
        <v>Pio XII, Preghiera Preghiera alla Vergine, Assunta in cielo, 01 novembre 1950</v>
      </c>
      <c r="AD769" s="31" t="str">
        <f t="shared" si="176"/>
        <v>1950-11-01T08:00:00.000+02:00</v>
      </c>
      <c r="AE769" s="31" t="str">
        <f t="shared" si="183"/>
        <v>pixii-pre-vac</v>
      </c>
      <c r="AF769" s="31" t="str">
        <f t="shared" si="184"/>
        <v>Pio XII - Preghiera - Preghiera alla Vergine, Assunta in cielo</v>
      </c>
    </row>
    <row r="770" spans="2:32" s="31" customFormat="1" x14ac:dyDescent="0.2">
      <c r="B770" s="31">
        <v>260</v>
      </c>
      <c r="C770" s="31" t="s">
        <v>3819</v>
      </c>
      <c r="D770" s="31" t="s">
        <v>715</v>
      </c>
      <c r="E770" s="31" t="s">
        <v>724</v>
      </c>
      <c r="F770" s="31" t="s">
        <v>663</v>
      </c>
      <c r="G770" s="31" t="s">
        <v>659</v>
      </c>
      <c r="H770" s="31" t="str">
        <f t="shared" si="181"/>
        <v>Pio XII</v>
      </c>
      <c r="K770" s="31" t="s">
        <v>834</v>
      </c>
      <c r="L770" s="31" t="str">
        <f t="shared" si="186"/>
        <v>Preghiera</v>
      </c>
      <c r="M770" s="31" t="s">
        <v>573</v>
      </c>
      <c r="O770" s="31" t="s">
        <v>3809</v>
      </c>
      <c r="P770" s="31" t="s">
        <v>3839</v>
      </c>
      <c r="Q770" s="40">
        <v>15683</v>
      </c>
      <c r="R770" s="35">
        <f t="shared" si="177"/>
        <v>8</v>
      </c>
      <c r="S770" s="35"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5">
        <f t="shared" si="178"/>
        <v>1942</v>
      </c>
      <c r="U770" s="31"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6"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31"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31">
        <v>797</v>
      </c>
      <c r="Y770" s="31" t="str">
        <f t="shared" ref="Y770:Y815" si="187">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31" t="str">
        <f t="shared" ref="Z770:Z815" si="188">_xlfn.CONCAT(O770 &amp; " (" &amp; Q770 &amp; ") | " &amp; D770 &amp; " " &amp; E770)</f>
        <v>Preghiera per la consacrazione della Chiesa e del genere umano al Cuore Immacolato di Maria (15683) | Pio XII</v>
      </c>
      <c r="AA770" s="31" t="str">
        <f t="shared" ref="AA770:AA815" si="189">_xlfn.CONCAT(K770 &amp; " " &amp; O770)</f>
        <v>Preghiera Preghiera per la consacrazione della Chiesa e del genere umano al Cuore Immacolato di Maria</v>
      </c>
      <c r="AB770" s="31" t="str">
        <f t="shared" ref="AB770:AB815" si="190">_xlfn.CONCAT(K770 &amp; " " &amp; O770)</f>
        <v>Preghiera Preghiera per la consacrazione della Chiesa e del genere umano al Cuore Immacolato di Maria</v>
      </c>
      <c r="AC770" s="31" t="str">
        <f t="shared" ref="AC770:AC815" si="191">_xlfn.CONCAT(H770 &amp; ", " &amp; L770 &amp; " " &amp; O770 &amp; ", " &amp; LEFT(U770,2) &amp; " " &amp; TEXT(VALUE(MID(U770,4,2))*29,"mmmm") &amp; " " &amp; RIGHT(U770,4))</f>
        <v>Pio XII, Preghiera Preghiera per la consacrazione della Chiesa e del genere umano al Cuore Immacolato di Maria, 08 dicembre 1942</v>
      </c>
      <c r="AD770" s="31" t="str">
        <f t="shared" ref="AD770:AD815" si="192">_xlfn.CONCAT(RIGHT(U770,4) &amp; "-" &amp; MID(U770,4,2) &amp; "-" &amp; LEFT(U770,2) &amp; "T08:00:00.000+02:00")</f>
        <v>1942-12-08T08:00:00.000+02:00</v>
      </c>
      <c r="AE770" s="31" t="str">
        <f t="shared" si="183"/>
        <v>pixii-pre-ccg</v>
      </c>
      <c r="AF770" s="31" t="str">
        <f t="shared" si="184"/>
        <v>Pio XII - Preghiera - Preghiera per la consacrazione della Chiesa e del genere umano al Cuore Immacolato di Maria</v>
      </c>
    </row>
    <row r="771" spans="2:32" s="31" customFormat="1" x14ac:dyDescent="0.2">
      <c r="B771" s="31">
        <v>260</v>
      </c>
      <c r="C771" s="31" t="s">
        <v>3852</v>
      </c>
      <c r="D771" s="31" t="s">
        <v>715</v>
      </c>
      <c r="E771" s="31" t="s">
        <v>724</v>
      </c>
      <c r="F771" s="31" t="s">
        <v>663</v>
      </c>
      <c r="G771" s="31" t="s">
        <v>659</v>
      </c>
      <c r="H771" s="31" t="str">
        <f t="shared" si="181"/>
        <v>Pio XII</v>
      </c>
      <c r="I771" s="31" t="s">
        <v>603</v>
      </c>
      <c r="J771" s="31" t="s">
        <v>829</v>
      </c>
      <c r="K771" s="31" t="s">
        <v>694</v>
      </c>
      <c r="L771" s="31" t="str">
        <f t="shared" si="182"/>
        <v>Lettera Enciclica</v>
      </c>
      <c r="M771" s="31" t="s">
        <v>579</v>
      </c>
      <c r="O771" s="31" t="s">
        <v>3840</v>
      </c>
      <c r="P771" s="31" t="s">
        <v>3951</v>
      </c>
      <c r="Q771" s="40">
        <v>21380</v>
      </c>
      <c r="R771" s="35">
        <f t="shared" si="177"/>
        <v>14</v>
      </c>
      <c r="S771" s="35"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5">
        <f t="shared" si="178"/>
        <v>1958</v>
      </c>
      <c r="U771" s="31"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6"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31"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31">
        <v>798</v>
      </c>
      <c r="Y771" s="31" t="str">
        <f t="shared" si="187"/>
        <v>['Pio XII', 'Enciclica', 'Meminisse Iuvat', 'pixii-enc-mei', '14 luglio 1958', '14/07/1958', '1958/07/14'],</v>
      </c>
      <c r="Z771" s="31" t="str">
        <f t="shared" si="188"/>
        <v>Meminisse Iuvat (21380) | Pio XII</v>
      </c>
      <c r="AA771" s="31" t="str">
        <f t="shared" si="189"/>
        <v>Enciclica Meminisse Iuvat</v>
      </c>
      <c r="AB771" s="31" t="str">
        <f t="shared" si="190"/>
        <v>Enciclica Meminisse Iuvat</v>
      </c>
      <c r="AC771" s="31" t="str">
        <f t="shared" si="191"/>
        <v>Pio XII, Lettera Enciclica Meminisse Iuvat, 14 luglio 1958</v>
      </c>
      <c r="AD771" s="31" t="str">
        <f t="shared" si="192"/>
        <v>1958-07-14T08:00:00.000+02:00</v>
      </c>
      <c r="AE771" s="31" t="str">
        <f t="shared" si="183"/>
        <v>pixii-enc-mei</v>
      </c>
      <c r="AF771" s="31" t="str">
        <f t="shared" si="184"/>
        <v>Pio XII - Lettera Enciclica - Meminisse Iuvat</v>
      </c>
    </row>
    <row r="772" spans="2:32" s="31" customFormat="1" x14ac:dyDescent="0.2">
      <c r="B772" s="31">
        <v>260</v>
      </c>
      <c r="C772" s="31" t="s">
        <v>3853</v>
      </c>
      <c r="D772" s="31" t="s">
        <v>715</v>
      </c>
      <c r="E772" s="31" t="s">
        <v>724</v>
      </c>
      <c r="F772" s="31" t="s">
        <v>663</v>
      </c>
      <c r="G772" s="31" t="s">
        <v>659</v>
      </c>
      <c r="H772" s="31" t="str">
        <f t="shared" si="181"/>
        <v>Pio XII</v>
      </c>
      <c r="I772" s="31" t="s">
        <v>603</v>
      </c>
      <c r="J772" s="31" t="s">
        <v>829</v>
      </c>
      <c r="K772" s="31" t="s">
        <v>694</v>
      </c>
      <c r="L772" s="31" t="str">
        <f t="shared" ref="L772:L811" si="193">IF(J772&lt;&gt;"",_xlfn.CONCAT(J772 &amp; " " &amp; K772),K772)</f>
        <v>Lettera Enciclica</v>
      </c>
      <c r="M772" s="31" t="s">
        <v>579</v>
      </c>
      <c r="O772" s="31" t="s">
        <v>3841</v>
      </c>
      <c r="P772" s="31" t="s">
        <v>3950</v>
      </c>
      <c r="Q772" s="40">
        <v>21365</v>
      </c>
      <c r="R772" s="35">
        <f t="shared" si="177"/>
        <v>29</v>
      </c>
      <c r="S772" s="35"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5">
        <f t="shared" si="178"/>
        <v>1958</v>
      </c>
      <c r="U772" s="31"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6"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31"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31">
        <v>799</v>
      </c>
      <c r="Y772" s="31" t="str">
        <f t="shared" si="187"/>
        <v>['Pio XII', 'Enciclica', 'Ad Apostolorum Principis', 'pixii-enc-aap', '29 giugno 1958', '29/06/1958', '1958/06/29'],</v>
      </c>
      <c r="Z772" s="31" t="str">
        <f t="shared" si="188"/>
        <v>Ad Apostolorum Principis (21365) | Pio XII</v>
      </c>
      <c r="AA772" s="31" t="str">
        <f t="shared" si="189"/>
        <v>Enciclica Ad Apostolorum Principis</v>
      </c>
      <c r="AB772" s="31" t="str">
        <f t="shared" si="190"/>
        <v>Enciclica Ad Apostolorum Principis</v>
      </c>
      <c r="AC772" s="31" t="str">
        <f t="shared" si="191"/>
        <v>Pio XII, Lettera Enciclica Ad Apostolorum Principis, 29 giugno 1958</v>
      </c>
      <c r="AD772" s="31" t="str">
        <f t="shared" si="192"/>
        <v>1958-06-29T08:00:00.000+02:00</v>
      </c>
      <c r="AE772" s="31" t="str">
        <f t="shared" si="183"/>
        <v>pixii-enc-aap</v>
      </c>
      <c r="AF772" s="31" t="str">
        <f t="shared" si="184"/>
        <v>Pio XII - Lettera Enciclica - Ad Apostolorum Principis</v>
      </c>
    </row>
    <row r="773" spans="2:32" s="31" customFormat="1" x14ac:dyDescent="0.2">
      <c r="B773" s="31">
        <v>260</v>
      </c>
      <c r="C773" s="31" t="s">
        <v>3854</v>
      </c>
      <c r="D773" s="31" t="s">
        <v>715</v>
      </c>
      <c r="E773" s="31" t="s">
        <v>724</v>
      </c>
      <c r="F773" s="31" t="s">
        <v>663</v>
      </c>
      <c r="G773" s="31" t="s">
        <v>659</v>
      </c>
      <c r="H773" s="31" t="str">
        <f t="shared" si="181"/>
        <v>Pio XII</v>
      </c>
      <c r="I773" s="31" t="s">
        <v>603</v>
      </c>
      <c r="J773" s="31" t="s">
        <v>829</v>
      </c>
      <c r="K773" s="31" t="s">
        <v>694</v>
      </c>
      <c r="L773" s="31" t="str">
        <f t="shared" si="193"/>
        <v>Lettera Enciclica</v>
      </c>
      <c r="M773" s="31" t="s">
        <v>579</v>
      </c>
      <c r="O773" s="31" t="s">
        <v>3842</v>
      </c>
      <c r="P773" s="31" t="s">
        <v>3949</v>
      </c>
      <c r="Q773" s="40">
        <v>21071</v>
      </c>
      <c r="R773" s="35">
        <f t="shared" si="177"/>
        <v>8</v>
      </c>
      <c r="S773" s="35"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5">
        <f t="shared" si="178"/>
        <v>1957</v>
      </c>
      <c r="U773" s="31"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6"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31"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31">
        <v>800</v>
      </c>
      <c r="Y773" s="31" t="str">
        <f t="shared" si="187"/>
        <v>['Pio XII', 'Enciclica', 'Miranda Prorsus', 'pixii-enc-mip', '08 settembre 1957', '08/09/1957', '1957/09/08'],</v>
      </c>
      <c r="Z773" s="31" t="str">
        <f t="shared" si="188"/>
        <v>Miranda Prorsus (21071) | Pio XII</v>
      </c>
      <c r="AA773" s="31" t="str">
        <f t="shared" si="189"/>
        <v>Enciclica Miranda Prorsus</v>
      </c>
      <c r="AB773" s="31" t="str">
        <f t="shared" si="190"/>
        <v>Enciclica Miranda Prorsus</v>
      </c>
      <c r="AC773" s="31" t="str">
        <f t="shared" si="191"/>
        <v>Pio XII, Lettera Enciclica Miranda Prorsus, 08 settembre 1957</v>
      </c>
      <c r="AD773" s="31" t="str">
        <f t="shared" si="192"/>
        <v>1957-09-08T08:00:00.000+02:00</v>
      </c>
      <c r="AE773" s="31" t="str">
        <f t="shared" si="183"/>
        <v>pixii-enc-mip</v>
      </c>
      <c r="AF773" s="31" t="str">
        <f t="shared" si="184"/>
        <v>Pio XII - Lettera Enciclica - Miranda Prorsus</v>
      </c>
    </row>
    <row r="774" spans="2:32" s="31" customFormat="1" x14ac:dyDescent="0.2">
      <c r="B774" s="31">
        <v>260</v>
      </c>
      <c r="C774" s="31" t="s">
        <v>3855</v>
      </c>
      <c r="D774" s="31" t="s">
        <v>715</v>
      </c>
      <c r="E774" s="31" t="s">
        <v>724</v>
      </c>
      <c r="F774" s="31" t="s">
        <v>663</v>
      </c>
      <c r="G774" s="31" t="s">
        <v>659</v>
      </c>
      <c r="H774" s="31" t="str">
        <f t="shared" si="181"/>
        <v>Pio XII</v>
      </c>
      <c r="I774" s="31" t="s">
        <v>603</v>
      </c>
      <c r="J774" s="31" t="s">
        <v>829</v>
      </c>
      <c r="K774" s="31" t="s">
        <v>694</v>
      </c>
      <c r="L774" s="31" t="str">
        <f t="shared" si="193"/>
        <v>Lettera Enciclica</v>
      </c>
      <c r="M774" s="31" t="s">
        <v>579</v>
      </c>
      <c r="O774" s="31" t="s">
        <v>5097</v>
      </c>
      <c r="P774" s="31" t="s">
        <v>3948</v>
      </c>
      <c r="Q774" s="40">
        <v>21003</v>
      </c>
      <c r="R774" s="35">
        <f t="shared" si="177"/>
        <v>2</v>
      </c>
      <c r="S774" s="35"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5">
        <f t="shared" si="178"/>
        <v>1957</v>
      </c>
      <c r="U774" s="31"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6"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31"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31">
        <v>801</v>
      </c>
      <c r="Y774" s="31" t="str">
        <f t="shared" si="187"/>
        <v>['Pio XII', 'Enciclica', 'Le Pèlerinage de Lourdes', 'pixii-enc-lpl', '02 luglio 1957', '02/07/1957', '1957/07/02'],</v>
      </c>
      <c r="Z774" s="31" t="str">
        <f t="shared" si="188"/>
        <v>Le Pèlerinage de Lourdes (21003) | Pio XII</v>
      </c>
      <c r="AA774" s="31" t="str">
        <f t="shared" si="189"/>
        <v>Enciclica Le Pèlerinage de Lourdes</v>
      </c>
      <c r="AB774" s="31" t="str">
        <f t="shared" si="190"/>
        <v>Enciclica Le Pèlerinage de Lourdes</v>
      </c>
      <c r="AC774" s="31" t="str">
        <f t="shared" si="191"/>
        <v>Pio XII, Lettera Enciclica Le Pèlerinage de Lourdes, 02 luglio 1957</v>
      </c>
      <c r="AD774" s="31" t="str">
        <f t="shared" si="192"/>
        <v>1957-07-02T08:00:00.000+02:00</v>
      </c>
      <c r="AE774" s="31" t="str">
        <f t="shared" si="183"/>
        <v>pixii-enc-lpl</v>
      </c>
      <c r="AF774" s="31" t="str">
        <f t="shared" si="184"/>
        <v>Pio XII - Lettera Enciclica - Le Pèlerinage de Lourdes</v>
      </c>
    </row>
    <row r="775" spans="2:32" s="31" customFormat="1" x14ac:dyDescent="0.2">
      <c r="B775" s="31">
        <v>260</v>
      </c>
      <c r="C775" s="31" t="s">
        <v>3856</v>
      </c>
      <c r="D775" s="31" t="s">
        <v>715</v>
      </c>
      <c r="E775" s="31" t="s">
        <v>724</v>
      </c>
      <c r="F775" s="31" t="s">
        <v>663</v>
      </c>
      <c r="G775" s="31" t="s">
        <v>659</v>
      </c>
      <c r="H775" s="31" t="str">
        <f t="shared" si="181"/>
        <v>Pio XII</v>
      </c>
      <c r="I775" s="31" t="s">
        <v>603</v>
      </c>
      <c r="J775" s="31" t="s">
        <v>829</v>
      </c>
      <c r="K775" s="31" t="s">
        <v>694</v>
      </c>
      <c r="L775" s="31" t="str">
        <f t="shared" si="193"/>
        <v>Lettera Enciclica</v>
      </c>
      <c r="M775" s="31" t="s">
        <v>579</v>
      </c>
      <c r="O775" s="31" t="s">
        <v>5098</v>
      </c>
      <c r="P775" s="31" t="s">
        <v>1912</v>
      </c>
      <c r="Q775" s="40">
        <v>20956</v>
      </c>
      <c r="R775" s="35">
        <f t="shared" si="177"/>
        <v>16</v>
      </c>
      <c r="S775" s="35"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5">
        <f t="shared" si="178"/>
        <v>1957</v>
      </c>
      <c r="U775" s="31"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6"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31"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31">
        <v>802</v>
      </c>
      <c r="Y775" s="31" t="str">
        <f t="shared" si="187"/>
        <v>['Pio XII', 'Enciclica', 'Invicti Athletae Christi', 'pixii-enc-iac', '16 maggio 1957', '16/05/1957', '1957/05/16'],</v>
      </c>
      <c r="Z775" s="31" t="str">
        <f t="shared" si="188"/>
        <v>Invicti Athletae Christi (20956) | Pio XII</v>
      </c>
      <c r="AA775" s="31" t="str">
        <f t="shared" si="189"/>
        <v>Enciclica Invicti Athletae Christi</v>
      </c>
      <c r="AB775" s="31" t="str">
        <f t="shared" si="190"/>
        <v>Enciclica Invicti Athletae Christi</v>
      </c>
      <c r="AC775" s="31" t="str">
        <f t="shared" si="191"/>
        <v>Pio XII, Lettera Enciclica Invicti Athletae Christi, 16 maggio 1957</v>
      </c>
      <c r="AD775" s="31" t="str">
        <f t="shared" si="192"/>
        <v>1957-05-16T08:00:00.000+02:00</v>
      </c>
      <c r="AE775" s="31" t="str">
        <f t="shared" si="183"/>
        <v>pixii-enc-iac</v>
      </c>
      <c r="AF775" s="31" t="str">
        <f t="shared" si="184"/>
        <v>Pio XII - Lettera Enciclica - Invicti Athletae Christi</v>
      </c>
    </row>
    <row r="776" spans="2:32" s="31" customFormat="1" x14ac:dyDescent="0.2">
      <c r="B776" s="31">
        <v>260</v>
      </c>
      <c r="C776" s="31" t="s">
        <v>3857</v>
      </c>
      <c r="D776" s="31" t="s">
        <v>715</v>
      </c>
      <c r="E776" s="31" t="s">
        <v>724</v>
      </c>
      <c r="F776" s="31" t="s">
        <v>663</v>
      </c>
      <c r="G776" s="31" t="s">
        <v>659</v>
      </c>
      <c r="H776" s="31" t="str">
        <f t="shared" si="181"/>
        <v>Pio XII</v>
      </c>
      <c r="I776" s="31" t="s">
        <v>603</v>
      </c>
      <c r="J776" s="31" t="s">
        <v>829</v>
      </c>
      <c r="K776" s="31" t="s">
        <v>694</v>
      </c>
      <c r="L776" s="31" t="str">
        <f t="shared" si="193"/>
        <v>Lettera Enciclica</v>
      </c>
      <c r="M776" s="31" t="s">
        <v>579</v>
      </c>
      <c r="O776" s="31" t="s">
        <v>3843</v>
      </c>
      <c r="P776" s="31" t="s">
        <v>3947</v>
      </c>
      <c r="Q776" s="40">
        <v>20931</v>
      </c>
      <c r="R776" s="35">
        <f t="shared" si="177"/>
        <v>21</v>
      </c>
      <c r="S776" s="35"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5">
        <f t="shared" si="178"/>
        <v>1957</v>
      </c>
      <c r="U776" s="31"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6"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31"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31">
        <v>803</v>
      </c>
      <c r="Y776" s="31" t="str">
        <f t="shared" si="187"/>
        <v>['Pio XII', 'Enciclica', 'Fidei Donum', 'pixii-enc-fid', '21 aprile 1957', '21/04/1957', '1957/04/21'],</v>
      </c>
      <c r="Z776" s="31" t="str">
        <f t="shared" si="188"/>
        <v>Fidei Donum (20931) | Pio XII</v>
      </c>
      <c r="AA776" s="31" t="str">
        <f t="shared" si="189"/>
        <v>Enciclica Fidei Donum</v>
      </c>
      <c r="AB776" s="31" t="str">
        <f t="shared" si="190"/>
        <v>Enciclica Fidei Donum</v>
      </c>
      <c r="AC776" s="31" t="str">
        <f t="shared" si="191"/>
        <v>Pio XII, Lettera Enciclica Fidei Donum, 21 aprile 1957</v>
      </c>
      <c r="AD776" s="31" t="str">
        <f t="shared" si="192"/>
        <v>1957-04-21T08:00:00.000+02:00</v>
      </c>
      <c r="AE776" s="31" t="str">
        <f t="shared" si="183"/>
        <v>pixii-enc-fid</v>
      </c>
      <c r="AF776" s="31" t="str">
        <f t="shared" si="184"/>
        <v>Pio XII - Lettera Enciclica - Fidei Donum</v>
      </c>
    </row>
    <row r="777" spans="2:32" s="31" customFormat="1" x14ac:dyDescent="0.2">
      <c r="B777" s="31">
        <v>260</v>
      </c>
      <c r="C777" s="31" t="s">
        <v>3858</v>
      </c>
      <c r="D777" s="31" t="s">
        <v>715</v>
      </c>
      <c r="E777" s="31" t="s">
        <v>724</v>
      </c>
      <c r="F777" s="31" t="s">
        <v>663</v>
      </c>
      <c r="G777" s="31" t="s">
        <v>659</v>
      </c>
      <c r="H777" s="31" t="str">
        <f t="shared" si="181"/>
        <v>Pio XII</v>
      </c>
      <c r="I777" s="31" t="s">
        <v>603</v>
      </c>
      <c r="J777" s="31" t="s">
        <v>829</v>
      </c>
      <c r="K777" s="31" t="s">
        <v>694</v>
      </c>
      <c r="L777" s="31" t="str">
        <f t="shared" si="193"/>
        <v>Lettera Enciclica</v>
      </c>
      <c r="M777" s="31" t="s">
        <v>579</v>
      </c>
      <c r="O777" s="31" t="s">
        <v>3844</v>
      </c>
      <c r="P777" s="31" t="s">
        <v>3946</v>
      </c>
      <c r="Q777" s="40">
        <v>20764</v>
      </c>
      <c r="R777" s="35">
        <f t="shared" si="177"/>
        <v>5</v>
      </c>
      <c r="S777" s="35"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5">
        <f t="shared" si="178"/>
        <v>1956</v>
      </c>
      <c r="U777" s="31"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6"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31"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31">
        <v>804</v>
      </c>
      <c r="Y777" s="31" t="str">
        <f t="shared" si="187"/>
        <v>['Pio XII', 'Enciclica', 'Datis Nuperrime', 'pixii-enc-dan', '05 novembre 1956', '05/11/1956', '1956/11/05'],</v>
      </c>
      <c r="Z777" s="31" t="str">
        <f t="shared" si="188"/>
        <v>Datis Nuperrime (20764) | Pio XII</v>
      </c>
      <c r="AA777" s="31" t="str">
        <f t="shared" si="189"/>
        <v>Enciclica Datis Nuperrime</v>
      </c>
      <c r="AB777" s="31" t="str">
        <f t="shared" si="190"/>
        <v>Enciclica Datis Nuperrime</v>
      </c>
      <c r="AC777" s="31" t="str">
        <f t="shared" si="191"/>
        <v>Pio XII, Lettera Enciclica Datis Nuperrime, 05 novembre 1956</v>
      </c>
      <c r="AD777" s="31" t="str">
        <f t="shared" si="192"/>
        <v>1956-11-05T08:00:00.000+02:00</v>
      </c>
      <c r="AE777" s="31" t="str">
        <f t="shared" si="183"/>
        <v>pixii-enc-dan</v>
      </c>
      <c r="AF777" s="31" t="str">
        <f t="shared" si="184"/>
        <v>Pio XII - Lettera Enciclica - Datis Nuperrime</v>
      </c>
    </row>
    <row r="778" spans="2:32" s="31" customFormat="1" x14ac:dyDescent="0.2">
      <c r="B778" s="31">
        <v>260</v>
      </c>
      <c r="C778" s="31" t="s">
        <v>3859</v>
      </c>
      <c r="D778" s="31" t="s">
        <v>715</v>
      </c>
      <c r="E778" s="31" t="s">
        <v>724</v>
      </c>
      <c r="F778" s="31" t="s">
        <v>663</v>
      </c>
      <c r="G778" s="31" t="s">
        <v>659</v>
      </c>
      <c r="H778" s="31" t="str">
        <f t="shared" si="181"/>
        <v>Pio XII</v>
      </c>
      <c r="I778" s="31" t="s">
        <v>603</v>
      </c>
      <c r="J778" s="31" t="s">
        <v>829</v>
      </c>
      <c r="K778" s="31" t="s">
        <v>694</v>
      </c>
      <c r="L778" s="31" t="str">
        <f t="shared" si="193"/>
        <v>Lettera Enciclica</v>
      </c>
      <c r="M778" s="31" t="s">
        <v>579</v>
      </c>
      <c r="O778" s="31" t="s">
        <v>3943</v>
      </c>
      <c r="P778" s="31" t="s">
        <v>3945</v>
      </c>
      <c r="Q778" s="40">
        <v>20760</v>
      </c>
      <c r="R778" s="35">
        <f t="shared" si="177"/>
        <v>1</v>
      </c>
      <c r="S778" s="35"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5">
        <f t="shared" si="178"/>
        <v>1956</v>
      </c>
      <c r="U778" s="31"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6"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31"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31">
        <v>805</v>
      </c>
      <c r="Y778" s="31" t="str">
        <f t="shared" si="187"/>
        <v>['Pio XII', 'Enciclica', 'Laetamur Admodum', 'pixii-enc-laa', '01 novembre 1956', '01/11/1956', '1956/11/01'],</v>
      </c>
      <c r="Z778" s="31" t="str">
        <f t="shared" si="188"/>
        <v>Laetamur Admodum (20760) | Pio XII</v>
      </c>
      <c r="AA778" s="31" t="str">
        <f t="shared" si="189"/>
        <v>Enciclica Laetamur Admodum</v>
      </c>
      <c r="AB778" s="31" t="str">
        <f t="shared" si="190"/>
        <v>Enciclica Laetamur Admodum</v>
      </c>
      <c r="AC778" s="31" t="str">
        <f t="shared" si="191"/>
        <v>Pio XII, Lettera Enciclica Laetamur Admodum, 01 novembre 1956</v>
      </c>
      <c r="AD778" s="31" t="str">
        <f t="shared" si="192"/>
        <v>1956-11-01T08:00:00.000+02:00</v>
      </c>
      <c r="AE778" s="31" t="str">
        <f t="shared" si="183"/>
        <v>pixii-enc-laa</v>
      </c>
      <c r="AF778" s="31" t="str">
        <f t="shared" si="184"/>
        <v>Pio XII - Lettera Enciclica - Laetamur Admodum</v>
      </c>
    </row>
    <row r="779" spans="2:32" s="31" customFormat="1" x14ac:dyDescent="0.2">
      <c r="B779" s="31">
        <v>260</v>
      </c>
      <c r="C779" s="31" t="s">
        <v>3860</v>
      </c>
      <c r="D779" s="31" t="s">
        <v>715</v>
      </c>
      <c r="E779" s="31" t="s">
        <v>724</v>
      </c>
      <c r="F779" s="31" t="s">
        <v>663</v>
      </c>
      <c r="G779" s="31" t="s">
        <v>659</v>
      </c>
      <c r="H779" s="31" t="str">
        <f t="shared" si="181"/>
        <v>Pio XII</v>
      </c>
      <c r="I779" s="31" t="s">
        <v>603</v>
      </c>
      <c r="J779" s="31" t="s">
        <v>829</v>
      </c>
      <c r="K779" s="31" t="s">
        <v>694</v>
      </c>
      <c r="L779" s="31" t="str">
        <f t="shared" si="193"/>
        <v>Lettera Enciclica</v>
      </c>
      <c r="M779" s="31" t="s">
        <v>579</v>
      </c>
      <c r="O779" s="31" t="s">
        <v>3942</v>
      </c>
      <c r="P779" s="31" t="s">
        <v>3944</v>
      </c>
      <c r="Q779" s="40">
        <v>20756</v>
      </c>
      <c r="R779" s="35">
        <f t="shared" si="177"/>
        <v>28</v>
      </c>
      <c r="S779" s="35"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5">
        <f t="shared" si="178"/>
        <v>1956</v>
      </c>
      <c r="U779" s="31"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6"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31"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31">
        <v>806</v>
      </c>
      <c r="Y779" s="31" t="str">
        <f t="shared" si="187"/>
        <v>['Pio XII', 'Enciclica', 'Luctuosissimi Eventus', 'pixii-enc-lue', '28 ottobre 1956', '28/10/1956', '1956/10/28'],</v>
      </c>
      <c r="Z779" s="31" t="str">
        <f t="shared" si="188"/>
        <v>Luctuosissimi Eventus (20756) | Pio XII</v>
      </c>
      <c r="AA779" s="31" t="str">
        <f t="shared" si="189"/>
        <v>Enciclica Luctuosissimi Eventus</v>
      </c>
      <c r="AB779" s="31" t="str">
        <f t="shared" si="190"/>
        <v>Enciclica Luctuosissimi Eventus</v>
      </c>
      <c r="AC779" s="31" t="str">
        <f t="shared" si="191"/>
        <v>Pio XII, Lettera Enciclica Luctuosissimi Eventus, 28 ottobre 1956</v>
      </c>
      <c r="AD779" s="31" t="str">
        <f t="shared" si="192"/>
        <v>1956-10-28T08:00:00.000+02:00</v>
      </c>
      <c r="AE779" s="31" t="str">
        <f t="shared" si="183"/>
        <v>pixii-enc-lue</v>
      </c>
      <c r="AF779" s="31" t="str">
        <f t="shared" si="184"/>
        <v>Pio XII - Lettera Enciclica - Luctuosissimi Eventus</v>
      </c>
    </row>
    <row r="780" spans="2:32" s="31" customFormat="1" x14ac:dyDescent="0.2">
      <c r="B780" s="31">
        <v>260</v>
      </c>
      <c r="C780" s="31" t="s">
        <v>3861</v>
      </c>
      <c r="D780" s="31" t="s">
        <v>715</v>
      </c>
      <c r="E780" s="31" t="s">
        <v>724</v>
      </c>
      <c r="F780" s="31" t="s">
        <v>663</v>
      </c>
      <c r="G780" s="31" t="s">
        <v>659</v>
      </c>
      <c r="H780" s="31" t="str">
        <f t="shared" si="181"/>
        <v>Pio XII</v>
      </c>
      <c r="I780" s="31" t="s">
        <v>603</v>
      </c>
      <c r="J780" s="31" t="s">
        <v>829</v>
      </c>
      <c r="K780" s="31" t="s">
        <v>694</v>
      </c>
      <c r="L780" s="31" t="str">
        <f t="shared" si="193"/>
        <v>Lettera Enciclica</v>
      </c>
      <c r="M780" s="31" t="s">
        <v>579</v>
      </c>
      <c r="O780" s="31" t="s">
        <v>3845</v>
      </c>
      <c r="P780" s="31" t="s">
        <v>3397</v>
      </c>
      <c r="Q780" s="40">
        <v>20590</v>
      </c>
      <c r="R780" s="35">
        <f t="shared" si="177"/>
        <v>15</v>
      </c>
      <c r="S780" s="35"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5">
        <f t="shared" si="178"/>
        <v>1956</v>
      </c>
      <c r="U780" s="31"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6"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31"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31">
        <v>807</v>
      </c>
      <c r="Y780" s="31" t="str">
        <f t="shared" si="187"/>
        <v>['Pio XII', 'Enciclica', 'Haurietis Aquas', 'pixii-enc-haa', '15 maggio 1956', '15/05/1956', '1956/05/15'],</v>
      </c>
      <c r="Z780" s="31" t="str">
        <f t="shared" si="188"/>
        <v>Haurietis Aquas (20590) | Pio XII</v>
      </c>
      <c r="AA780" s="31" t="str">
        <f t="shared" si="189"/>
        <v>Enciclica Haurietis Aquas</v>
      </c>
      <c r="AB780" s="31" t="str">
        <f t="shared" si="190"/>
        <v>Enciclica Haurietis Aquas</v>
      </c>
      <c r="AC780" s="31" t="str">
        <f t="shared" si="191"/>
        <v>Pio XII, Lettera Enciclica Haurietis Aquas, 15 maggio 1956</v>
      </c>
      <c r="AD780" s="31" t="str">
        <f t="shared" si="192"/>
        <v>1956-05-15T08:00:00.000+02:00</v>
      </c>
      <c r="AE780" s="31" t="str">
        <f t="shared" si="183"/>
        <v>pixii-enc-haa</v>
      </c>
      <c r="AF780" s="31" t="str">
        <f t="shared" si="184"/>
        <v>Pio XII - Lettera Enciclica - Haurietis Aquas</v>
      </c>
    </row>
    <row r="781" spans="2:32" s="31" customFormat="1" x14ac:dyDescent="0.2">
      <c r="B781" s="31">
        <v>260</v>
      </c>
      <c r="C781" s="31" t="s">
        <v>3862</v>
      </c>
      <c r="D781" s="31" t="s">
        <v>715</v>
      </c>
      <c r="E781" s="31" t="s">
        <v>724</v>
      </c>
      <c r="F781" s="31" t="s">
        <v>663</v>
      </c>
      <c r="G781" s="31" t="s">
        <v>659</v>
      </c>
      <c r="H781" s="31" t="str">
        <f t="shared" si="181"/>
        <v>Pio XII</v>
      </c>
      <c r="I781" s="31" t="s">
        <v>603</v>
      </c>
      <c r="J781" s="31" t="s">
        <v>829</v>
      </c>
      <c r="K781" s="31" t="s">
        <v>694</v>
      </c>
      <c r="L781" s="31" t="str">
        <f t="shared" si="193"/>
        <v>Lettera Enciclica</v>
      </c>
      <c r="M781" s="31" t="s">
        <v>579</v>
      </c>
      <c r="O781" s="31" t="s">
        <v>3846</v>
      </c>
      <c r="P781" s="31" t="s">
        <v>3941</v>
      </c>
      <c r="Q781" s="40">
        <v>20448</v>
      </c>
      <c r="R781" s="35">
        <f t="shared" si="177"/>
        <v>25</v>
      </c>
      <c r="S781" s="35"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5">
        <f t="shared" si="178"/>
        <v>1955</v>
      </c>
      <c r="U781" s="31"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6"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31"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31">
        <v>808</v>
      </c>
      <c r="Y781" s="31" t="str">
        <f t="shared" si="187"/>
        <v>['Pio XII', 'Enciclica', 'Musicae Sacrae', 'pixii-enc-mus', '25 dicembre 1955', '25/12/1955', '1955/12/25'],</v>
      </c>
      <c r="Z781" s="31" t="str">
        <f t="shared" si="188"/>
        <v>Musicae Sacrae (20448) | Pio XII</v>
      </c>
      <c r="AA781" s="31" t="str">
        <f t="shared" si="189"/>
        <v>Enciclica Musicae Sacrae</v>
      </c>
      <c r="AB781" s="31" t="str">
        <f t="shared" si="190"/>
        <v>Enciclica Musicae Sacrae</v>
      </c>
      <c r="AC781" s="31" t="str">
        <f t="shared" si="191"/>
        <v>Pio XII, Lettera Enciclica Musicae Sacrae, 25 dicembre 1955</v>
      </c>
      <c r="AD781" s="31" t="str">
        <f t="shared" si="192"/>
        <v>1955-12-25T08:00:00.000+02:00</v>
      </c>
      <c r="AE781" s="31" t="str">
        <f t="shared" si="183"/>
        <v>pixii-enc-mus</v>
      </c>
      <c r="AF781" s="31" t="str">
        <f t="shared" si="184"/>
        <v>Pio XII - Lettera Enciclica - Musicae Sacrae</v>
      </c>
    </row>
    <row r="782" spans="2:32" s="31" customFormat="1" x14ac:dyDescent="0.2">
      <c r="B782" s="31">
        <v>260</v>
      </c>
      <c r="C782" s="31" t="s">
        <v>3863</v>
      </c>
      <c r="D782" s="31" t="s">
        <v>715</v>
      </c>
      <c r="E782" s="31" t="s">
        <v>724</v>
      </c>
      <c r="F782" s="31" t="s">
        <v>663</v>
      </c>
      <c r="G782" s="31" t="s">
        <v>659</v>
      </c>
      <c r="H782" s="31" t="str">
        <f t="shared" si="181"/>
        <v>Pio XII</v>
      </c>
      <c r="I782" s="31" t="s">
        <v>603</v>
      </c>
      <c r="J782" s="31" t="s">
        <v>829</v>
      </c>
      <c r="K782" s="31" t="s">
        <v>694</v>
      </c>
      <c r="L782" s="31" t="str">
        <f t="shared" si="193"/>
        <v>Lettera Enciclica</v>
      </c>
      <c r="M782" s="31" t="s">
        <v>579</v>
      </c>
      <c r="O782" s="31" t="s">
        <v>99</v>
      </c>
      <c r="P782" s="31" t="s">
        <v>2990</v>
      </c>
      <c r="Q782" s="40">
        <v>20008</v>
      </c>
      <c r="R782" s="35">
        <f t="shared" si="177"/>
        <v>11</v>
      </c>
      <c r="S782" s="35"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5">
        <f t="shared" si="178"/>
        <v>1954</v>
      </c>
      <c r="U782" s="31"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6"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31"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31">
        <v>809</v>
      </c>
      <c r="Y782" s="31" t="str">
        <f t="shared" si="187"/>
        <v>['Pio XII', 'Enciclica', 'Ad Caeli Reginam', 'pixii-enc-acr', '11 ottobre 1954', '11/10/1954', '1954/10/11'],</v>
      </c>
      <c r="Z782" s="31" t="str">
        <f t="shared" si="188"/>
        <v>Ad Caeli Reginam (20008) | Pio XII</v>
      </c>
      <c r="AA782" s="31" t="str">
        <f t="shared" si="189"/>
        <v>Enciclica Ad Caeli Reginam</v>
      </c>
      <c r="AB782" s="31" t="str">
        <f t="shared" si="190"/>
        <v>Enciclica Ad Caeli Reginam</v>
      </c>
      <c r="AC782" s="31" t="str">
        <f t="shared" si="191"/>
        <v>Pio XII, Lettera Enciclica Ad Caeli Reginam, 11 ottobre 1954</v>
      </c>
      <c r="AD782" s="31" t="str">
        <f t="shared" si="192"/>
        <v>1954-10-11T08:00:00.000+02:00</v>
      </c>
      <c r="AE782" s="31" t="str">
        <f t="shared" si="183"/>
        <v>pixii-enc-acr</v>
      </c>
      <c r="AF782" s="31" t="str">
        <f t="shared" si="184"/>
        <v>Pio XII - Lettera Enciclica - Ad Caeli Reginam</v>
      </c>
    </row>
    <row r="783" spans="2:32" s="31" customFormat="1" x14ac:dyDescent="0.2">
      <c r="B783" s="31">
        <v>260</v>
      </c>
      <c r="C783" s="31" t="s">
        <v>3864</v>
      </c>
      <c r="D783" s="31" t="s">
        <v>715</v>
      </c>
      <c r="E783" s="31" t="s">
        <v>724</v>
      </c>
      <c r="F783" s="31" t="s">
        <v>663</v>
      </c>
      <c r="G783" s="31" t="s">
        <v>659</v>
      </c>
      <c r="H783" s="31" t="str">
        <f t="shared" si="181"/>
        <v>Pio XII</v>
      </c>
      <c r="I783" s="31" t="s">
        <v>603</v>
      </c>
      <c r="J783" s="31" t="s">
        <v>829</v>
      </c>
      <c r="K783" s="31" t="s">
        <v>694</v>
      </c>
      <c r="L783" s="31" t="str">
        <f t="shared" si="193"/>
        <v>Lettera Enciclica</v>
      </c>
      <c r="M783" s="31" t="s">
        <v>579</v>
      </c>
      <c r="O783" s="31" t="s">
        <v>3847</v>
      </c>
      <c r="P783" s="31" t="s">
        <v>3940</v>
      </c>
      <c r="Q783" s="40">
        <v>20004</v>
      </c>
      <c r="R783" s="35">
        <f t="shared" si="177"/>
        <v>7</v>
      </c>
      <c r="S783" s="35"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5">
        <f t="shared" si="178"/>
        <v>1954</v>
      </c>
      <c r="U783" s="31"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6"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31"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31">
        <v>810</v>
      </c>
      <c r="Y783" s="31" t="str">
        <f t="shared" si="187"/>
        <v>['Pio XII', 'Enciclica', 'Ad Sinarum Gentem', 'pixii-enc-asg', '07 ottobre 1954', '07/10/1954', '1954/10/07'],</v>
      </c>
      <c r="Z783" s="31" t="str">
        <f t="shared" si="188"/>
        <v>Ad Sinarum Gentem (20004) | Pio XII</v>
      </c>
      <c r="AA783" s="31" t="str">
        <f t="shared" si="189"/>
        <v>Enciclica Ad Sinarum Gentem</v>
      </c>
      <c r="AB783" s="31" t="str">
        <f t="shared" si="190"/>
        <v>Enciclica Ad Sinarum Gentem</v>
      </c>
      <c r="AC783" s="31" t="str">
        <f t="shared" si="191"/>
        <v>Pio XII, Lettera Enciclica Ad Sinarum Gentem, 07 ottobre 1954</v>
      </c>
      <c r="AD783" s="31" t="str">
        <f t="shared" si="192"/>
        <v>1954-10-07T08:00:00.000+02:00</v>
      </c>
      <c r="AE783" s="31" t="str">
        <f t="shared" si="183"/>
        <v>pixii-enc-asg</v>
      </c>
      <c r="AF783" s="31" t="str">
        <f t="shared" si="184"/>
        <v>Pio XII - Lettera Enciclica - Ad Sinarum Gentem</v>
      </c>
    </row>
    <row r="784" spans="2:32" s="31" customFormat="1" x14ac:dyDescent="0.2">
      <c r="B784" s="31">
        <v>260</v>
      </c>
      <c r="C784" s="31" t="s">
        <v>3865</v>
      </c>
      <c r="D784" s="31" t="s">
        <v>715</v>
      </c>
      <c r="E784" s="31" t="s">
        <v>724</v>
      </c>
      <c r="F784" s="31" t="s">
        <v>663</v>
      </c>
      <c r="G784" s="31" t="s">
        <v>659</v>
      </c>
      <c r="H784" s="31" t="str">
        <f t="shared" si="181"/>
        <v>Pio XII</v>
      </c>
      <c r="I784" s="31" t="s">
        <v>603</v>
      </c>
      <c r="J784" s="31" t="s">
        <v>829</v>
      </c>
      <c r="K784" s="31" t="s">
        <v>694</v>
      </c>
      <c r="L784" s="31" t="str">
        <f t="shared" si="193"/>
        <v>Lettera Enciclica</v>
      </c>
      <c r="M784" s="31" t="s">
        <v>579</v>
      </c>
      <c r="O784" s="31" t="s">
        <v>3848</v>
      </c>
      <c r="P784" s="31" t="s">
        <v>3939</v>
      </c>
      <c r="Q784" s="40">
        <v>19880</v>
      </c>
      <c r="R784" s="35">
        <f t="shared" si="177"/>
        <v>5</v>
      </c>
      <c r="S784" s="35"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5">
        <f t="shared" si="178"/>
        <v>1954</v>
      </c>
      <c r="U784" s="31"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6"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31"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31">
        <v>811</v>
      </c>
      <c r="Y784" s="31" t="str">
        <f t="shared" si="187"/>
        <v>['Pio XII', 'Enciclica', 'Ecclesiae Fastos', 'pixii-enc-ecf', '05 giugno 1954', '05/06/1954', '1954/06/05'],</v>
      </c>
      <c r="Z784" s="31" t="str">
        <f t="shared" si="188"/>
        <v>Ecclesiae Fastos (19880) | Pio XII</v>
      </c>
      <c r="AA784" s="31" t="str">
        <f t="shared" si="189"/>
        <v>Enciclica Ecclesiae Fastos</v>
      </c>
      <c r="AB784" s="31" t="str">
        <f t="shared" si="190"/>
        <v>Enciclica Ecclesiae Fastos</v>
      </c>
      <c r="AC784" s="31" t="str">
        <f t="shared" si="191"/>
        <v>Pio XII, Lettera Enciclica Ecclesiae Fastos, 05 giugno 1954</v>
      </c>
      <c r="AD784" s="31" t="str">
        <f t="shared" si="192"/>
        <v>1954-06-05T08:00:00.000+02:00</v>
      </c>
      <c r="AE784" s="31" t="str">
        <f t="shared" si="183"/>
        <v>pixii-enc-ecf</v>
      </c>
      <c r="AF784" s="31" t="str">
        <f t="shared" si="184"/>
        <v>Pio XII - Lettera Enciclica - Ecclesiae Fastos</v>
      </c>
    </row>
    <row r="785" spans="2:32" s="31" customFormat="1" x14ac:dyDescent="0.2">
      <c r="B785" s="31">
        <v>260</v>
      </c>
      <c r="C785" s="31" t="s">
        <v>3866</v>
      </c>
      <c r="D785" s="31" t="s">
        <v>715</v>
      </c>
      <c r="E785" s="31" t="s">
        <v>724</v>
      </c>
      <c r="F785" s="31" t="s">
        <v>663</v>
      </c>
      <c r="G785" s="31" t="s">
        <v>659</v>
      </c>
      <c r="H785" s="31" t="str">
        <f t="shared" si="181"/>
        <v>Pio XII</v>
      </c>
      <c r="I785" s="31" t="s">
        <v>603</v>
      </c>
      <c r="J785" s="31" t="s">
        <v>829</v>
      </c>
      <c r="K785" s="31" t="s">
        <v>694</v>
      </c>
      <c r="L785" s="31" t="str">
        <f t="shared" si="193"/>
        <v>Lettera Enciclica</v>
      </c>
      <c r="M785" s="31" t="s">
        <v>579</v>
      </c>
      <c r="O785" s="31" t="s">
        <v>3849</v>
      </c>
      <c r="P785" s="31" t="s">
        <v>1011</v>
      </c>
      <c r="Q785" s="40">
        <v>19808</v>
      </c>
      <c r="R785" s="35">
        <f t="shared" si="177"/>
        <v>25</v>
      </c>
      <c r="S785" s="35"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5">
        <f t="shared" si="178"/>
        <v>1954</v>
      </c>
      <c r="U785" s="31"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6"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31"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31">
        <v>812</v>
      </c>
      <c r="Y785" s="31" t="str">
        <f t="shared" si="187"/>
        <v>['Pio XII', 'Enciclica', 'Sacra Virginitas', 'pixii-enc-sav', '25 marzo 1954', '25/03/1954', '1954/03/25'],</v>
      </c>
      <c r="Z785" s="31" t="str">
        <f t="shared" si="188"/>
        <v>Sacra Virginitas (19808) | Pio XII</v>
      </c>
      <c r="AA785" s="31" t="str">
        <f t="shared" si="189"/>
        <v>Enciclica Sacra Virginitas</v>
      </c>
      <c r="AB785" s="31" t="str">
        <f t="shared" si="190"/>
        <v>Enciclica Sacra Virginitas</v>
      </c>
      <c r="AC785" s="31" t="str">
        <f t="shared" si="191"/>
        <v>Pio XII, Lettera Enciclica Sacra Virginitas, 25 marzo 1954</v>
      </c>
      <c r="AD785" s="31" t="str">
        <f t="shared" si="192"/>
        <v>1954-03-25T08:00:00.000+02:00</v>
      </c>
      <c r="AE785" s="31" t="str">
        <f t="shared" si="183"/>
        <v>pixii-enc-sav</v>
      </c>
      <c r="AF785" s="31" t="str">
        <f t="shared" si="184"/>
        <v>Pio XII - Lettera Enciclica - Sacra Virginitas</v>
      </c>
    </row>
    <row r="786" spans="2:32" s="31" customFormat="1" x14ac:dyDescent="0.2">
      <c r="B786" s="31">
        <v>260</v>
      </c>
      <c r="C786" s="31" t="s">
        <v>3867</v>
      </c>
      <c r="D786" s="31" t="s">
        <v>715</v>
      </c>
      <c r="E786" s="31" t="s">
        <v>724</v>
      </c>
      <c r="F786" s="31" t="s">
        <v>663</v>
      </c>
      <c r="G786" s="31" t="s">
        <v>659</v>
      </c>
      <c r="H786" s="31" t="str">
        <f t="shared" si="181"/>
        <v>Pio XII</v>
      </c>
      <c r="I786" s="31" t="s">
        <v>603</v>
      </c>
      <c r="J786" s="31" t="s">
        <v>829</v>
      </c>
      <c r="K786" s="31" t="s">
        <v>694</v>
      </c>
      <c r="L786" s="31" t="str">
        <f t="shared" si="193"/>
        <v>Lettera Enciclica</v>
      </c>
      <c r="M786" s="31" t="s">
        <v>579</v>
      </c>
      <c r="O786" s="31" t="s">
        <v>3850</v>
      </c>
      <c r="P786" s="31" t="s">
        <v>3938</v>
      </c>
      <c r="Q786" s="40">
        <v>19610</v>
      </c>
      <c r="R786" s="35">
        <f t="shared" ref="R786:R827" si="194">IF(ISERROR(DAY(Q786)),TEXT((LEFT(Q786,2)),"00"),DAY(Q786))</f>
        <v>8</v>
      </c>
      <c r="S786" s="35"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5">
        <f t="shared" ref="T786:T827" si="195">IF(ISERROR(DAY(Q786)),VALUE(RIGHT(Q786,4)),YEAR(Q786))</f>
        <v>1953</v>
      </c>
      <c r="U786" s="31"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6"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31"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31">
        <v>813</v>
      </c>
      <c r="Y786" s="31" t="str">
        <f t="shared" si="187"/>
        <v>['Pio XII', 'Enciclica', 'Fulgens Corona', 'pixii-enc-fuc', '08 settembre 1953', '08/09/1953', '1953/09/08'],</v>
      </c>
      <c r="Z786" s="31" t="str">
        <f t="shared" si="188"/>
        <v>Fulgens Corona (19610) | Pio XII</v>
      </c>
      <c r="AA786" s="31" t="str">
        <f t="shared" si="189"/>
        <v>Enciclica Fulgens Corona</v>
      </c>
      <c r="AB786" s="31" t="str">
        <f t="shared" si="190"/>
        <v>Enciclica Fulgens Corona</v>
      </c>
      <c r="AC786" s="31" t="str">
        <f t="shared" si="191"/>
        <v>Pio XII, Lettera Enciclica Fulgens Corona, 08 settembre 1953</v>
      </c>
      <c r="AD786" s="31" t="str">
        <f t="shared" si="192"/>
        <v>1953-09-08T08:00:00.000+02:00</v>
      </c>
      <c r="AE786" s="31" t="str">
        <f t="shared" si="183"/>
        <v>pixii-enc-fuc</v>
      </c>
      <c r="AF786" s="31" t="str">
        <f t="shared" si="184"/>
        <v>Pio XII - Lettera Enciclica - Fulgens Corona</v>
      </c>
    </row>
    <row r="787" spans="2:32" s="31" customFormat="1" x14ac:dyDescent="0.2">
      <c r="B787" s="31">
        <v>260</v>
      </c>
      <c r="C787" s="31" t="s">
        <v>3868</v>
      </c>
      <c r="D787" s="31" t="s">
        <v>715</v>
      </c>
      <c r="E787" s="31" t="s">
        <v>724</v>
      </c>
      <c r="F787" s="31" t="s">
        <v>663</v>
      </c>
      <c r="G787" s="31" t="s">
        <v>659</v>
      </c>
      <c r="H787" s="31" t="str">
        <f t="shared" si="181"/>
        <v>Pio XII</v>
      </c>
      <c r="I787" s="31" t="s">
        <v>603</v>
      </c>
      <c r="J787" s="31" t="s">
        <v>829</v>
      </c>
      <c r="K787" s="31" t="s">
        <v>694</v>
      </c>
      <c r="L787" s="31" t="str">
        <f t="shared" si="193"/>
        <v>Lettera Enciclica</v>
      </c>
      <c r="M787" s="31" t="s">
        <v>579</v>
      </c>
      <c r="O787" s="31" t="s">
        <v>94</v>
      </c>
      <c r="P787" s="31" t="s">
        <v>3936</v>
      </c>
      <c r="Q787" s="40">
        <v>19503</v>
      </c>
      <c r="R787" s="35">
        <f t="shared" si="194"/>
        <v>24</v>
      </c>
      <c r="S787" s="35"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5">
        <f t="shared" si="195"/>
        <v>1953</v>
      </c>
      <c r="U787" s="31"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6"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31"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31">
        <v>814</v>
      </c>
      <c r="Y787" s="31" t="str">
        <f t="shared" si="187"/>
        <v>['Pio XII', 'Enciclica', 'Doctor Mellifluus', 'pixii-enc-dom', '24 maggio 1953', '24/05/1953', '1953/05/24'],</v>
      </c>
      <c r="Z787" s="31" t="str">
        <f t="shared" si="188"/>
        <v>Doctor Mellifluus (19503) | Pio XII</v>
      </c>
      <c r="AA787" s="31" t="str">
        <f t="shared" si="189"/>
        <v>Enciclica Doctor Mellifluus</v>
      </c>
      <c r="AB787" s="31" t="str">
        <f t="shared" si="190"/>
        <v>Enciclica Doctor Mellifluus</v>
      </c>
      <c r="AC787" s="31" t="str">
        <f t="shared" si="191"/>
        <v>Pio XII, Lettera Enciclica Doctor Mellifluus, 24 maggio 1953</v>
      </c>
      <c r="AD787" s="31" t="str">
        <f t="shared" si="192"/>
        <v>1953-05-24T08:00:00.000+02:00</v>
      </c>
      <c r="AE787" s="31" t="str">
        <f t="shared" si="183"/>
        <v>pixii-enc-dom</v>
      </c>
      <c r="AF787" s="31" t="str">
        <f t="shared" si="184"/>
        <v>Pio XII - Lettera Enciclica - Doctor Mellifluus</v>
      </c>
    </row>
    <row r="788" spans="2:32" s="31" customFormat="1" x14ac:dyDescent="0.2">
      <c r="B788" s="31">
        <v>260</v>
      </c>
      <c r="C788" s="31" t="s">
        <v>3869</v>
      </c>
      <c r="D788" s="31" t="s">
        <v>715</v>
      </c>
      <c r="E788" s="31" t="s">
        <v>724</v>
      </c>
      <c r="F788" s="31" t="s">
        <v>663</v>
      </c>
      <c r="G788" s="31" t="s">
        <v>659</v>
      </c>
      <c r="H788" s="31" t="str">
        <f t="shared" si="181"/>
        <v>Pio XII</v>
      </c>
      <c r="I788" s="31" t="s">
        <v>603</v>
      </c>
      <c r="J788" s="31" t="s">
        <v>829</v>
      </c>
      <c r="K788" s="31" t="s">
        <v>694</v>
      </c>
      <c r="L788" s="31" t="str">
        <f t="shared" si="193"/>
        <v>Lettera Enciclica</v>
      </c>
      <c r="M788" s="31" t="s">
        <v>579</v>
      </c>
      <c r="O788" s="31" t="s">
        <v>93</v>
      </c>
      <c r="P788" s="31" t="s">
        <v>3937</v>
      </c>
      <c r="Q788" s="40">
        <v>19343</v>
      </c>
      <c r="R788" s="35">
        <f t="shared" si="194"/>
        <v>15</v>
      </c>
      <c r="S788" s="35"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5">
        <f t="shared" si="195"/>
        <v>1952</v>
      </c>
      <c r="U788" s="31"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6"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31"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31">
        <v>815</v>
      </c>
      <c r="Y788" s="31" t="str">
        <f t="shared" si="187"/>
        <v>['Pio XII', 'Enciclica', 'Orientales Ecclesias', 'pixii-enc-oec', '15 dicembre 1952', '15/12/1952', '1952/12/15'],</v>
      </c>
      <c r="Z788" s="31" t="str">
        <f t="shared" si="188"/>
        <v>Orientales Ecclesias (19343) | Pio XII</v>
      </c>
      <c r="AA788" s="31" t="str">
        <f t="shared" si="189"/>
        <v>Enciclica Orientales Ecclesias</v>
      </c>
      <c r="AB788" s="31" t="str">
        <f t="shared" si="190"/>
        <v>Enciclica Orientales Ecclesias</v>
      </c>
      <c r="AC788" s="31" t="str">
        <f t="shared" si="191"/>
        <v>Pio XII, Lettera Enciclica Orientales Ecclesias, 15 dicembre 1952</v>
      </c>
      <c r="AD788" s="31" t="str">
        <f t="shared" si="192"/>
        <v>1952-12-15T08:00:00.000+02:00</v>
      </c>
      <c r="AE788" s="31" t="str">
        <f t="shared" si="183"/>
        <v>pixii-enc-oec</v>
      </c>
      <c r="AF788" s="31" t="str">
        <f t="shared" si="184"/>
        <v>Pio XII - Lettera Enciclica - Orientales Ecclesias</v>
      </c>
    </row>
    <row r="789" spans="2:32" s="31" customFormat="1" x14ac:dyDescent="0.2">
      <c r="B789" s="31">
        <v>260</v>
      </c>
      <c r="C789" s="31" t="s">
        <v>3870</v>
      </c>
      <c r="D789" s="31" t="s">
        <v>715</v>
      </c>
      <c r="E789" s="31" t="s">
        <v>724</v>
      </c>
      <c r="F789" s="31" t="s">
        <v>663</v>
      </c>
      <c r="G789" s="31" t="s">
        <v>659</v>
      </c>
      <c r="H789" s="31" t="str">
        <f t="shared" si="181"/>
        <v>Pio XII</v>
      </c>
      <c r="I789" s="31" t="s">
        <v>603</v>
      </c>
      <c r="J789" s="31" t="s">
        <v>829</v>
      </c>
      <c r="K789" s="31" t="s">
        <v>694</v>
      </c>
      <c r="L789" s="31" t="str">
        <f t="shared" si="193"/>
        <v>Lettera Enciclica</v>
      </c>
      <c r="M789" s="31" t="s">
        <v>579</v>
      </c>
      <c r="O789" s="31" t="s">
        <v>3851</v>
      </c>
      <c r="P789" s="31" t="s">
        <v>991</v>
      </c>
      <c r="Q789" s="40">
        <v>18886</v>
      </c>
      <c r="R789" s="35">
        <f t="shared" si="194"/>
        <v>15</v>
      </c>
      <c r="S789" s="35"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5">
        <f t="shared" si="195"/>
        <v>1951</v>
      </c>
      <c r="U789" s="31"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6"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31"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31">
        <v>816</v>
      </c>
      <c r="Y789" s="31" t="str">
        <f t="shared" si="187"/>
        <v>['Pio XII', 'Enciclica', 'Ingruentium Malorum', 'pixii-enc-inm', '15 settembre 1951', '15/09/1951', '1951/09/15'],</v>
      </c>
      <c r="Z789" s="31" t="str">
        <f t="shared" si="188"/>
        <v>Ingruentium Malorum (18886) | Pio XII</v>
      </c>
      <c r="AA789" s="31" t="str">
        <f t="shared" si="189"/>
        <v>Enciclica Ingruentium Malorum</v>
      </c>
      <c r="AB789" s="31" t="str">
        <f t="shared" si="190"/>
        <v>Enciclica Ingruentium Malorum</v>
      </c>
      <c r="AC789" s="31" t="str">
        <f t="shared" si="191"/>
        <v>Pio XII, Lettera Enciclica Ingruentium Malorum, 15 settembre 1951</v>
      </c>
      <c r="AD789" s="31" t="str">
        <f t="shared" si="192"/>
        <v>1951-09-15T08:00:00.000+02:00</v>
      </c>
      <c r="AE789" s="31" t="str">
        <f t="shared" si="183"/>
        <v>pixii-enc-inm</v>
      </c>
      <c r="AF789" s="31" t="str">
        <f t="shared" si="184"/>
        <v>Pio XII - Lettera Enciclica - Ingruentium Malorum</v>
      </c>
    </row>
    <row r="790" spans="2:32" s="31" customFormat="1" x14ac:dyDescent="0.2">
      <c r="B790" s="31">
        <v>260</v>
      </c>
      <c r="C790" s="31" t="s">
        <v>3871</v>
      </c>
      <c r="D790" s="31" t="s">
        <v>715</v>
      </c>
      <c r="E790" s="31" t="s">
        <v>724</v>
      </c>
      <c r="F790" s="31" t="s">
        <v>663</v>
      </c>
      <c r="G790" s="31" t="s">
        <v>659</v>
      </c>
      <c r="H790" s="31" t="str">
        <f t="shared" si="181"/>
        <v>Pio XII</v>
      </c>
      <c r="I790" s="31" t="s">
        <v>603</v>
      </c>
      <c r="J790" s="31" t="s">
        <v>829</v>
      </c>
      <c r="K790" s="31" t="s">
        <v>694</v>
      </c>
      <c r="L790" s="31" t="str">
        <f t="shared" si="193"/>
        <v>Lettera Enciclica</v>
      </c>
      <c r="M790" s="31" t="s">
        <v>579</v>
      </c>
      <c r="O790" s="31" t="s">
        <v>91</v>
      </c>
      <c r="P790" s="31" t="s">
        <v>3935</v>
      </c>
      <c r="Q790" s="40">
        <v>18879</v>
      </c>
      <c r="R790" s="35">
        <f t="shared" si="194"/>
        <v>8</v>
      </c>
      <c r="S790" s="35"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5">
        <f t="shared" si="195"/>
        <v>1951</v>
      </c>
      <c r="U790" s="31"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6"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31"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31">
        <v>817</v>
      </c>
      <c r="Y790" s="31" t="str">
        <f t="shared" si="187"/>
        <v>['Pio XII', 'Enciclica', 'Sempiternus Rex Christus', 'pixii-enc-src', '08 settembre 1951', '08/09/1951', '1951/09/08'],</v>
      </c>
      <c r="Z790" s="31" t="str">
        <f t="shared" si="188"/>
        <v>Sempiternus Rex Christus (18879) | Pio XII</v>
      </c>
      <c r="AA790" s="31" t="str">
        <f t="shared" si="189"/>
        <v>Enciclica Sempiternus Rex Christus</v>
      </c>
      <c r="AB790" s="31" t="str">
        <f t="shared" si="190"/>
        <v>Enciclica Sempiternus Rex Christus</v>
      </c>
      <c r="AC790" s="31" t="str">
        <f t="shared" si="191"/>
        <v>Pio XII, Lettera Enciclica Sempiternus Rex Christus, 08 settembre 1951</v>
      </c>
      <c r="AD790" s="31" t="str">
        <f t="shared" si="192"/>
        <v>1951-09-08T08:00:00.000+02:00</v>
      </c>
      <c r="AE790" s="31" t="str">
        <f t="shared" si="183"/>
        <v>pixii-enc-src</v>
      </c>
      <c r="AF790" s="31" t="str">
        <f t="shared" si="184"/>
        <v>Pio XII - Lettera Enciclica - Sempiternus Rex Christus</v>
      </c>
    </row>
    <row r="791" spans="2:32" s="31" customFormat="1" x14ac:dyDescent="0.2">
      <c r="B791" s="31">
        <v>260</v>
      </c>
      <c r="C791" s="31" t="s">
        <v>3886</v>
      </c>
      <c r="D791" s="31" t="s">
        <v>715</v>
      </c>
      <c r="E791" s="31" t="s">
        <v>724</v>
      </c>
      <c r="F791" s="31" t="s">
        <v>663</v>
      </c>
      <c r="G791" s="31" t="s">
        <v>659</v>
      </c>
      <c r="H791" s="31" t="str">
        <f t="shared" si="181"/>
        <v>Pio XII</v>
      </c>
      <c r="I791" s="31" t="s">
        <v>603</v>
      </c>
      <c r="J791" s="31" t="s">
        <v>829</v>
      </c>
      <c r="K791" s="31" t="s">
        <v>694</v>
      </c>
      <c r="L791" s="31" t="str">
        <f t="shared" si="193"/>
        <v>Lettera Enciclica</v>
      </c>
      <c r="M791" s="31" t="s">
        <v>579</v>
      </c>
      <c r="O791" s="31" t="s">
        <v>3872</v>
      </c>
      <c r="P791" s="31" t="s">
        <v>3934</v>
      </c>
      <c r="Q791" s="40">
        <v>18781</v>
      </c>
      <c r="R791" s="35">
        <f t="shared" si="194"/>
        <v>2</v>
      </c>
      <c r="S791" s="35"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5">
        <f t="shared" si="195"/>
        <v>1951</v>
      </c>
      <c r="U791" s="31"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6"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31"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31">
        <v>818</v>
      </c>
      <c r="Y791" s="31" t="str">
        <f t="shared" si="187"/>
        <v>['Pio XII', 'Enciclica', 'Evangelii Praecones', 'pixii-enc-evp', '02 giugno 1951', '02/06/1951', '1951/06/02'],</v>
      </c>
      <c r="Z791" s="31" t="str">
        <f t="shared" si="188"/>
        <v>Evangelii Praecones (18781) | Pio XII</v>
      </c>
      <c r="AA791" s="31" t="str">
        <f t="shared" si="189"/>
        <v>Enciclica Evangelii Praecones</v>
      </c>
      <c r="AB791" s="31" t="str">
        <f t="shared" si="190"/>
        <v>Enciclica Evangelii Praecones</v>
      </c>
      <c r="AC791" s="31" t="str">
        <f t="shared" si="191"/>
        <v>Pio XII, Lettera Enciclica Evangelii Praecones, 02 giugno 1951</v>
      </c>
      <c r="AD791" s="31" t="str">
        <f t="shared" si="192"/>
        <v>1951-06-02T08:00:00.000+02:00</v>
      </c>
      <c r="AE791" s="31" t="str">
        <f t="shared" si="183"/>
        <v>pixii-enc-evp</v>
      </c>
      <c r="AF791" s="31" t="str">
        <f t="shared" si="184"/>
        <v>Pio XII - Lettera Enciclica - Evangelii Praecones</v>
      </c>
    </row>
    <row r="792" spans="2:32" s="31" customFormat="1" x14ac:dyDescent="0.2">
      <c r="B792" s="31">
        <v>260</v>
      </c>
      <c r="C792" s="31" t="s">
        <v>3887</v>
      </c>
      <c r="D792" s="31" t="s">
        <v>715</v>
      </c>
      <c r="E792" s="31" t="s">
        <v>724</v>
      </c>
      <c r="F792" s="31" t="s">
        <v>663</v>
      </c>
      <c r="G792" s="31" t="s">
        <v>659</v>
      </c>
      <c r="H792" s="31" t="str">
        <f t="shared" si="181"/>
        <v>Pio XII</v>
      </c>
      <c r="I792" s="31" t="s">
        <v>603</v>
      </c>
      <c r="J792" s="31" t="s">
        <v>829</v>
      </c>
      <c r="K792" s="31" t="s">
        <v>694</v>
      </c>
      <c r="L792" s="31" t="str">
        <f t="shared" si="193"/>
        <v>Lettera Enciclica</v>
      </c>
      <c r="M792" s="31" t="s">
        <v>579</v>
      </c>
      <c r="O792" s="31" t="s">
        <v>3873</v>
      </c>
      <c r="P792" s="31" t="s">
        <v>2963</v>
      </c>
      <c r="Q792" s="40">
        <v>18603</v>
      </c>
      <c r="R792" s="35">
        <f t="shared" si="194"/>
        <v>6</v>
      </c>
      <c r="S792" s="35"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5">
        <f t="shared" si="195"/>
        <v>1950</v>
      </c>
      <c r="U792" s="31"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6"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31"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31">
        <v>819</v>
      </c>
      <c r="Y792" s="31" t="str">
        <f t="shared" si="187"/>
        <v>['Pio XII', 'Enciclica', 'Mirabile Illud', 'pixii-enc-mii', '06 dicembre 1950', '06/12/1950', '1950/12/06'],</v>
      </c>
      <c r="Z792" s="31" t="str">
        <f t="shared" si="188"/>
        <v>Mirabile Illud (18603) | Pio XII</v>
      </c>
      <c r="AA792" s="31" t="str">
        <f t="shared" si="189"/>
        <v>Enciclica Mirabile Illud</v>
      </c>
      <c r="AB792" s="31" t="str">
        <f t="shared" si="190"/>
        <v>Enciclica Mirabile Illud</v>
      </c>
      <c r="AC792" s="31" t="str">
        <f t="shared" si="191"/>
        <v>Pio XII, Lettera Enciclica Mirabile Illud, 06 dicembre 1950</v>
      </c>
      <c r="AD792" s="31" t="str">
        <f t="shared" si="192"/>
        <v>1950-12-06T08:00:00.000+02:00</v>
      </c>
      <c r="AE792" s="31" t="str">
        <f t="shared" si="183"/>
        <v>pixii-enc-mii</v>
      </c>
      <c r="AF792" s="31" t="str">
        <f t="shared" si="184"/>
        <v>Pio XII - Lettera Enciclica - Mirabile Illud</v>
      </c>
    </row>
    <row r="793" spans="2:32" s="31" customFormat="1" x14ac:dyDescent="0.2">
      <c r="B793" s="31">
        <v>260</v>
      </c>
      <c r="C793" s="31" t="s">
        <v>3888</v>
      </c>
      <c r="D793" s="31" t="s">
        <v>715</v>
      </c>
      <c r="E793" s="31" t="s">
        <v>724</v>
      </c>
      <c r="F793" s="31" t="s">
        <v>663</v>
      </c>
      <c r="G793" s="31" t="s">
        <v>659</v>
      </c>
      <c r="H793" s="31" t="str">
        <f t="shared" si="181"/>
        <v>Pio XII</v>
      </c>
      <c r="I793" s="31" t="s">
        <v>603</v>
      </c>
      <c r="J793" s="31" t="s">
        <v>829</v>
      </c>
      <c r="K793" s="31" t="s">
        <v>694</v>
      </c>
      <c r="L793" s="31" t="str">
        <f t="shared" si="193"/>
        <v>Lettera Enciclica</v>
      </c>
      <c r="M793" s="31" t="s">
        <v>579</v>
      </c>
      <c r="O793" s="31" t="s">
        <v>3874</v>
      </c>
      <c r="P793" s="31" t="s">
        <v>1033</v>
      </c>
      <c r="Q793" s="40">
        <v>18487</v>
      </c>
      <c r="R793" s="35">
        <f t="shared" si="194"/>
        <v>12</v>
      </c>
      <c r="S793" s="35"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5">
        <f t="shared" si="195"/>
        <v>1950</v>
      </c>
      <c r="U793" s="31"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6"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31"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31">
        <v>820</v>
      </c>
      <c r="Y793" s="31" t="str">
        <f t="shared" si="187"/>
        <v>['Pio XII', 'Enciclica', 'Humani Generis', 'pixii-enc-hug', '12 agosto 1950', '12/08/1950', '1950/08/12'],</v>
      </c>
      <c r="Z793" s="31" t="str">
        <f t="shared" si="188"/>
        <v>Humani Generis (18487) | Pio XII</v>
      </c>
      <c r="AA793" s="31" t="str">
        <f t="shared" si="189"/>
        <v>Enciclica Humani Generis</v>
      </c>
      <c r="AB793" s="31" t="str">
        <f t="shared" si="190"/>
        <v>Enciclica Humani Generis</v>
      </c>
      <c r="AC793" s="31" t="str">
        <f t="shared" si="191"/>
        <v>Pio XII, Lettera Enciclica Humani Generis, 12 agosto 1950</v>
      </c>
      <c r="AD793" s="31" t="str">
        <f t="shared" si="192"/>
        <v>1950-08-12T08:00:00.000+02:00</v>
      </c>
      <c r="AE793" s="31" t="str">
        <f t="shared" si="183"/>
        <v>pixii-enc-hug</v>
      </c>
      <c r="AF793" s="31" t="str">
        <f t="shared" si="184"/>
        <v>Pio XII - Lettera Enciclica - Humani Generis</v>
      </c>
    </row>
    <row r="794" spans="2:32" s="31" customFormat="1" x14ac:dyDescent="0.2">
      <c r="B794" s="31">
        <v>260</v>
      </c>
      <c r="C794" s="31" t="s">
        <v>3889</v>
      </c>
      <c r="D794" s="31" t="s">
        <v>715</v>
      </c>
      <c r="E794" s="31" t="s">
        <v>724</v>
      </c>
      <c r="F794" s="31" t="s">
        <v>663</v>
      </c>
      <c r="G794" s="31" t="s">
        <v>659</v>
      </c>
      <c r="H794" s="31" t="str">
        <f t="shared" si="181"/>
        <v>Pio XII</v>
      </c>
      <c r="I794" s="31" t="s">
        <v>603</v>
      </c>
      <c r="J794" s="31" t="s">
        <v>829</v>
      </c>
      <c r="K794" s="31" t="s">
        <v>694</v>
      </c>
      <c r="L794" s="31" t="str">
        <f t="shared" si="193"/>
        <v>Lettera Enciclica</v>
      </c>
      <c r="M794" s="31" t="s">
        <v>579</v>
      </c>
      <c r="O794" s="31" t="s">
        <v>3875</v>
      </c>
      <c r="P794" s="31" t="s">
        <v>3933</v>
      </c>
      <c r="Q794" s="40">
        <v>18463</v>
      </c>
      <c r="R794" s="35">
        <f t="shared" si="194"/>
        <v>19</v>
      </c>
      <c r="S794" s="35"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5">
        <f t="shared" si="195"/>
        <v>1950</v>
      </c>
      <c r="U794" s="31"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6"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31"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31">
        <v>821</v>
      </c>
      <c r="Y794" s="31" t="str">
        <f t="shared" si="187"/>
        <v>['Pio XII', 'Enciclica', 'Summi Maeroris', 'pixii-enc-sum', '19 luglio 1950', '19/07/1950', '1950/07/19'],</v>
      </c>
      <c r="Z794" s="31" t="str">
        <f t="shared" si="188"/>
        <v>Summi Maeroris (18463) | Pio XII</v>
      </c>
      <c r="AA794" s="31" t="str">
        <f t="shared" si="189"/>
        <v>Enciclica Summi Maeroris</v>
      </c>
      <c r="AB794" s="31" t="str">
        <f t="shared" si="190"/>
        <v>Enciclica Summi Maeroris</v>
      </c>
      <c r="AC794" s="31" t="str">
        <f t="shared" si="191"/>
        <v>Pio XII, Lettera Enciclica Summi Maeroris, 19 luglio 1950</v>
      </c>
      <c r="AD794" s="31" t="str">
        <f t="shared" si="192"/>
        <v>1950-07-19T08:00:00.000+02:00</v>
      </c>
      <c r="AE794" s="31" t="str">
        <f t="shared" si="183"/>
        <v>pixii-enc-sum</v>
      </c>
      <c r="AF794" s="31" t="str">
        <f t="shared" si="184"/>
        <v>Pio XII - Lettera Enciclica - Summi Maeroris</v>
      </c>
    </row>
    <row r="795" spans="2:32" s="31" customFormat="1" x14ac:dyDescent="0.2">
      <c r="B795" s="31">
        <v>260</v>
      </c>
      <c r="C795" s="31" t="s">
        <v>3890</v>
      </c>
      <c r="D795" s="31" t="s">
        <v>715</v>
      </c>
      <c r="E795" s="31" t="s">
        <v>724</v>
      </c>
      <c r="F795" s="31" t="s">
        <v>663</v>
      </c>
      <c r="G795" s="31" t="s">
        <v>659</v>
      </c>
      <c r="H795" s="31" t="str">
        <f t="shared" ref="H795:H803" si="196">_xlfn.CONCAT(D795 &amp; " " &amp; E795)</f>
        <v>Pio XII</v>
      </c>
      <c r="I795" s="31" t="s">
        <v>603</v>
      </c>
      <c r="J795" s="31" t="s">
        <v>829</v>
      </c>
      <c r="K795" s="31" t="s">
        <v>694</v>
      </c>
      <c r="L795" s="31" t="str">
        <f t="shared" si="193"/>
        <v>Lettera Enciclica</v>
      </c>
      <c r="M795" s="31" t="s">
        <v>579</v>
      </c>
      <c r="O795" s="31" t="s">
        <v>86</v>
      </c>
      <c r="P795" s="31" t="s">
        <v>1079</v>
      </c>
      <c r="Q795" s="40">
        <v>18334</v>
      </c>
      <c r="R795" s="35">
        <f t="shared" si="194"/>
        <v>12</v>
      </c>
      <c r="S795" s="35"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5">
        <f t="shared" si="195"/>
        <v>1950</v>
      </c>
      <c r="U795" s="31"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6"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31"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31">
        <v>822</v>
      </c>
      <c r="Y795" s="31" t="str">
        <f t="shared" si="187"/>
        <v>['Pio XII', 'Enciclica', 'Anni Sacri', 'pixii-enc-ans', '12 marzo 1950', '12/03/1950', '1950/03/12'],</v>
      </c>
      <c r="Z795" s="31" t="str">
        <f t="shared" si="188"/>
        <v>Anni Sacri (18334) | Pio XII</v>
      </c>
      <c r="AA795" s="31" t="str">
        <f t="shared" si="189"/>
        <v>Enciclica Anni Sacri</v>
      </c>
      <c r="AB795" s="31" t="str">
        <f t="shared" si="190"/>
        <v>Enciclica Anni Sacri</v>
      </c>
      <c r="AC795" s="31" t="str">
        <f t="shared" si="191"/>
        <v>Pio XII, Lettera Enciclica Anni Sacri, 12 marzo 1950</v>
      </c>
      <c r="AD795" s="31" t="str">
        <f t="shared" si="192"/>
        <v>1950-03-12T08:00:00.000+02:00</v>
      </c>
      <c r="AE795" s="31" t="str">
        <f t="shared" si="183"/>
        <v>pixii-enc-ans</v>
      </c>
      <c r="AF795" s="31" t="str">
        <f t="shared" si="184"/>
        <v>Pio XII - Lettera Enciclica - Anni Sacri</v>
      </c>
    </row>
    <row r="796" spans="2:32" s="31" customFormat="1" x14ac:dyDescent="0.2">
      <c r="B796" s="31">
        <v>260</v>
      </c>
      <c r="C796" s="31" t="s">
        <v>3891</v>
      </c>
      <c r="D796" s="31" t="s">
        <v>715</v>
      </c>
      <c r="E796" s="31" t="s">
        <v>724</v>
      </c>
      <c r="F796" s="31" t="s">
        <v>663</v>
      </c>
      <c r="G796" s="31" t="s">
        <v>659</v>
      </c>
      <c r="H796" s="31" t="str">
        <f t="shared" si="196"/>
        <v>Pio XII</v>
      </c>
      <c r="I796" s="31" t="s">
        <v>603</v>
      </c>
      <c r="J796" s="31" t="s">
        <v>829</v>
      </c>
      <c r="K796" s="31" t="s">
        <v>694</v>
      </c>
      <c r="L796" s="31" t="str">
        <f t="shared" si="193"/>
        <v>Lettera Enciclica</v>
      </c>
      <c r="M796" s="31" t="s">
        <v>579</v>
      </c>
      <c r="O796" s="31" t="s">
        <v>3876</v>
      </c>
      <c r="P796" s="31" t="s">
        <v>3932</v>
      </c>
      <c r="Q796" s="40">
        <v>18003</v>
      </c>
      <c r="R796" s="35">
        <f t="shared" si="194"/>
        <v>15</v>
      </c>
      <c r="S796" s="35"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5">
        <f t="shared" si="195"/>
        <v>1949</v>
      </c>
      <c r="U796" s="31"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6"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31"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31">
        <v>823</v>
      </c>
      <c r="Y796" s="31" t="str">
        <f t="shared" si="187"/>
        <v>['Pio XII', 'Enciclica', 'Redemptoris Nostri Cruciatus', 'pixii-enc-rnc', '15 aprile 1949', '15/04/1949', '1949/04/15'],</v>
      </c>
      <c r="Z796" s="31" t="str">
        <f t="shared" si="188"/>
        <v>Redemptoris Nostri Cruciatus (18003) | Pio XII</v>
      </c>
      <c r="AA796" s="31" t="str">
        <f t="shared" si="189"/>
        <v>Enciclica Redemptoris Nostri Cruciatus</v>
      </c>
      <c r="AB796" s="31" t="str">
        <f t="shared" si="190"/>
        <v>Enciclica Redemptoris Nostri Cruciatus</v>
      </c>
      <c r="AC796" s="31" t="str">
        <f t="shared" si="191"/>
        <v>Pio XII, Lettera Enciclica Redemptoris Nostri Cruciatus, 15 aprile 1949</v>
      </c>
      <c r="AD796" s="31" t="str">
        <f t="shared" si="192"/>
        <v>1949-04-15T08:00:00.000+02:00</v>
      </c>
      <c r="AE796" s="31" t="str">
        <f t="shared" si="183"/>
        <v>pixii-enc-rnc</v>
      </c>
      <c r="AF796" s="31" t="str">
        <f t="shared" si="184"/>
        <v>Pio XII - Lettera Enciclica - Redemptoris Nostri Cruciatus</v>
      </c>
    </row>
    <row r="797" spans="2:32" s="31" customFormat="1" x14ac:dyDescent="0.2">
      <c r="B797" s="31">
        <v>260</v>
      </c>
      <c r="C797" s="31" t="s">
        <v>3892</v>
      </c>
      <c r="D797" s="31" t="s">
        <v>715</v>
      </c>
      <c r="E797" s="31" t="s">
        <v>724</v>
      </c>
      <c r="F797" s="31" t="s">
        <v>663</v>
      </c>
      <c r="G797" s="31" t="s">
        <v>659</v>
      </c>
      <c r="H797" s="31" t="str">
        <f t="shared" si="196"/>
        <v>Pio XII</v>
      </c>
      <c r="I797" s="31" t="s">
        <v>603</v>
      </c>
      <c r="J797" s="31" t="s">
        <v>829</v>
      </c>
      <c r="K797" s="31" t="s">
        <v>694</v>
      </c>
      <c r="L797" s="31" t="str">
        <f t="shared" si="193"/>
        <v>Lettera Enciclica</v>
      </c>
      <c r="M797" s="31" t="s">
        <v>579</v>
      </c>
      <c r="O797" s="31" t="s">
        <v>3877</v>
      </c>
      <c r="P797" s="31" t="s">
        <v>3931</v>
      </c>
      <c r="Q797" s="40">
        <v>17830</v>
      </c>
      <c r="R797" s="35">
        <f t="shared" si="194"/>
        <v>24</v>
      </c>
      <c r="S797" s="35"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5">
        <f t="shared" si="195"/>
        <v>1948</v>
      </c>
      <c r="U797" s="31"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6"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31"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31">
        <v>824</v>
      </c>
      <c r="Y797" s="31" t="str">
        <f t="shared" si="187"/>
        <v>['Pio XII', 'Enciclica', 'In Multiplicibus Curis', 'pixii-enc-imc', '24 ottobre 1948', '24/10/1948', '1948/10/24'],</v>
      </c>
      <c r="Z797" s="31" t="str">
        <f t="shared" si="188"/>
        <v>In Multiplicibus Curis (17830) | Pio XII</v>
      </c>
      <c r="AA797" s="31" t="str">
        <f t="shared" si="189"/>
        <v>Enciclica In Multiplicibus Curis</v>
      </c>
      <c r="AB797" s="31" t="str">
        <f t="shared" si="190"/>
        <v>Enciclica In Multiplicibus Curis</v>
      </c>
      <c r="AC797" s="31" t="str">
        <f t="shared" si="191"/>
        <v>Pio XII, Lettera Enciclica In Multiplicibus Curis, 24 ottobre 1948</v>
      </c>
      <c r="AD797" s="31" t="str">
        <f t="shared" si="192"/>
        <v>1948-10-24T08:00:00.000+02:00</v>
      </c>
      <c r="AE797" s="31" t="str">
        <f t="shared" si="183"/>
        <v>pixii-enc-imc</v>
      </c>
      <c r="AF797" s="31" t="str">
        <f t="shared" si="184"/>
        <v>Pio XII - Lettera Enciclica - In Multiplicibus Curis</v>
      </c>
    </row>
    <row r="798" spans="2:32" s="31" customFormat="1" x14ac:dyDescent="0.2">
      <c r="B798" s="31">
        <v>260</v>
      </c>
      <c r="C798" s="31" t="s">
        <v>3893</v>
      </c>
      <c r="D798" s="31" t="s">
        <v>715</v>
      </c>
      <c r="E798" s="31" t="s">
        <v>724</v>
      </c>
      <c r="F798" s="31" t="s">
        <v>663</v>
      </c>
      <c r="G798" s="31" t="s">
        <v>659</v>
      </c>
      <c r="H798" s="31" t="str">
        <f t="shared" si="196"/>
        <v>Pio XII</v>
      </c>
      <c r="I798" s="31" t="s">
        <v>603</v>
      </c>
      <c r="J798" s="31" t="s">
        <v>829</v>
      </c>
      <c r="K798" s="31" t="s">
        <v>694</v>
      </c>
      <c r="L798" s="31" t="str">
        <f t="shared" si="193"/>
        <v>Lettera Enciclica</v>
      </c>
      <c r="M798" s="31" t="s">
        <v>579</v>
      </c>
      <c r="O798" s="31" t="s">
        <v>3878</v>
      </c>
      <c r="P798" s="31" t="s">
        <v>3930</v>
      </c>
      <c r="Q798" s="40">
        <v>17654</v>
      </c>
      <c r="R798" s="35">
        <f t="shared" si="194"/>
        <v>1</v>
      </c>
      <c r="S798" s="35"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5">
        <f t="shared" si="195"/>
        <v>1948</v>
      </c>
      <c r="U798" s="31"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6"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31"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31">
        <v>825</v>
      </c>
      <c r="Y798" s="31" t="str">
        <f t="shared" si="187"/>
        <v>['Pio XII', 'Enciclica', 'Auspicia Quaedam', 'pixii-enc-auq', '01 maggio 1948', '01/05/1948', '1948/05/01'],</v>
      </c>
      <c r="Z798" s="31" t="str">
        <f t="shared" si="188"/>
        <v>Auspicia Quaedam (17654) | Pio XII</v>
      </c>
      <c r="AA798" s="31" t="str">
        <f t="shared" si="189"/>
        <v>Enciclica Auspicia Quaedam</v>
      </c>
      <c r="AB798" s="31" t="str">
        <f t="shared" si="190"/>
        <v>Enciclica Auspicia Quaedam</v>
      </c>
      <c r="AC798" s="31" t="str">
        <f t="shared" si="191"/>
        <v>Pio XII, Lettera Enciclica Auspicia Quaedam, 01 maggio 1948</v>
      </c>
      <c r="AD798" s="31" t="str">
        <f t="shared" si="192"/>
        <v>1948-05-01T08:00:00.000+02:00</v>
      </c>
      <c r="AE798" s="31" t="str">
        <f t="shared" si="183"/>
        <v>pixii-enc-auq</v>
      </c>
      <c r="AF798" s="31" t="str">
        <f t="shared" si="184"/>
        <v>Pio XII - Lettera Enciclica - Auspicia Quaedam</v>
      </c>
    </row>
    <row r="799" spans="2:32" s="31" customFormat="1" x14ac:dyDescent="0.2">
      <c r="B799" s="31">
        <v>260</v>
      </c>
      <c r="C799" s="31" t="s">
        <v>3894</v>
      </c>
      <c r="D799" s="31" t="s">
        <v>715</v>
      </c>
      <c r="E799" s="31" t="s">
        <v>724</v>
      </c>
      <c r="F799" s="31" t="s">
        <v>663</v>
      </c>
      <c r="G799" s="31" t="s">
        <v>659</v>
      </c>
      <c r="H799" s="31" t="str">
        <f t="shared" si="196"/>
        <v>Pio XII</v>
      </c>
      <c r="I799" s="31" t="s">
        <v>603</v>
      </c>
      <c r="J799" s="31" t="s">
        <v>829</v>
      </c>
      <c r="K799" s="31" t="s">
        <v>694</v>
      </c>
      <c r="L799" s="31" t="str">
        <f t="shared" si="193"/>
        <v>Lettera Enciclica</v>
      </c>
      <c r="M799" s="31" t="s">
        <v>579</v>
      </c>
      <c r="O799" s="31" t="s">
        <v>3879</v>
      </c>
      <c r="P799" s="31" t="s">
        <v>3929</v>
      </c>
      <c r="Q799" s="40">
        <v>17519</v>
      </c>
      <c r="R799" s="35">
        <f t="shared" si="194"/>
        <v>18</v>
      </c>
      <c r="S799" s="35"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5">
        <f t="shared" si="195"/>
        <v>1947</v>
      </c>
      <c r="U799" s="31"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6"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31"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31">
        <v>826</v>
      </c>
      <c r="Y799" s="31" t="str">
        <f t="shared" si="187"/>
        <v>['Pio XII', 'Enciclica', 'Optatissima Pax', 'pixii-enc-opp', '18 dicembre 1947', '18/12/1947', '1947/12/18'],</v>
      </c>
      <c r="Z799" s="31" t="str">
        <f t="shared" si="188"/>
        <v>Optatissima Pax (17519) | Pio XII</v>
      </c>
      <c r="AA799" s="31" t="str">
        <f t="shared" si="189"/>
        <v>Enciclica Optatissima Pax</v>
      </c>
      <c r="AB799" s="31" t="str">
        <f t="shared" si="190"/>
        <v>Enciclica Optatissima Pax</v>
      </c>
      <c r="AC799" s="31" t="str">
        <f t="shared" si="191"/>
        <v>Pio XII, Lettera Enciclica Optatissima Pax, 18 dicembre 1947</v>
      </c>
      <c r="AD799" s="31" t="str">
        <f t="shared" si="192"/>
        <v>1947-12-18T08:00:00.000+02:00</v>
      </c>
      <c r="AE799" s="31" t="str">
        <f t="shared" si="183"/>
        <v>pixii-enc-opp</v>
      </c>
      <c r="AF799" s="31" t="str">
        <f t="shared" si="184"/>
        <v>Pio XII - Lettera Enciclica - Optatissima Pax</v>
      </c>
    </row>
    <row r="800" spans="2:32" s="31" customFormat="1" x14ac:dyDescent="0.2">
      <c r="B800" s="31">
        <v>260</v>
      </c>
      <c r="C800" s="31" t="s">
        <v>3895</v>
      </c>
      <c r="D800" s="31" t="s">
        <v>715</v>
      </c>
      <c r="E800" s="31" t="s">
        <v>724</v>
      </c>
      <c r="F800" s="31" t="s">
        <v>663</v>
      </c>
      <c r="G800" s="31" t="s">
        <v>659</v>
      </c>
      <c r="H800" s="31" t="str">
        <f t="shared" si="196"/>
        <v>Pio XII</v>
      </c>
      <c r="I800" s="31" t="s">
        <v>603</v>
      </c>
      <c r="J800" s="31" t="s">
        <v>829</v>
      </c>
      <c r="K800" s="31" t="s">
        <v>694</v>
      </c>
      <c r="L800" s="31" t="str">
        <f t="shared" si="193"/>
        <v>Lettera Enciclica</v>
      </c>
      <c r="M800" s="31" t="s">
        <v>579</v>
      </c>
      <c r="O800" s="31" t="s">
        <v>81</v>
      </c>
      <c r="P800" s="31" t="s">
        <v>3824</v>
      </c>
      <c r="Q800" s="40">
        <v>17491</v>
      </c>
      <c r="R800" s="35">
        <f t="shared" si="194"/>
        <v>20</v>
      </c>
      <c r="S800" s="35"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5">
        <f t="shared" si="195"/>
        <v>1947</v>
      </c>
      <c r="U800" s="31"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6"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31"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31">
        <v>827</v>
      </c>
      <c r="Y800" s="31" t="str">
        <f t="shared" si="187"/>
        <v>['Pio XII', 'Enciclica', 'Mediator Dei', 'pixii-enc-med', '20 novembre 1947', '20/11/1947', '1947/11/20'],</v>
      </c>
      <c r="Z800" s="31" t="str">
        <f t="shared" si="188"/>
        <v>Mediator Dei (17491) | Pio XII</v>
      </c>
      <c r="AA800" s="31" t="str">
        <f t="shared" si="189"/>
        <v>Enciclica Mediator Dei</v>
      </c>
      <c r="AB800" s="31" t="str">
        <f t="shared" si="190"/>
        <v>Enciclica Mediator Dei</v>
      </c>
      <c r="AC800" s="31" t="str">
        <f t="shared" si="191"/>
        <v>Pio XII, Lettera Enciclica Mediator Dei, 20 novembre 1947</v>
      </c>
      <c r="AD800" s="31" t="str">
        <f t="shared" si="192"/>
        <v>1947-11-20T08:00:00.000+02:00</v>
      </c>
      <c r="AE800" s="31" t="str">
        <f t="shared" si="183"/>
        <v>pixii-enc-med</v>
      </c>
      <c r="AF800" s="31" t="str">
        <f t="shared" si="184"/>
        <v>Pio XII - Lettera Enciclica - Mediator Dei</v>
      </c>
    </row>
    <row r="801" spans="2:32" s="31" customFormat="1" x14ac:dyDescent="0.2">
      <c r="B801" s="31">
        <v>260</v>
      </c>
      <c r="C801" s="31" t="s">
        <v>3896</v>
      </c>
      <c r="D801" s="31" t="s">
        <v>715</v>
      </c>
      <c r="E801" s="31" t="s">
        <v>724</v>
      </c>
      <c r="F801" s="31" t="s">
        <v>663</v>
      </c>
      <c r="G801" s="31" t="s">
        <v>659</v>
      </c>
      <c r="H801" s="31" t="str">
        <f t="shared" si="196"/>
        <v>Pio XII</v>
      </c>
      <c r="I801" s="31" t="s">
        <v>603</v>
      </c>
      <c r="J801" s="31" t="s">
        <v>829</v>
      </c>
      <c r="K801" s="31" t="s">
        <v>694</v>
      </c>
      <c r="L801" s="31" t="str">
        <f t="shared" si="193"/>
        <v>Lettera Enciclica</v>
      </c>
      <c r="M801" s="31" t="s">
        <v>579</v>
      </c>
      <c r="O801" s="31" t="s">
        <v>3880</v>
      </c>
      <c r="P801" s="31" t="s">
        <v>3928</v>
      </c>
      <c r="Q801" s="40">
        <v>17247</v>
      </c>
      <c r="R801" s="35">
        <f t="shared" si="194"/>
        <v>21</v>
      </c>
      <c r="S801" s="35"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5">
        <f t="shared" si="195"/>
        <v>1947</v>
      </c>
      <c r="U801" s="31"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6"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31"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31">
        <v>828</v>
      </c>
      <c r="Y801" s="31" t="str">
        <f t="shared" si="187"/>
        <v>['Pio XII', 'Enciclica', 'Fulgens Radiatur', 'pixii-enc-fur', '21 marzo 1947', '21/03/1947', '1947/03/21'],</v>
      </c>
      <c r="Z801" s="31" t="str">
        <f t="shared" si="188"/>
        <v>Fulgens Radiatur (17247) | Pio XII</v>
      </c>
      <c r="AA801" s="31" t="str">
        <f t="shared" si="189"/>
        <v>Enciclica Fulgens Radiatur</v>
      </c>
      <c r="AB801" s="31" t="str">
        <f t="shared" si="190"/>
        <v>Enciclica Fulgens Radiatur</v>
      </c>
      <c r="AC801" s="31" t="str">
        <f t="shared" si="191"/>
        <v>Pio XII, Lettera Enciclica Fulgens Radiatur, 21 marzo 1947</v>
      </c>
      <c r="AD801" s="31" t="str">
        <f t="shared" si="192"/>
        <v>1947-03-21T08:00:00.000+02:00</v>
      </c>
      <c r="AE801" s="31" t="str">
        <f t="shared" si="183"/>
        <v>pixii-enc-fur</v>
      </c>
      <c r="AF801" s="31" t="str">
        <f t="shared" si="184"/>
        <v>Pio XII - Lettera Enciclica - Fulgens Radiatur</v>
      </c>
    </row>
    <row r="802" spans="2:32" s="31" customFormat="1" x14ac:dyDescent="0.2">
      <c r="B802" s="31">
        <v>260</v>
      </c>
      <c r="C802" s="31" t="s">
        <v>3897</v>
      </c>
      <c r="D802" s="31" t="s">
        <v>715</v>
      </c>
      <c r="E802" s="31" t="s">
        <v>724</v>
      </c>
      <c r="F802" s="31" t="s">
        <v>663</v>
      </c>
      <c r="G802" s="31" t="s">
        <v>659</v>
      </c>
      <c r="H802" s="31" t="str">
        <f t="shared" si="196"/>
        <v>Pio XII</v>
      </c>
      <c r="I802" s="31" t="s">
        <v>603</v>
      </c>
      <c r="J802" s="31" t="s">
        <v>829</v>
      </c>
      <c r="K802" s="31" t="s">
        <v>694</v>
      </c>
      <c r="L802" s="31" t="str">
        <f t="shared" si="193"/>
        <v>Lettera Enciclica</v>
      </c>
      <c r="M802" s="31" t="s">
        <v>579</v>
      </c>
      <c r="O802" s="31" t="s">
        <v>79</v>
      </c>
      <c r="P802" s="31" t="s">
        <v>3927</v>
      </c>
      <c r="Q802" s="40">
        <v>16923</v>
      </c>
      <c r="R802" s="35">
        <f t="shared" si="194"/>
        <v>1</v>
      </c>
      <c r="S802" s="35"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5">
        <f t="shared" si="195"/>
        <v>1946</v>
      </c>
      <c r="U802" s="31"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6"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31"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31">
        <v>829</v>
      </c>
      <c r="Y802" s="31" t="str">
        <f t="shared" si="187"/>
        <v>['Pio XII', 'Enciclica', 'Deiparae Virginis Mariae', 'pixii-enc-dvm', '01 maggio 1946', '01/05/1946', '1946/05/01'],</v>
      </c>
      <c r="Z802" s="31" t="str">
        <f t="shared" si="188"/>
        <v>Deiparae Virginis Mariae (16923) | Pio XII</v>
      </c>
      <c r="AA802" s="31" t="str">
        <f t="shared" si="189"/>
        <v>Enciclica Deiparae Virginis Mariae</v>
      </c>
      <c r="AB802" s="31" t="str">
        <f t="shared" si="190"/>
        <v>Enciclica Deiparae Virginis Mariae</v>
      </c>
      <c r="AC802" s="31" t="str">
        <f t="shared" si="191"/>
        <v>Pio XII, Lettera Enciclica Deiparae Virginis Mariae, 01 maggio 1946</v>
      </c>
      <c r="AD802" s="31" t="str">
        <f t="shared" si="192"/>
        <v>1946-05-01T08:00:00.000+02:00</v>
      </c>
      <c r="AE802" s="31" t="str">
        <f t="shared" si="183"/>
        <v>pixii-enc-dvm</v>
      </c>
      <c r="AF802" s="31" t="str">
        <f t="shared" si="184"/>
        <v>Pio XII - Lettera Enciclica - Deiparae Virginis Mariae</v>
      </c>
    </row>
    <row r="803" spans="2:32" s="31" customFormat="1" x14ac:dyDescent="0.2">
      <c r="B803" s="31">
        <v>260</v>
      </c>
      <c r="C803" s="31" t="s">
        <v>3898</v>
      </c>
      <c r="D803" s="31" t="s">
        <v>715</v>
      </c>
      <c r="E803" s="31" t="s">
        <v>724</v>
      </c>
      <c r="F803" s="31" t="s">
        <v>663</v>
      </c>
      <c r="G803" s="31" t="s">
        <v>659</v>
      </c>
      <c r="H803" s="31" t="str">
        <f t="shared" si="196"/>
        <v>Pio XII</v>
      </c>
      <c r="I803" s="31" t="s">
        <v>603</v>
      </c>
      <c r="J803" s="31" t="s">
        <v>829</v>
      </c>
      <c r="K803" s="31" t="s">
        <v>694</v>
      </c>
      <c r="L803" s="31" t="str">
        <f t="shared" si="193"/>
        <v>Lettera Enciclica</v>
      </c>
      <c r="M803" s="31" t="s">
        <v>579</v>
      </c>
      <c r="O803" s="31" t="s">
        <v>78</v>
      </c>
      <c r="P803" s="31" t="s">
        <v>3926</v>
      </c>
      <c r="Q803" s="40">
        <v>16808</v>
      </c>
      <c r="R803" s="35">
        <f t="shared" si="194"/>
        <v>6</v>
      </c>
      <c r="S803" s="35"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5">
        <f t="shared" si="195"/>
        <v>1946</v>
      </c>
      <c r="U803" s="31"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6"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31"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31">
        <v>830</v>
      </c>
      <c r="Y803" s="31" t="str">
        <f t="shared" si="187"/>
        <v>['Pio XII', 'Enciclica', 'Quemadmodum', 'pixii-enc-que', '06 gennaio 1946', '06/01/1946', '1946/01/06'],</v>
      </c>
      <c r="Z803" s="31" t="str">
        <f t="shared" si="188"/>
        <v>Quemadmodum (16808) | Pio XII</v>
      </c>
      <c r="AA803" s="31" t="str">
        <f t="shared" si="189"/>
        <v>Enciclica Quemadmodum</v>
      </c>
      <c r="AB803" s="31" t="str">
        <f t="shared" si="190"/>
        <v>Enciclica Quemadmodum</v>
      </c>
      <c r="AC803" s="31" t="str">
        <f t="shared" si="191"/>
        <v>Pio XII, Lettera Enciclica Quemadmodum, 06 gennaio 1946</v>
      </c>
      <c r="AD803" s="31" t="str">
        <f t="shared" si="192"/>
        <v>1946-01-06T08:00:00.000+02:00</v>
      </c>
      <c r="AE803" s="31" t="str">
        <f t="shared" si="183"/>
        <v>pixii-enc-que</v>
      </c>
      <c r="AF803" s="31" t="str">
        <f t="shared" si="184"/>
        <v>Pio XII - Lettera Enciclica - Quemadmodum</v>
      </c>
    </row>
    <row r="804" spans="2:32" s="31" customFormat="1" x14ac:dyDescent="0.2">
      <c r="B804" s="31">
        <v>260</v>
      </c>
      <c r="C804" s="31" t="s">
        <v>3899</v>
      </c>
      <c r="D804" s="31" t="s">
        <v>715</v>
      </c>
      <c r="E804" s="31" t="s">
        <v>724</v>
      </c>
      <c r="F804" s="31" t="s">
        <v>663</v>
      </c>
      <c r="G804" s="31" t="s">
        <v>659</v>
      </c>
      <c r="H804" s="31" t="str">
        <f t="shared" ref="H804:H811" si="197">_xlfn.CONCAT(D804 &amp; " " &amp; E804)</f>
        <v>Pio XII</v>
      </c>
      <c r="I804" s="31" t="s">
        <v>603</v>
      </c>
      <c r="J804" s="31" t="s">
        <v>829</v>
      </c>
      <c r="K804" s="31" t="s">
        <v>694</v>
      </c>
      <c r="L804" s="31" t="str">
        <f t="shared" si="193"/>
        <v>Lettera Enciclica</v>
      </c>
      <c r="M804" s="31" t="s">
        <v>579</v>
      </c>
      <c r="O804" s="31" t="s">
        <v>3881</v>
      </c>
      <c r="P804" s="31" t="s">
        <v>3925</v>
      </c>
      <c r="Q804" s="40">
        <v>16794</v>
      </c>
      <c r="R804" s="35">
        <f t="shared" si="194"/>
        <v>23</v>
      </c>
      <c r="S804" s="35"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5">
        <f t="shared" si="195"/>
        <v>1945</v>
      </c>
      <c r="U804" s="31"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6"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31"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31">
        <v>831</v>
      </c>
      <c r="Y804" s="31" t="str">
        <f t="shared" si="187"/>
        <v>['Pio XII', 'Enciclica', 'Orientales Omnes Ecclesias', 'pixii-enc-ooe', '23 dicembre 1945', '23/12/1945', '1945/12/23'],</v>
      </c>
      <c r="Z804" s="31" t="str">
        <f t="shared" si="188"/>
        <v>Orientales Omnes Ecclesias (16794) | Pio XII</v>
      </c>
      <c r="AA804" s="31" t="str">
        <f t="shared" si="189"/>
        <v>Enciclica Orientales Omnes Ecclesias</v>
      </c>
      <c r="AB804" s="31" t="str">
        <f t="shared" si="190"/>
        <v>Enciclica Orientales Omnes Ecclesias</v>
      </c>
      <c r="AC804" s="31" t="str">
        <f t="shared" si="191"/>
        <v>Pio XII, Lettera Enciclica Orientales Omnes Ecclesias, 23 dicembre 1945</v>
      </c>
      <c r="AD804" s="31" t="str">
        <f t="shared" si="192"/>
        <v>1945-12-23T08:00:00.000+02:00</v>
      </c>
      <c r="AE804" s="31" t="str">
        <f t="shared" si="183"/>
        <v>pixii-enc-ooe</v>
      </c>
      <c r="AF804" s="31" t="str">
        <f t="shared" si="184"/>
        <v>Pio XII - Lettera Enciclica - Orientales Omnes Ecclesias</v>
      </c>
    </row>
    <row r="805" spans="2:32" s="31" customFormat="1" x14ac:dyDescent="0.2">
      <c r="B805" s="31">
        <v>260</v>
      </c>
      <c r="C805" s="31" t="s">
        <v>3900</v>
      </c>
      <c r="D805" s="31" t="s">
        <v>715</v>
      </c>
      <c r="E805" s="31" t="s">
        <v>724</v>
      </c>
      <c r="F805" s="31" t="s">
        <v>663</v>
      </c>
      <c r="G805" s="31" t="s">
        <v>659</v>
      </c>
      <c r="H805" s="31" t="str">
        <f t="shared" si="197"/>
        <v>Pio XII</v>
      </c>
      <c r="I805" s="31" t="s">
        <v>603</v>
      </c>
      <c r="J805" s="31" t="s">
        <v>829</v>
      </c>
      <c r="K805" s="31" t="s">
        <v>694</v>
      </c>
      <c r="L805" s="31" t="str">
        <f t="shared" si="193"/>
        <v>Lettera Enciclica</v>
      </c>
      <c r="M805" s="31" t="s">
        <v>579</v>
      </c>
      <c r="O805" s="31" t="s">
        <v>3882</v>
      </c>
      <c r="P805" s="31" t="s">
        <v>3924</v>
      </c>
      <c r="Q805" s="40">
        <v>16542</v>
      </c>
      <c r="R805" s="35">
        <f t="shared" si="194"/>
        <v>15</v>
      </c>
      <c r="S805" s="35"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5">
        <f t="shared" si="195"/>
        <v>1945</v>
      </c>
      <c r="U805" s="31"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6"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31"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31">
        <v>832</v>
      </c>
      <c r="Y805" s="31" t="str">
        <f t="shared" si="187"/>
        <v>['Pio XII', 'Enciclica', 'Communium Interpretes Dolorum', 'pixii-enc-cid', '15 aprile 1945', '15/04/1945', '1945/04/15'],</v>
      </c>
      <c r="Z805" s="31" t="str">
        <f t="shared" si="188"/>
        <v>Communium Interpretes Dolorum (16542) | Pio XII</v>
      </c>
      <c r="AA805" s="31" t="str">
        <f t="shared" si="189"/>
        <v>Enciclica Communium Interpretes Dolorum</v>
      </c>
      <c r="AB805" s="31" t="str">
        <f t="shared" si="190"/>
        <v>Enciclica Communium Interpretes Dolorum</v>
      </c>
      <c r="AC805" s="31" t="str">
        <f t="shared" si="191"/>
        <v>Pio XII, Lettera Enciclica Communium Interpretes Dolorum, 15 aprile 1945</v>
      </c>
      <c r="AD805" s="31" t="str">
        <f t="shared" si="192"/>
        <v>1945-04-15T08:00:00.000+02:00</v>
      </c>
      <c r="AE805" s="31" t="str">
        <f t="shared" si="183"/>
        <v>pixii-enc-cid</v>
      </c>
      <c r="AF805" s="31" t="str">
        <f t="shared" si="184"/>
        <v>Pio XII - Lettera Enciclica - Communium Interpretes Dolorum</v>
      </c>
    </row>
    <row r="806" spans="2:32" s="31" customFormat="1" x14ac:dyDescent="0.2">
      <c r="B806" s="31">
        <v>260</v>
      </c>
      <c r="C806" s="31" t="s">
        <v>3901</v>
      </c>
      <c r="D806" s="31" t="s">
        <v>715</v>
      </c>
      <c r="E806" s="31" t="s">
        <v>724</v>
      </c>
      <c r="F806" s="31" t="s">
        <v>663</v>
      </c>
      <c r="G806" s="31" t="s">
        <v>659</v>
      </c>
      <c r="H806" s="31" t="str">
        <f t="shared" si="197"/>
        <v>Pio XII</v>
      </c>
      <c r="I806" s="31" t="s">
        <v>603</v>
      </c>
      <c r="J806" s="31" t="s">
        <v>829</v>
      </c>
      <c r="K806" s="31" t="s">
        <v>694</v>
      </c>
      <c r="L806" s="31" t="str">
        <f t="shared" si="193"/>
        <v>Lettera Enciclica</v>
      </c>
      <c r="M806" s="31" t="s">
        <v>579</v>
      </c>
      <c r="O806" s="31" t="s">
        <v>75</v>
      </c>
      <c r="P806" s="31" t="s">
        <v>3923</v>
      </c>
      <c r="Q806" s="40">
        <v>16171</v>
      </c>
      <c r="R806" s="35">
        <f t="shared" si="194"/>
        <v>9</v>
      </c>
      <c r="S806" s="35"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5">
        <f t="shared" si="195"/>
        <v>1944</v>
      </c>
      <c r="U806" s="31"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6"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31"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31">
        <v>833</v>
      </c>
      <c r="Y806" s="31" t="str">
        <f t="shared" si="187"/>
        <v>['Pio XII', 'Enciclica', 'Orientalis Ecclesiae', 'pixii-enc-ore', '09 aprile 1944', '09/04/1944', '1944/04/09'],</v>
      </c>
      <c r="Z806" s="31" t="str">
        <f t="shared" si="188"/>
        <v>Orientalis Ecclesiae (16171) | Pio XII</v>
      </c>
      <c r="AA806" s="31" t="str">
        <f t="shared" si="189"/>
        <v>Enciclica Orientalis Ecclesiae</v>
      </c>
      <c r="AB806" s="31" t="str">
        <f t="shared" si="190"/>
        <v>Enciclica Orientalis Ecclesiae</v>
      </c>
      <c r="AC806" s="31" t="str">
        <f t="shared" si="191"/>
        <v>Pio XII, Lettera Enciclica Orientalis Ecclesiae, 09 aprile 1944</v>
      </c>
      <c r="AD806" s="31" t="str">
        <f t="shared" si="192"/>
        <v>1944-04-09T08:00:00.000+02:00</v>
      </c>
      <c r="AE806" s="31" t="str">
        <f t="shared" si="183"/>
        <v>pixii-enc-ore</v>
      </c>
      <c r="AF806" s="31" t="str">
        <f t="shared" si="184"/>
        <v>Pio XII - Lettera Enciclica - Orientalis Ecclesiae</v>
      </c>
    </row>
    <row r="807" spans="2:32" s="31" customFormat="1" x14ac:dyDescent="0.2">
      <c r="B807" s="31">
        <v>260</v>
      </c>
      <c r="C807" s="31" t="s">
        <v>3902</v>
      </c>
      <c r="D807" s="31" t="s">
        <v>715</v>
      </c>
      <c r="E807" s="31" t="s">
        <v>724</v>
      </c>
      <c r="F807" s="31" t="s">
        <v>663</v>
      </c>
      <c r="G807" s="31" t="s">
        <v>659</v>
      </c>
      <c r="H807" s="31" t="str">
        <f t="shared" si="197"/>
        <v>Pio XII</v>
      </c>
      <c r="I807" s="31" t="s">
        <v>603</v>
      </c>
      <c r="J807" s="31" t="s">
        <v>829</v>
      </c>
      <c r="K807" s="31" t="s">
        <v>694</v>
      </c>
      <c r="L807" s="31" t="str">
        <f t="shared" si="193"/>
        <v>Lettera Enciclica</v>
      </c>
      <c r="M807" s="31" t="s">
        <v>579</v>
      </c>
      <c r="O807" s="31" t="s">
        <v>3883</v>
      </c>
      <c r="P807" s="31" t="s">
        <v>3160</v>
      </c>
      <c r="Q807" s="40">
        <v>15979</v>
      </c>
      <c r="R807" s="35">
        <f t="shared" si="194"/>
        <v>30</v>
      </c>
      <c r="S807" s="35"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5">
        <f t="shared" si="195"/>
        <v>1943</v>
      </c>
      <c r="U807" s="31"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6"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31"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31">
        <v>834</v>
      </c>
      <c r="Y807" s="31" t="str">
        <f t="shared" si="187"/>
        <v>['Pio XII', 'Enciclica', 'Divino Afflante Spiritu', 'pixii-enc-daf', '30 settembre 1943', '30/09/1943', '1943/09/30'],</v>
      </c>
      <c r="Z807" s="31" t="str">
        <f t="shared" si="188"/>
        <v>Divino Afflante Spiritu (15979) | Pio XII</v>
      </c>
      <c r="AA807" s="31" t="str">
        <f t="shared" si="189"/>
        <v>Enciclica Divino Afflante Spiritu</v>
      </c>
      <c r="AB807" s="31" t="str">
        <f t="shared" si="190"/>
        <v>Enciclica Divino Afflante Spiritu</v>
      </c>
      <c r="AC807" s="31" t="str">
        <f t="shared" si="191"/>
        <v>Pio XII, Lettera Enciclica Divino Afflante Spiritu, 30 settembre 1943</v>
      </c>
      <c r="AD807" s="31" t="str">
        <f t="shared" si="192"/>
        <v>1943-09-30T08:00:00.000+02:00</v>
      </c>
      <c r="AE807" s="31" t="str">
        <f t="shared" ref="AE807:AE827" si="198">_xlfn.CONCAT(F807 &amp; "-" &amp; M807 &amp; "-" &amp; P807)</f>
        <v>pixii-enc-daf</v>
      </c>
      <c r="AF807" s="31" t="str">
        <f t="shared" ref="AF807:AF827" si="199">_xlfn.CONCAT(H807 &amp; " - " &amp; L807 &amp; " - " &amp; O807)</f>
        <v>Pio XII - Lettera Enciclica - Divino Afflante Spiritu</v>
      </c>
    </row>
    <row r="808" spans="2:32" s="31" customFormat="1" x14ac:dyDescent="0.2">
      <c r="B808" s="31">
        <v>260</v>
      </c>
      <c r="C808" s="31" t="s">
        <v>3903</v>
      </c>
      <c r="D808" s="31" t="s">
        <v>715</v>
      </c>
      <c r="E808" s="31" t="s">
        <v>724</v>
      </c>
      <c r="F808" s="31" t="s">
        <v>663</v>
      </c>
      <c r="G808" s="31" t="s">
        <v>659</v>
      </c>
      <c r="H808" s="31" t="str">
        <f t="shared" si="197"/>
        <v>Pio XII</v>
      </c>
      <c r="I808" s="31" t="s">
        <v>603</v>
      </c>
      <c r="J808" s="31" t="s">
        <v>829</v>
      </c>
      <c r="K808" s="31" t="s">
        <v>694</v>
      </c>
      <c r="L808" s="31" t="str">
        <f t="shared" si="193"/>
        <v>Lettera Enciclica</v>
      </c>
      <c r="M808" s="31" t="s">
        <v>579</v>
      </c>
      <c r="O808" s="31" t="s">
        <v>73</v>
      </c>
      <c r="P808" s="31" t="s">
        <v>3922</v>
      </c>
      <c r="Q808" s="40">
        <v>15886</v>
      </c>
      <c r="R808" s="35">
        <f t="shared" ref="R808:R811" si="200">IF(ISERROR(DAY(Q808)),TEXT((LEFT(Q808,2)),"00"),DAY(Q808))</f>
        <v>29</v>
      </c>
      <c r="S808" s="35"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5">
        <f t="shared" ref="T808:T811" si="201">IF(ISERROR(DAY(Q808)),VALUE(RIGHT(Q808,4)),YEAR(Q808))</f>
        <v>1943</v>
      </c>
      <c r="U808" s="31"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6"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31"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31">
        <v>831</v>
      </c>
      <c r="Y808" s="31" t="str">
        <f t="shared" ref="Y808:Y811" si="202">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31" t="str">
        <f t="shared" ref="Z808:Z811" si="203">_xlfn.CONCAT(O808 &amp; " (" &amp; Q808 &amp; ") | " &amp; D808 &amp; " " &amp; E808)</f>
        <v>Mystici Corporis Christi (15886) | Pio XII</v>
      </c>
      <c r="AA808" s="31" t="str">
        <f t="shared" ref="AA808:AA811" si="204">_xlfn.CONCAT(K808 &amp; " " &amp; O808)</f>
        <v>Enciclica Mystici Corporis Christi</v>
      </c>
      <c r="AB808" s="31" t="str">
        <f t="shared" ref="AB808:AB811" si="205">_xlfn.CONCAT(K808 &amp; " " &amp; O808)</f>
        <v>Enciclica Mystici Corporis Christi</v>
      </c>
      <c r="AC808" s="31" t="str">
        <f t="shared" ref="AC808:AC811" si="206">_xlfn.CONCAT(H808 &amp; ", " &amp; L808 &amp; " " &amp; O808 &amp; ", " &amp; LEFT(U808,2) &amp; " " &amp; TEXT(VALUE(MID(U808,4,2))*29,"mmmm") &amp; " " &amp; RIGHT(U808,4))</f>
        <v>Pio XII, Lettera Enciclica Mystici Corporis Christi, 29 giugno 1943</v>
      </c>
      <c r="AD808" s="31" t="str">
        <f t="shared" ref="AD808:AD811" si="207">_xlfn.CONCAT(RIGHT(U808,4) &amp; "-" &amp; MID(U808,4,2) &amp; "-" &amp; LEFT(U808,2) &amp; "T08:00:00.000+02:00")</f>
        <v>1943-06-29T08:00:00.000+02:00</v>
      </c>
      <c r="AE808" s="31" t="str">
        <f t="shared" ref="AE808:AE811" si="208">_xlfn.CONCAT(F808 &amp; "-" &amp; M808 &amp; "-" &amp; P808)</f>
        <v>pixii-enc-mcc</v>
      </c>
      <c r="AF808" s="31" t="str">
        <f t="shared" ref="AF808:AF811" si="209">_xlfn.CONCAT(H808 &amp; " - " &amp; L808 &amp; " - " &amp; O808)</f>
        <v>Pio XII - Lettera Enciclica - Mystici Corporis Christi</v>
      </c>
    </row>
    <row r="809" spans="2:32" s="31" customFormat="1" x14ac:dyDescent="0.2">
      <c r="B809" s="31">
        <v>260</v>
      </c>
      <c r="C809" s="31" t="s">
        <v>3904</v>
      </c>
      <c r="D809" s="31" t="s">
        <v>715</v>
      </c>
      <c r="E809" s="31" t="s">
        <v>724</v>
      </c>
      <c r="F809" s="31" t="s">
        <v>663</v>
      </c>
      <c r="G809" s="31" t="s">
        <v>659</v>
      </c>
      <c r="H809" s="31" t="str">
        <f t="shared" si="197"/>
        <v>Pio XII</v>
      </c>
      <c r="I809" s="31" t="s">
        <v>603</v>
      </c>
      <c r="J809" s="31" t="s">
        <v>829</v>
      </c>
      <c r="K809" s="31" t="s">
        <v>694</v>
      </c>
      <c r="L809" s="31" t="str">
        <f t="shared" si="193"/>
        <v>Lettera Enciclica</v>
      </c>
      <c r="M809" s="31" t="s">
        <v>579</v>
      </c>
      <c r="O809" s="31" t="s">
        <v>3884</v>
      </c>
      <c r="P809" s="31" t="s">
        <v>3921</v>
      </c>
      <c r="Q809" s="40">
        <v>14775</v>
      </c>
      <c r="R809" s="35">
        <f t="shared" si="200"/>
        <v>13</v>
      </c>
      <c r="S809" s="35"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5">
        <f t="shared" si="201"/>
        <v>1940</v>
      </c>
      <c r="U809" s="31"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6"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31"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31">
        <v>832</v>
      </c>
      <c r="Y809" s="31" t="str">
        <f t="shared" si="202"/>
        <v>['Pio XII', 'Enciclica', 'Saeculo Exeunte Octavo', 'pixii-enc-seo', '13 giugno 1940', '13/06/1940', '1940/06/13'],</v>
      </c>
      <c r="Z809" s="31" t="str">
        <f t="shared" si="203"/>
        <v>Saeculo Exeunte Octavo (14775) | Pio XII</v>
      </c>
      <c r="AA809" s="31" t="str">
        <f t="shared" si="204"/>
        <v>Enciclica Saeculo Exeunte Octavo</v>
      </c>
      <c r="AB809" s="31" t="str">
        <f t="shared" si="205"/>
        <v>Enciclica Saeculo Exeunte Octavo</v>
      </c>
      <c r="AC809" s="31" t="str">
        <f t="shared" si="206"/>
        <v>Pio XII, Lettera Enciclica Saeculo Exeunte Octavo, 13 giugno 1940</v>
      </c>
      <c r="AD809" s="31" t="str">
        <f t="shared" si="207"/>
        <v>1940-06-13T08:00:00.000+02:00</v>
      </c>
      <c r="AE809" s="31" t="str">
        <f t="shared" si="208"/>
        <v>pixii-enc-seo</v>
      </c>
      <c r="AF809" s="31" t="str">
        <f t="shared" si="209"/>
        <v>Pio XII - Lettera Enciclica - Saeculo Exeunte Octavo</v>
      </c>
    </row>
    <row r="810" spans="2:32" s="31" customFormat="1" x14ac:dyDescent="0.2">
      <c r="B810" s="31">
        <v>260</v>
      </c>
      <c r="C810" s="31" t="s">
        <v>3905</v>
      </c>
      <c r="D810" s="31" t="s">
        <v>715</v>
      </c>
      <c r="E810" s="31" t="s">
        <v>724</v>
      </c>
      <c r="F810" s="31" t="s">
        <v>663</v>
      </c>
      <c r="G810" s="31" t="s">
        <v>659</v>
      </c>
      <c r="H810" s="31" t="str">
        <f t="shared" si="197"/>
        <v>Pio XII</v>
      </c>
      <c r="I810" s="31" t="s">
        <v>603</v>
      </c>
      <c r="J810" s="31" t="s">
        <v>829</v>
      </c>
      <c r="K810" s="31" t="s">
        <v>694</v>
      </c>
      <c r="L810" s="31" t="str">
        <f t="shared" si="193"/>
        <v>Lettera Enciclica</v>
      </c>
      <c r="M810" s="31" t="s">
        <v>579</v>
      </c>
      <c r="O810" s="31" t="s">
        <v>3885</v>
      </c>
      <c r="P810" s="31" t="s">
        <v>3920</v>
      </c>
      <c r="Q810" s="40">
        <v>14550</v>
      </c>
      <c r="R810" s="35">
        <f t="shared" si="200"/>
        <v>1</v>
      </c>
      <c r="S810" s="35"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5">
        <f t="shared" si="201"/>
        <v>1939</v>
      </c>
      <c r="U810" s="31"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6"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31"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31">
        <v>833</v>
      </c>
      <c r="Y810" s="31" t="str">
        <f t="shared" si="202"/>
        <v>['Pio XII', 'Enciclica', 'Sertum Laetitiae', 'pixii-enc-sel', '01 novembre 1939', '01/11/1939', '1939/11/01'],</v>
      </c>
      <c r="Z810" s="31" t="str">
        <f t="shared" si="203"/>
        <v>Sertum Laetitiae (14550) | Pio XII</v>
      </c>
      <c r="AA810" s="31" t="str">
        <f t="shared" si="204"/>
        <v>Enciclica Sertum Laetitiae</v>
      </c>
      <c r="AB810" s="31" t="str">
        <f t="shared" si="205"/>
        <v>Enciclica Sertum Laetitiae</v>
      </c>
      <c r="AC810" s="31" t="str">
        <f t="shared" si="206"/>
        <v>Pio XII, Lettera Enciclica Sertum Laetitiae, 01 novembre 1939</v>
      </c>
      <c r="AD810" s="31" t="str">
        <f t="shared" si="207"/>
        <v>1939-11-01T08:00:00.000+02:00</v>
      </c>
      <c r="AE810" s="31" t="str">
        <f t="shared" si="208"/>
        <v>pixii-enc-sel</v>
      </c>
      <c r="AF810" s="31" t="str">
        <f t="shared" si="209"/>
        <v>Pio XII - Lettera Enciclica - Sertum Laetitiae</v>
      </c>
    </row>
    <row r="811" spans="2:32" s="31" customFormat="1" ht="15" x14ac:dyDescent="0.25">
      <c r="B811" s="31">
        <v>260</v>
      </c>
      <c r="C811" s="46" t="s">
        <v>3906</v>
      </c>
      <c r="D811" s="31" t="s">
        <v>715</v>
      </c>
      <c r="E811" s="31" t="s">
        <v>724</v>
      </c>
      <c r="F811" s="31" t="s">
        <v>663</v>
      </c>
      <c r="G811" s="31" t="s">
        <v>659</v>
      </c>
      <c r="H811" s="31" t="str">
        <f t="shared" si="197"/>
        <v>Pio XII</v>
      </c>
      <c r="I811" s="31" t="s">
        <v>603</v>
      </c>
      <c r="J811" s="31" t="s">
        <v>829</v>
      </c>
      <c r="K811" s="31" t="s">
        <v>694</v>
      </c>
      <c r="L811" s="31" t="str">
        <f t="shared" si="193"/>
        <v>Lettera Enciclica</v>
      </c>
      <c r="M811" s="31" t="s">
        <v>579</v>
      </c>
      <c r="O811" s="31" t="s">
        <v>70</v>
      </c>
      <c r="P811" s="31" t="s">
        <v>3919</v>
      </c>
      <c r="Q811" s="40">
        <v>14538</v>
      </c>
      <c r="R811" s="35">
        <f t="shared" si="200"/>
        <v>20</v>
      </c>
      <c r="S811" s="35"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5">
        <f t="shared" si="201"/>
        <v>1939</v>
      </c>
      <c r="U811" s="31"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6"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31"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31">
        <v>834</v>
      </c>
      <c r="Y811" s="31" t="str">
        <f t="shared" si="202"/>
        <v>['Pio XII', 'Enciclica', 'Summi Pontificatus', 'pixii-enc-sup', '20 ottobre 1939', '20/10/1939', '1939/10/20'],</v>
      </c>
      <c r="Z811" s="31" t="str">
        <f t="shared" si="203"/>
        <v>Summi Pontificatus (14538) | Pio XII</v>
      </c>
      <c r="AA811" s="31" t="str">
        <f t="shared" si="204"/>
        <v>Enciclica Summi Pontificatus</v>
      </c>
      <c r="AB811" s="31" t="str">
        <f t="shared" si="205"/>
        <v>Enciclica Summi Pontificatus</v>
      </c>
      <c r="AC811" s="31" t="str">
        <f t="shared" si="206"/>
        <v>Pio XII, Lettera Enciclica Summi Pontificatus, 20 ottobre 1939</v>
      </c>
      <c r="AD811" s="31" t="str">
        <f t="shared" si="207"/>
        <v>1939-10-20T08:00:00.000+02:00</v>
      </c>
      <c r="AE811" s="31" t="str">
        <f t="shared" si="208"/>
        <v>pixii-enc-sup</v>
      </c>
      <c r="AF811" s="31" t="str">
        <f t="shared" si="209"/>
        <v>Pio XII - Lettera Enciclica - Summi Pontificatus</v>
      </c>
    </row>
    <row r="812" spans="2:32" s="31" customFormat="1" x14ac:dyDescent="0.2">
      <c r="B812" s="31">
        <v>260</v>
      </c>
      <c r="C812" s="31" t="s">
        <v>3909</v>
      </c>
      <c r="D812" s="31" t="s">
        <v>715</v>
      </c>
      <c r="E812" s="31" t="s">
        <v>724</v>
      </c>
      <c r="F812" s="31" t="s">
        <v>663</v>
      </c>
      <c r="G812" s="31" t="s">
        <v>659</v>
      </c>
      <c r="H812" s="31" t="str">
        <f t="shared" ref="H812" si="210">_xlfn.CONCAT(D812 &amp; " " &amp; E812)</f>
        <v>Pio XII</v>
      </c>
      <c r="K812" s="31" t="s">
        <v>826</v>
      </c>
      <c r="L812" s="31" t="str">
        <f t="shared" ref="L812" si="211">IF(J812&lt;&gt;"",_xlfn.CONCAT(J812 &amp; " " &amp; K812),K812)</f>
        <v>Costituzione Apostolica</v>
      </c>
      <c r="M812" s="31" t="s">
        <v>565</v>
      </c>
      <c r="O812" s="31" t="s">
        <v>3907</v>
      </c>
      <c r="P812" s="31" t="s">
        <v>3908</v>
      </c>
      <c r="Q812" s="40">
        <v>19365</v>
      </c>
      <c r="R812" s="35">
        <f t="shared" si="194"/>
        <v>6</v>
      </c>
      <c r="S812" s="35"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5">
        <f t="shared" si="195"/>
        <v>1953</v>
      </c>
      <c r="U812" s="31"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6"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31"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31">
        <v>831</v>
      </c>
      <c r="Y812" s="31" t="str">
        <f t="shared" si="187"/>
        <v>['Pio XII', 'Costituzione Apostolica', 'Christus Dominus - Della disciplina da osservare circa il digiuno eucaristico', 'pixii-coa-chd', '06 gennaio 1953', '06/01/1953', '1953/01/06'],</v>
      </c>
      <c r="Z812" s="31" t="str">
        <f t="shared" si="188"/>
        <v>Christus Dominus - Della disciplina da osservare circa il digiuno eucaristico (19365) | Pio XII</v>
      </c>
      <c r="AA812" s="31" t="str">
        <f t="shared" si="189"/>
        <v>Costituzione Apostolica Christus Dominus - Della disciplina da osservare circa il digiuno eucaristico</v>
      </c>
      <c r="AB812" s="31" t="str">
        <f t="shared" si="190"/>
        <v>Costituzione Apostolica Christus Dominus - Della disciplina da osservare circa il digiuno eucaristico</v>
      </c>
      <c r="AC812" s="31" t="str">
        <f t="shared" si="191"/>
        <v>Pio XII, Costituzione Apostolica Christus Dominus - Della disciplina da osservare circa il digiuno eucaristico, 06 gennaio 1953</v>
      </c>
      <c r="AD812" s="31" t="str">
        <f t="shared" si="192"/>
        <v>1953-01-06T08:00:00.000+02:00</v>
      </c>
      <c r="AE812" s="31" t="str">
        <f t="shared" si="198"/>
        <v>pixii-coa-chd</v>
      </c>
      <c r="AF812" s="31" t="str">
        <f t="shared" si="199"/>
        <v>Pio XII - Costituzione Apostolica - Christus Dominus - Della disciplina da osservare circa il digiuno eucaristico</v>
      </c>
    </row>
    <row r="813" spans="2:32" s="31" customFormat="1" x14ac:dyDescent="0.2">
      <c r="B813" s="31">
        <v>260</v>
      </c>
      <c r="C813" s="31" t="s">
        <v>3913</v>
      </c>
      <c r="D813" s="31" t="s">
        <v>715</v>
      </c>
      <c r="E813" s="31" t="s">
        <v>724</v>
      </c>
      <c r="F813" s="31" t="s">
        <v>663</v>
      </c>
      <c r="G813" s="31" t="s">
        <v>659</v>
      </c>
      <c r="H813" s="31" t="str">
        <f t="shared" ref="H813:H815" si="212">_xlfn.CONCAT(D813 &amp; " " &amp; E813)</f>
        <v>Pio XII</v>
      </c>
      <c r="K813" s="31" t="s">
        <v>826</v>
      </c>
      <c r="L813" s="31" t="str">
        <f t="shared" ref="L813:L815" si="213">IF(J813&lt;&gt;"",_xlfn.CONCAT(J813 &amp; " " &amp; K813),K813)</f>
        <v>Costituzione Apostolica</v>
      </c>
      <c r="M813" s="31" t="s">
        <v>565</v>
      </c>
      <c r="O813" s="31" t="s">
        <v>3910</v>
      </c>
      <c r="P813" s="31" t="s">
        <v>3918</v>
      </c>
      <c r="Q813" s="40">
        <v>18588</v>
      </c>
      <c r="R813" s="35">
        <f t="shared" si="194"/>
        <v>21</v>
      </c>
      <c r="S813" s="35"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5">
        <f t="shared" si="195"/>
        <v>1950</v>
      </c>
      <c r="U813" s="31"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6"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31"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31">
        <v>832</v>
      </c>
      <c r="Y813" s="31" t="str">
        <f t="shared" si="187"/>
        <v>['Pio XII', 'Costituzione Apostolica', 'Sponsa Christi', 'pixii-coa-spc', '21 novembre 1950', '21/11/1950', '1950/11/21'],</v>
      </c>
      <c r="Z813" s="31" t="str">
        <f t="shared" si="188"/>
        <v>Sponsa Christi (18588) | Pio XII</v>
      </c>
      <c r="AA813" s="31" t="str">
        <f t="shared" si="189"/>
        <v>Costituzione Apostolica Sponsa Christi</v>
      </c>
      <c r="AB813" s="31" t="str">
        <f t="shared" si="190"/>
        <v>Costituzione Apostolica Sponsa Christi</v>
      </c>
      <c r="AC813" s="31" t="str">
        <f t="shared" si="191"/>
        <v>Pio XII, Costituzione Apostolica Sponsa Christi, 21 novembre 1950</v>
      </c>
      <c r="AD813" s="31" t="str">
        <f t="shared" si="192"/>
        <v>1950-11-21T08:00:00.000+02:00</v>
      </c>
      <c r="AE813" s="31" t="str">
        <f t="shared" si="198"/>
        <v>pixii-coa-spc</v>
      </c>
      <c r="AF813" s="31" t="str">
        <f t="shared" si="199"/>
        <v>Pio XII - Costituzione Apostolica - Sponsa Christi</v>
      </c>
    </row>
    <row r="814" spans="2:32" s="31" customFormat="1" x14ac:dyDescent="0.2">
      <c r="B814" s="31">
        <v>260</v>
      </c>
      <c r="C814" s="31" t="s">
        <v>3914</v>
      </c>
      <c r="D814" s="31" t="s">
        <v>715</v>
      </c>
      <c r="E814" s="31" t="s">
        <v>724</v>
      </c>
      <c r="F814" s="31" t="s">
        <v>663</v>
      </c>
      <c r="G814" s="31" t="s">
        <v>659</v>
      </c>
      <c r="H814" s="31" t="str">
        <f t="shared" si="212"/>
        <v>Pio XII</v>
      </c>
      <c r="K814" s="31" t="s">
        <v>826</v>
      </c>
      <c r="L814" s="31" t="str">
        <f t="shared" si="213"/>
        <v>Costituzione Apostolica</v>
      </c>
      <c r="M814" s="31" t="s">
        <v>565</v>
      </c>
      <c r="O814" s="31" t="s">
        <v>3911</v>
      </c>
      <c r="P814" s="31" t="s">
        <v>3917</v>
      </c>
      <c r="Q814" s="40">
        <v>18568</v>
      </c>
      <c r="R814" s="35">
        <f t="shared" si="194"/>
        <v>1</v>
      </c>
      <c r="S814" s="35"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5">
        <f t="shared" si="195"/>
        <v>1950</v>
      </c>
      <c r="U814" s="31"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6"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31"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31">
        <v>833</v>
      </c>
      <c r="Y814" s="31" t="str">
        <f t="shared" si="187"/>
        <v>['Pio XII', 'Costituzione Apostolica', 'Munificentissimus Deus -  dogmatica per la definizione dell'Assunzione in corpo ed anima di Maria SS.ma in cielo', 'pixii-coa-mud', '01 novembre 1950', '01/11/1950', '1950/11/01'],</v>
      </c>
      <c r="Z814" s="31" t="str">
        <f t="shared" si="188"/>
        <v>Munificentissimus Deus -  dogmatica per la definizione dell'Assunzione in corpo ed anima di Maria SS.ma in cielo (18568) | Pio XII</v>
      </c>
      <c r="AA814" s="31" t="str">
        <f t="shared" si="189"/>
        <v>Costituzione Apostolica Munificentissimus Deus -  dogmatica per la definizione dell'Assunzione in corpo ed anima di Maria SS.ma in cielo</v>
      </c>
      <c r="AB814" s="31" t="str">
        <f t="shared" si="190"/>
        <v>Costituzione Apostolica Munificentissimus Deus -  dogmatica per la definizione dell'Assunzione in corpo ed anima di Maria SS.ma in cielo</v>
      </c>
      <c r="AC814" s="31" t="str">
        <f t="shared" si="191"/>
        <v>Pio XII, Costituzione Apostolica Munificentissimus Deus -  dogmatica per la definizione dell'Assunzione in corpo ed anima di Maria SS.ma in cielo, 01 novembre 1950</v>
      </c>
      <c r="AD814" s="31" t="str">
        <f t="shared" si="192"/>
        <v>1950-11-01T08:00:00.000+02:00</v>
      </c>
      <c r="AE814" s="31" t="str">
        <f t="shared" si="198"/>
        <v>pixii-coa-mud</v>
      </c>
      <c r="AF814" s="31" t="str">
        <f t="shared" si="199"/>
        <v>Pio XII - Costituzione Apostolica - Munificentissimus Deus -  dogmatica per la definizione dell'Assunzione in corpo ed anima di Maria SS.ma in cielo</v>
      </c>
    </row>
    <row r="815" spans="2:32" s="31" customFormat="1" x14ac:dyDescent="0.2">
      <c r="B815" s="31">
        <v>260</v>
      </c>
      <c r="C815" s="31" t="s">
        <v>3915</v>
      </c>
      <c r="D815" s="31" t="s">
        <v>715</v>
      </c>
      <c r="E815" s="31" t="s">
        <v>724</v>
      </c>
      <c r="F815" s="31" t="s">
        <v>663</v>
      </c>
      <c r="G815" s="31" t="s">
        <v>659</v>
      </c>
      <c r="H815" s="31" t="str">
        <f t="shared" si="212"/>
        <v>Pio XII</v>
      </c>
      <c r="K815" s="31" t="s">
        <v>826</v>
      </c>
      <c r="L815" s="31" t="str">
        <f t="shared" si="213"/>
        <v>Costituzione Apostolica</v>
      </c>
      <c r="M815" s="31" t="s">
        <v>565</v>
      </c>
      <c r="O815" s="31" t="s">
        <v>3912</v>
      </c>
      <c r="P815" s="31" t="s">
        <v>3916</v>
      </c>
      <c r="Q815" s="40">
        <v>17200</v>
      </c>
      <c r="R815" s="35">
        <f t="shared" si="194"/>
        <v>2</v>
      </c>
      <c r="S815" s="35"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5">
        <f t="shared" si="195"/>
        <v>1947</v>
      </c>
      <c r="U815" s="31"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6"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31"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31">
        <v>834</v>
      </c>
      <c r="Y815" s="31" t="str">
        <f t="shared" si="187"/>
        <v>['Pio XII', 'Costituzione Apostolica', 'Provida Mater Ecclesia', 'pixii-coa-pme', '02 febbraio 1947', '02/02/1947', '1947/02/02'],</v>
      </c>
      <c r="Z815" s="31" t="str">
        <f t="shared" si="188"/>
        <v>Provida Mater Ecclesia (17200) | Pio XII</v>
      </c>
      <c r="AA815" s="31" t="str">
        <f t="shared" si="189"/>
        <v>Costituzione Apostolica Provida Mater Ecclesia</v>
      </c>
      <c r="AB815" s="31" t="str">
        <f t="shared" si="190"/>
        <v>Costituzione Apostolica Provida Mater Ecclesia</v>
      </c>
      <c r="AC815" s="31" t="str">
        <f t="shared" si="191"/>
        <v>Pio XII, Costituzione Apostolica Provida Mater Ecclesia, 02 febbraio 1947</v>
      </c>
      <c r="AD815" s="31" t="str">
        <f t="shared" si="192"/>
        <v>1947-02-02T08:00:00.000+02:00</v>
      </c>
      <c r="AE815" s="31" t="str">
        <f t="shared" si="198"/>
        <v>pixii-coa-pme</v>
      </c>
      <c r="AF815" s="31" t="str">
        <f t="shared" si="199"/>
        <v>Pio XII - Costituzione Apostolica - Provida Mater Ecclesia</v>
      </c>
    </row>
    <row r="816" spans="2:32" s="31" customFormat="1" x14ac:dyDescent="0.2">
      <c r="B816" s="31">
        <v>260</v>
      </c>
      <c r="C816" s="31" t="s">
        <v>3959</v>
      </c>
      <c r="D816" s="31" t="s">
        <v>715</v>
      </c>
      <c r="E816" s="31" t="s">
        <v>724</v>
      </c>
      <c r="F816" s="31" t="s">
        <v>663</v>
      </c>
      <c r="G816" s="31" t="s">
        <v>659</v>
      </c>
      <c r="H816" s="31" t="str">
        <f t="shared" ref="H816:H835" si="214">_xlfn.CONCAT(D816 &amp; " " &amp; E816)</f>
        <v>Pio XII</v>
      </c>
      <c r="K816" s="31" t="s">
        <v>830</v>
      </c>
      <c r="L816" s="31" t="str">
        <f t="shared" ref="L816:L843" si="215">IF(J816&lt;&gt;"",_xlfn.CONCAT(J816 &amp; " " &amp; K816),K816)</f>
        <v>Lettera Apostolica</v>
      </c>
      <c r="M816" s="31" t="s">
        <v>569</v>
      </c>
      <c r="O816" s="31" t="s">
        <v>3952</v>
      </c>
      <c r="P816" s="31" t="s">
        <v>3964</v>
      </c>
      <c r="Q816" s="40">
        <v>20635</v>
      </c>
      <c r="R816" s="35">
        <f t="shared" ref="R816:R819" si="216">IF(ISERROR(DAY(Q816)),TEXT((LEFT(Q816,2)),"00"),DAY(Q816))</f>
        <v>29</v>
      </c>
      <c r="S816" s="35"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5">
        <f t="shared" ref="T816:T819" si="217">IF(ISERROR(DAY(Q816)),VALUE(RIGHT(Q816,4)),YEAR(Q816))</f>
        <v>1956</v>
      </c>
      <c r="U816" s="31"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6"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31"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31">
        <v>831</v>
      </c>
      <c r="Y816" s="31" t="str">
        <f t="shared" ref="Y816:Y819" si="218">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31" t="str">
        <f t="shared" ref="Z816:Z819" si="219">_xlfn.CONCAT(O816 &amp; " (" &amp; Q816 &amp; ") | " &amp; D816 &amp; " " &amp; E816)</f>
        <v>Dum maerenti animo. - La chiesa perseguitata nell'Europa dell'Est (20635) | Pio XII</v>
      </c>
      <c r="AA816" s="31" t="str">
        <f t="shared" ref="AA816:AA819" si="220">_xlfn.CONCAT(K816 &amp; " " &amp; O816)</f>
        <v>Lettera Apostolica Dum maerenti animo. - La chiesa perseguitata nell'Europa dell'Est</v>
      </c>
      <c r="AB816" s="31" t="str">
        <f t="shared" ref="AB816:AB819" si="221">_xlfn.CONCAT(K816 &amp; " " &amp; O816)</f>
        <v>Lettera Apostolica Dum maerenti animo. - La chiesa perseguitata nell'Europa dell'Est</v>
      </c>
      <c r="AC816" s="31" t="str">
        <f t="shared" ref="AC816:AC819" si="222">_xlfn.CONCAT(H816 &amp; ", " &amp; L816 &amp; " " &amp; O816 &amp; ", " &amp; LEFT(U816,2) &amp; " " &amp; TEXT(VALUE(MID(U816,4,2))*29,"mmmm") &amp; " " &amp; RIGHT(U816,4))</f>
        <v>Pio XII, Lettera Apostolica Dum maerenti animo. - La chiesa perseguitata nell'Europa dell'Est, 29 giugno 1956</v>
      </c>
      <c r="AD816" s="31" t="str">
        <f t="shared" ref="AD816:AD819" si="223">_xlfn.CONCAT(RIGHT(U816,4) &amp; "-" &amp; MID(U816,4,2) &amp; "-" &amp; LEFT(U816,2) &amp; "T08:00:00.000+02:00")</f>
        <v>1956-06-29T08:00:00.000+02:00</v>
      </c>
      <c r="AE816" s="31" t="str">
        <f t="shared" ref="AE816:AE819" si="224">_xlfn.CONCAT(F816 &amp; "-" &amp; M816 &amp; "-" &amp; P816)</f>
        <v>pixii-lea-dma</v>
      </c>
      <c r="AF816" s="31" t="str">
        <f t="shared" ref="AF816:AF819" si="225">_xlfn.CONCAT(H816 &amp; " - " &amp; L816 &amp; " - " &amp; O816)</f>
        <v>Pio XII - Lettera Apostolica - Dum maerenti animo. - La chiesa perseguitata nell'Europa dell'Est</v>
      </c>
    </row>
    <row r="817" spans="2:32" s="31" customFormat="1" x14ac:dyDescent="0.2">
      <c r="B817" s="31">
        <v>260</v>
      </c>
      <c r="C817" s="31" t="s">
        <v>3960</v>
      </c>
      <c r="D817" s="31" t="s">
        <v>715</v>
      </c>
      <c r="E817" s="31" t="s">
        <v>724</v>
      </c>
      <c r="F817" s="31" t="s">
        <v>663</v>
      </c>
      <c r="G817" s="31" t="s">
        <v>659</v>
      </c>
      <c r="H817" s="31" t="str">
        <f t="shared" si="214"/>
        <v>Pio XII</v>
      </c>
      <c r="K817" s="31" t="s">
        <v>830</v>
      </c>
      <c r="L817" s="31" t="str">
        <f t="shared" ref="L817:L820" si="226">IF(J817&lt;&gt;"",_xlfn.CONCAT(J817 &amp; " " &amp; K817),K817)</f>
        <v>Lettera Apostolica</v>
      </c>
      <c r="M817" s="31" t="s">
        <v>569</v>
      </c>
      <c r="O817" s="31" t="s">
        <v>3953</v>
      </c>
      <c r="P817" s="31" t="s">
        <v>3965</v>
      </c>
      <c r="Q817" s="40">
        <v>19182</v>
      </c>
      <c r="R817" s="35">
        <f t="shared" si="216"/>
        <v>7</v>
      </c>
      <c r="S817" s="35"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5">
        <f t="shared" si="217"/>
        <v>1952</v>
      </c>
      <c r="U817" s="31"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6"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31"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31">
        <v>832</v>
      </c>
      <c r="Y817" s="31" t="str">
        <f t="shared" si="218"/>
        <v>['Pio XII', 'Lettera Apostolica', 'Sacro vergente anno. - Consacrazione della Russia al Cuore immacolato di Maria', 'pixii-lea-sva', '07 luglio 1952', '07/07/1952', '1952/07/07'],</v>
      </c>
      <c r="Z817" s="31" t="str">
        <f t="shared" si="219"/>
        <v>Sacro vergente anno. - Consacrazione della Russia al Cuore immacolato di Maria (19182) | Pio XII</v>
      </c>
      <c r="AA817" s="31" t="str">
        <f t="shared" si="220"/>
        <v>Lettera Apostolica Sacro vergente anno. - Consacrazione della Russia al Cuore immacolato di Maria</v>
      </c>
      <c r="AB817" s="31" t="str">
        <f t="shared" si="221"/>
        <v>Lettera Apostolica Sacro vergente anno. - Consacrazione della Russia al Cuore immacolato di Maria</v>
      </c>
      <c r="AC817" s="31" t="str">
        <f t="shared" si="222"/>
        <v>Pio XII, Lettera Apostolica Sacro vergente anno. - Consacrazione della Russia al Cuore immacolato di Maria, 07 luglio 1952</v>
      </c>
      <c r="AD817" s="31" t="str">
        <f t="shared" si="223"/>
        <v>1952-07-07T08:00:00.000+02:00</v>
      </c>
      <c r="AE817" s="31" t="str">
        <f t="shared" si="224"/>
        <v>pixii-lea-sva</v>
      </c>
      <c r="AF817" s="31" t="str">
        <f t="shared" si="225"/>
        <v>Pio XII - Lettera Apostolica - Sacro vergente anno. - Consacrazione della Russia al Cuore immacolato di Maria</v>
      </c>
    </row>
    <row r="818" spans="2:32" s="31" customFormat="1" x14ac:dyDescent="0.2">
      <c r="B818" s="31">
        <v>260</v>
      </c>
      <c r="C818" s="31" t="s">
        <v>3961</v>
      </c>
      <c r="D818" s="31" t="s">
        <v>715</v>
      </c>
      <c r="E818" s="31" t="s">
        <v>724</v>
      </c>
      <c r="F818" s="31" t="s">
        <v>663</v>
      </c>
      <c r="G818" s="31" t="s">
        <v>659</v>
      </c>
      <c r="H818" s="31" t="str">
        <f t="shared" si="214"/>
        <v>Pio XII</v>
      </c>
      <c r="K818" s="31" t="s">
        <v>830</v>
      </c>
      <c r="L818" s="31" t="str">
        <f t="shared" si="226"/>
        <v>Lettera Apostolica</v>
      </c>
      <c r="M818" s="31" t="s">
        <v>569</v>
      </c>
      <c r="O818" s="31" t="s">
        <v>3954</v>
      </c>
      <c r="P818" s="31" t="s">
        <v>3966</v>
      </c>
      <c r="Q818" s="40">
        <v>19080</v>
      </c>
      <c r="R818" s="35">
        <f t="shared" si="216"/>
        <v>27</v>
      </c>
      <c r="S818" s="35"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5">
        <f t="shared" si="217"/>
        <v>1952</v>
      </c>
      <c r="U818" s="31"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6"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31"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31">
        <v>833</v>
      </c>
      <c r="Y818" s="31" t="str">
        <f t="shared" si="218"/>
        <v>['Pio XII', 'Lettera Apostolica', 'Veritatem facientes. - All'Episcopato, al clero e ai fedeli della Romania', 'pixii-lea-vef', '27 marzo 1952', '27/03/1952', '1952/03/27'],</v>
      </c>
      <c r="Z818" s="31" t="str">
        <f t="shared" si="219"/>
        <v>Veritatem facientes. - All'Episcopato, al clero e ai fedeli della Romania (19080) | Pio XII</v>
      </c>
      <c r="AA818" s="31" t="str">
        <f t="shared" si="220"/>
        <v>Lettera Apostolica Veritatem facientes. - All'Episcopato, al clero e ai fedeli della Romania</v>
      </c>
      <c r="AB818" s="31" t="str">
        <f t="shared" si="221"/>
        <v>Lettera Apostolica Veritatem facientes. - All'Episcopato, al clero e ai fedeli della Romania</v>
      </c>
      <c r="AC818" s="31" t="str">
        <f t="shared" si="222"/>
        <v>Pio XII, Lettera Apostolica Veritatem facientes. - All'Episcopato, al clero e ai fedeli della Romania, 27 marzo 1952</v>
      </c>
      <c r="AD818" s="31" t="str">
        <f t="shared" si="223"/>
        <v>1952-03-27T08:00:00.000+02:00</v>
      </c>
      <c r="AE818" s="31" t="str">
        <f t="shared" si="224"/>
        <v>pixii-lea-vef</v>
      </c>
      <c r="AF818" s="31" t="str">
        <f t="shared" si="225"/>
        <v>Pio XII - Lettera Apostolica - Veritatem facientes. - All'Episcopato, al clero e ai fedeli della Romania</v>
      </c>
    </row>
    <row r="819" spans="2:32" s="31" customFormat="1" x14ac:dyDescent="0.2">
      <c r="B819" s="31">
        <v>260</v>
      </c>
      <c r="C819" s="31" t="s">
        <v>3962</v>
      </c>
      <c r="D819" s="31" t="s">
        <v>715</v>
      </c>
      <c r="E819" s="31" t="s">
        <v>724</v>
      </c>
      <c r="F819" s="31" t="s">
        <v>663</v>
      </c>
      <c r="G819" s="31" t="s">
        <v>659</v>
      </c>
      <c r="H819" s="31" t="str">
        <f t="shared" si="214"/>
        <v>Pio XII</v>
      </c>
      <c r="K819" s="31" t="s">
        <v>830</v>
      </c>
      <c r="L819" s="31" t="str">
        <f t="shared" si="226"/>
        <v>Lettera Apostolica</v>
      </c>
      <c r="M819" s="31" t="s">
        <v>569</v>
      </c>
      <c r="O819" s="31" t="s">
        <v>3955</v>
      </c>
      <c r="P819" s="31" t="s">
        <v>3967</v>
      </c>
      <c r="Q819" s="40">
        <v>19011</v>
      </c>
      <c r="R819" s="35">
        <f t="shared" si="216"/>
        <v>18</v>
      </c>
      <c r="S819" s="35"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5">
        <f t="shared" si="217"/>
        <v>1952</v>
      </c>
      <c r="U819" s="31"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6"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31"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31">
        <v>834</v>
      </c>
      <c r="Y819" s="31" t="str">
        <f t="shared" si="218"/>
        <v>['Pio XII', 'Lettera Apostolica', 'Cupimus imprimis. - All'Episcopato, al clero e ai fedeli della Cina', 'pixii-lea-cui', '18 gennaio 1952', '18/01/1952', '1952/01/18'],</v>
      </c>
      <c r="Z819" s="31" t="str">
        <f t="shared" si="219"/>
        <v>Cupimus imprimis. - All'Episcopato, al clero e ai fedeli della Cina (19011) | Pio XII</v>
      </c>
      <c r="AA819" s="31" t="str">
        <f t="shared" si="220"/>
        <v>Lettera Apostolica Cupimus imprimis. - All'Episcopato, al clero e ai fedeli della Cina</v>
      </c>
      <c r="AB819" s="31" t="str">
        <f t="shared" si="221"/>
        <v>Lettera Apostolica Cupimus imprimis. - All'Episcopato, al clero e ai fedeli della Cina</v>
      </c>
      <c r="AC819" s="31" t="str">
        <f t="shared" si="222"/>
        <v>Pio XII, Lettera Apostolica Cupimus imprimis. - All'Episcopato, al clero e ai fedeli della Cina, 18 gennaio 1952</v>
      </c>
      <c r="AD819" s="31" t="str">
        <f t="shared" si="223"/>
        <v>1952-01-18T08:00:00.000+02:00</v>
      </c>
      <c r="AE819" s="31" t="str">
        <f t="shared" si="224"/>
        <v>pixii-lea-cui</v>
      </c>
      <c r="AF819" s="31" t="str">
        <f t="shared" si="225"/>
        <v>Pio XII - Lettera Apostolica - Cupimus imprimis. - All'Episcopato, al clero e ai fedeli della Cina</v>
      </c>
    </row>
    <row r="820" spans="2:32" s="31" customFormat="1" x14ac:dyDescent="0.2">
      <c r="B820" s="31">
        <v>260</v>
      </c>
      <c r="C820" s="31" t="s">
        <v>3963</v>
      </c>
      <c r="D820" s="31" t="s">
        <v>715</v>
      </c>
      <c r="E820" s="31" t="s">
        <v>724</v>
      </c>
      <c r="F820" s="31" t="s">
        <v>663</v>
      </c>
      <c r="G820" s="31" t="s">
        <v>659</v>
      </c>
      <c r="H820" s="31" t="str">
        <f t="shared" si="214"/>
        <v>Pio XII</v>
      </c>
      <c r="K820" s="31" t="s">
        <v>830</v>
      </c>
      <c r="L820" s="31" t="str">
        <f t="shared" si="226"/>
        <v>Lettera Apostolica</v>
      </c>
      <c r="M820" s="31" t="s">
        <v>569</v>
      </c>
      <c r="O820" s="31" t="s">
        <v>3956</v>
      </c>
      <c r="P820" s="31" t="s">
        <v>3931</v>
      </c>
      <c r="Q820" s="40">
        <v>18929</v>
      </c>
      <c r="R820" s="35">
        <f t="shared" ref="R820:R823" si="227">IF(ISERROR(DAY(Q820)),TEXT((LEFT(Q820,2)),"00"),DAY(Q820))</f>
        <v>28</v>
      </c>
      <c r="S820" s="35"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5">
        <f t="shared" ref="T820:T823" si="228">IF(ISERROR(DAY(Q820)),VALUE(RIGHT(Q820,4)),YEAR(Q820))</f>
        <v>1951</v>
      </c>
      <c r="U820" s="31"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6"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31"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31">
        <v>831</v>
      </c>
      <c r="Y820" s="31" t="str">
        <f t="shared" ref="Y820:Y827" si="22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31" t="str">
        <f t="shared" ref="Z820:Z827" si="230">_xlfn.CONCAT(O820 &amp; " (" &amp; Q820 &amp; ") | " &amp; D820 &amp; " " &amp; E820)</f>
        <v>Impensiore caritate. - All'Episcopato, al clero e ai fedeli della Cecoslovacchia (18929) | Pio XII</v>
      </c>
      <c r="AA820" s="31" t="str">
        <f t="shared" ref="AA820:AA827" si="231">_xlfn.CONCAT(K820 &amp; " " &amp; O820)</f>
        <v>Lettera Apostolica Impensiore caritate. - All'Episcopato, al clero e ai fedeli della Cecoslovacchia</v>
      </c>
      <c r="AB820" s="31" t="str">
        <f t="shared" ref="AB820:AB827" si="232">_xlfn.CONCAT(K820 &amp; " " &amp; O820)</f>
        <v>Lettera Apostolica Impensiore caritate. - All'Episcopato, al clero e ai fedeli della Cecoslovacchia</v>
      </c>
      <c r="AC820" s="31" t="str">
        <f t="shared" ref="AC820:AC827" si="233">_xlfn.CONCAT(H820 &amp; ", " &amp; L820 &amp; " " &amp; O820 &amp; ", " &amp; LEFT(U820,2) &amp; " " &amp; TEXT(VALUE(MID(U820,4,2))*29,"mmmm") &amp; " " &amp; RIGHT(U820,4))</f>
        <v>Pio XII, Lettera Apostolica Impensiore caritate. - All'Episcopato, al clero e ai fedeli della Cecoslovacchia, 28 ottobre 1951</v>
      </c>
      <c r="AD820" s="31" t="str">
        <f t="shared" ref="AD820:AD827" si="234">_xlfn.CONCAT(RIGHT(U820,4) &amp; "-" &amp; MID(U820,4,2) &amp; "-" &amp; LEFT(U820,2) &amp; "T08:00:00.000+02:00")</f>
        <v>1951-10-28T08:00:00.000+02:00</v>
      </c>
      <c r="AE820" s="31" t="str">
        <f t="shared" ref="AE820:AE823" si="235">_xlfn.CONCAT(F820 &amp; "-" &amp; M820 &amp; "-" &amp; P820)</f>
        <v>pixii-lea-imc</v>
      </c>
      <c r="AF820" s="31" t="str">
        <f t="shared" ref="AF820:AF823" si="236">_xlfn.CONCAT(H820 &amp; " - " &amp; L820 &amp; " - " &amp; O820)</f>
        <v>Pio XII - Lettera Apostolica - Impensiore caritate. - All'Episcopato, al clero e ai fedeli della Cecoslovacchia</v>
      </c>
    </row>
    <row r="821" spans="2:32" s="31" customFormat="1" x14ac:dyDescent="0.2">
      <c r="B821" s="31">
        <v>260</v>
      </c>
      <c r="C821" s="31" t="s">
        <v>3958</v>
      </c>
      <c r="D821" s="31" t="s">
        <v>715</v>
      </c>
      <c r="E821" s="31" t="s">
        <v>724</v>
      </c>
      <c r="F821" s="31" t="s">
        <v>663</v>
      </c>
      <c r="G821" s="31" t="s">
        <v>659</v>
      </c>
      <c r="H821" s="31" t="str">
        <f t="shared" si="214"/>
        <v>Pio XII</v>
      </c>
      <c r="K821" s="31" t="s">
        <v>830</v>
      </c>
      <c r="L821" s="31" t="str">
        <f t="shared" ref="L821" si="237">IF(J821&lt;&gt;"",_xlfn.CONCAT(J821 &amp; " " &amp; K821),K821)</f>
        <v>Lettera Apostolica</v>
      </c>
      <c r="M821" s="31" t="s">
        <v>569</v>
      </c>
      <c r="O821" s="31" t="s">
        <v>3957</v>
      </c>
      <c r="P821" s="31" t="s">
        <v>3754</v>
      </c>
      <c r="Q821" s="40">
        <v>14798</v>
      </c>
      <c r="R821" s="35">
        <f t="shared" si="227"/>
        <v>6</v>
      </c>
      <c r="S821" s="35"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5">
        <f t="shared" si="228"/>
        <v>1940</v>
      </c>
      <c r="U821" s="31"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6"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31"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31">
        <v>832</v>
      </c>
      <c r="Y821" s="31" t="str">
        <f t="shared" si="229"/>
        <v>['Pio XII', 'Lettera Apostolica', 'Nosti profecto. - Nel IV centenario della fondazione della Compagnia di Gesù', 'pixii-lea-nop', '06 luglio 1940', '06/07/1940', '1940/07/06'],</v>
      </c>
      <c r="Z821" s="31" t="str">
        <f t="shared" si="230"/>
        <v>Nosti profecto. - Nel IV centenario della fondazione della Compagnia di Gesù (14798) | Pio XII</v>
      </c>
      <c r="AA821" s="31" t="str">
        <f t="shared" si="231"/>
        <v>Lettera Apostolica Nosti profecto. - Nel IV centenario della fondazione della Compagnia di Gesù</v>
      </c>
      <c r="AB821" s="31" t="str">
        <f t="shared" si="232"/>
        <v>Lettera Apostolica Nosti profecto. - Nel IV centenario della fondazione della Compagnia di Gesù</v>
      </c>
      <c r="AC821" s="31" t="str">
        <f t="shared" si="233"/>
        <v>Pio XII, Lettera Apostolica Nosti profecto. - Nel IV centenario della fondazione della Compagnia di Gesù, 06 luglio 1940</v>
      </c>
      <c r="AD821" s="31" t="str">
        <f t="shared" si="234"/>
        <v>1940-07-06T08:00:00.000+02:00</v>
      </c>
      <c r="AE821" s="31" t="str">
        <f t="shared" si="235"/>
        <v>pixii-lea-nop</v>
      </c>
      <c r="AF821" s="31" t="str">
        <f t="shared" si="236"/>
        <v>Pio XII - Lettera Apostolica - Nosti profecto. - Nel IV centenario della fondazione della Compagnia di Gesù</v>
      </c>
    </row>
    <row r="822" spans="2:32" x14ac:dyDescent="0.2">
      <c r="B822" s="29">
        <v>260</v>
      </c>
      <c r="C822" s="29" t="s">
        <v>3988</v>
      </c>
      <c r="D822" s="29" t="s">
        <v>715</v>
      </c>
      <c r="E822" s="29" t="s">
        <v>724</v>
      </c>
      <c r="F822" s="29" t="s">
        <v>663</v>
      </c>
      <c r="G822" s="29" t="s">
        <v>659</v>
      </c>
      <c r="H822" s="29" t="str">
        <f t="shared" si="214"/>
        <v>Pio XII</v>
      </c>
      <c r="J822" s="29" t="s">
        <v>829</v>
      </c>
      <c r="L822" s="29" t="str">
        <f t="shared" ref="L822" si="238">IF(J822&lt;&gt;"",_xlfn.CONCAT(J822 &amp; " " &amp; K822),K822)</f>
        <v xml:space="preserve">Lettera </v>
      </c>
      <c r="M822" s="29" t="s">
        <v>568</v>
      </c>
      <c r="O822" s="29" t="s">
        <v>3968</v>
      </c>
      <c r="Q822" s="38">
        <v>21423</v>
      </c>
      <c r="R822" s="32">
        <f t="shared" si="227"/>
        <v>26</v>
      </c>
      <c r="S822" s="32"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32">
        <f t="shared" si="228"/>
        <v>1958</v>
      </c>
      <c r="U822" s="29"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3"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9"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29">
        <v>833</v>
      </c>
      <c r="Y822" s="29" t="str">
        <f t="shared" si="229"/>
        <v>['Pio XII', '', 'a Rev. Padre Riccardo Lombardi, promotore del movimento "Per un mondo migliore"', 'pixii-let-', '26 agosto 1958', '26/08/1958', '1958/08/26'],</v>
      </c>
      <c r="Z822" s="29" t="str">
        <f t="shared" si="230"/>
        <v>a Rev. Padre Riccardo Lombardi, promotore del movimento "Per un mondo migliore" (21423) | Pio XII</v>
      </c>
      <c r="AA822" s="29" t="str">
        <f t="shared" si="231"/>
        <v xml:space="preserve"> a Rev. Padre Riccardo Lombardi, promotore del movimento "Per un mondo migliore"</v>
      </c>
      <c r="AB822" s="29" t="str">
        <f t="shared" si="232"/>
        <v xml:space="preserve"> a Rev. Padre Riccardo Lombardi, promotore del movimento "Per un mondo migliore"</v>
      </c>
      <c r="AC822" s="29" t="str">
        <f t="shared" si="233"/>
        <v>Pio XII, Lettera  a Rev. Padre Riccardo Lombardi, promotore del movimento "Per un mondo migliore", 26 agosto 1958</v>
      </c>
      <c r="AD822" s="29" t="str">
        <f t="shared" si="234"/>
        <v>1958-08-26T08:00:00.000+02:00</v>
      </c>
      <c r="AE822" s="29" t="str">
        <f t="shared" si="235"/>
        <v>pixii-let-</v>
      </c>
      <c r="AF822" s="29" t="str">
        <f t="shared" si="236"/>
        <v>Pio XII - Lettera  - a Rev. Padre Riccardo Lombardi, promotore del movimento "Per un mondo migliore"</v>
      </c>
    </row>
    <row r="823" spans="2:32" x14ac:dyDescent="0.2">
      <c r="B823" s="29">
        <v>260</v>
      </c>
      <c r="C823" s="29" t="s">
        <v>3989</v>
      </c>
      <c r="D823" s="29" t="s">
        <v>715</v>
      </c>
      <c r="E823" s="29" t="s">
        <v>724</v>
      </c>
      <c r="F823" s="29" t="s">
        <v>663</v>
      </c>
      <c r="G823" s="29" t="s">
        <v>659</v>
      </c>
      <c r="H823" s="29" t="str">
        <f t="shared" si="214"/>
        <v>Pio XII</v>
      </c>
      <c r="J823" s="29" t="s">
        <v>829</v>
      </c>
      <c r="L823" s="29" t="str">
        <f t="shared" ref="L823:L841" si="239">IF(J823&lt;&gt;"",_xlfn.CONCAT(J823 &amp; " " &amp; K823),K823)</f>
        <v xml:space="preserve">Lettera </v>
      </c>
      <c r="M823" s="29" t="s">
        <v>568</v>
      </c>
      <c r="O823" s="29" t="s">
        <v>3969</v>
      </c>
      <c r="Q823" s="38">
        <v>20074</v>
      </c>
      <c r="R823" s="32">
        <f t="shared" si="227"/>
        <v>16</v>
      </c>
      <c r="S823" s="32"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32">
        <f t="shared" si="228"/>
        <v>1954</v>
      </c>
      <c r="U823" s="29"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3"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9"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29">
        <v>834</v>
      </c>
      <c r="Y823" s="29" t="str">
        <f t="shared" si="229"/>
        <v>['Pio XII', '', 'Pontificia Commissione per la Cinematografia, la Radio e la Televisione', 'pixii-let-', '16 dicembre 1954', '16/12/1954', '1954/12/16'],</v>
      </c>
      <c r="Z823" s="29" t="str">
        <f t="shared" si="230"/>
        <v>Pontificia Commissione per la Cinematografia, la Radio e la Televisione (20074) | Pio XII</v>
      </c>
      <c r="AA823" s="29" t="str">
        <f t="shared" si="231"/>
        <v xml:space="preserve"> Pontificia Commissione per la Cinematografia, la Radio e la Televisione</v>
      </c>
      <c r="AB823" s="29" t="str">
        <f t="shared" si="232"/>
        <v xml:space="preserve"> Pontificia Commissione per la Cinematografia, la Radio e la Televisione</v>
      </c>
      <c r="AC823" s="29" t="str">
        <f t="shared" si="233"/>
        <v>Pio XII, Lettera  Pontificia Commissione per la Cinematografia, la Radio e la Televisione, 16 dicembre 1954</v>
      </c>
      <c r="AD823" s="29" t="str">
        <f t="shared" si="234"/>
        <v>1954-12-16T08:00:00.000+02:00</v>
      </c>
      <c r="AE823" s="29" t="str">
        <f t="shared" si="235"/>
        <v>pixii-let-</v>
      </c>
      <c r="AF823" s="29" t="str">
        <f t="shared" si="236"/>
        <v>Pio XII - Lettera  - Pontificia Commissione per la Cinematografia, la Radio e la Televisione</v>
      </c>
    </row>
    <row r="824" spans="2:32" x14ac:dyDescent="0.2">
      <c r="B824" s="29">
        <v>260</v>
      </c>
      <c r="C824" s="29" t="s">
        <v>3990</v>
      </c>
      <c r="D824" s="29" t="s">
        <v>715</v>
      </c>
      <c r="E824" s="29" t="s">
        <v>724</v>
      </c>
      <c r="F824" s="29" t="s">
        <v>663</v>
      </c>
      <c r="G824" s="29" t="s">
        <v>659</v>
      </c>
      <c r="H824" s="29" t="str">
        <f t="shared" si="214"/>
        <v>Pio XII</v>
      </c>
      <c r="J824" s="29" t="s">
        <v>829</v>
      </c>
      <c r="L824" s="29" t="str">
        <f t="shared" si="239"/>
        <v xml:space="preserve">Lettera </v>
      </c>
      <c r="M824" s="29" t="s">
        <v>568</v>
      </c>
      <c r="O824" s="29" t="s">
        <v>3970</v>
      </c>
      <c r="Q824" s="38">
        <v>20074</v>
      </c>
      <c r="R824" s="32">
        <f t="shared" si="194"/>
        <v>16</v>
      </c>
      <c r="S824" s="32"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32">
        <f t="shared" si="195"/>
        <v>1954</v>
      </c>
      <c r="U824" s="29"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3"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9"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29">
        <v>831</v>
      </c>
      <c r="Y824" s="29" t="str">
        <f t="shared" si="229"/>
        <v>['Pio XII', '', 'Pontificia Commissione per la Cinematografia', 'pixii-let-', '16 dicembre 1954', '16/12/1954', '1954/12/16'],</v>
      </c>
      <c r="Z824" s="29" t="str">
        <f t="shared" si="230"/>
        <v>Pontificia Commissione per la Cinematografia (20074) | Pio XII</v>
      </c>
      <c r="AA824" s="29" t="str">
        <f t="shared" si="231"/>
        <v xml:space="preserve"> Pontificia Commissione per la Cinematografia</v>
      </c>
      <c r="AB824" s="29" t="str">
        <f t="shared" si="232"/>
        <v xml:space="preserve"> Pontificia Commissione per la Cinematografia</v>
      </c>
      <c r="AC824" s="29" t="str">
        <f t="shared" si="233"/>
        <v>Pio XII, Lettera  Pontificia Commissione per la Cinematografia, 16 dicembre 1954</v>
      </c>
      <c r="AD824" s="29" t="str">
        <f t="shared" si="234"/>
        <v>1954-12-16T08:00:00.000+02:00</v>
      </c>
      <c r="AE824" s="29" t="str">
        <f t="shared" si="198"/>
        <v>pixii-let-</v>
      </c>
      <c r="AF824" s="29" t="str">
        <f t="shared" si="199"/>
        <v>Pio XII - Lettera  - Pontificia Commissione per la Cinematografia</v>
      </c>
    </row>
    <row r="825" spans="2:32" x14ac:dyDescent="0.2">
      <c r="B825" s="29">
        <v>260</v>
      </c>
      <c r="C825" s="29" t="s">
        <v>3991</v>
      </c>
      <c r="D825" s="29" t="s">
        <v>715</v>
      </c>
      <c r="E825" s="29" t="s">
        <v>724</v>
      </c>
      <c r="F825" s="29" t="s">
        <v>663</v>
      </c>
      <c r="G825" s="29" t="s">
        <v>659</v>
      </c>
      <c r="H825" s="29" t="str">
        <f t="shared" si="214"/>
        <v>Pio XII</v>
      </c>
      <c r="J825" s="29" t="s">
        <v>829</v>
      </c>
      <c r="L825" s="29" t="str">
        <f t="shared" si="239"/>
        <v xml:space="preserve">Lettera </v>
      </c>
      <c r="M825" s="29" t="s">
        <v>568</v>
      </c>
      <c r="O825" s="29" t="s">
        <v>3971</v>
      </c>
      <c r="Q825" s="38">
        <v>18334</v>
      </c>
      <c r="R825" s="32">
        <f t="shared" si="194"/>
        <v>12</v>
      </c>
      <c r="S825" s="32"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32">
        <f t="shared" si="195"/>
        <v>1950</v>
      </c>
      <c r="U825" s="29"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3"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9"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29">
        <v>832</v>
      </c>
      <c r="Y825" s="29" t="str">
        <f t="shared" si="229"/>
        <v>['Pio XII', '', 'ai Rev. Padri della «Compagnia di Gesù», redattori del periodico «La Civiltà Cattolica»', 'pixii-let-', '12 marzo 1950', '12/03/1950', '1950/03/12'],</v>
      </c>
      <c r="Z825" s="29" t="str">
        <f t="shared" si="230"/>
        <v>ai Rev. Padri della «Compagnia di Gesù», redattori del periodico «La Civiltà Cattolica» (18334) | Pio XII</v>
      </c>
      <c r="AA825" s="29" t="str">
        <f t="shared" si="231"/>
        <v xml:space="preserve"> ai Rev. Padri della «Compagnia di Gesù», redattori del periodico «La Civiltà Cattolica»</v>
      </c>
      <c r="AB825" s="29" t="str">
        <f t="shared" si="232"/>
        <v xml:space="preserve"> ai Rev. Padri della «Compagnia di Gesù», redattori del periodico «La Civiltà Cattolica»</v>
      </c>
      <c r="AC825" s="29" t="str">
        <f t="shared" si="233"/>
        <v>Pio XII, Lettera  ai Rev. Padri della «Compagnia di Gesù», redattori del periodico «La Civiltà Cattolica», 12 marzo 1950</v>
      </c>
      <c r="AD825" s="29" t="str">
        <f t="shared" si="234"/>
        <v>1950-03-12T08:00:00.000+02:00</v>
      </c>
      <c r="AE825" s="29" t="str">
        <f t="shared" si="198"/>
        <v>pixii-let-</v>
      </c>
      <c r="AF825" s="29" t="str">
        <f t="shared" si="199"/>
        <v>Pio XII - Lettera  - ai Rev. Padri della «Compagnia di Gesù», redattori del periodico «La Civiltà Cattolica»</v>
      </c>
    </row>
    <row r="826" spans="2:32" x14ac:dyDescent="0.2">
      <c r="B826" s="29">
        <v>260</v>
      </c>
      <c r="C826" s="29" t="s">
        <v>3992</v>
      </c>
      <c r="D826" s="29" t="s">
        <v>715</v>
      </c>
      <c r="E826" s="29" t="s">
        <v>724</v>
      </c>
      <c r="F826" s="29" t="s">
        <v>663</v>
      </c>
      <c r="G826" s="29" t="s">
        <v>659</v>
      </c>
      <c r="H826" s="29" t="str">
        <f t="shared" si="214"/>
        <v>Pio XII</v>
      </c>
      <c r="J826" s="29" t="s">
        <v>829</v>
      </c>
      <c r="L826" s="29" t="str">
        <f t="shared" si="239"/>
        <v xml:space="preserve">Lettera </v>
      </c>
      <c r="M826" s="29" t="s">
        <v>568</v>
      </c>
      <c r="O826" s="29" t="s">
        <v>3972</v>
      </c>
      <c r="Q826" s="38">
        <v>17900</v>
      </c>
      <c r="R826" s="32">
        <f t="shared" si="194"/>
        <v>2</v>
      </c>
      <c r="S826" s="32"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32">
        <f t="shared" si="195"/>
        <v>1949</v>
      </c>
      <c r="U826" s="29"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3"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9"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29">
        <v>833</v>
      </c>
      <c r="Y826" s="29" t="str">
        <f t="shared" si="229"/>
        <v>['Pio XII', '', 'agli Arcivescovi e Vescovi dell'Ungheria in occasione dell'arresto del Cardinale Mindszenty, Arcivescovo di Strigonia, da parte delle autorità ungheresi', 'pixii-let-', '02 gennaio 1949', '02/01/1949', '1949/01/02'],</v>
      </c>
      <c r="Z826" s="29" t="str">
        <f t="shared" si="230"/>
        <v>agli Arcivescovi e Vescovi dell'Ungheria in occasione dell'arresto del Cardinale Mindszenty, Arcivescovo di Strigonia, da parte delle autorità ungheresi (17900) | Pio XII</v>
      </c>
      <c r="AA826" s="29" t="str">
        <f t="shared" si="231"/>
        <v xml:space="preserve"> agli Arcivescovi e Vescovi dell'Ungheria in occasione dell'arresto del Cardinale Mindszenty, Arcivescovo di Strigonia, da parte delle autorità ungheresi</v>
      </c>
      <c r="AB826" s="29" t="str">
        <f t="shared" si="232"/>
        <v xml:space="preserve"> agli Arcivescovi e Vescovi dell'Ungheria in occasione dell'arresto del Cardinale Mindszenty, Arcivescovo di Strigonia, da parte delle autorità ungheresi</v>
      </c>
      <c r="AC826" s="29" t="str">
        <f t="shared" si="233"/>
        <v>Pio XII, Lettera  agli Arcivescovi e Vescovi dell'Ungheria in occasione dell'arresto del Cardinale Mindszenty, Arcivescovo di Strigonia, da parte delle autorità ungheresi, 02 gennaio 1949</v>
      </c>
      <c r="AD826" s="29" t="str">
        <f t="shared" si="234"/>
        <v>1949-01-02T08:00:00.000+02:00</v>
      </c>
      <c r="AE826" s="29" t="str">
        <f t="shared" si="198"/>
        <v>pixii-let-</v>
      </c>
      <c r="AF826" s="29" t="str">
        <f t="shared" si="199"/>
        <v>Pio XII - Lettera  - agli Arcivescovi e Vescovi dell'Ungheria in occasione dell'arresto del Cardinale Mindszenty, Arcivescovo di Strigonia, da parte delle autorità ungheresi</v>
      </c>
    </row>
    <row r="827" spans="2:32" x14ac:dyDescent="0.2">
      <c r="B827" s="29">
        <v>260</v>
      </c>
      <c r="C827" s="29" t="s">
        <v>3993</v>
      </c>
      <c r="D827" s="29" t="s">
        <v>715</v>
      </c>
      <c r="E827" s="29" t="s">
        <v>724</v>
      </c>
      <c r="F827" s="29" t="s">
        <v>663</v>
      </c>
      <c r="G827" s="29" t="s">
        <v>659</v>
      </c>
      <c r="H827" s="29" t="str">
        <f t="shared" si="214"/>
        <v>Pio XII</v>
      </c>
      <c r="J827" s="29" t="s">
        <v>829</v>
      </c>
      <c r="L827" s="29" t="str">
        <f t="shared" si="239"/>
        <v xml:space="preserve">Lettera </v>
      </c>
      <c r="M827" s="29" t="s">
        <v>568</v>
      </c>
      <c r="O827" s="29" t="s">
        <v>3973</v>
      </c>
      <c r="Q827" s="38">
        <v>17795</v>
      </c>
      <c r="R827" s="32">
        <f t="shared" si="194"/>
        <v>19</v>
      </c>
      <c r="S827" s="32"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32">
        <f t="shared" si="195"/>
        <v>1948</v>
      </c>
      <c r="U827" s="29"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3"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9"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29">
        <v>834</v>
      </c>
      <c r="Y827" s="29" t="str">
        <f t="shared" si="229"/>
        <v>['Pio XII', '', 'in occasione del Congresso Internazionale dell’Associazione dell’«Apostolato della Preghiera»', 'pixii-let-', '19 settembre 1948', '19/09/1948', '1948/09/19'],</v>
      </c>
      <c r="Z827" s="29" t="str">
        <f t="shared" si="230"/>
        <v>in occasione del Congresso Internazionale dell’Associazione dell’«Apostolato della Preghiera» (17795) | Pio XII</v>
      </c>
      <c r="AA827" s="29" t="str">
        <f t="shared" si="231"/>
        <v xml:space="preserve"> in occasione del Congresso Internazionale dell’Associazione dell’«Apostolato della Preghiera»</v>
      </c>
      <c r="AB827" s="29" t="str">
        <f t="shared" si="232"/>
        <v xml:space="preserve"> in occasione del Congresso Internazionale dell’Associazione dell’«Apostolato della Preghiera»</v>
      </c>
      <c r="AC827" s="29" t="str">
        <f t="shared" si="233"/>
        <v>Pio XII, Lettera  in occasione del Congresso Internazionale dell’Associazione dell’«Apostolato della Preghiera», 19 settembre 1948</v>
      </c>
      <c r="AD827" s="29" t="str">
        <f t="shared" si="234"/>
        <v>1948-09-19T08:00:00.000+02:00</v>
      </c>
      <c r="AE827" s="29" t="str">
        <f t="shared" si="198"/>
        <v>pixii-let-</v>
      </c>
      <c r="AF827" s="29" t="str">
        <f t="shared" si="199"/>
        <v>Pio XII - Lettera  - in occasione del Congresso Internazionale dell’Associazione dell’«Apostolato della Preghiera»</v>
      </c>
    </row>
    <row r="828" spans="2:32" x14ac:dyDescent="0.2">
      <c r="B828" s="29">
        <v>260</v>
      </c>
      <c r="C828" s="29" t="s">
        <v>3994</v>
      </c>
      <c r="D828" s="29" t="s">
        <v>715</v>
      </c>
      <c r="E828" s="29" t="s">
        <v>724</v>
      </c>
      <c r="F828" s="29" t="s">
        <v>663</v>
      </c>
      <c r="G828" s="29" t="s">
        <v>659</v>
      </c>
      <c r="H828" s="29" t="str">
        <f t="shared" si="214"/>
        <v>Pio XII</v>
      </c>
      <c r="J828" s="29" t="s">
        <v>829</v>
      </c>
      <c r="L828" s="29" t="str">
        <f t="shared" si="239"/>
        <v xml:space="preserve">Lettera </v>
      </c>
      <c r="M828" s="29" t="s">
        <v>568</v>
      </c>
      <c r="O828" s="29" t="s">
        <v>3974</v>
      </c>
      <c r="Q828" s="38">
        <v>17793</v>
      </c>
      <c r="R828" s="32">
        <f t="shared" ref="R828:R843" si="240">IF(ISERROR(DAY(Q828)),TEXT((LEFT(Q828,2)),"00"),DAY(Q828))</f>
        <v>17</v>
      </c>
      <c r="S828" s="32"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32">
        <f t="shared" ref="T828:T843" si="241">IF(ISERROR(DAY(Q828)),VALUE(RIGHT(Q828,4)),YEAR(Q828))</f>
        <v>1948</v>
      </c>
      <c r="U828" s="29"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3"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9"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29">
        <v>831</v>
      </c>
      <c r="Y828" s="29" t="str">
        <f t="shared" ref="Y828:Y833" si="242">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9" t="str">
        <f t="shared" ref="Z828:Z833" si="243">_xlfn.CONCAT(O828 &amp; " (" &amp; Q828 &amp; ") | " &amp; D828 &amp; " " &amp; E828)</f>
        <v>Statuto della Pontificia Commissione per la Cinematografia didattica e religiosa (17793) | Pio XII</v>
      </c>
      <c r="AA828" s="29" t="str">
        <f t="shared" ref="AA828:AA833" si="244">_xlfn.CONCAT(K828 &amp; " " &amp; O828)</f>
        <v xml:space="preserve"> Statuto della Pontificia Commissione per la Cinematografia didattica e religiosa</v>
      </c>
      <c r="AB828" s="29" t="str">
        <f t="shared" ref="AB828:AB833" si="245">_xlfn.CONCAT(K828 &amp; " " &amp; O828)</f>
        <v xml:space="preserve"> Statuto della Pontificia Commissione per la Cinematografia didattica e religiosa</v>
      </c>
      <c r="AC828" s="29" t="str">
        <f t="shared" ref="AC828:AC833" si="246">_xlfn.CONCAT(H828 &amp; ", " &amp; L828 &amp; " " &amp; O828 &amp; ", " &amp; LEFT(U828,2) &amp; " " &amp; TEXT(VALUE(MID(U828,4,2))*29,"mmmm") &amp; " " &amp; RIGHT(U828,4))</f>
        <v>Pio XII, Lettera  Statuto della Pontificia Commissione per la Cinematografia didattica e religiosa, 17 settembre 1948</v>
      </c>
      <c r="AD828" s="29" t="str">
        <f t="shared" ref="AD828:AD833" si="247">_xlfn.CONCAT(RIGHT(U828,4) &amp; "-" &amp; MID(U828,4,2) &amp; "-" &amp; LEFT(U828,2) &amp; "T08:00:00.000+02:00")</f>
        <v>1948-09-17T08:00:00.000+02:00</v>
      </c>
      <c r="AE828" s="29" t="str">
        <f t="shared" ref="AE828:AE843" si="248">_xlfn.CONCAT(F828 &amp; "-" &amp; M828 &amp; "-" &amp; P828)</f>
        <v>pixii-let-</v>
      </c>
      <c r="AF828" s="29" t="str">
        <f t="shared" ref="AF828:AF843" si="249">_xlfn.CONCAT(H828 &amp; " - " &amp; L828 &amp; " - " &amp; O828)</f>
        <v>Pio XII - Lettera  - Statuto della Pontificia Commissione per la Cinematografia didattica e religiosa</v>
      </c>
    </row>
    <row r="829" spans="2:32" x14ac:dyDescent="0.2">
      <c r="B829" s="29">
        <v>260</v>
      </c>
      <c r="C829" s="29" t="s">
        <v>3995</v>
      </c>
      <c r="D829" s="29" t="s">
        <v>715</v>
      </c>
      <c r="E829" s="29" t="s">
        <v>724</v>
      </c>
      <c r="F829" s="29" t="s">
        <v>663</v>
      </c>
      <c r="G829" s="29" t="s">
        <v>659</v>
      </c>
      <c r="H829" s="29" t="str">
        <f t="shared" si="214"/>
        <v>Pio XII</v>
      </c>
      <c r="J829" s="29" t="s">
        <v>829</v>
      </c>
      <c r="L829" s="29" t="str">
        <f t="shared" si="239"/>
        <v xml:space="preserve">Lettera </v>
      </c>
      <c r="M829" s="29" t="s">
        <v>568</v>
      </c>
      <c r="O829" s="29" t="s">
        <v>3975</v>
      </c>
      <c r="Q829" s="38">
        <v>17562</v>
      </c>
      <c r="R829" s="32">
        <f t="shared" si="240"/>
        <v>30</v>
      </c>
      <c r="S829" s="32"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32">
        <f t="shared" si="241"/>
        <v>1948</v>
      </c>
      <c r="U829" s="29"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3"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9"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29">
        <v>832</v>
      </c>
      <c r="Y829" s="29" t="str">
        <f t="shared" si="242"/>
        <v>['Pio XII', '', 'Istituzione "ad experimentum" della Commissione di Consulenza e di Revisione Ecclesiastica dei films a soggetto religioso o morale', 'pixii-let-', '30 gennaio 1948', '30/01/1948', '1948/01/30'],</v>
      </c>
      <c r="Z829" s="29" t="str">
        <f t="shared" si="243"/>
        <v>Istituzione "ad experimentum" della Commissione di Consulenza e di Revisione Ecclesiastica dei films a soggetto religioso o morale (17562) | Pio XII</v>
      </c>
      <c r="AA829" s="29" t="str">
        <f t="shared" si="244"/>
        <v xml:space="preserve"> Istituzione "ad experimentum" della Commissione di Consulenza e di Revisione Ecclesiastica dei films a soggetto religioso o morale</v>
      </c>
      <c r="AB829" s="29" t="str">
        <f t="shared" si="245"/>
        <v xml:space="preserve"> Istituzione "ad experimentum" della Commissione di Consulenza e di Revisione Ecclesiastica dei films a soggetto religioso o morale</v>
      </c>
      <c r="AC829" s="29" t="str">
        <f t="shared" si="246"/>
        <v>Pio XII, Lettera  Istituzione "ad experimentum" della Commissione di Consulenza e di Revisione Ecclesiastica dei films a soggetto religioso o morale, 30 gennaio 1948</v>
      </c>
      <c r="AD829" s="29" t="str">
        <f t="shared" si="247"/>
        <v>1948-01-30T08:00:00.000+02:00</v>
      </c>
      <c r="AE829" s="29" t="str">
        <f t="shared" si="248"/>
        <v>pixii-let-</v>
      </c>
      <c r="AF829" s="29" t="str">
        <f t="shared" si="249"/>
        <v>Pio XII - Lettera  - Istituzione "ad experimentum" della Commissione di Consulenza e di Revisione Ecclesiastica dei films a soggetto religioso o morale</v>
      </c>
    </row>
    <row r="830" spans="2:32" x14ac:dyDescent="0.2">
      <c r="B830" s="29">
        <v>260</v>
      </c>
      <c r="C830" s="29" t="s">
        <v>3996</v>
      </c>
      <c r="D830" s="29" t="s">
        <v>715</v>
      </c>
      <c r="E830" s="29" t="s">
        <v>724</v>
      </c>
      <c r="F830" s="29" t="s">
        <v>663</v>
      </c>
      <c r="G830" s="29" t="s">
        <v>659</v>
      </c>
      <c r="H830" s="29" t="str">
        <f t="shared" si="214"/>
        <v>Pio XII</v>
      </c>
      <c r="J830" s="29" t="s">
        <v>829</v>
      </c>
      <c r="L830" s="29" t="str">
        <f t="shared" si="239"/>
        <v xml:space="preserve">Lettera </v>
      </c>
      <c r="M830" s="29" t="s">
        <v>568</v>
      </c>
      <c r="O830" s="29" t="s">
        <v>3976</v>
      </c>
      <c r="Q830" s="38">
        <v>17405</v>
      </c>
      <c r="R830" s="32">
        <f t="shared" si="240"/>
        <v>26</v>
      </c>
      <c r="S830" s="32"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32">
        <f t="shared" si="241"/>
        <v>1947</v>
      </c>
      <c r="U830" s="29"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3"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9"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29">
        <v>833</v>
      </c>
      <c r="Y830" s="29" t="str">
        <f t="shared" si="242"/>
        <v>['Pio XII', '', 'all’Ecc.mo Harry S. Truman, Presidente degli Stati Uniti d’America', 'pixii-let-', '26 agosto 1947', '26/08/1947', '1947/08/26'],</v>
      </c>
      <c r="Z830" s="29" t="str">
        <f t="shared" si="243"/>
        <v>all’Ecc.mo Harry S. Truman, Presidente degli Stati Uniti d’America (17405) | Pio XII</v>
      </c>
      <c r="AA830" s="29" t="str">
        <f t="shared" si="244"/>
        <v xml:space="preserve"> all’Ecc.mo Harry S. Truman, Presidente degli Stati Uniti d’America</v>
      </c>
      <c r="AB830" s="29" t="str">
        <f t="shared" si="245"/>
        <v xml:space="preserve"> all’Ecc.mo Harry S. Truman, Presidente degli Stati Uniti d’America</v>
      </c>
      <c r="AC830" s="29" t="str">
        <f t="shared" si="246"/>
        <v>Pio XII, Lettera  all’Ecc.mo Harry S. Truman, Presidente degli Stati Uniti d’America, 26 agosto 1947</v>
      </c>
      <c r="AD830" s="29" t="str">
        <f t="shared" si="247"/>
        <v>1947-08-26T08:00:00.000+02:00</v>
      </c>
      <c r="AE830" s="29" t="str">
        <f t="shared" si="248"/>
        <v>pixii-let-</v>
      </c>
      <c r="AF830" s="29" t="str">
        <f t="shared" si="249"/>
        <v>Pio XII - Lettera  - all’Ecc.mo Harry S. Truman, Presidente degli Stati Uniti d’America</v>
      </c>
    </row>
    <row r="831" spans="2:32" x14ac:dyDescent="0.2">
      <c r="B831" s="29">
        <v>260</v>
      </c>
      <c r="C831" s="29" t="s">
        <v>3997</v>
      </c>
      <c r="D831" s="29" t="s">
        <v>715</v>
      </c>
      <c r="E831" s="29" t="s">
        <v>724</v>
      </c>
      <c r="F831" s="29" t="s">
        <v>663</v>
      </c>
      <c r="G831" s="29" t="s">
        <v>659</v>
      </c>
      <c r="H831" s="29" t="str">
        <f t="shared" si="214"/>
        <v>Pio XII</v>
      </c>
      <c r="J831" s="29" t="s">
        <v>829</v>
      </c>
      <c r="L831" s="29" t="str">
        <f t="shared" si="239"/>
        <v xml:space="preserve">Lettera </v>
      </c>
      <c r="M831" s="29" t="s">
        <v>568</v>
      </c>
      <c r="O831" s="29" t="s">
        <v>3977</v>
      </c>
      <c r="Q831" s="38">
        <v>17086</v>
      </c>
      <c r="R831" s="32">
        <f t="shared" si="240"/>
        <v>11</v>
      </c>
      <c r="S831" s="32"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32">
        <f t="shared" si="241"/>
        <v>1946</v>
      </c>
      <c r="U831" s="29"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3"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9"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29">
        <v>834</v>
      </c>
      <c r="Y831" s="29" t="str">
        <f t="shared" si="242"/>
        <v>['Pio XII', '', 'al Cardinale Adeodato Giovanni Piazza, Patriarca di Venezia: approvazione del nuovo Statuto dell'Azione Cattolica Italiana', 'pixii-let-', '11 ottobre 1946', '11/10/1946', '1946/10/11'],</v>
      </c>
      <c r="Z831" s="29" t="str">
        <f t="shared" si="243"/>
        <v>al Cardinale Adeodato Giovanni Piazza, Patriarca di Venezia: approvazione del nuovo Statuto dell'Azione Cattolica Italiana (17086) | Pio XII</v>
      </c>
      <c r="AA831" s="29" t="str">
        <f t="shared" si="244"/>
        <v xml:space="preserve"> al Cardinale Adeodato Giovanni Piazza, Patriarca di Venezia: approvazione del nuovo Statuto dell'Azione Cattolica Italiana</v>
      </c>
      <c r="AB831" s="29" t="str">
        <f t="shared" si="245"/>
        <v xml:space="preserve"> al Cardinale Adeodato Giovanni Piazza, Patriarca di Venezia: approvazione del nuovo Statuto dell'Azione Cattolica Italiana</v>
      </c>
      <c r="AC831" s="29" t="str">
        <f t="shared" si="246"/>
        <v>Pio XII, Lettera  al Cardinale Adeodato Giovanni Piazza, Patriarca di Venezia: approvazione del nuovo Statuto dell'Azione Cattolica Italiana, 11 ottobre 1946</v>
      </c>
      <c r="AD831" s="29" t="str">
        <f t="shared" si="247"/>
        <v>1946-10-11T08:00:00.000+02:00</v>
      </c>
      <c r="AE831" s="29" t="str">
        <f t="shared" si="248"/>
        <v>pixii-let-</v>
      </c>
      <c r="AF831" s="29" t="str">
        <f t="shared" si="249"/>
        <v>Pio XII - Lettera  - al Cardinale Adeodato Giovanni Piazza, Patriarca di Venezia: approvazione del nuovo Statuto dell'Azione Cattolica Italiana</v>
      </c>
    </row>
    <row r="832" spans="2:32" x14ac:dyDescent="0.2">
      <c r="B832" s="29">
        <v>260</v>
      </c>
      <c r="C832" s="29" t="s">
        <v>3998</v>
      </c>
      <c r="D832" s="29" t="s">
        <v>715</v>
      </c>
      <c r="E832" s="29" t="s">
        <v>724</v>
      </c>
      <c r="F832" s="29" t="s">
        <v>663</v>
      </c>
      <c r="G832" s="29" t="s">
        <v>659</v>
      </c>
      <c r="H832" s="29" t="str">
        <f t="shared" si="214"/>
        <v>Pio XII</v>
      </c>
      <c r="J832" s="29" t="s">
        <v>829</v>
      </c>
      <c r="L832" s="29" t="str">
        <f t="shared" si="239"/>
        <v xml:space="preserve">Lettera </v>
      </c>
      <c r="M832" s="29" t="s">
        <v>568</v>
      </c>
      <c r="O832" s="29" t="s">
        <v>3978</v>
      </c>
      <c r="Q832" s="38">
        <v>16095</v>
      </c>
      <c r="R832" s="32">
        <f t="shared" si="240"/>
        <v>24</v>
      </c>
      <c r="S832" s="32"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32">
        <f t="shared" si="241"/>
        <v>1944</v>
      </c>
      <c r="U832" s="29"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3"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9"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29">
        <v>831</v>
      </c>
      <c r="Y832" s="29" t="str">
        <f t="shared" si="242"/>
        <v>['Pio XII', '', 'con il quale il Pontefice stabilisce nuove norme per l’Istituto per le Opere di Religione', 'pixii-let-', '24 gennaio 1944', '24/01/1944', '1944/01/24'],</v>
      </c>
      <c r="Z832" s="29" t="str">
        <f t="shared" si="243"/>
        <v>con il quale il Pontefice stabilisce nuove norme per l’Istituto per le Opere di Religione (16095) | Pio XII</v>
      </c>
      <c r="AA832" s="29" t="str">
        <f t="shared" si="244"/>
        <v xml:space="preserve"> con il quale il Pontefice stabilisce nuove norme per l’Istituto per le Opere di Religione</v>
      </c>
      <c r="AB832" s="29" t="str">
        <f t="shared" si="245"/>
        <v xml:space="preserve"> con il quale il Pontefice stabilisce nuove norme per l’Istituto per le Opere di Religione</v>
      </c>
      <c r="AC832" s="29" t="str">
        <f t="shared" si="246"/>
        <v>Pio XII, Lettera  con il quale il Pontefice stabilisce nuove norme per l’Istituto per le Opere di Religione, 24 gennaio 1944</v>
      </c>
      <c r="AD832" s="29" t="str">
        <f t="shared" si="247"/>
        <v>1944-01-24T08:00:00.000+02:00</v>
      </c>
      <c r="AE832" s="29" t="str">
        <f t="shared" si="248"/>
        <v>pixii-let-</v>
      </c>
      <c r="AF832" s="29" t="str">
        <f t="shared" si="249"/>
        <v>Pio XII - Lettera  - con il quale il Pontefice stabilisce nuove norme per l’Istituto per le Opere di Religione</v>
      </c>
    </row>
    <row r="833" spans="2:32" x14ac:dyDescent="0.2">
      <c r="B833" s="29">
        <v>260</v>
      </c>
      <c r="C833" s="29" t="s">
        <v>3999</v>
      </c>
      <c r="D833" s="29" t="s">
        <v>715</v>
      </c>
      <c r="E833" s="29" t="s">
        <v>724</v>
      </c>
      <c r="F833" s="29" t="s">
        <v>663</v>
      </c>
      <c r="G833" s="29" t="s">
        <v>659</v>
      </c>
      <c r="H833" s="29" t="str">
        <f t="shared" si="214"/>
        <v>Pio XII</v>
      </c>
      <c r="J833" s="29" t="s">
        <v>829</v>
      </c>
      <c r="L833" s="29" t="str">
        <f t="shared" si="239"/>
        <v xml:space="preserve">Lettera </v>
      </c>
      <c r="M833" s="29" t="s">
        <v>568</v>
      </c>
      <c r="O833" s="29" t="s">
        <v>3979</v>
      </c>
      <c r="Q833" s="38">
        <v>15907</v>
      </c>
      <c r="R833" s="32">
        <f t="shared" si="240"/>
        <v>20</v>
      </c>
      <c r="S833" s="32"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32">
        <f t="shared" si="241"/>
        <v>1943</v>
      </c>
      <c r="U833" s="29"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3"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9"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29">
        <v>832</v>
      </c>
      <c r="Y833" s="29" t="str">
        <f t="shared" si="242"/>
        <v>['Pio XII', '', 'al Cardinale Francesco Marchetti-Selvaggiani, dopo il primo bombardamento aereo di Roma', 'pixii-let-', '20 luglio 1943', '20/07/1943', '1943/07/20'],</v>
      </c>
      <c r="Z833" s="29" t="str">
        <f t="shared" si="243"/>
        <v>al Cardinale Francesco Marchetti-Selvaggiani, dopo il primo bombardamento aereo di Roma (15907) | Pio XII</v>
      </c>
      <c r="AA833" s="29" t="str">
        <f t="shared" si="244"/>
        <v xml:space="preserve"> al Cardinale Francesco Marchetti-Selvaggiani, dopo il primo bombardamento aereo di Roma</v>
      </c>
      <c r="AB833" s="29" t="str">
        <f t="shared" si="245"/>
        <v xml:space="preserve"> al Cardinale Francesco Marchetti-Selvaggiani, dopo il primo bombardamento aereo di Roma</v>
      </c>
      <c r="AC833" s="29" t="str">
        <f t="shared" si="246"/>
        <v>Pio XII, Lettera  al Cardinale Francesco Marchetti-Selvaggiani, dopo il primo bombardamento aereo di Roma, 20 luglio 1943</v>
      </c>
      <c r="AD833" s="29" t="str">
        <f t="shared" si="247"/>
        <v>1943-07-20T08:00:00.000+02:00</v>
      </c>
      <c r="AE833" s="29" t="str">
        <f t="shared" si="248"/>
        <v>pixii-let-</v>
      </c>
      <c r="AF833" s="29" t="str">
        <f t="shared" si="249"/>
        <v>Pio XII - Lettera  - al Cardinale Francesco Marchetti-Selvaggiani, dopo il primo bombardamento aereo di Roma</v>
      </c>
    </row>
    <row r="834" spans="2:32" x14ac:dyDescent="0.2">
      <c r="B834" s="29">
        <v>260</v>
      </c>
      <c r="C834" s="29" t="s">
        <v>4000</v>
      </c>
      <c r="D834" s="29" t="s">
        <v>715</v>
      </c>
      <c r="E834" s="29" t="s">
        <v>724</v>
      </c>
      <c r="F834" s="29" t="s">
        <v>663</v>
      </c>
      <c r="G834" s="29" t="s">
        <v>659</v>
      </c>
      <c r="H834" s="29" t="str">
        <f t="shared" si="214"/>
        <v>Pio XII</v>
      </c>
      <c r="J834" s="29" t="s">
        <v>829</v>
      </c>
      <c r="L834" s="29" t="str">
        <f t="shared" si="239"/>
        <v xml:space="preserve">Lettera </v>
      </c>
      <c r="M834" s="29" t="s">
        <v>568</v>
      </c>
      <c r="O834" s="29" t="s">
        <v>3980</v>
      </c>
      <c r="Q834" s="38">
        <v>15731</v>
      </c>
      <c r="R834" s="32">
        <f t="shared" si="240"/>
        <v>25</v>
      </c>
      <c r="S834" s="32"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32">
        <f t="shared" si="241"/>
        <v>1943</v>
      </c>
      <c r="U834" s="29"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3"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9"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29">
        <v>833</v>
      </c>
      <c r="Y834" s="29" t="str">
        <f t="shared" ref="Y834:Y843" si="250">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9" t="str">
        <f t="shared" ref="Z834:Z843" si="251">_xlfn.CONCAT(O834 &amp; " (" &amp; Q834 &amp; ") | " &amp; D834 &amp; " " &amp; E834)</f>
        <v>al Cardinale Arcivescovo di Palermo, Luigi Lavitrano (15731) | Pio XII</v>
      </c>
      <c r="AA834" s="29" t="str">
        <f t="shared" ref="AA834:AA843" si="252">_xlfn.CONCAT(K834 &amp; " " &amp; O834)</f>
        <v xml:space="preserve"> al Cardinale Arcivescovo di Palermo, Luigi Lavitrano</v>
      </c>
      <c r="AB834" s="29" t="str">
        <f t="shared" ref="AB834:AB843" si="253">_xlfn.CONCAT(K834 &amp; " " &amp; O834)</f>
        <v xml:space="preserve"> al Cardinale Arcivescovo di Palermo, Luigi Lavitrano</v>
      </c>
      <c r="AC834" s="29" t="str">
        <f t="shared" ref="AC834:AC843" si="254">_xlfn.CONCAT(H834 &amp; ", " &amp; L834 &amp; " " &amp; O834 &amp; ", " &amp; LEFT(U834,2) &amp; " " &amp; TEXT(VALUE(MID(U834,4,2))*29,"mmmm") &amp; " " &amp; RIGHT(U834,4))</f>
        <v>Pio XII, Lettera  al Cardinale Arcivescovo di Palermo, Luigi Lavitrano, 25 gennaio 1943</v>
      </c>
      <c r="AD834" s="29" t="str">
        <f t="shared" ref="AD834:AD843" si="255">_xlfn.CONCAT(RIGHT(U834,4) &amp; "-" &amp; MID(U834,4,2) &amp; "-" &amp; LEFT(U834,2) &amp; "T08:00:00.000+02:00")</f>
        <v>1943-01-25T08:00:00.000+02:00</v>
      </c>
      <c r="AE834" s="29" t="str">
        <f t="shared" si="248"/>
        <v>pixii-let-</v>
      </c>
      <c r="AF834" s="29" t="str">
        <f t="shared" si="249"/>
        <v>Pio XII - Lettera  - al Cardinale Arcivescovo di Palermo, Luigi Lavitrano</v>
      </c>
    </row>
    <row r="835" spans="2:32" x14ac:dyDescent="0.2">
      <c r="B835" s="29">
        <v>260</v>
      </c>
      <c r="C835" s="29" t="s">
        <v>4001</v>
      </c>
      <c r="D835" s="29" t="s">
        <v>715</v>
      </c>
      <c r="E835" s="29" t="s">
        <v>724</v>
      </c>
      <c r="F835" s="29" t="s">
        <v>663</v>
      </c>
      <c r="G835" s="29" t="s">
        <v>659</v>
      </c>
      <c r="H835" s="29" t="str">
        <f t="shared" si="214"/>
        <v>Pio XII</v>
      </c>
      <c r="J835" s="29" t="s">
        <v>829</v>
      </c>
      <c r="L835" s="29" t="str">
        <f t="shared" si="239"/>
        <v xml:space="preserve">Lettera </v>
      </c>
      <c r="M835" s="29" t="s">
        <v>568</v>
      </c>
      <c r="O835" s="29" t="s">
        <v>3981</v>
      </c>
      <c r="Q835" s="38">
        <v>15683</v>
      </c>
      <c r="R835" s="32">
        <f t="shared" si="240"/>
        <v>8</v>
      </c>
      <c r="S835" s="32"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32">
        <f t="shared" si="241"/>
        <v>1942</v>
      </c>
      <c r="U835" s="29"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3"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9"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29">
        <v>834</v>
      </c>
      <c r="Y835" s="29" t="str">
        <f t="shared" si="250"/>
        <v>['Pio XII', '', 'al Cardinale Arcivescovo di Napoli, Alessio Ascalesi', 'pixii-let-', '08 dicembre 1942', '08/12/1942', '1942/12/08'],</v>
      </c>
      <c r="Z835" s="29" t="str">
        <f t="shared" si="251"/>
        <v>al Cardinale Arcivescovo di Napoli, Alessio Ascalesi (15683) | Pio XII</v>
      </c>
      <c r="AA835" s="29" t="str">
        <f t="shared" si="252"/>
        <v xml:space="preserve"> al Cardinale Arcivescovo di Napoli, Alessio Ascalesi</v>
      </c>
      <c r="AB835" s="29" t="str">
        <f t="shared" si="253"/>
        <v xml:space="preserve"> al Cardinale Arcivescovo di Napoli, Alessio Ascalesi</v>
      </c>
      <c r="AC835" s="29" t="str">
        <f t="shared" si="254"/>
        <v>Pio XII, Lettera  al Cardinale Arcivescovo di Napoli, Alessio Ascalesi, 08 dicembre 1942</v>
      </c>
      <c r="AD835" s="29" t="str">
        <f t="shared" si="255"/>
        <v>1942-12-08T08:00:00.000+02:00</v>
      </c>
      <c r="AE835" s="29" t="str">
        <f t="shared" si="248"/>
        <v>pixii-let-</v>
      </c>
      <c r="AF835" s="29" t="str">
        <f t="shared" si="249"/>
        <v>Pio XII - Lettera  - al Cardinale Arcivescovo di Napoli, Alessio Ascalesi</v>
      </c>
    </row>
    <row r="836" spans="2:32" x14ac:dyDescent="0.2">
      <c r="B836" s="29">
        <v>260</v>
      </c>
      <c r="C836" s="29" t="s">
        <v>4002</v>
      </c>
      <c r="D836" s="29" t="s">
        <v>715</v>
      </c>
      <c r="E836" s="29" t="s">
        <v>724</v>
      </c>
      <c r="F836" s="29" t="s">
        <v>663</v>
      </c>
      <c r="G836" s="29" t="s">
        <v>659</v>
      </c>
      <c r="H836" s="29" t="str">
        <f t="shared" ref="H836:H854" si="256">_xlfn.CONCAT(D836 &amp; " " &amp; E836)</f>
        <v>Pio XII</v>
      </c>
      <c r="J836" s="29" t="s">
        <v>829</v>
      </c>
      <c r="L836" s="29" t="str">
        <f t="shared" si="239"/>
        <v xml:space="preserve">Lettera </v>
      </c>
      <c r="M836" s="29" t="s">
        <v>568</v>
      </c>
      <c r="O836" s="29" t="s">
        <v>3982</v>
      </c>
      <c r="Q836" s="38">
        <v>15677</v>
      </c>
      <c r="R836" s="32">
        <f t="shared" si="240"/>
        <v>2</v>
      </c>
      <c r="S836" s="32"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32">
        <f t="shared" si="241"/>
        <v>1942</v>
      </c>
      <c r="U836" s="29"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3"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9"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29">
        <v>831</v>
      </c>
      <c r="Y836" s="29" t="str">
        <f t="shared" si="250"/>
        <v>['Pio XII', '', 'al Cardinale Arcivescovo di Milano, Alfredo Ildefonso Schuster', 'pixii-let-', '02 dicembre 1942', '02/12/1942', '1942/12/02'],</v>
      </c>
      <c r="Z836" s="29" t="str">
        <f t="shared" si="251"/>
        <v>al Cardinale Arcivescovo di Milano, Alfredo Ildefonso Schuster (15677) | Pio XII</v>
      </c>
      <c r="AA836" s="29" t="str">
        <f t="shared" si="252"/>
        <v xml:space="preserve"> al Cardinale Arcivescovo di Milano, Alfredo Ildefonso Schuster</v>
      </c>
      <c r="AB836" s="29" t="str">
        <f t="shared" si="253"/>
        <v xml:space="preserve"> al Cardinale Arcivescovo di Milano, Alfredo Ildefonso Schuster</v>
      </c>
      <c r="AC836" s="29" t="str">
        <f t="shared" si="254"/>
        <v>Pio XII, Lettera  al Cardinale Arcivescovo di Milano, Alfredo Ildefonso Schuster, 02 dicembre 1942</v>
      </c>
      <c r="AD836" s="29" t="str">
        <f t="shared" si="255"/>
        <v>1942-12-02T08:00:00.000+02:00</v>
      </c>
      <c r="AE836" s="29" t="str">
        <f t="shared" si="248"/>
        <v>pixii-let-</v>
      </c>
      <c r="AF836" s="29" t="str">
        <f t="shared" si="249"/>
        <v>Pio XII - Lettera  - al Cardinale Arcivescovo di Milano, Alfredo Ildefonso Schuster</v>
      </c>
    </row>
    <row r="837" spans="2:32" x14ac:dyDescent="0.2">
      <c r="B837" s="29">
        <v>260</v>
      </c>
      <c r="C837" s="29" t="s">
        <v>4003</v>
      </c>
      <c r="D837" s="29" t="s">
        <v>715</v>
      </c>
      <c r="E837" s="29" t="s">
        <v>724</v>
      </c>
      <c r="F837" s="29" t="s">
        <v>663</v>
      </c>
      <c r="G837" s="29" t="s">
        <v>659</v>
      </c>
      <c r="H837" s="29" t="str">
        <f t="shared" si="256"/>
        <v>Pio XII</v>
      </c>
      <c r="J837" s="29" t="s">
        <v>829</v>
      </c>
      <c r="L837" s="29" t="str">
        <f t="shared" si="239"/>
        <v xml:space="preserve">Lettera </v>
      </c>
      <c r="M837" s="29" t="s">
        <v>568</v>
      </c>
      <c r="O837" s="29" t="s">
        <v>3983</v>
      </c>
      <c r="Q837" s="38">
        <v>15675</v>
      </c>
      <c r="R837" s="32">
        <f t="shared" si="240"/>
        <v>30</v>
      </c>
      <c r="S837" s="32"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32">
        <f t="shared" si="241"/>
        <v>1942</v>
      </c>
      <c r="U837" s="29"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3"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9"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29">
        <v>832</v>
      </c>
      <c r="Y837" s="29" t="str">
        <f t="shared" si="250"/>
        <v>['Pio XII', '', 'al Cardinale Arcivescovo di Torino, Maurilio Fossati', 'pixii-let-', '30 novembre 1942', '30/11/1942', '1942/11/30'],</v>
      </c>
      <c r="Z837" s="29" t="str">
        <f t="shared" si="251"/>
        <v>al Cardinale Arcivescovo di Torino, Maurilio Fossati (15675) | Pio XII</v>
      </c>
      <c r="AA837" s="29" t="str">
        <f t="shared" si="252"/>
        <v xml:space="preserve"> al Cardinale Arcivescovo di Torino, Maurilio Fossati</v>
      </c>
      <c r="AB837" s="29" t="str">
        <f t="shared" si="253"/>
        <v xml:space="preserve"> al Cardinale Arcivescovo di Torino, Maurilio Fossati</v>
      </c>
      <c r="AC837" s="29" t="str">
        <f t="shared" si="254"/>
        <v>Pio XII, Lettera  al Cardinale Arcivescovo di Torino, Maurilio Fossati, 30 novembre 1942</v>
      </c>
      <c r="AD837" s="29" t="str">
        <f t="shared" si="255"/>
        <v>1942-11-30T08:00:00.000+02:00</v>
      </c>
      <c r="AE837" s="29" t="str">
        <f t="shared" si="248"/>
        <v>pixii-let-</v>
      </c>
      <c r="AF837" s="29" t="str">
        <f t="shared" si="249"/>
        <v>Pio XII - Lettera  - al Cardinale Arcivescovo di Torino, Maurilio Fossati</v>
      </c>
    </row>
    <row r="838" spans="2:32" x14ac:dyDescent="0.2">
      <c r="B838" s="29">
        <v>260</v>
      </c>
      <c r="C838" s="29" t="s">
        <v>4004</v>
      </c>
      <c r="D838" s="29" t="s">
        <v>715</v>
      </c>
      <c r="E838" s="29" t="s">
        <v>724</v>
      </c>
      <c r="F838" s="29" t="s">
        <v>663</v>
      </c>
      <c r="G838" s="29" t="s">
        <v>659</v>
      </c>
      <c r="H838" s="29" t="str">
        <f t="shared" si="256"/>
        <v>Pio XII</v>
      </c>
      <c r="J838" s="29" t="s">
        <v>829</v>
      </c>
      <c r="L838" s="29" t="str">
        <f t="shared" si="239"/>
        <v xml:space="preserve">Lettera </v>
      </c>
      <c r="M838" s="29" t="s">
        <v>568</v>
      </c>
      <c r="O838" s="29" t="s">
        <v>3984</v>
      </c>
      <c r="Q838" s="38">
        <v>15661</v>
      </c>
      <c r="R838" s="32">
        <f t="shared" si="240"/>
        <v>16</v>
      </c>
      <c r="S838" s="32"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32">
        <f t="shared" si="241"/>
        <v>1942</v>
      </c>
      <c r="U838" s="29"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3"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9"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29">
        <v>833</v>
      </c>
      <c r="Y838" s="29" t="str">
        <f t="shared" si="250"/>
        <v>['Pio XII', '', 'al Cardinale Arcivescovo di Genova, Pietro Boetto', 'pixii-let-', '16 novembre 1942', '16/11/1942', '1942/11/16'],</v>
      </c>
      <c r="Z838" s="29" t="str">
        <f t="shared" si="251"/>
        <v>al Cardinale Arcivescovo di Genova, Pietro Boetto (15661) | Pio XII</v>
      </c>
      <c r="AA838" s="29" t="str">
        <f t="shared" si="252"/>
        <v xml:space="preserve"> al Cardinale Arcivescovo di Genova, Pietro Boetto</v>
      </c>
      <c r="AB838" s="29" t="str">
        <f t="shared" si="253"/>
        <v xml:space="preserve"> al Cardinale Arcivescovo di Genova, Pietro Boetto</v>
      </c>
      <c r="AC838" s="29" t="str">
        <f t="shared" si="254"/>
        <v>Pio XII, Lettera  al Cardinale Arcivescovo di Genova, Pietro Boetto, 16 novembre 1942</v>
      </c>
      <c r="AD838" s="29" t="str">
        <f t="shared" si="255"/>
        <v>1942-11-16T08:00:00.000+02:00</v>
      </c>
      <c r="AE838" s="29" t="str">
        <f t="shared" si="248"/>
        <v>pixii-let-</v>
      </c>
      <c r="AF838" s="29" t="str">
        <f t="shared" si="249"/>
        <v>Pio XII - Lettera  - al Cardinale Arcivescovo di Genova, Pietro Boetto</v>
      </c>
    </row>
    <row r="839" spans="2:32" x14ac:dyDescent="0.2">
      <c r="B839" s="29">
        <v>260</v>
      </c>
      <c r="C839" s="29" t="s">
        <v>4005</v>
      </c>
      <c r="D839" s="29" t="s">
        <v>715</v>
      </c>
      <c r="E839" s="29" t="s">
        <v>724</v>
      </c>
      <c r="F839" s="29" t="s">
        <v>663</v>
      </c>
      <c r="G839" s="29" t="s">
        <v>659</v>
      </c>
      <c r="H839" s="29" t="str">
        <f t="shared" si="256"/>
        <v>Pio XII</v>
      </c>
      <c r="J839" s="29" t="s">
        <v>829</v>
      </c>
      <c r="L839" s="29" t="str">
        <f t="shared" si="239"/>
        <v xml:space="preserve">Lettera </v>
      </c>
      <c r="M839" s="29" t="s">
        <v>568</v>
      </c>
      <c r="O839" s="29" t="s">
        <v>3985</v>
      </c>
      <c r="Q839" s="38">
        <v>15519</v>
      </c>
      <c r="R839" s="32">
        <f t="shared" si="240"/>
        <v>27</v>
      </c>
      <c r="S839" s="32"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32">
        <f t="shared" si="241"/>
        <v>1942</v>
      </c>
      <c r="U839" s="29"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3"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9"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29">
        <v>834</v>
      </c>
      <c r="Y839" s="29" t="str">
        <f t="shared" si="250"/>
        <v>['Pio XII', '', 'con il quale il Pontefice erige l’Istituto per le Opere di Religione', 'pixii-let-', '27 giugno 1942', '27/06/1942', '1942/06/27'],</v>
      </c>
      <c r="Z839" s="29" t="str">
        <f t="shared" si="251"/>
        <v>con il quale il Pontefice erige l’Istituto per le Opere di Religione (15519) | Pio XII</v>
      </c>
      <c r="AA839" s="29" t="str">
        <f t="shared" si="252"/>
        <v xml:space="preserve"> con il quale il Pontefice erige l’Istituto per le Opere di Religione</v>
      </c>
      <c r="AB839" s="29" t="str">
        <f t="shared" si="253"/>
        <v xml:space="preserve"> con il quale il Pontefice erige l’Istituto per le Opere di Religione</v>
      </c>
      <c r="AC839" s="29" t="str">
        <f t="shared" si="254"/>
        <v>Pio XII, Lettera  con il quale il Pontefice erige l’Istituto per le Opere di Religione, 27 giugno 1942</v>
      </c>
      <c r="AD839" s="29" t="str">
        <f t="shared" si="255"/>
        <v>1942-06-27T08:00:00.000+02:00</v>
      </c>
      <c r="AE839" s="29" t="str">
        <f t="shared" si="248"/>
        <v>pixii-let-</v>
      </c>
      <c r="AF839" s="29" t="str">
        <f t="shared" si="249"/>
        <v>Pio XII - Lettera  - con il quale il Pontefice erige l’Istituto per le Opere di Religione</v>
      </c>
    </row>
    <row r="840" spans="2:32" x14ac:dyDescent="0.2">
      <c r="B840" s="29">
        <v>260</v>
      </c>
      <c r="C840" s="29" t="s">
        <v>4006</v>
      </c>
      <c r="D840" s="29" t="s">
        <v>715</v>
      </c>
      <c r="E840" s="29" t="s">
        <v>724</v>
      </c>
      <c r="F840" s="29" t="s">
        <v>663</v>
      </c>
      <c r="G840" s="29" t="s">
        <v>659</v>
      </c>
      <c r="H840" s="29" t="str">
        <f t="shared" si="256"/>
        <v>Pio XII</v>
      </c>
      <c r="J840" s="29" t="s">
        <v>829</v>
      </c>
      <c r="L840" s="29" t="str">
        <f t="shared" si="239"/>
        <v xml:space="preserve">Lettera </v>
      </c>
      <c r="M840" s="29" t="s">
        <v>568</v>
      </c>
      <c r="O840" s="29" t="s">
        <v>3986</v>
      </c>
      <c r="Q840" s="38">
        <v>14617</v>
      </c>
      <c r="R840" s="32">
        <f t="shared" si="240"/>
        <v>7</v>
      </c>
      <c r="S840" s="32"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32">
        <f t="shared" si="241"/>
        <v>1940</v>
      </c>
      <c r="U840" s="29"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3"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9"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29">
        <v>831</v>
      </c>
      <c r="Y840" s="29" t="str">
        <f t="shared" si="250"/>
        <v>['Pio XII', '', 'al Presidente Franklin Delano Roosevelt in occasione della nomina di un Ambasciatore straordinario degli Stati Uniti d'America presso la Santa Sede', 'pixii-let-', '07 gennaio 1940', '07/01/1940', '1940/01/07'],</v>
      </c>
      <c r="Z840" s="29" t="str">
        <f t="shared" si="251"/>
        <v>al Presidente Franklin Delano Roosevelt in occasione della nomina di un Ambasciatore straordinario degli Stati Uniti d'America presso la Santa Sede (14617) | Pio XII</v>
      </c>
      <c r="AA840" s="29" t="str">
        <f t="shared" si="252"/>
        <v xml:space="preserve"> al Presidente Franklin Delano Roosevelt in occasione della nomina di un Ambasciatore straordinario degli Stati Uniti d'America presso la Santa Sede</v>
      </c>
      <c r="AB840" s="29" t="str">
        <f t="shared" si="253"/>
        <v xml:space="preserve"> al Presidente Franklin Delano Roosevelt in occasione della nomina di un Ambasciatore straordinario degli Stati Uniti d'America presso la Santa Sede</v>
      </c>
      <c r="AC840" s="29" t="str">
        <f t="shared" si="254"/>
        <v>Pio XII, Lettera  al Presidente Franklin Delano Roosevelt in occasione della nomina di un Ambasciatore straordinario degli Stati Uniti d'America presso la Santa Sede, 07 gennaio 1940</v>
      </c>
      <c r="AD840" s="29" t="str">
        <f t="shared" si="255"/>
        <v>1940-01-07T08:00:00.000+02:00</v>
      </c>
      <c r="AE840" s="29" t="str">
        <f t="shared" si="248"/>
        <v>pixii-let-</v>
      </c>
      <c r="AF840" s="29" t="str">
        <f t="shared" si="249"/>
        <v>Pio XII - Lettera  - al Presidente Franklin Delano Roosevelt in occasione della nomina di un Ambasciatore straordinario degli Stati Uniti d'America presso la Santa Sede</v>
      </c>
    </row>
    <row r="841" spans="2:32" x14ac:dyDescent="0.2">
      <c r="B841" s="29">
        <v>260</v>
      </c>
      <c r="C841" s="29" t="s">
        <v>4007</v>
      </c>
      <c r="D841" s="29" t="s">
        <v>715</v>
      </c>
      <c r="E841" s="29" t="s">
        <v>724</v>
      </c>
      <c r="F841" s="29" t="s">
        <v>663</v>
      </c>
      <c r="G841" s="29" t="s">
        <v>659</v>
      </c>
      <c r="H841" s="29" t="str">
        <f t="shared" si="256"/>
        <v>Pio XII</v>
      </c>
      <c r="J841" s="29" t="s">
        <v>829</v>
      </c>
      <c r="L841" s="29" t="str">
        <f t="shared" si="239"/>
        <v xml:space="preserve">Lettera </v>
      </c>
      <c r="M841" s="29" t="s">
        <v>568</v>
      </c>
      <c r="O841" s="29" t="s">
        <v>3987</v>
      </c>
      <c r="Q841" s="38">
        <v>16369</v>
      </c>
      <c r="R841" s="32">
        <f t="shared" si="240"/>
        <v>24</v>
      </c>
      <c r="S841" s="32"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32">
        <f t="shared" si="241"/>
        <v>1944</v>
      </c>
      <c r="U841" s="29"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3"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9"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29">
        <v>832</v>
      </c>
      <c r="Y841" s="29" t="str">
        <f t="shared" si="250"/>
        <v>['Pio XII', '', 'al Cardinale Francesco Marchetti-Selvaggiani, vicario Generale di Sua Santità', 'pixii-let-', '24 ottobre 1944', '24/10/1944', '1944/10/24'],</v>
      </c>
      <c r="Z841" s="29" t="str">
        <f t="shared" si="251"/>
        <v>al Cardinale Francesco Marchetti-Selvaggiani, vicario Generale di Sua Santità (16369) | Pio XII</v>
      </c>
      <c r="AA841" s="29" t="str">
        <f t="shared" si="252"/>
        <v xml:space="preserve"> al Cardinale Francesco Marchetti-Selvaggiani, vicario Generale di Sua Santità</v>
      </c>
      <c r="AB841" s="29" t="str">
        <f t="shared" si="253"/>
        <v xml:space="preserve"> al Cardinale Francesco Marchetti-Selvaggiani, vicario Generale di Sua Santità</v>
      </c>
      <c r="AC841" s="29" t="str">
        <f t="shared" si="254"/>
        <v>Pio XII, Lettera  al Cardinale Francesco Marchetti-Selvaggiani, vicario Generale di Sua Santità, 24 ottobre 1944</v>
      </c>
      <c r="AD841" s="29" t="str">
        <f t="shared" si="255"/>
        <v>1944-10-24T08:00:00.000+02:00</v>
      </c>
      <c r="AE841" s="29" t="str">
        <f t="shared" si="248"/>
        <v>pixii-let-</v>
      </c>
      <c r="AF841" s="29" t="str">
        <f t="shared" si="249"/>
        <v>Pio XII - Lettera  - al Cardinale Francesco Marchetti-Selvaggiani, vicario Generale di Sua Santità</v>
      </c>
    </row>
    <row r="842" spans="2:32" s="31" customFormat="1" x14ac:dyDescent="0.2">
      <c r="B842" s="31">
        <v>260</v>
      </c>
      <c r="C842" s="31" t="s">
        <v>4011</v>
      </c>
      <c r="D842" s="31" t="s">
        <v>715</v>
      </c>
      <c r="E842" s="31" t="s">
        <v>724</v>
      </c>
      <c r="F842" s="31" t="s">
        <v>663</v>
      </c>
      <c r="G842" s="31" t="s">
        <v>659</v>
      </c>
      <c r="H842" s="31" t="str">
        <f t="shared" si="256"/>
        <v>Pio XII</v>
      </c>
      <c r="K842" s="31" t="s">
        <v>833</v>
      </c>
      <c r="L842" s="31" t="str">
        <f t="shared" si="215"/>
        <v>Omelia</v>
      </c>
      <c r="M842" s="31" t="s">
        <v>572</v>
      </c>
      <c r="O842" s="31" t="s">
        <v>4008</v>
      </c>
      <c r="P842" s="31" t="s">
        <v>4014</v>
      </c>
      <c r="Q842" s="40">
        <v>18348</v>
      </c>
      <c r="R842" s="35">
        <f t="shared" si="240"/>
        <v>26</v>
      </c>
      <c r="S842" s="35"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5">
        <f t="shared" si="241"/>
        <v>1950</v>
      </c>
      <c r="U842" s="31"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6"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31"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31">
        <v>833</v>
      </c>
      <c r="Y842" s="31" t="str">
        <f t="shared" si="250"/>
        <v>['Pio XII', 'Omelia', 'Solenne Rito penitenziale', 'pixii-ome-srp', '26 marzo 1950', '26/03/1950', '1950/03/26'],</v>
      </c>
      <c r="Z842" s="31" t="str">
        <f t="shared" si="251"/>
        <v>Solenne Rito penitenziale (18348) | Pio XII</v>
      </c>
      <c r="AA842" s="31" t="str">
        <f t="shared" si="252"/>
        <v>Omelia Solenne Rito penitenziale</v>
      </c>
      <c r="AB842" s="31" t="str">
        <f t="shared" si="253"/>
        <v>Omelia Solenne Rito penitenziale</v>
      </c>
      <c r="AC842" s="31" t="str">
        <f t="shared" si="254"/>
        <v>Pio XII, Omelia Solenne Rito penitenziale, 26 marzo 1950</v>
      </c>
      <c r="AD842" s="31" t="str">
        <f t="shared" si="255"/>
        <v>1950-03-26T08:00:00.000+02:00</v>
      </c>
      <c r="AE842" s="31" t="str">
        <f t="shared" si="248"/>
        <v>pixii-ome-srp</v>
      </c>
      <c r="AF842" s="31" t="str">
        <f t="shared" si="249"/>
        <v>Pio XII - Omelia - Solenne Rito penitenziale</v>
      </c>
    </row>
    <row r="843" spans="2:32" s="31" customFormat="1" x14ac:dyDescent="0.2">
      <c r="B843" s="31">
        <v>260</v>
      </c>
      <c r="C843" s="31" t="s">
        <v>4012</v>
      </c>
      <c r="D843" s="31" t="s">
        <v>715</v>
      </c>
      <c r="E843" s="31" t="s">
        <v>724</v>
      </c>
      <c r="F843" s="31" t="s">
        <v>663</v>
      </c>
      <c r="G843" s="31" t="s">
        <v>659</v>
      </c>
      <c r="H843" s="31" t="str">
        <f t="shared" si="256"/>
        <v>Pio XII</v>
      </c>
      <c r="K843" s="31" t="s">
        <v>833</v>
      </c>
      <c r="L843" s="31" t="str">
        <f t="shared" si="215"/>
        <v>Omelia</v>
      </c>
      <c r="M843" s="31" t="s">
        <v>572</v>
      </c>
      <c r="O843" s="31" t="s">
        <v>4009</v>
      </c>
      <c r="P843" s="31" t="s">
        <v>1684</v>
      </c>
      <c r="Q843" s="40">
        <v>15475</v>
      </c>
      <c r="R843" s="35">
        <f t="shared" si="240"/>
        <v>14</v>
      </c>
      <c r="S843" s="35"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5">
        <f t="shared" si="241"/>
        <v>1942</v>
      </c>
      <c r="U843" s="31"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6"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31"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31">
        <v>834</v>
      </c>
      <c r="Y843" s="31" t="str">
        <f t="shared" si="250"/>
        <v>['Pio XII', 'Omelia', 'Messa nel XXV della consacrazione episcopale del Santo Padre', 'pixii-ome-ces', '14 maggio 1942', '14/05/1942', '1942/05/14'],</v>
      </c>
      <c r="Z843" s="31" t="str">
        <f t="shared" si="251"/>
        <v>Messa nel XXV della consacrazione episcopale del Santo Padre (15475) | Pio XII</v>
      </c>
      <c r="AA843" s="31" t="str">
        <f t="shared" si="252"/>
        <v>Omelia Messa nel XXV della consacrazione episcopale del Santo Padre</v>
      </c>
      <c r="AB843" s="31" t="str">
        <f t="shared" si="253"/>
        <v>Omelia Messa nel XXV della consacrazione episcopale del Santo Padre</v>
      </c>
      <c r="AC843" s="31" t="str">
        <f t="shared" si="254"/>
        <v>Pio XII, Omelia Messa nel XXV della consacrazione episcopale del Santo Padre, 14 maggio 1942</v>
      </c>
      <c r="AD843" s="31" t="str">
        <f t="shared" si="255"/>
        <v>1942-05-14T08:00:00.000+02:00</v>
      </c>
      <c r="AE843" s="31" t="str">
        <f t="shared" si="248"/>
        <v>pixii-ome-ces</v>
      </c>
      <c r="AF843" s="31" t="str">
        <f t="shared" si="249"/>
        <v>Pio XII - Omelia - Messa nel XXV della consacrazione episcopale del Santo Padre</v>
      </c>
    </row>
    <row r="844" spans="2:32" s="31" customFormat="1" x14ac:dyDescent="0.2">
      <c r="B844" s="31">
        <v>260</v>
      </c>
      <c r="C844" s="31" t="s">
        <v>4013</v>
      </c>
      <c r="D844" s="31" t="s">
        <v>715</v>
      </c>
      <c r="E844" s="31" t="s">
        <v>724</v>
      </c>
      <c r="F844" s="31" t="s">
        <v>663</v>
      </c>
      <c r="G844" s="31" t="s">
        <v>659</v>
      </c>
      <c r="H844" s="31" t="str">
        <f t="shared" si="256"/>
        <v>Pio XII</v>
      </c>
      <c r="K844" s="31" t="s">
        <v>833</v>
      </c>
      <c r="L844" s="31" t="str">
        <f t="shared" ref="L844:L852" si="257">IF(J844&lt;&gt;"",_xlfn.CONCAT(J844 &amp; " " &amp; K844),K844)</f>
        <v>Omelia</v>
      </c>
      <c r="M844" s="31" t="s">
        <v>572</v>
      </c>
      <c r="O844" s="31" t="s">
        <v>4010</v>
      </c>
      <c r="P844" s="31" t="s">
        <v>1402</v>
      </c>
      <c r="Q844" s="40">
        <v>14939</v>
      </c>
      <c r="R844" s="35">
        <f t="shared" ref="R844:R875" si="258">IF(ISERROR(DAY(Q844)),TEXT((LEFT(Q844,2)),"00"),DAY(Q844))</f>
        <v>24</v>
      </c>
      <c r="S844" s="35"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5">
        <f t="shared" ref="T844:T875" si="259">IF(ISERROR(DAY(Q844)),VALUE(RIGHT(Q844,4)),YEAR(Q844))</f>
        <v>1940</v>
      </c>
      <c r="U844" s="31"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6"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31"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31">
        <v>831</v>
      </c>
      <c r="Y844" s="31" t="str">
        <f t="shared" ref="Y844:Y875" si="260">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31" t="str">
        <f t="shared" ref="Z844:Z875" si="261">_xlfn.CONCAT(O844 &amp; " (" &amp; Q844 &amp; ") | " &amp; D844 &amp; " " &amp; E844)</f>
        <v>Celebrazione eucaristica per invocare la pace nel mondo (14939) | Pio XII</v>
      </c>
      <c r="AA844" s="31" t="str">
        <f t="shared" ref="AA844:AA875" si="262">_xlfn.CONCAT(K844 &amp; " " &amp; O844)</f>
        <v>Omelia Celebrazione eucaristica per invocare la pace nel mondo</v>
      </c>
      <c r="AB844" s="31" t="str">
        <f t="shared" ref="AB844:AB875" si="263">_xlfn.CONCAT(K844 &amp; " " &amp; O844)</f>
        <v>Omelia Celebrazione eucaristica per invocare la pace nel mondo</v>
      </c>
      <c r="AC844" s="31" t="str">
        <f t="shared" ref="AC844:AC875" si="264">_xlfn.CONCAT(H844 &amp; ", " &amp; L844 &amp; " " &amp; O844 &amp; ", " &amp; LEFT(U844,2) &amp; " " &amp; TEXT(VALUE(MID(U844,4,2))*29,"mmmm") &amp; " " &amp; RIGHT(U844,4))</f>
        <v>Pio XII, Omelia Celebrazione eucaristica per invocare la pace nel mondo, 24 novembre 1940</v>
      </c>
      <c r="AD844" s="31" t="str">
        <f t="shared" ref="AD844:AD875" si="265">_xlfn.CONCAT(RIGHT(U844,4) &amp; "-" &amp; MID(U844,4,2) &amp; "-" &amp; LEFT(U844,2) &amp; "T08:00:00.000+02:00")</f>
        <v>1940-11-24T08:00:00.000+02:00</v>
      </c>
      <c r="AE844" s="31" t="str">
        <f t="shared" ref="AE844:AE870" si="266">_xlfn.CONCAT(F844 &amp; "-" &amp; M844 &amp; "-" &amp; P844)</f>
        <v>pixii-ome-ipm</v>
      </c>
      <c r="AF844" s="31" t="str">
        <f t="shared" ref="AF844:AF870" si="267">_xlfn.CONCAT(H844 &amp; " - " &amp; L844 &amp; " - " &amp; O844)</f>
        <v>Pio XII - Omelia - Celebrazione eucaristica per invocare la pace nel mondo</v>
      </c>
    </row>
    <row r="845" spans="2:32" s="31" customFormat="1" x14ac:dyDescent="0.2">
      <c r="B845" s="31">
        <v>260</v>
      </c>
      <c r="C845" s="31" t="s">
        <v>4022</v>
      </c>
      <c r="D845" s="31" t="s">
        <v>715</v>
      </c>
      <c r="E845" s="31" t="s">
        <v>724</v>
      </c>
      <c r="F845" s="31" t="s">
        <v>663</v>
      </c>
      <c r="G845" s="31" t="s">
        <v>659</v>
      </c>
      <c r="H845" s="31" t="str">
        <f t="shared" si="256"/>
        <v>Pio XII</v>
      </c>
      <c r="K845" s="31" t="s">
        <v>832</v>
      </c>
      <c r="L845" s="31" t="str">
        <f t="shared" si="257"/>
        <v>Messaggio</v>
      </c>
      <c r="M845" s="31" t="s">
        <v>570</v>
      </c>
      <c r="O845" s="31" t="s">
        <v>4015</v>
      </c>
      <c r="P845" s="31" t="s">
        <v>4029</v>
      </c>
      <c r="Q845" s="40">
        <v>19097</v>
      </c>
      <c r="R845" s="35">
        <f t="shared" si="258"/>
        <v>13</v>
      </c>
      <c r="S845" s="35"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5">
        <f t="shared" si="259"/>
        <v>1952</v>
      </c>
      <c r="U845" s="31"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6"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31"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31">
        <v>832</v>
      </c>
      <c r="Y845" s="31" t="str">
        <f t="shared" si="260"/>
        <v>['Pio XII', 'Messaggio', 'Urbi et Orbi - Pasqua 1952', 'pixii-mes-u52', '13 aprile 1952', '13/04/1952', '1952/04/13'],</v>
      </c>
      <c r="Z845" s="31" t="str">
        <f t="shared" si="261"/>
        <v>Urbi et Orbi - Pasqua 1952 (19097) | Pio XII</v>
      </c>
      <c r="AA845" s="31" t="str">
        <f t="shared" si="262"/>
        <v>Messaggio Urbi et Orbi - Pasqua 1952</v>
      </c>
      <c r="AB845" s="31" t="str">
        <f t="shared" si="263"/>
        <v>Messaggio Urbi et Orbi - Pasqua 1952</v>
      </c>
      <c r="AC845" s="31" t="str">
        <f t="shared" si="264"/>
        <v>Pio XII, Messaggio Urbi et Orbi - Pasqua 1952, 13 aprile 1952</v>
      </c>
      <c r="AD845" s="31" t="str">
        <f t="shared" si="265"/>
        <v>1952-04-13T08:00:00.000+02:00</v>
      </c>
      <c r="AE845" s="31" t="str">
        <f t="shared" si="266"/>
        <v>pixii-mes-u52</v>
      </c>
      <c r="AF845" s="31" t="str">
        <f t="shared" si="267"/>
        <v>Pio XII - Messaggio - Urbi et Orbi - Pasqua 1952</v>
      </c>
    </row>
    <row r="846" spans="2:32" s="31" customFormat="1" x14ac:dyDescent="0.2">
      <c r="B846" s="31">
        <v>260</v>
      </c>
      <c r="C846" s="31" t="s">
        <v>4023</v>
      </c>
      <c r="D846" s="31" t="s">
        <v>715</v>
      </c>
      <c r="E846" s="31" t="s">
        <v>724</v>
      </c>
      <c r="F846" s="31" t="s">
        <v>663</v>
      </c>
      <c r="G846" s="31" t="s">
        <v>659</v>
      </c>
      <c r="H846" s="31" t="str">
        <f t="shared" si="256"/>
        <v>Pio XII</v>
      </c>
      <c r="K846" s="31" t="s">
        <v>832</v>
      </c>
      <c r="L846" s="31" t="str">
        <f t="shared" si="257"/>
        <v>Messaggio</v>
      </c>
      <c r="M846" s="31" t="s">
        <v>570</v>
      </c>
      <c r="O846" s="31" t="s">
        <v>4016</v>
      </c>
      <c r="P846" s="31" t="s">
        <v>4030</v>
      </c>
      <c r="Q846" s="40">
        <v>21281</v>
      </c>
      <c r="R846" s="35">
        <f t="shared" si="258"/>
        <v>6</v>
      </c>
      <c r="S846" s="35"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5">
        <f t="shared" si="259"/>
        <v>1958</v>
      </c>
      <c r="U846" s="31"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6"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31"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31">
        <v>833</v>
      </c>
      <c r="Y846" s="31" t="str">
        <f t="shared" si="260"/>
        <v>['Pio XII', 'Messaggio', 'Urbi et Orbi - Pasqua 1958', 'pixii-mes-u58', '06 aprile 1958', '06/04/1958', '1958/04/06'],</v>
      </c>
      <c r="Z846" s="31" t="str">
        <f t="shared" si="261"/>
        <v>Urbi et Orbi - Pasqua 1958 (21281) | Pio XII</v>
      </c>
      <c r="AA846" s="31" t="str">
        <f t="shared" si="262"/>
        <v>Messaggio Urbi et Orbi - Pasqua 1958</v>
      </c>
      <c r="AB846" s="31" t="str">
        <f t="shared" si="263"/>
        <v>Messaggio Urbi et Orbi - Pasqua 1958</v>
      </c>
      <c r="AC846" s="31" t="str">
        <f t="shared" si="264"/>
        <v>Pio XII, Messaggio Urbi et Orbi - Pasqua 1958, 06 aprile 1958</v>
      </c>
      <c r="AD846" s="31" t="str">
        <f t="shared" si="265"/>
        <v>1958-04-06T08:00:00.000+02:00</v>
      </c>
      <c r="AE846" s="31" t="str">
        <f t="shared" si="266"/>
        <v>pixii-mes-u58</v>
      </c>
      <c r="AF846" s="31" t="str">
        <f t="shared" si="267"/>
        <v>Pio XII - Messaggio - Urbi et Orbi - Pasqua 1958</v>
      </c>
    </row>
    <row r="847" spans="2:32" s="31" customFormat="1" x14ac:dyDescent="0.2">
      <c r="B847" s="31">
        <v>260</v>
      </c>
      <c r="C847" s="31" t="s">
        <v>4024</v>
      </c>
      <c r="D847" s="31" t="s">
        <v>715</v>
      </c>
      <c r="E847" s="31" t="s">
        <v>724</v>
      </c>
      <c r="F847" s="31" t="s">
        <v>663</v>
      </c>
      <c r="G847" s="31" t="s">
        <v>659</v>
      </c>
      <c r="H847" s="31" t="str">
        <f t="shared" si="256"/>
        <v>Pio XII</v>
      </c>
      <c r="K847" s="31" t="s">
        <v>832</v>
      </c>
      <c r="L847" s="31" t="str">
        <f t="shared" si="257"/>
        <v>Messaggio</v>
      </c>
      <c r="M847" s="31" t="s">
        <v>570</v>
      </c>
      <c r="O847" s="31" t="s">
        <v>4017</v>
      </c>
      <c r="P847" s="31" t="s">
        <v>4031</v>
      </c>
      <c r="Q847" s="40">
        <v>20931</v>
      </c>
      <c r="R847" s="35">
        <f t="shared" si="258"/>
        <v>21</v>
      </c>
      <c r="S847" s="35"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5">
        <f t="shared" si="259"/>
        <v>1957</v>
      </c>
      <c r="U847" s="31"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6"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31"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31">
        <v>834</v>
      </c>
      <c r="Y847" s="31" t="str">
        <f t="shared" si="260"/>
        <v>['Pio XII', 'Messaggio', 'Urbi et Orbi - Pasqua 1957', 'pixii-mes-u57', '21 aprile 1957', '21/04/1957', '1957/04/21'],</v>
      </c>
      <c r="Z847" s="31" t="str">
        <f t="shared" si="261"/>
        <v>Urbi et Orbi - Pasqua 1957 (20931) | Pio XII</v>
      </c>
      <c r="AA847" s="31" t="str">
        <f t="shared" si="262"/>
        <v>Messaggio Urbi et Orbi - Pasqua 1957</v>
      </c>
      <c r="AB847" s="31" t="str">
        <f t="shared" si="263"/>
        <v>Messaggio Urbi et Orbi - Pasqua 1957</v>
      </c>
      <c r="AC847" s="31" t="str">
        <f t="shared" si="264"/>
        <v>Pio XII, Messaggio Urbi et Orbi - Pasqua 1957, 21 aprile 1957</v>
      </c>
      <c r="AD847" s="31" t="str">
        <f t="shared" si="265"/>
        <v>1957-04-21T08:00:00.000+02:00</v>
      </c>
      <c r="AE847" s="31" t="str">
        <f t="shared" si="266"/>
        <v>pixii-mes-u57</v>
      </c>
      <c r="AF847" s="31" t="str">
        <f t="shared" si="267"/>
        <v>Pio XII - Messaggio - Urbi et Orbi - Pasqua 1957</v>
      </c>
    </row>
    <row r="848" spans="2:32" s="31" customFormat="1" x14ac:dyDescent="0.2">
      <c r="B848" s="31">
        <v>260</v>
      </c>
      <c r="C848" s="31" t="s">
        <v>4025</v>
      </c>
      <c r="D848" s="31" t="s">
        <v>715</v>
      </c>
      <c r="E848" s="31" t="s">
        <v>724</v>
      </c>
      <c r="F848" s="31" t="s">
        <v>663</v>
      </c>
      <c r="G848" s="31" t="s">
        <v>659</v>
      </c>
      <c r="H848" s="31" t="str">
        <f t="shared" si="256"/>
        <v>Pio XII</v>
      </c>
      <c r="K848" s="31" t="s">
        <v>832</v>
      </c>
      <c r="L848" s="31" t="str">
        <f t="shared" si="257"/>
        <v>Messaggio</v>
      </c>
      <c r="M848" s="31" t="s">
        <v>570</v>
      </c>
      <c r="O848" s="31" t="s">
        <v>4018</v>
      </c>
      <c r="P848" s="31" t="s">
        <v>4032</v>
      </c>
      <c r="Q848" s="40">
        <v>20546</v>
      </c>
      <c r="R848" s="35">
        <f t="shared" si="258"/>
        <v>1</v>
      </c>
      <c r="S848" s="35"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5">
        <f t="shared" si="259"/>
        <v>1956</v>
      </c>
      <c r="U848" s="31"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6"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31"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31">
        <v>831</v>
      </c>
      <c r="Y848" s="31" t="str">
        <f t="shared" si="260"/>
        <v>['Pio XII', 'Messaggio', 'Urbi et Orbi - Pasqua 1956', 'pixii-mes-u56', '01 aprile 1956', '01/04/1956', '1956/04/01'],</v>
      </c>
      <c r="Z848" s="31" t="str">
        <f t="shared" si="261"/>
        <v>Urbi et Orbi - Pasqua 1956 (20546) | Pio XII</v>
      </c>
      <c r="AA848" s="31" t="str">
        <f t="shared" si="262"/>
        <v>Messaggio Urbi et Orbi - Pasqua 1956</v>
      </c>
      <c r="AB848" s="31" t="str">
        <f t="shared" si="263"/>
        <v>Messaggio Urbi et Orbi - Pasqua 1956</v>
      </c>
      <c r="AC848" s="31" t="str">
        <f t="shared" si="264"/>
        <v>Pio XII, Messaggio Urbi et Orbi - Pasqua 1956, 01 aprile 1956</v>
      </c>
      <c r="AD848" s="31" t="str">
        <f t="shared" si="265"/>
        <v>1956-04-01T08:00:00.000+02:00</v>
      </c>
      <c r="AE848" s="31" t="str">
        <f t="shared" si="266"/>
        <v>pixii-mes-u56</v>
      </c>
      <c r="AF848" s="31" t="str">
        <f t="shared" si="267"/>
        <v>Pio XII - Messaggio - Urbi et Orbi - Pasqua 1956</v>
      </c>
    </row>
    <row r="849" spans="2:32" s="31" customFormat="1" x14ac:dyDescent="0.2">
      <c r="B849" s="31">
        <v>260</v>
      </c>
      <c r="C849" s="31" t="s">
        <v>4026</v>
      </c>
      <c r="D849" s="31" t="s">
        <v>715</v>
      </c>
      <c r="E849" s="31" t="s">
        <v>724</v>
      </c>
      <c r="F849" s="31" t="s">
        <v>663</v>
      </c>
      <c r="G849" s="31" t="s">
        <v>659</v>
      </c>
      <c r="H849" s="31" t="str">
        <f t="shared" si="256"/>
        <v>Pio XII</v>
      </c>
      <c r="K849" s="31" t="s">
        <v>832</v>
      </c>
      <c r="L849" s="31" t="str">
        <f t="shared" si="257"/>
        <v>Messaggio</v>
      </c>
      <c r="M849" s="31" t="s">
        <v>570</v>
      </c>
      <c r="O849" s="31" t="s">
        <v>4019</v>
      </c>
      <c r="P849" s="31" t="s">
        <v>4033</v>
      </c>
      <c r="Q849" s="40">
        <v>20189</v>
      </c>
      <c r="R849" s="35">
        <f t="shared" si="258"/>
        <v>10</v>
      </c>
      <c r="S849" s="35"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5">
        <f t="shared" si="259"/>
        <v>1955</v>
      </c>
      <c r="U849" s="31"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6"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31"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31">
        <v>832</v>
      </c>
      <c r="Y849" s="31" t="str">
        <f t="shared" si="260"/>
        <v>['Pio XII', 'Messaggio', 'Urbi et Orbi - Pasqua 1955', 'pixii-mes-u55', '10 aprile 1955', '10/04/1955', '1955/04/10'],</v>
      </c>
      <c r="Z849" s="31" t="str">
        <f t="shared" si="261"/>
        <v>Urbi et Orbi - Pasqua 1955 (20189) | Pio XII</v>
      </c>
      <c r="AA849" s="31" t="str">
        <f t="shared" si="262"/>
        <v>Messaggio Urbi et Orbi - Pasqua 1955</v>
      </c>
      <c r="AB849" s="31" t="str">
        <f t="shared" si="263"/>
        <v>Messaggio Urbi et Orbi - Pasqua 1955</v>
      </c>
      <c r="AC849" s="31" t="str">
        <f t="shared" si="264"/>
        <v>Pio XII, Messaggio Urbi et Orbi - Pasqua 1955, 10 aprile 1955</v>
      </c>
      <c r="AD849" s="31" t="str">
        <f t="shared" si="265"/>
        <v>1955-04-10T08:00:00.000+02:00</v>
      </c>
      <c r="AE849" s="31" t="str">
        <f t="shared" si="266"/>
        <v>pixii-mes-u55</v>
      </c>
      <c r="AF849" s="31" t="str">
        <f t="shared" si="267"/>
        <v>Pio XII - Messaggio - Urbi et Orbi - Pasqua 1955</v>
      </c>
    </row>
    <row r="850" spans="2:32" s="31" customFormat="1" x14ac:dyDescent="0.2">
      <c r="B850" s="31">
        <v>260</v>
      </c>
      <c r="C850" s="31" t="s">
        <v>4027</v>
      </c>
      <c r="D850" s="31" t="s">
        <v>715</v>
      </c>
      <c r="E850" s="31" t="s">
        <v>724</v>
      </c>
      <c r="F850" s="31" t="s">
        <v>663</v>
      </c>
      <c r="G850" s="31" t="s">
        <v>659</v>
      </c>
      <c r="H850" s="31" t="str">
        <f t="shared" si="256"/>
        <v>Pio XII</v>
      </c>
      <c r="K850" s="31" t="s">
        <v>832</v>
      </c>
      <c r="L850" s="31" t="str">
        <f t="shared" si="257"/>
        <v>Messaggio</v>
      </c>
      <c r="M850" s="31" t="s">
        <v>570</v>
      </c>
      <c r="O850" s="31" t="s">
        <v>4020</v>
      </c>
      <c r="P850" s="31" t="s">
        <v>4034</v>
      </c>
      <c r="Q850" s="40">
        <v>19832</v>
      </c>
      <c r="R850" s="35">
        <f t="shared" si="258"/>
        <v>18</v>
      </c>
      <c r="S850" s="35"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5">
        <f t="shared" si="259"/>
        <v>1954</v>
      </c>
      <c r="U850" s="31"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6"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31"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31">
        <v>833</v>
      </c>
      <c r="Y850" s="31" t="str">
        <f t="shared" si="260"/>
        <v>['Pio XII', 'Messaggio', 'Urbi et Orbi - Pasqua 1954', 'pixii-mes-u54', '18 aprile 1954', '18/04/1954', '1954/04/18'],</v>
      </c>
      <c r="Z850" s="31" t="str">
        <f t="shared" si="261"/>
        <v>Urbi et Orbi - Pasqua 1954 (19832) | Pio XII</v>
      </c>
      <c r="AA850" s="31" t="str">
        <f t="shared" si="262"/>
        <v>Messaggio Urbi et Orbi - Pasqua 1954</v>
      </c>
      <c r="AB850" s="31" t="str">
        <f t="shared" si="263"/>
        <v>Messaggio Urbi et Orbi - Pasqua 1954</v>
      </c>
      <c r="AC850" s="31" t="str">
        <f t="shared" si="264"/>
        <v>Pio XII, Messaggio Urbi et Orbi - Pasqua 1954, 18 aprile 1954</v>
      </c>
      <c r="AD850" s="31" t="str">
        <f t="shared" si="265"/>
        <v>1954-04-18T08:00:00.000+02:00</v>
      </c>
      <c r="AE850" s="31" t="str">
        <f t="shared" si="266"/>
        <v>pixii-mes-u54</v>
      </c>
      <c r="AF850" s="31" t="str">
        <f t="shared" si="267"/>
        <v>Pio XII - Messaggio - Urbi et Orbi - Pasqua 1954</v>
      </c>
    </row>
    <row r="851" spans="2:32" s="31" customFormat="1" x14ac:dyDescent="0.2">
      <c r="B851" s="31">
        <v>260</v>
      </c>
      <c r="C851" s="31" t="s">
        <v>4028</v>
      </c>
      <c r="D851" s="31" t="s">
        <v>715</v>
      </c>
      <c r="E851" s="31" t="s">
        <v>724</v>
      </c>
      <c r="F851" s="31" t="s">
        <v>663</v>
      </c>
      <c r="G851" s="31" t="s">
        <v>659</v>
      </c>
      <c r="H851" s="31" t="str">
        <f t="shared" si="256"/>
        <v>Pio XII</v>
      </c>
      <c r="K851" s="31" t="s">
        <v>832</v>
      </c>
      <c r="L851" s="31" t="str">
        <f t="shared" si="257"/>
        <v>Messaggio</v>
      </c>
      <c r="M851" s="31" t="s">
        <v>570</v>
      </c>
      <c r="O851" s="31" t="s">
        <v>4021</v>
      </c>
      <c r="P851" s="31" t="s">
        <v>4035</v>
      </c>
      <c r="Q851" s="40">
        <v>19454</v>
      </c>
      <c r="R851" s="35">
        <f t="shared" si="258"/>
        <v>5</v>
      </c>
      <c r="S851" s="35"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5">
        <f t="shared" si="259"/>
        <v>1953</v>
      </c>
      <c r="U851" s="31"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6"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31"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31">
        <v>834</v>
      </c>
      <c r="Y851" s="31" t="str">
        <f t="shared" si="260"/>
        <v>['Pio XII', 'Messaggio', 'Urbi et Orbi - Pasqua 1953', 'pixii-mes-u53', '05 aprile 1953', '05/04/1953', '1953/04/05'],</v>
      </c>
      <c r="Z851" s="31" t="str">
        <f t="shared" si="261"/>
        <v>Urbi et Orbi - Pasqua 1953 (19454) | Pio XII</v>
      </c>
      <c r="AA851" s="31" t="str">
        <f t="shared" si="262"/>
        <v>Messaggio Urbi et Orbi - Pasqua 1953</v>
      </c>
      <c r="AB851" s="31" t="str">
        <f t="shared" si="263"/>
        <v>Messaggio Urbi et Orbi - Pasqua 1953</v>
      </c>
      <c r="AC851" s="31" t="str">
        <f t="shared" si="264"/>
        <v>Pio XII, Messaggio Urbi et Orbi - Pasqua 1953, 05 aprile 1953</v>
      </c>
      <c r="AD851" s="31" t="str">
        <f t="shared" si="265"/>
        <v>1953-04-05T08:00:00.000+02:00</v>
      </c>
      <c r="AE851" s="31" t="str">
        <f t="shared" si="266"/>
        <v>pixii-mes-u53</v>
      </c>
      <c r="AF851" s="31" t="str">
        <f t="shared" si="267"/>
        <v>Pio XII - Messaggio - Urbi et Orbi - Pasqua 1953</v>
      </c>
    </row>
    <row r="852" spans="2:32" s="31" customFormat="1" x14ac:dyDescent="0.2">
      <c r="B852" s="31">
        <v>260</v>
      </c>
      <c r="C852" s="31" t="s">
        <v>4036</v>
      </c>
      <c r="D852" s="31" t="s">
        <v>715</v>
      </c>
      <c r="E852" s="31" t="s">
        <v>724</v>
      </c>
      <c r="F852" s="31" t="s">
        <v>663</v>
      </c>
      <c r="G852" s="31" t="s">
        <v>659</v>
      </c>
      <c r="H852" s="31" t="str">
        <f t="shared" si="256"/>
        <v>Pio XII</v>
      </c>
      <c r="K852" s="31" t="s">
        <v>835</v>
      </c>
      <c r="L852" s="31" t="str">
        <f t="shared" si="257"/>
        <v>Udienza</v>
      </c>
      <c r="M852" s="31" t="s">
        <v>574</v>
      </c>
      <c r="O852" s="31" t="s">
        <v>4570</v>
      </c>
      <c r="P852" s="31" t="s">
        <v>5062</v>
      </c>
      <c r="Q852" s="40">
        <v>14585</v>
      </c>
      <c r="R852" s="35">
        <f t="shared" si="258"/>
        <v>6</v>
      </c>
      <c r="S852" s="35"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5">
        <f t="shared" si="259"/>
        <v>1939</v>
      </c>
      <c r="U852" s="31"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6"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31"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31">
        <v>831</v>
      </c>
      <c r="Y852" s="31" t="str">
        <f t="shared" si="260"/>
        <v>['Pio XII', 'Udienza', 'La castità coniugale', 'pixii-udi-lcc', '06 dicembre 1939', '06/12/1939', '1939/12/06'],</v>
      </c>
      <c r="Z852" s="31" t="str">
        <f t="shared" si="261"/>
        <v>La castità coniugale (14585) | Pio XII</v>
      </c>
      <c r="AA852" s="31" t="str">
        <f t="shared" si="262"/>
        <v>Udienza La castità coniugale</v>
      </c>
      <c r="AB852" s="31" t="str">
        <f t="shared" si="263"/>
        <v>Udienza La castità coniugale</v>
      </c>
      <c r="AC852" s="31" t="str">
        <f t="shared" si="264"/>
        <v>Pio XII, Udienza La castità coniugale, 06 dicembre 1939</v>
      </c>
      <c r="AD852" s="31" t="str">
        <f t="shared" si="265"/>
        <v>1939-12-06T08:00:00.000+02:00</v>
      </c>
      <c r="AE852" s="31" t="str">
        <f t="shared" si="266"/>
        <v>pixii-udi-lcc</v>
      </c>
      <c r="AF852" s="31" t="str">
        <f t="shared" si="267"/>
        <v>Pio XII - Udienza - La castità coniugale</v>
      </c>
    </row>
    <row r="853" spans="2:32" s="31" customFormat="1" x14ac:dyDescent="0.2">
      <c r="B853" s="31">
        <v>260</v>
      </c>
      <c r="C853" s="31" t="s">
        <v>4037</v>
      </c>
      <c r="D853" s="31" t="s">
        <v>715</v>
      </c>
      <c r="E853" s="31" t="s">
        <v>724</v>
      </c>
      <c r="F853" s="31" t="s">
        <v>663</v>
      </c>
      <c r="G853" s="31" t="s">
        <v>659</v>
      </c>
      <c r="H853" s="31" t="str">
        <f t="shared" si="256"/>
        <v>Pio XII</v>
      </c>
      <c r="K853" s="31" t="s">
        <v>835</v>
      </c>
      <c r="L853" s="31" t="str">
        <f t="shared" ref="L853:L894" si="268">IF(J853&lt;&gt;"",_xlfn.CONCAT(J853 &amp; " " &amp; K853),K853)</f>
        <v>Udienza</v>
      </c>
      <c r="M853" s="31" t="s">
        <v>574</v>
      </c>
      <c r="O853" s="31" t="s">
        <v>4571</v>
      </c>
      <c r="P853" s="31" t="s">
        <v>5063</v>
      </c>
      <c r="Q853" s="40">
        <v>14571</v>
      </c>
      <c r="R853" s="35">
        <f t="shared" si="258"/>
        <v>22</v>
      </c>
      <c r="S853" s="35"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5">
        <f t="shared" si="259"/>
        <v>1939</v>
      </c>
      <c r="U853" s="31"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6"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31"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31">
        <v>832</v>
      </c>
      <c r="Y853" s="31" t="str">
        <f t="shared" si="260"/>
        <v>['Pio XII', 'Udienza', 'Armonia di anime', 'pixii-udi-ada', '22 novembre 1939', '22/11/1939', '1939/11/22'],</v>
      </c>
      <c r="Z853" s="31" t="str">
        <f t="shared" si="261"/>
        <v>Armonia di anime (14571) | Pio XII</v>
      </c>
      <c r="AA853" s="31" t="str">
        <f t="shared" si="262"/>
        <v>Udienza Armonia di anime</v>
      </c>
      <c r="AB853" s="31" t="str">
        <f t="shared" si="263"/>
        <v>Udienza Armonia di anime</v>
      </c>
      <c r="AC853" s="31" t="str">
        <f t="shared" si="264"/>
        <v>Pio XII, Udienza Armonia di anime, 22 novembre 1939</v>
      </c>
      <c r="AD853" s="31" t="str">
        <f t="shared" si="265"/>
        <v>1939-11-22T08:00:00.000+02:00</v>
      </c>
      <c r="AE853" s="31" t="str">
        <f t="shared" si="266"/>
        <v>pixii-udi-ada</v>
      </c>
      <c r="AF853" s="31" t="str">
        <f t="shared" si="267"/>
        <v>Pio XII - Udienza - Armonia di anime</v>
      </c>
    </row>
    <row r="854" spans="2:32" s="31" customFormat="1" x14ac:dyDescent="0.2">
      <c r="B854" s="31">
        <v>260</v>
      </c>
      <c r="C854" s="31" t="s">
        <v>4038</v>
      </c>
      <c r="D854" s="31" t="s">
        <v>715</v>
      </c>
      <c r="E854" s="31" t="s">
        <v>724</v>
      </c>
      <c r="F854" s="31" t="s">
        <v>663</v>
      </c>
      <c r="G854" s="31" t="s">
        <v>659</v>
      </c>
      <c r="H854" s="31" t="str">
        <f t="shared" si="256"/>
        <v>Pio XII</v>
      </c>
      <c r="K854" s="31" t="s">
        <v>835</v>
      </c>
      <c r="L854" s="31" t="str">
        <f t="shared" si="268"/>
        <v>Udienza</v>
      </c>
      <c r="M854" s="31" t="s">
        <v>574</v>
      </c>
      <c r="O854" s="31" t="s">
        <v>4572</v>
      </c>
      <c r="P854" s="31" t="s">
        <v>5064</v>
      </c>
      <c r="Q854" s="40">
        <v>14564</v>
      </c>
      <c r="R854" s="35">
        <f t="shared" si="258"/>
        <v>15</v>
      </c>
      <c r="S854" s="35"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5">
        <f t="shared" si="259"/>
        <v>1939</v>
      </c>
      <c r="U854" s="31"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6"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31"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31">
        <v>833</v>
      </c>
      <c r="Y854" s="31" t="str">
        <f t="shared" si="260"/>
        <v>['Pio XII', 'Udienza', 'Ogni casa un tempio', 'pixii-udi-oct', '15 novembre 1939', '15/11/1939', '1939/11/15'],</v>
      </c>
      <c r="Z854" s="31" t="str">
        <f t="shared" si="261"/>
        <v>Ogni casa un tempio (14564) | Pio XII</v>
      </c>
      <c r="AA854" s="31" t="str">
        <f t="shared" si="262"/>
        <v>Udienza Ogni casa un tempio</v>
      </c>
      <c r="AB854" s="31" t="str">
        <f t="shared" si="263"/>
        <v>Udienza Ogni casa un tempio</v>
      </c>
      <c r="AC854" s="31" t="str">
        <f t="shared" si="264"/>
        <v>Pio XII, Udienza Ogni casa un tempio, 15 novembre 1939</v>
      </c>
      <c r="AD854" s="31" t="str">
        <f t="shared" si="265"/>
        <v>1939-11-15T08:00:00.000+02:00</v>
      </c>
      <c r="AE854" s="31" t="str">
        <f t="shared" si="266"/>
        <v>pixii-udi-oct</v>
      </c>
      <c r="AF854" s="31" t="str">
        <f t="shared" si="267"/>
        <v>Pio XII - Udienza - Ogni casa un tempio</v>
      </c>
    </row>
    <row r="855" spans="2:32" s="31" customFormat="1" x14ac:dyDescent="0.2">
      <c r="B855" s="31">
        <v>260</v>
      </c>
      <c r="C855" s="31" t="s">
        <v>4039</v>
      </c>
      <c r="D855" s="31" t="s">
        <v>715</v>
      </c>
      <c r="E855" s="31" t="s">
        <v>724</v>
      </c>
      <c r="F855" s="31" t="s">
        <v>663</v>
      </c>
      <c r="G855" s="31" t="s">
        <v>659</v>
      </c>
      <c r="H855" s="31" t="str">
        <f t="shared" ref="H855:H883" si="269">_xlfn.CONCAT(D855 &amp; " " &amp; E855)</f>
        <v>Pio XII</v>
      </c>
      <c r="K855" s="31" t="s">
        <v>835</v>
      </c>
      <c r="L855" s="31" t="str">
        <f t="shared" si="268"/>
        <v>Udienza</v>
      </c>
      <c r="M855" s="31" t="s">
        <v>574</v>
      </c>
      <c r="O855" s="31" t="s">
        <v>4573</v>
      </c>
      <c r="P855" s="31" t="s">
        <v>5065</v>
      </c>
      <c r="Q855" s="40">
        <v>14557</v>
      </c>
      <c r="R855" s="35">
        <f t="shared" si="258"/>
        <v>8</v>
      </c>
      <c r="S855" s="35"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5">
        <f t="shared" si="259"/>
        <v>1939</v>
      </c>
      <c r="U855" s="31"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6"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31"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31">
        <v>834</v>
      </c>
      <c r="Y855" s="31" t="str">
        <f t="shared" si="260"/>
        <v>['Pio XII', 'Udienza', 'Sacra alleanza', 'pixii-udi-saa', '08 novembre 1939', '08/11/1939', '1939/11/08'],</v>
      </c>
      <c r="Z855" s="31" t="str">
        <f t="shared" si="261"/>
        <v>Sacra alleanza (14557) | Pio XII</v>
      </c>
      <c r="AA855" s="31" t="str">
        <f t="shared" si="262"/>
        <v>Udienza Sacra alleanza</v>
      </c>
      <c r="AB855" s="31" t="str">
        <f t="shared" si="263"/>
        <v>Udienza Sacra alleanza</v>
      </c>
      <c r="AC855" s="31" t="str">
        <f t="shared" si="264"/>
        <v>Pio XII, Udienza Sacra alleanza, 08 novembre 1939</v>
      </c>
      <c r="AD855" s="31" t="str">
        <f t="shared" si="265"/>
        <v>1939-11-08T08:00:00.000+02:00</v>
      </c>
      <c r="AE855" s="31" t="str">
        <f t="shared" si="266"/>
        <v>pixii-udi-saa</v>
      </c>
      <c r="AF855" s="31" t="str">
        <f t="shared" si="267"/>
        <v>Pio XII - Udienza - Sacra alleanza</v>
      </c>
    </row>
    <row r="856" spans="2:32" s="31" customFormat="1" x14ac:dyDescent="0.2">
      <c r="B856" s="31">
        <v>260</v>
      </c>
      <c r="C856" s="31" t="s">
        <v>4040</v>
      </c>
      <c r="D856" s="31" t="s">
        <v>715</v>
      </c>
      <c r="E856" s="31" t="s">
        <v>724</v>
      </c>
      <c r="F856" s="31" t="s">
        <v>663</v>
      </c>
      <c r="G856" s="31" t="s">
        <v>659</v>
      </c>
      <c r="H856" s="31" t="str">
        <f t="shared" si="269"/>
        <v>Pio XII</v>
      </c>
      <c r="K856" s="31" t="s">
        <v>835</v>
      </c>
      <c r="L856" s="31" t="str">
        <f t="shared" si="268"/>
        <v>Udienza</v>
      </c>
      <c r="M856" s="31" t="s">
        <v>574</v>
      </c>
      <c r="O856" s="31" t="s">
        <v>4574</v>
      </c>
      <c r="P856" s="31" t="s">
        <v>5066</v>
      </c>
      <c r="Q856" s="40">
        <v>14445</v>
      </c>
      <c r="R856" s="35">
        <f t="shared" si="258"/>
        <v>19</v>
      </c>
      <c r="S856" s="35"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5">
        <f t="shared" si="259"/>
        <v>1939</v>
      </c>
      <c r="U856" s="31"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6"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31"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31">
        <v>831</v>
      </c>
      <c r="Y856" s="31" t="str">
        <f t="shared" si="260"/>
        <v>['Pio XII', 'Udienza', 'I tesori dell'intima unione con Dio', 'pixii-udi-tud', '19 luglio 1939', '19/07/1939', '1939/07/19'],</v>
      </c>
      <c r="Z856" s="31" t="str">
        <f t="shared" si="261"/>
        <v>I tesori dell'intima unione con Dio (14445) | Pio XII</v>
      </c>
      <c r="AA856" s="31" t="str">
        <f t="shared" si="262"/>
        <v>Udienza I tesori dell'intima unione con Dio</v>
      </c>
      <c r="AB856" s="31" t="str">
        <f t="shared" si="263"/>
        <v>Udienza I tesori dell'intima unione con Dio</v>
      </c>
      <c r="AC856" s="31" t="str">
        <f t="shared" si="264"/>
        <v>Pio XII, Udienza I tesori dell'intima unione con Dio, 19 luglio 1939</v>
      </c>
      <c r="AD856" s="31" t="str">
        <f t="shared" si="265"/>
        <v>1939-07-19T08:00:00.000+02:00</v>
      </c>
      <c r="AE856" s="31" t="str">
        <f t="shared" si="266"/>
        <v>pixii-udi-tud</v>
      </c>
      <c r="AF856" s="31" t="str">
        <f t="shared" si="267"/>
        <v>Pio XII - Udienza - I tesori dell'intima unione con Dio</v>
      </c>
    </row>
    <row r="857" spans="2:32" s="31" customFormat="1" x14ac:dyDescent="0.2">
      <c r="B857" s="31">
        <v>260</v>
      </c>
      <c r="C857" s="31" t="s">
        <v>4041</v>
      </c>
      <c r="D857" s="31" t="s">
        <v>715</v>
      </c>
      <c r="E857" s="31" t="s">
        <v>724</v>
      </c>
      <c r="F857" s="31" t="s">
        <v>663</v>
      </c>
      <c r="G857" s="31" t="s">
        <v>659</v>
      </c>
      <c r="H857" s="31" t="str">
        <f t="shared" si="269"/>
        <v>Pio XII</v>
      </c>
      <c r="K857" s="31" t="s">
        <v>835</v>
      </c>
      <c r="L857" s="31" t="str">
        <f t="shared" si="268"/>
        <v>Udienza</v>
      </c>
      <c r="M857" s="31" t="s">
        <v>574</v>
      </c>
      <c r="O857" s="31" t="s">
        <v>4575</v>
      </c>
      <c r="P857" s="31" t="s">
        <v>5067</v>
      </c>
      <c r="Q857" s="40">
        <v>14438</v>
      </c>
      <c r="R857" s="35">
        <f t="shared" si="258"/>
        <v>12</v>
      </c>
      <c r="S857" s="35"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5">
        <f t="shared" si="259"/>
        <v>1939</v>
      </c>
      <c r="U857" s="31"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6"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31"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31">
        <v>832</v>
      </c>
      <c r="Y857" s="31" t="str">
        <f t="shared" si="260"/>
        <v>['Pio XII', 'Udienza', 'Garanzia di santità', 'pixii-udi-gds', '12 luglio 1939', '12/07/1939', '1939/07/12'],</v>
      </c>
      <c r="Z857" s="31" t="str">
        <f t="shared" si="261"/>
        <v>Garanzia di santità (14438) | Pio XII</v>
      </c>
      <c r="AA857" s="31" t="str">
        <f t="shared" si="262"/>
        <v>Udienza Garanzia di santità</v>
      </c>
      <c r="AB857" s="31" t="str">
        <f t="shared" si="263"/>
        <v>Udienza Garanzia di santità</v>
      </c>
      <c r="AC857" s="31" t="str">
        <f t="shared" si="264"/>
        <v>Pio XII, Udienza Garanzia di santità, 12 luglio 1939</v>
      </c>
      <c r="AD857" s="31" t="str">
        <f t="shared" si="265"/>
        <v>1939-07-12T08:00:00.000+02:00</v>
      </c>
      <c r="AE857" s="31" t="str">
        <f t="shared" si="266"/>
        <v>pixii-udi-gds</v>
      </c>
      <c r="AF857" s="31" t="str">
        <f t="shared" si="267"/>
        <v>Pio XII - Udienza - Garanzia di santità</v>
      </c>
    </row>
    <row r="858" spans="2:32" s="31" customFormat="1" x14ac:dyDescent="0.2">
      <c r="B858" s="31">
        <v>260</v>
      </c>
      <c r="C858" s="31" t="s">
        <v>4042</v>
      </c>
      <c r="D858" s="31" t="s">
        <v>715</v>
      </c>
      <c r="E858" s="31" t="s">
        <v>724</v>
      </c>
      <c r="F858" s="31" t="s">
        <v>663</v>
      </c>
      <c r="G858" s="31" t="s">
        <v>659</v>
      </c>
      <c r="H858" s="31" t="str">
        <f t="shared" si="269"/>
        <v>Pio XII</v>
      </c>
      <c r="K858" s="31" t="s">
        <v>835</v>
      </c>
      <c r="L858" s="31" t="str">
        <f t="shared" si="268"/>
        <v>Udienza</v>
      </c>
      <c r="M858" s="31" t="s">
        <v>574</v>
      </c>
      <c r="O858" s="31" t="s">
        <v>4576</v>
      </c>
      <c r="P858" s="31" t="s">
        <v>5068</v>
      </c>
      <c r="Q858" s="40">
        <v>14431</v>
      </c>
      <c r="R858" s="35">
        <f t="shared" si="258"/>
        <v>5</v>
      </c>
      <c r="S858" s="35"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5">
        <f t="shared" si="259"/>
        <v>1939</v>
      </c>
      <c r="U858" s="31"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6"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31"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31">
        <v>833</v>
      </c>
      <c r="Y858" s="31" t="str">
        <f t="shared" si="260"/>
        <v>['Pio XII', 'Udienza', 'Gli insegnamenti della Liturgia', 'pixii-udi-idl', '05 luglio 1939', '05/07/1939', '1939/07/05'],</v>
      </c>
      <c r="Z858" s="31" t="str">
        <f t="shared" si="261"/>
        <v>Gli insegnamenti della Liturgia (14431) | Pio XII</v>
      </c>
      <c r="AA858" s="31" t="str">
        <f t="shared" si="262"/>
        <v>Udienza Gli insegnamenti della Liturgia</v>
      </c>
      <c r="AB858" s="31" t="str">
        <f t="shared" si="263"/>
        <v>Udienza Gli insegnamenti della Liturgia</v>
      </c>
      <c r="AC858" s="31" t="str">
        <f t="shared" si="264"/>
        <v>Pio XII, Udienza Gli insegnamenti della Liturgia, 05 luglio 1939</v>
      </c>
      <c r="AD858" s="31" t="str">
        <f t="shared" si="265"/>
        <v>1939-07-05T08:00:00.000+02:00</v>
      </c>
      <c r="AE858" s="31" t="str">
        <f t="shared" si="266"/>
        <v>pixii-udi-idl</v>
      </c>
      <c r="AF858" s="31" t="str">
        <f t="shared" si="267"/>
        <v>Pio XII - Udienza - Gli insegnamenti della Liturgia</v>
      </c>
    </row>
    <row r="859" spans="2:32" s="31" customFormat="1" x14ac:dyDescent="0.2">
      <c r="B859" s="31">
        <v>260</v>
      </c>
      <c r="C859" s="31" t="s">
        <v>4043</v>
      </c>
      <c r="D859" s="31" t="s">
        <v>715</v>
      </c>
      <c r="E859" s="31" t="s">
        <v>724</v>
      </c>
      <c r="F859" s="31" t="s">
        <v>663</v>
      </c>
      <c r="G859" s="31" t="s">
        <v>659</v>
      </c>
      <c r="H859" s="31" t="str">
        <f t="shared" si="269"/>
        <v>Pio XII</v>
      </c>
      <c r="K859" s="31" t="s">
        <v>835</v>
      </c>
      <c r="L859" s="31" t="str">
        <f t="shared" si="268"/>
        <v>Udienza</v>
      </c>
      <c r="M859" s="31" t="s">
        <v>574</v>
      </c>
      <c r="O859" s="31" t="s">
        <v>4577</v>
      </c>
      <c r="P859" s="31" t="s">
        <v>5069</v>
      </c>
      <c r="Q859" s="40">
        <v>14424</v>
      </c>
      <c r="R859" s="35">
        <f t="shared" si="258"/>
        <v>28</v>
      </c>
      <c r="S859" s="35"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5">
        <f t="shared" si="259"/>
        <v>1939</v>
      </c>
      <c r="U859" s="31"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6"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31"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31">
        <v>834</v>
      </c>
      <c r="Y859" s="31" t="str">
        <f t="shared" si="260"/>
        <v>['Pio XII', 'Udienza', 'Il Patrocinio dei SS. Apostoli', 'pixii-udi-psa', '28 giugno 1939', '28/06/1939', '1939/06/28'],</v>
      </c>
      <c r="Z859" s="31" t="str">
        <f t="shared" si="261"/>
        <v>Il Patrocinio dei SS. Apostoli (14424) | Pio XII</v>
      </c>
      <c r="AA859" s="31" t="str">
        <f t="shared" si="262"/>
        <v>Udienza Il Patrocinio dei SS. Apostoli</v>
      </c>
      <c r="AB859" s="31" t="str">
        <f t="shared" si="263"/>
        <v>Udienza Il Patrocinio dei SS. Apostoli</v>
      </c>
      <c r="AC859" s="31" t="str">
        <f t="shared" si="264"/>
        <v>Pio XII, Udienza Il Patrocinio dei SS. Apostoli, 28 giugno 1939</v>
      </c>
      <c r="AD859" s="31" t="str">
        <f t="shared" si="265"/>
        <v>1939-06-28T08:00:00.000+02:00</v>
      </c>
      <c r="AE859" s="31" t="str">
        <f t="shared" si="266"/>
        <v>pixii-udi-psa</v>
      </c>
      <c r="AF859" s="31" t="str">
        <f t="shared" si="267"/>
        <v>Pio XII - Udienza - Il Patrocinio dei SS. Apostoli</v>
      </c>
    </row>
    <row r="860" spans="2:32" s="31" customFormat="1" x14ac:dyDescent="0.2">
      <c r="B860" s="31">
        <v>260</v>
      </c>
      <c r="C860" s="31" t="s">
        <v>4044</v>
      </c>
      <c r="D860" s="31" t="s">
        <v>715</v>
      </c>
      <c r="E860" s="31" t="s">
        <v>724</v>
      </c>
      <c r="F860" s="31" t="s">
        <v>663</v>
      </c>
      <c r="G860" s="31" t="s">
        <v>659</v>
      </c>
      <c r="H860" s="31" t="str">
        <f t="shared" si="269"/>
        <v>Pio XII</v>
      </c>
      <c r="K860" s="31" t="s">
        <v>835</v>
      </c>
      <c r="L860" s="31" t="str">
        <f t="shared" si="268"/>
        <v>Udienza</v>
      </c>
      <c r="M860" s="31" t="s">
        <v>574</v>
      </c>
      <c r="O860" s="31" t="s">
        <v>4578</v>
      </c>
      <c r="P860" s="31" t="s">
        <v>5070</v>
      </c>
      <c r="Q860" s="40">
        <v>14417</v>
      </c>
      <c r="R860" s="35">
        <f t="shared" si="258"/>
        <v>21</v>
      </c>
      <c r="S860" s="35"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5">
        <f t="shared" si="259"/>
        <v>1939</v>
      </c>
      <c r="U860" s="31"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6"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31"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31">
        <v>831</v>
      </c>
      <c r="Y860" s="31" t="str">
        <f t="shared" si="260"/>
        <v>['Pio XII', 'Udienza', 'La missione educatrice', 'pixii-udi-lme', '21 giugno 1939', '21/06/1939', '1939/06/21'],</v>
      </c>
      <c r="Z860" s="31" t="str">
        <f t="shared" si="261"/>
        <v>La missione educatrice (14417) | Pio XII</v>
      </c>
      <c r="AA860" s="31" t="str">
        <f t="shared" si="262"/>
        <v>Udienza La missione educatrice</v>
      </c>
      <c r="AB860" s="31" t="str">
        <f t="shared" si="263"/>
        <v>Udienza La missione educatrice</v>
      </c>
      <c r="AC860" s="31" t="str">
        <f t="shared" si="264"/>
        <v>Pio XII, Udienza La missione educatrice, 21 giugno 1939</v>
      </c>
      <c r="AD860" s="31" t="str">
        <f t="shared" si="265"/>
        <v>1939-06-21T08:00:00.000+02:00</v>
      </c>
      <c r="AE860" s="31" t="str">
        <f t="shared" si="266"/>
        <v>pixii-udi-lme</v>
      </c>
      <c r="AF860" s="31" t="str">
        <f t="shared" si="267"/>
        <v>Pio XII - Udienza - La missione educatrice</v>
      </c>
    </row>
    <row r="861" spans="2:32" s="31" customFormat="1" x14ac:dyDescent="0.2">
      <c r="B861" s="31">
        <v>260</v>
      </c>
      <c r="C861" s="31" t="s">
        <v>4045</v>
      </c>
      <c r="D861" s="31" t="s">
        <v>715</v>
      </c>
      <c r="E861" s="31" t="s">
        <v>724</v>
      </c>
      <c r="F861" s="31" t="s">
        <v>663</v>
      </c>
      <c r="G861" s="31" t="s">
        <v>659</v>
      </c>
      <c r="H861" s="31" t="str">
        <f t="shared" si="269"/>
        <v>Pio XII</v>
      </c>
      <c r="K861" s="31" t="s">
        <v>835</v>
      </c>
      <c r="L861" s="31" t="str">
        <f t="shared" si="268"/>
        <v>Udienza</v>
      </c>
      <c r="M861" s="31" t="s">
        <v>574</v>
      </c>
      <c r="O861" s="31" t="s">
        <v>4579</v>
      </c>
      <c r="P861" s="31" t="s">
        <v>5071</v>
      </c>
      <c r="Q861" s="40">
        <v>14410</v>
      </c>
      <c r="R861" s="35">
        <f t="shared" si="258"/>
        <v>14</v>
      </c>
      <c r="S861" s="35"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5">
        <f t="shared" si="259"/>
        <v>1939</v>
      </c>
      <c r="U861" s="31"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6"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31"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31">
        <v>832</v>
      </c>
      <c r="Y861" s="31" t="str">
        <f t="shared" si="260"/>
        <v>['Pio XII', 'Udienza', 'Il Sovrano della famiglia', 'pixii-udi-sdf', '14 giugno 1939', '14/06/1939', '1939/06/14'],</v>
      </c>
      <c r="Z861" s="31" t="str">
        <f t="shared" si="261"/>
        <v>Il Sovrano della famiglia (14410) | Pio XII</v>
      </c>
      <c r="AA861" s="31" t="str">
        <f t="shared" si="262"/>
        <v>Udienza Il Sovrano della famiglia</v>
      </c>
      <c r="AB861" s="31" t="str">
        <f t="shared" si="263"/>
        <v>Udienza Il Sovrano della famiglia</v>
      </c>
      <c r="AC861" s="31" t="str">
        <f t="shared" si="264"/>
        <v>Pio XII, Udienza Il Sovrano della famiglia, 14 giugno 1939</v>
      </c>
      <c r="AD861" s="31" t="str">
        <f t="shared" si="265"/>
        <v>1939-06-14T08:00:00.000+02:00</v>
      </c>
      <c r="AE861" s="31" t="str">
        <f t="shared" si="266"/>
        <v>pixii-udi-sdf</v>
      </c>
      <c r="AF861" s="31" t="str">
        <f t="shared" si="267"/>
        <v>Pio XII - Udienza - Il Sovrano della famiglia</v>
      </c>
    </row>
    <row r="862" spans="2:32" s="31" customFormat="1" x14ac:dyDescent="0.2">
      <c r="B862" s="31">
        <v>260</v>
      </c>
      <c r="C862" s="31" t="s">
        <v>4046</v>
      </c>
      <c r="D862" s="31" t="s">
        <v>715</v>
      </c>
      <c r="E862" s="31" t="s">
        <v>724</v>
      </c>
      <c r="F862" s="31" t="s">
        <v>663</v>
      </c>
      <c r="G862" s="31" t="s">
        <v>659</v>
      </c>
      <c r="H862" s="31" t="str">
        <f t="shared" si="269"/>
        <v>Pio XII</v>
      </c>
      <c r="K862" s="31" t="s">
        <v>835</v>
      </c>
      <c r="L862" s="31" t="str">
        <f t="shared" si="268"/>
        <v>Udienza</v>
      </c>
      <c r="M862" s="31" t="s">
        <v>574</v>
      </c>
      <c r="O862" s="31" t="s">
        <v>4580</v>
      </c>
      <c r="P862" s="31" t="s">
        <v>5072</v>
      </c>
      <c r="Q862" s="40">
        <v>14396</v>
      </c>
      <c r="R862" s="35">
        <f t="shared" si="258"/>
        <v>31</v>
      </c>
      <c r="S862" s="35"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5">
        <f t="shared" si="259"/>
        <v>1939</v>
      </c>
      <c r="U862" s="31"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6"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31"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31">
        <v>833</v>
      </c>
      <c r="Y862" s="31" t="str">
        <f t="shared" si="260"/>
        <v>['Pio XII', 'Udienza', 'Virtù domestiche', 'pixii-udi-vid', '31 maggio 1939', '31/05/1939', '1939/05/31'],</v>
      </c>
      <c r="Z862" s="31" t="str">
        <f t="shared" si="261"/>
        <v>Virtù domestiche (14396) | Pio XII</v>
      </c>
      <c r="AA862" s="31" t="str">
        <f t="shared" si="262"/>
        <v>Udienza Virtù domestiche</v>
      </c>
      <c r="AB862" s="31" t="str">
        <f t="shared" si="263"/>
        <v>Udienza Virtù domestiche</v>
      </c>
      <c r="AC862" s="31" t="str">
        <f t="shared" si="264"/>
        <v>Pio XII, Udienza Virtù domestiche, 31 maggio 1939</v>
      </c>
      <c r="AD862" s="31" t="str">
        <f t="shared" si="265"/>
        <v>1939-05-31T08:00:00.000+02:00</v>
      </c>
      <c r="AE862" s="31" t="str">
        <f t="shared" si="266"/>
        <v>pixii-udi-vid</v>
      </c>
      <c r="AF862" s="31" t="str">
        <f t="shared" si="267"/>
        <v>Pio XII - Udienza - Virtù domestiche</v>
      </c>
    </row>
    <row r="863" spans="2:32" s="31" customFormat="1" x14ac:dyDescent="0.2">
      <c r="B863" s="31">
        <v>260</v>
      </c>
      <c r="C863" s="31" t="s">
        <v>4047</v>
      </c>
      <c r="D863" s="31" t="s">
        <v>715</v>
      </c>
      <c r="E863" s="31" t="s">
        <v>724</v>
      </c>
      <c r="F863" s="31" t="s">
        <v>663</v>
      </c>
      <c r="G863" s="31" t="s">
        <v>659</v>
      </c>
      <c r="H863" s="31" t="str">
        <f t="shared" si="269"/>
        <v>Pio XII</v>
      </c>
      <c r="K863" s="31" t="s">
        <v>835</v>
      </c>
      <c r="L863" s="31" t="str">
        <f t="shared" si="268"/>
        <v>Udienza</v>
      </c>
      <c r="M863" s="31" t="s">
        <v>574</v>
      </c>
      <c r="O863" s="31" t="s">
        <v>4581</v>
      </c>
      <c r="P863" s="31" t="s">
        <v>5073</v>
      </c>
      <c r="Q863" s="40">
        <v>14389</v>
      </c>
      <c r="R863" s="35">
        <f t="shared" si="258"/>
        <v>24</v>
      </c>
      <c r="S863" s="35"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5">
        <f t="shared" si="259"/>
        <v>1939</v>
      </c>
      <c r="U863" s="31"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6"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31"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31">
        <v>834</v>
      </c>
      <c r="Y863" s="31" t="str">
        <f t="shared" si="260"/>
        <v>['Pio XII', 'Udienza', 'Fondatori di nuove famiglie', 'pixii-udi-fnf', '24 maggio 1939', '24/05/1939', '1939/05/24'],</v>
      </c>
      <c r="Z863" s="31" t="str">
        <f t="shared" si="261"/>
        <v>Fondatori di nuove famiglie (14389) | Pio XII</v>
      </c>
      <c r="AA863" s="31" t="str">
        <f t="shared" si="262"/>
        <v>Udienza Fondatori di nuove famiglie</v>
      </c>
      <c r="AB863" s="31" t="str">
        <f t="shared" si="263"/>
        <v>Udienza Fondatori di nuove famiglie</v>
      </c>
      <c r="AC863" s="31" t="str">
        <f t="shared" si="264"/>
        <v>Pio XII, Udienza Fondatori di nuove famiglie, 24 maggio 1939</v>
      </c>
      <c r="AD863" s="31" t="str">
        <f t="shared" si="265"/>
        <v>1939-05-24T08:00:00.000+02:00</v>
      </c>
      <c r="AE863" s="31" t="str">
        <f t="shared" si="266"/>
        <v>pixii-udi-fnf</v>
      </c>
      <c r="AF863" s="31" t="str">
        <f t="shared" si="267"/>
        <v>Pio XII - Udienza - Fondatori di nuove famiglie</v>
      </c>
    </row>
    <row r="864" spans="2:32" s="31" customFormat="1" x14ac:dyDescent="0.2">
      <c r="B864" s="31">
        <v>260</v>
      </c>
      <c r="C864" s="31" t="s">
        <v>4048</v>
      </c>
      <c r="D864" s="31" t="s">
        <v>715</v>
      </c>
      <c r="E864" s="31" t="s">
        <v>724</v>
      </c>
      <c r="F864" s="31" t="s">
        <v>663</v>
      </c>
      <c r="G864" s="31" t="s">
        <v>659</v>
      </c>
      <c r="H864" s="31" t="str">
        <f t="shared" si="269"/>
        <v>Pio XII</v>
      </c>
      <c r="K864" s="31" t="s">
        <v>835</v>
      </c>
      <c r="L864" s="31" t="str">
        <f t="shared" si="268"/>
        <v>Udienza</v>
      </c>
      <c r="M864" s="31" t="s">
        <v>574</v>
      </c>
      <c r="O864" s="31" t="s">
        <v>4582</v>
      </c>
      <c r="P864" s="31" t="s">
        <v>5074</v>
      </c>
      <c r="Q864" s="40">
        <v>14382</v>
      </c>
      <c r="R864" s="35">
        <f t="shared" si="258"/>
        <v>17</v>
      </c>
      <c r="S864" s="35"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5">
        <f t="shared" si="259"/>
        <v>1939</v>
      </c>
      <c r="U864" s="31"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6"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31"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31">
        <v>831</v>
      </c>
      <c r="Y864" s="31" t="str">
        <f t="shared" si="260"/>
        <v>['Pio XII', 'Udienza', 'L'immutabile gioia', 'pixii-udi-img', '17 maggio 1939', '17/05/1939', '1939/05/17'],</v>
      </c>
      <c r="Z864" s="31" t="str">
        <f t="shared" si="261"/>
        <v>L'immutabile gioia (14382) | Pio XII</v>
      </c>
      <c r="AA864" s="31" t="str">
        <f t="shared" si="262"/>
        <v>Udienza L'immutabile gioia</v>
      </c>
      <c r="AB864" s="31" t="str">
        <f t="shared" si="263"/>
        <v>Udienza L'immutabile gioia</v>
      </c>
      <c r="AC864" s="31" t="str">
        <f t="shared" si="264"/>
        <v>Pio XII, Udienza L'immutabile gioia, 17 maggio 1939</v>
      </c>
      <c r="AD864" s="31" t="str">
        <f t="shared" si="265"/>
        <v>1939-05-17T08:00:00.000+02:00</v>
      </c>
      <c r="AE864" s="31" t="str">
        <f t="shared" si="266"/>
        <v>pixii-udi-img</v>
      </c>
      <c r="AF864" s="31" t="str">
        <f t="shared" si="267"/>
        <v>Pio XII - Udienza - L'immutabile gioia</v>
      </c>
    </row>
    <row r="865" spans="2:32" s="31" customFormat="1" x14ac:dyDescent="0.2">
      <c r="B865" s="31">
        <v>260</v>
      </c>
      <c r="C865" s="31" t="s">
        <v>4049</v>
      </c>
      <c r="D865" s="31" t="s">
        <v>715</v>
      </c>
      <c r="E865" s="31" t="s">
        <v>724</v>
      </c>
      <c r="F865" s="31" t="s">
        <v>663</v>
      </c>
      <c r="G865" s="31" t="s">
        <v>659</v>
      </c>
      <c r="H865" s="31" t="str">
        <f t="shared" si="269"/>
        <v>Pio XII</v>
      </c>
      <c r="K865" s="31" t="s">
        <v>835</v>
      </c>
      <c r="L865" s="31" t="str">
        <f t="shared" si="268"/>
        <v>Udienza</v>
      </c>
      <c r="M865" s="31" t="s">
        <v>574</v>
      </c>
      <c r="O865" s="31" t="s">
        <v>4583</v>
      </c>
      <c r="P865" s="31" t="s">
        <v>594</v>
      </c>
      <c r="Q865" s="40">
        <v>14403</v>
      </c>
      <c r="R865" s="35">
        <f t="shared" si="258"/>
        <v>7</v>
      </c>
      <c r="S865" s="35"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5">
        <f t="shared" si="259"/>
        <v>1939</v>
      </c>
      <c r="U865" s="31"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6"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31"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31">
        <v>832</v>
      </c>
      <c r="Y865" s="31" t="str">
        <f t="shared" si="260"/>
        <v>['Pio XII', 'Udienza', 'Il celeste alimento', 'pixii-udi-cea', '07 giugno 1939', '07/06/1939', '1939/06/07'],</v>
      </c>
      <c r="Z865" s="31" t="str">
        <f t="shared" si="261"/>
        <v>Il celeste alimento (14403) | Pio XII</v>
      </c>
      <c r="AA865" s="31" t="str">
        <f t="shared" si="262"/>
        <v>Udienza Il celeste alimento</v>
      </c>
      <c r="AB865" s="31" t="str">
        <f t="shared" si="263"/>
        <v>Udienza Il celeste alimento</v>
      </c>
      <c r="AC865" s="31" t="str">
        <f t="shared" si="264"/>
        <v>Pio XII, Udienza Il celeste alimento, 07 giugno 1939</v>
      </c>
      <c r="AD865" s="31" t="str">
        <f t="shared" si="265"/>
        <v>1939-06-07T08:00:00.000+02:00</v>
      </c>
      <c r="AE865" s="31" t="str">
        <f t="shared" si="266"/>
        <v>pixii-udi-cea</v>
      </c>
      <c r="AF865" s="31" t="str">
        <f t="shared" si="267"/>
        <v>Pio XII - Udienza - Il celeste alimento</v>
      </c>
    </row>
    <row r="866" spans="2:32" s="31" customFormat="1" x14ac:dyDescent="0.2">
      <c r="B866" s="31">
        <v>260</v>
      </c>
      <c r="C866" s="31" t="s">
        <v>4050</v>
      </c>
      <c r="D866" s="31" t="s">
        <v>715</v>
      </c>
      <c r="E866" s="31" t="s">
        <v>724</v>
      </c>
      <c r="F866" s="31" t="s">
        <v>663</v>
      </c>
      <c r="G866" s="31" t="s">
        <v>659</v>
      </c>
      <c r="H866" s="31" t="str">
        <f t="shared" si="269"/>
        <v>Pio XII</v>
      </c>
      <c r="K866" s="31" t="s">
        <v>835</v>
      </c>
      <c r="L866" s="31" t="str">
        <f t="shared" si="268"/>
        <v>Udienza</v>
      </c>
      <c r="M866" s="31" t="s">
        <v>574</v>
      </c>
      <c r="O866" s="31" t="s">
        <v>4584</v>
      </c>
      <c r="P866" s="31" t="s">
        <v>5075</v>
      </c>
      <c r="Q866" s="40">
        <v>14375</v>
      </c>
      <c r="R866" s="35">
        <f t="shared" si="258"/>
        <v>10</v>
      </c>
      <c r="S866" s="35"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5">
        <f t="shared" si="259"/>
        <v>1939</v>
      </c>
      <c r="U866" s="31"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6"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31"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31">
        <v>833</v>
      </c>
      <c r="Y866" s="31" t="str">
        <f t="shared" si="260"/>
        <v>['Pio XII', 'Udienza', 'La celeste Regina', 'pixii-udi-lcr', '10 maggio 1939', '10/05/1939', '1939/05/10'],</v>
      </c>
      <c r="Z866" s="31" t="str">
        <f t="shared" si="261"/>
        <v>La celeste Regina (14375) | Pio XII</v>
      </c>
      <c r="AA866" s="31" t="str">
        <f t="shared" si="262"/>
        <v>Udienza La celeste Regina</v>
      </c>
      <c r="AB866" s="31" t="str">
        <f t="shared" si="263"/>
        <v>Udienza La celeste Regina</v>
      </c>
      <c r="AC866" s="31" t="str">
        <f t="shared" si="264"/>
        <v>Pio XII, Udienza La celeste Regina, 10 maggio 1939</v>
      </c>
      <c r="AD866" s="31" t="str">
        <f t="shared" si="265"/>
        <v>1939-05-10T08:00:00.000+02:00</v>
      </c>
      <c r="AE866" s="31" t="str">
        <f t="shared" si="266"/>
        <v>pixii-udi-lcr</v>
      </c>
      <c r="AF866" s="31" t="str">
        <f t="shared" si="267"/>
        <v>Pio XII - Udienza - La celeste Regina</v>
      </c>
    </row>
    <row r="867" spans="2:32" s="31" customFormat="1" x14ac:dyDescent="0.2">
      <c r="B867" s="31">
        <v>260</v>
      </c>
      <c r="C867" s="31" t="s">
        <v>4051</v>
      </c>
      <c r="D867" s="31" t="s">
        <v>715</v>
      </c>
      <c r="E867" s="31" t="s">
        <v>724</v>
      </c>
      <c r="F867" s="31" t="s">
        <v>663</v>
      </c>
      <c r="G867" s="31" t="s">
        <v>659</v>
      </c>
      <c r="H867" s="31" t="str">
        <f t="shared" si="269"/>
        <v>Pio XII</v>
      </c>
      <c r="K867" s="31" t="s">
        <v>835</v>
      </c>
      <c r="L867" s="31" t="str">
        <f t="shared" si="268"/>
        <v>Udienza</v>
      </c>
      <c r="M867" s="31" t="s">
        <v>574</v>
      </c>
      <c r="O867" s="31" t="s">
        <v>4585</v>
      </c>
      <c r="P867" s="31" t="s">
        <v>5076</v>
      </c>
      <c r="Q867" s="40">
        <v>14368</v>
      </c>
      <c r="R867" s="35">
        <f t="shared" si="258"/>
        <v>3</v>
      </c>
      <c r="S867" s="35"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5">
        <f t="shared" si="259"/>
        <v>1939</v>
      </c>
      <c r="U867" s="31"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6"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31"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31">
        <v>834</v>
      </c>
      <c r="Y867" s="31" t="str">
        <f t="shared" si="260"/>
        <v>['Pio XII', 'Udienza', 'Il Santificatore delle nozze', 'pixii-udi-sdn', '03 maggio 1939', '03/05/1939', '1939/05/03'],</v>
      </c>
      <c r="Z867" s="31" t="str">
        <f t="shared" si="261"/>
        <v>Il Santificatore delle nozze (14368) | Pio XII</v>
      </c>
      <c r="AA867" s="31" t="str">
        <f t="shared" si="262"/>
        <v>Udienza Il Santificatore delle nozze</v>
      </c>
      <c r="AB867" s="31" t="str">
        <f t="shared" si="263"/>
        <v>Udienza Il Santificatore delle nozze</v>
      </c>
      <c r="AC867" s="31" t="str">
        <f t="shared" si="264"/>
        <v>Pio XII, Udienza Il Santificatore delle nozze, 03 maggio 1939</v>
      </c>
      <c r="AD867" s="31" t="str">
        <f t="shared" si="265"/>
        <v>1939-05-03T08:00:00.000+02:00</v>
      </c>
      <c r="AE867" s="31" t="str">
        <f t="shared" si="266"/>
        <v>pixii-udi-sdn</v>
      </c>
      <c r="AF867" s="31" t="str">
        <f t="shared" si="267"/>
        <v>Pio XII - Udienza - Il Santificatore delle nozze</v>
      </c>
    </row>
    <row r="868" spans="2:32" s="31" customFormat="1" x14ac:dyDescent="0.2">
      <c r="B868" s="31">
        <v>260</v>
      </c>
      <c r="C868" s="31" t="s">
        <v>4052</v>
      </c>
      <c r="D868" s="31" t="s">
        <v>715</v>
      </c>
      <c r="E868" s="31" t="s">
        <v>724</v>
      </c>
      <c r="F868" s="31" t="s">
        <v>663</v>
      </c>
      <c r="G868" s="31" t="s">
        <v>659</v>
      </c>
      <c r="H868" s="31" t="str">
        <f t="shared" si="269"/>
        <v>Pio XII</v>
      </c>
      <c r="K868" s="31" t="s">
        <v>835</v>
      </c>
      <c r="L868" s="31" t="str">
        <f t="shared" si="268"/>
        <v>Udienza</v>
      </c>
      <c r="M868" s="31" t="s">
        <v>574</v>
      </c>
      <c r="O868" s="31" t="s">
        <v>4586</v>
      </c>
      <c r="P868" s="31" t="s">
        <v>5077</v>
      </c>
      <c r="Q868" s="40">
        <v>14361</v>
      </c>
      <c r="R868" s="35">
        <f t="shared" si="258"/>
        <v>26</v>
      </c>
      <c r="S868" s="35"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5">
        <f t="shared" si="259"/>
        <v>1939</v>
      </c>
      <c r="U868" s="31"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6"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31"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31">
        <v>831</v>
      </c>
      <c r="Y868" s="31" t="str">
        <f t="shared" si="260"/>
        <v>['Pio XII', 'Udienza', 'La prima udienza agli sposi', 'pixii-udi-pus', '26 aprile 1939', '26/04/1939', '1939/04/26'],</v>
      </c>
      <c r="Z868" s="31" t="str">
        <f t="shared" si="261"/>
        <v>La prima udienza agli sposi (14361) | Pio XII</v>
      </c>
      <c r="AA868" s="31" t="str">
        <f t="shared" si="262"/>
        <v>Udienza La prima udienza agli sposi</v>
      </c>
      <c r="AB868" s="31" t="str">
        <f t="shared" si="263"/>
        <v>Udienza La prima udienza agli sposi</v>
      </c>
      <c r="AC868" s="31" t="str">
        <f t="shared" si="264"/>
        <v>Pio XII, Udienza La prima udienza agli sposi, 26 aprile 1939</v>
      </c>
      <c r="AD868" s="31" t="str">
        <f t="shared" si="265"/>
        <v>1939-04-26T08:00:00.000+02:00</v>
      </c>
      <c r="AE868" s="31" t="str">
        <f t="shared" si="266"/>
        <v>pixii-udi-pus</v>
      </c>
      <c r="AF868" s="31" t="str">
        <f t="shared" si="267"/>
        <v>Pio XII - Udienza - La prima udienza agli sposi</v>
      </c>
    </row>
    <row r="869" spans="2:32" s="31" customFormat="1" x14ac:dyDescent="0.2">
      <c r="B869" s="31">
        <v>260</v>
      </c>
      <c r="C869" s="31" t="s">
        <v>4053</v>
      </c>
      <c r="D869" s="31" t="s">
        <v>715</v>
      </c>
      <c r="E869" s="31" t="s">
        <v>724</v>
      </c>
      <c r="F869" s="31" t="s">
        <v>663</v>
      </c>
      <c r="G869" s="31" t="s">
        <v>659</v>
      </c>
      <c r="H869" s="31" t="str">
        <f t="shared" si="269"/>
        <v>Pio XII</v>
      </c>
      <c r="K869" s="31" t="s">
        <v>835</v>
      </c>
      <c r="L869" s="31" t="str">
        <f t="shared" si="268"/>
        <v>Udienza</v>
      </c>
      <c r="M869" s="31" t="s">
        <v>574</v>
      </c>
      <c r="O869" s="31" t="s">
        <v>4587</v>
      </c>
      <c r="P869" s="31" t="s">
        <v>5078</v>
      </c>
      <c r="Q869" s="40">
        <v>14641</v>
      </c>
      <c r="R869" s="35">
        <f t="shared" si="258"/>
        <v>31</v>
      </c>
      <c r="S869" s="35"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5">
        <f t="shared" si="259"/>
        <v>1940</v>
      </c>
      <c r="U869" s="31"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6"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31"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31">
        <v>832</v>
      </c>
      <c r="Y869" s="31" t="str">
        <f t="shared" si="260"/>
        <v>['Pio XII', 'Udienza', 'Educatori di anime', 'pixii-udi-eda', '31 gennaio 1940', '31/01/1940', '1940/01/31'],</v>
      </c>
      <c r="Z869" s="31" t="str">
        <f t="shared" si="261"/>
        <v>Educatori di anime (14641) | Pio XII</v>
      </c>
      <c r="AA869" s="31" t="str">
        <f t="shared" si="262"/>
        <v>Udienza Educatori di anime</v>
      </c>
      <c r="AB869" s="31" t="str">
        <f t="shared" si="263"/>
        <v>Udienza Educatori di anime</v>
      </c>
      <c r="AC869" s="31" t="str">
        <f t="shared" si="264"/>
        <v>Pio XII, Udienza Educatori di anime, 31 gennaio 1940</v>
      </c>
      <c r="AD869" s="31" t="str">
        <f t="shared" si="265"/>
        <v>1940-01-31T08:00:00.000+02:00</v>
      </c>
      <c r="AE869" s="31" t="str">
        <f t="shared" si="266"/>
        <v>pixii-udi-eda</v>
      </c>
      <c r="AF869" s="31" t="str">
        <f t="shared" si="267"/>
        <v>Pio XII - Udienza - Educatori di anime</v>
      </c>
    </row>
    <row r="870" spans="2:32" s="31" customFormat="1" x14ac:dyDescent="0.2">
      <c r="B870" s="31">
        <v>260</v>
      </c>
      <c r="C870" s="31" t="s">
        <v>4054</v>
      </c>
      <c r="D870" s="31" t="s">
        <v>715</v>
      </c>
      <c r="E870" s="31" t="s">
        <v>724</v>
      </c>
      <c r="F870" s="31" t="s">
        <v>663</v>
      </c>
      <c r="G870" s="31" t="s">
        <v>659</v>
      </c>
      <c r="H870" s="31" t="str">
        <f t="shared" si="269"/>
        <v>Pio XII</v>
      </c>
      <c r="K870" s="31" t="s">
        <v>835</v>
      </c>
      <c r="L870" s="31" t="str">
        <f t="shared" si="268"/>
        <v>Udienza</v>
      </c>
      <c r="M870" s="31" t="s">
        <v>574</v>
      </c>
      <c r="O870" s="31" t="s">
        <v>4588</v>
      </c>
      <c r="P870" s="31" t="s">
        <v>5079</v>
      </c>
      <c r="Q870" s="40">
        <v>14634</v>
      </c>
      <c r="R870" s="35">
        <f t="shared" si="258"/>
        <v>24</v>
      </c>
      <c r="S870" s="35"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5">
        <f t="shared" si="259"/>
        <v>1940</v>
      </c>
      <c r="U870" s="31"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6"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31"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31">
        <v>833</v>
      </c>
      <c r="Y870" s="31" t="str">
        <f t="shared" si="260"/>
        <v>['Pio XII', 'Udienza', 'Aspetti della nuova vita', 'pixii-udi-anv', '24 gennaio 1940', '24/01/1940', '1940/01/24'],</v>
      </c>
      <c r="Z870" s="31" t="str">
        <f t="shared" si="261"/>
        <v>Aspetti della nuova vita (14634) | Pio XII</v>
      </c>
      <c r="AA870" s="31" t="str">
        <f t="shared" si="262"/>
        <v>Udienza Aspetti della nuova vita</v>
      </c>
      <c r="AB870" s="31" t="str">
        <f t="shared" si="263"/>
        <v>Udienza Aspetti della nuova vita</v>
      </c>
      <c r="AC870" s="31" t="str">
        <f t="shared" si="264"/>
        <v>Pio XII, Udienza Aspetti della nuova vita, 24 gennaio 1940</v>
      </c>
      <c r="AD870" s="31" t="str">
        <f t="shared" si="265"/>
        <v>1940-01-24T08:00:00.000+02:00</v>
      </c>
      <c r="AE870" s="31" t="str">
        <f t="shared" si="266"/>
        <v>pixii-udi-anv</v>
      </c>
      <c r="AF870" s="31" t="str">
        <f t="shared" si="267"/>
        <v>Pio XII - Udienza - Aspetti della nuova vita</v>
      </c>
    </row>
    <row r="871" spans="2:32" s="31" customFormat="1" x14ac:dyDescent="0.2">
      <c r="B871" s="31">
        <v>260</v>
      </c>
      <c r="C871" s="31" t="s">
        <v>4055</v>
      </c>
      <c r="D871" s="31" t="s">
        <v>715</v>
      </c>
      <c r="E871" s="31" t="s">
        <v>724</v>
      </c>
      <c r="F871" s="31" t="s">
        <v>663</v>
      </c>
      <c r="G871" s="31" t="s">
        <v>659</v>
      </c>
      <c r="H871" s="31" t="str">
        <f t="shared" si="269"/>
        <v>Pio XII</v>
      </c>
      <c r="K871" s="31" t="s">
        <v>835</v>
      </c>
      <c r="L871" s="31" t="str">
        <f t="shared" si="268"/>
        <v>Udienza</v>
      </c>
      <c r="M871" s="31" t="s">
        <v>574</v>
      </c>
      <c r="O871" s="31" t="s">
        <v>4589</v>
      </c>
      <c r="P871" s="31" t="s">
        <v>5080</v>
      </c>
      <c r="Q871" s="40">
        <v>14627</v>
      </c>
      <c r="R871" s="35">
        <f t="shared" si="258"/>
        <v>17</v>
      </c>
      <c r="S871" s="35"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5">
        <f t="shared" si="259"/>
        <v>1940</v>
      </c>
      <c r="U871" s="31"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6"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31"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31">
        <v>834</v>
      </c>
      <c r="Y871" s="31" t="str">
        <f t="shared" si="260"/>
        <v>['Pio XII', 'Udienza', 'L'insegnamento perenne di Pietro vivente', 'pixii-udi-ipp', '17 gennaio 1940', '17/01/1940', '1940/01/17'],</v>
      </c>
      <c r="Z871" s="31" t="str">
        <f t="shared" si="261"/>
        <v>L'insegnamento perenne di Pietro vivente (14627) | Pio XII</v>
      </c>
      <c r="AA871" s="31" t="str">
        <f t="shared" si="262"/>
        <v>Udienza L'insegnamento perenne di Pietro vivente</v>
      </c>
      <c r="AB871" s="31" t="str">
        <f t="shared" si="263"/>
        <v>Udienza L'insegnamento perenne di Pietro vivente</v>
      </c>
      <c r="AC871" s="31" t="str">
        <f t="shared" si="264"/>
        <v>Pio XII, Udienza L'insegnamento perenne di Pietro vivente, 17 gennaio 1940</v>
      </c>
      <c r="AD871" s="31" t="str">
        <f t="shared" si="265"/>
        <v>1940-01-17T08:00:00.000+02:00</v>
      </c>
      <c r="AE871" s="31" t="str">
        <f t="shared" ref="AE871:AE875" si="270">_xlfn.CONCAT(F871 &amp; "-" &amp; M871 &amp; "-" &amp; P871)</f>
        <v>pixii-udi-ipp</v>
      </c>
      <c r="AF871" s="31" t="str">
        <f t="shared" ref="AF871:AF875" si="271">_xlfn.CONCAT(H871 &amp; " - " &amp; L871 &amp; " - " &amp; O871)</f>
        <v>Pio XII - Udienza - L'insegnamento perenne di Pietro vivente</v>
      </c>
    </row>
    <row r="872" spans="2:32" s="31" customFormat="1" x14ac:dyDescent="0.2">
      <c r="B872" s="31">
        <v>260</v>
      </c>
      <c r="C872" s="31" t="s">
        <v>4056</v>
      </c>
      <c r="D872" s="31" t="s">
        <v>715</v>
      </c>
      <c r="E872" s="31" t="s">
        <v>724</v>
      </c>
      <c r="F872" s="31" t="s">
        <v>663</v>
      </c>
      <c r="G872" s="31" t="s">
        <v>659</v>
      </c>
      <c r="H872" s="31" t="str">
        <f t="shared" si="269"/>
        <v>Pio XII</v>
      </c>
      <c r="K872" s="31" t="s">
        <v>835</v>
      </c>
      <c r="L872" s="31" t="str">
        <f t="shared" si="268"/>
        <v>Udienza</v>
      </c>
      <c r="M872" s="31" t="s">
        <v>574</v>
      </c>
      <c r="O872" s="31" t="s">
        <v>4590</v>
      </c>
      <c r="P872" s="31" t="s">
        <v>5081</v>
      </c>
      <c r="Q872" s="40">
        <v>14620</v>
      </c>
      <c r="R872" s="35">
        <f t="shared" si="258"/>
        <v>10</v>
      </c>
      <c r="S872" s="35"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5">
        <f t="shared" si="259"/>
        <v>1940</v>
      </c>
      <c r="U872" s="31"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6"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31"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31">
        <v>831</v>
      </c>
      <c r="Y872" s="31" t="str">
        <f t="shared" si="260"/>
        <v>['Pio XII', 'Udienza', 'Doni nuziali', 'pixii-udi-don', '10 gennaio 1940', '10/01/1940', '1940/01/10'],</v>
      </c>
      <c r="Z872" s="31" t="str">
        <f t="shared" si="261"/>
        <v>Doni nuziali (14620) | Pio XII</v>
      </c>
      <c r="AA872" s="31" t="str">
        <f t="shared" si="262"/>
        <v>Udienza Doni nuziali</v>
      </c>
      <c r="AB872" s="31" t="str">
        <f t="shared" si="263"/>
        <v>Udienza Doni nuziali</v>
      </c>
      <c r="AC872" s="31" t="str">
        <f t="shared" si="264"/>
        <v>Pio XII, Udienza Doni nuziali, 10 gennaio 1940</v>
      </c>
      <c r="AD872" s="31" t="str">
        <f t="shared" si="265"/>
        <v>1940-01-10T08:00:00.000+02:00</v>
      </c>
      <c r="AE872" s="31" t="str">
        <f t="shared" si="270"/>
        <v>pixii-udi-don</v>
      </c>
      <c r="AF872" s="31" t="str">
        <f t="shared" si="271"/>
        <v>Pio XII - Udienza - Doni nuziali</v>
      </c>
    </row>
    <row r="873" spans="2:32" s="31" customFormat="1" x14ac:dyDescent="0.2">
      <c r="B873" s="31">
        <v>260</v>
      </c>
      <c r="C873" s="31" t="s">
        <v>4057</v>
      </c>
      <c r="D873" s="31" t="s">
        <v>715</v>
      </c>
      <c r="E873" s="31" t="s">
        <v>724</v>
      </c>
      <c r="F873" s="31" t="s">
        <v>663</v>
      </c>
      <c r="G873" s="31" t="s">
        <v>659</v>
      </c>
      <c r="H873" s="31" t="str">
        <f t="shared" si="269"/>
        <v>Pio XII</v>
      </c>
      <c r="K873" s="31" t="s">
        <v>835</v>
      </c>
      <c r="L873" s="31" t="str">
        <f t="shared" si="268"/>
        <v>Udienza</v>
      </c>
      <c r="M873" s="31" t="s">
        <v>574</v>
      </c>
      <c r="O873" s="31" t="s">
        <v>4591</v>
      </c>
      <c r="P873" s="31" t="s">
        <v>5082</v>
      </c>
      <c r="Q873" s="40">
        <v>14613</v>
      </c>
      <c r="R873" s="35">
        <f t="shared" si="258"/>
        <v>3</v>
      </c>
      <c r="S873" s="35"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5">
        <f t="shared" si="259"/>
        <v>1940</v>
      </c>
      <c r="U873" s="31"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6"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31"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31">
        <v>832</v>
      </c>
      <c r="Y873" s="31" t="str">
        <f t="shared" si="260"/>
        <v>['Pio XII', 'Udienza', 'Presso la culla del Re Divino', 'pixii-udi-crd', '03 gennaio 1940', '03/01/1940', '1940/01/03'],</v>
      </c>
      <c r="Z873" s="31" t="str">
        <f t="shared" si="261"/>
        <v>Presso la culla del Re Divino (14613) | Pio XII</v>
      </c>
      <c r="AA873" s="31" t="str">
        <f t="shared" si="262"/>
        <v>Udienza Presso la culla del Re Divino</v>
      </c>
      <c r="AB873" s="31" t="str">
        <f t="shared" si="263"/>
        <v>Udienza Presso la culla del Re Divino</v>
      </c>
      <c r="AC873" s="31" t="str">
        <f t="shared" si="264"/>
        <v>Pio XII, Udienza Presso la culla del Re Divino, 03 gennaio 1940</v>
      </c>
      <c r="AD873" s="31" t="str">
        <f t="shared" si="265"/>
        <v>1940-01-03T08:00:00.000+02:00</v>
      </c>
      <c r="AE873" s="31" t="str">
        <f t="shared" si="270"/>
        <v>pixii-udi-crd</v>
      </c>
      <c r="AF873" s="31" t="str">
        <f t="shared" si="271"/>
        <v>Pio XII - Udienza - Presso la culla del Re Divino</v>
      </c>
    </row>
    <row r="874" spans="2:32" s="31" customFormat="1" x14ac:dyDescent="0.2">
      <c r="B874" s="31">
        <v>260</v>
      </c>
      <c r="C874" s="31" t="s">
        <v>4058</v>
      </c>
      <c r="D874" s="31" t="s">
        <v>715</v>
      </c>
      <c r="E874" s="31" t="s">
        <v>724</v>
      </c>
      <c r="F874" s="31" t="s">
        <v>663</v>
      </c>
      <c r="G874" s="31" t="s">
        <v>659</v>
      </c>
      <c r="H874" s="31" t="str">
        <f t="shared" si="269"/>
        <v>Pio XII</v>
      </c>
      <c r="K874" s="31" t="s">
        <v>835</v>
      </c>
      <c r="L874" s="31" t="str">
        <f t="shared" si="268"/>
        <v>Udienza</v>
      </c>
      <c r="M874" s="31" t="s">
        <v>574</v>
      </c>
      <c r="O874" s="31" t="s">
        <v>4592</v>
      </c>
      <c r="P874" s="31" t="s">
        <v>3820</v>
      </c>
      <c r="Q874" s="40">
        <v>15684</v>
      </c>
      <c r="R874" s="35">
        <f t="shared" si="258"/>
        <v>9</v>
      </c>
      <c r="S874" s="35"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5">
        <f t="shared" si="259"/>
        <v>1942</v>
      </c>
      <c r="U874" s="31"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6"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31"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31">
        <v>833</v>
      </c>
      <c r="Y874" s="31" t="str">
        <f t="shared" si="260"/>
        <v>['Pio XII', 'Udienza', 'La fedeltà coniugale. IV. Prove della fedeltà', 'pixii-udi-pdf', '09 dicembre 1942', '09/12/1942', '1942/12/09'],</v>
      </c>
      <c r="Z874" s="31" t="str">
        <f t="shared" si="261"/>
        <v>La fedeltà coniugale. IV. Prove della fedeltà (15684) | Pio XII</v>
      </c>
      <c r="AA874" s="31" t="str">
        <f t="shared" si="262"/>
        <v>Udienza La fedeltà coniugale. IV. Prove della fedeltà</v>
      </c>
      <c r="AB874" s="31" t="str">
        <f t="shared" si="263"/>
        <v>Udienza La fedeltà coniugale. IV. Prove della fedeltà</v>
      </c>
      <c r="AC874" s="31" t="str">
        <f t="shared" si="264"/>
        <v>Pio XII, Udienza La fedeltà coniugale. IV. Prove della fedeltà, 09 dicembre 1942</v>
      </c>
      <c r="AD874" s="31" t="str">
        <f t="shared" si="265"/>
        <v>1942-12-09T08:00:00.000+02:00</v>
      </c>
      <c r="AE874" s="31" t="str">
        <f t="shared" si="270"/>
        <v>pixii-udi-pdf</v>
      </c>
      <c r="AF874" s="31" t="str">
        <f t="shared" si="271"/>
        <v>Pio XII - Udienza - La fedeltà coniugale. IV. Prove della fedeltà</v>
      </c>
    </row>
    <row r="875" spans="2:32" s="31" customFormat="1" x14ac:dyDescent="0.2">
      <c r="B875" s="31">
        <v>260</v>
      </c>
      <c r="C875" s="31" t="s">
        <v>4059</v>
      </c>
      <c r="D875" s="31" t="s">
        <v>715</v>
      </c>
      <c r="E875" s="31" t="s">
        <v>724</v>
      </c>
      <c r="F875" s="31" t="s">
        <v>663</v>
      </c>
      <c r="G875" s="31" t="s">
        <v>659</v>
      </c>
      <c r="H875" s="31" t="str">
        <f t="shared" si="269"/>
        <v>Pio XII</v>
      </c>
      <c r="K875" s="31" t="s">
        <v>835</v>
      </c>
      <c r="L875" s="31" t="str">
        <f t="shared" si="268"/>
        <v>Udienza</v>
      </c>
      <c r="M875" s="31" t="s">
        <v>574</v>
      </c>
      <c r="O875" s="31" t="s">
        <v>4593</v>
      </c>
      <c r="P875" s="31" t="s">
        <v>1672</v>
      </c>
      <c r="Q875" s="40">
        <v>15663</v>
      </c>
      <c r="R875" s="35">
        <f t="shared" si="258"/>
        <v>18</v>
      </c>
      <c r="S875" s="35"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5">
        <f t="shared" si="259"/>
        <v>1942</v>
      </c>
      <c r="U875" s="31"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6"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31"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31">
        <v>834</v>
      </c>
      <c r="Y875" s="31" t="str">
        <f t="shared" si="260"/>
        <v>['Pio XII', 'Udienza', 'La fedeltà coniugale. III. Scogli e imprudenze', 'pixii-udi-sei', '18 novembre 1942', '18/11/1942', '1942/11/18'],</v>
      </c>
      <c r="Z875" s="31" t="str">
        <f t="shared" si="261"/>
        <v>La fedeltà coniugale. III. Scogli e imprudenze (15663) | Pio XII</v>
      </c>
      <c r="AA875" s="31" t="str">
        <f t="shared" si="262"/>
        <v>Udienza La fedeltà coniugale. III. Scogli e imprudenze</v>
      </c>
      <c r="AB875" s="31" t="str">
        <f t="shared" si="263"/>
        <v>Udienza La fedeltà coniugale. III. Scogli e imprudenze</v>
      </c>
      <c r="AC875" s="31" t="str">
        <f t="shared" si="264"/>
        <v>Pio XII, Udienza La fedeltà coniugale. III. Scogli e imprudenze, 18 novembre 1942</v>
      </c>
      <c r="AD875" s="31" t="str">
        <f t="shared" si="265"/>
        <v>1942-11-18T08:00:00.000+02:00</v>
      </c>
      <c r="AE875" s="31" t="str">
        <f t="shared" si="270"/>
        <v>pixii-udi-sei</v>
      </c>
      <c r="AF875" s="31" t="str">
        <f t="shared" si="271"/>
        <v>Pio XII - Udienza - La fedeltà coniugale. III. Scogli e imprudenze</v>
      </c>
    </row>
    <row r="876" spans="2:32" s="31" customFormat="1" x14ac:dyDescent="0.2">
      <c r="B876" s="31">
        <v>260</v>
      </c>
      <c r="C876" s="31" t="s">
        <v>4060</v>
      </c>
      <c r="D876" s="31" t="s">
        <v>715</v>
      </c>
      <c r="E876" s="31" t="s">
        <v>724</v>
      </c>
      <c r="F876" s="31" t="s">
        <v>663</v>
      </c>
      <c r="G876" s="31" t="s">
        <v>659</v>
      </c>
      <c r="H876" s="31" t="str">
        <f t="shared" si="269"/>
        <v>Pio XII</v>
      </c>
      <c r="K876" s="31" t="s">
        <v>835</v>
      </c>
      <c r="L876" s="31" t="str">
        <f t="shared" si="268"/>
        <v>Udienza</v>
      </c>
      <c r="M876" s="31" t="s">
        <v>574</v>
      </c>
      <c r="O876" s="31" t="s">
        <v>4594</v>
      </c>
      <c r="P876" s="31" t="s">
        <v>5084</v>
      </c>
      <c r="Q876" s="40">
        <v>15649</v>
      </c>
      <c r="R876" s="35">
        <f t="shared" ref="R876:R896" si="272">IF(ISERROR(DAY(Q876)),TEXT((LEFT(Q876,2)),"00"),DAY(Q876))</f>
        <v>4</v>
      </c>
      <c r="S876" s="35"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5">
        <f t="shared" ref="T876:T896" si="273">IF(ISERROR(DAY(Q876)),VALUE(RIGHT(Q876,4)),YEAR(Q876))</f>
        <v>1942</v>
      </c>
      <c r="U876" s="31"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6"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31"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31">
        <v>834</v>
      </c>
      <c r="Y876" s="31" t="str">
        <f t="shared" ref="Y876:Y896" si="274">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31" t="str">
        <f t="shared" ref="Z876:Z896" si="275">_xlfn.CONCAT(O876 &amp; " (" &amp; Q876 &amp; ") | " &amp; D876 &amp; " " &amp; E876)</f>
        <v>La fedeltà coniugale. II. Fedeltà illusoria (15649) | Pio XII</v>
      </c>
      <c r="AA876" s="31" t="str">
        <f t="shared" ref="AA876:AA896" si="276">_xlfn.CONCAT(K876 &amp; " " &amp; O876)</f>
        <v>Udienza La fedeltà coniugale. II. Fedeltà illusoria</v>
      </c>
      <c r="AB876" s="31" t="str">
        <f t="shared" ref="AB876:AB896" si="277">_xlfn.CONCAT(K876 &amp; " " &amp; O876)</f>
        <v>Udienza La fedeltà coniugale. II. Fedeltà illusoria</v>
      </c>
      <c r="AC876" s="31" t="str">
        <f t="shared" ref="AC876:AC896" si="278">_xlfn.CONCAT(H876 &amp; ", " &amp; L876 &amp; " " &amp; O876 &amp; ", " &amp; LEFT(U876,2) &amp; " " &amp; TEXT(VALUE(MID(U876,4,2))*29,"mmmm") &amp; " " &amp; RIGHT(U876,4))</f>
        <v>Pio XII, Udienza La fedeltà coniugale. II. Fedeltà illusoria, 04 novembre 1942</v>
      </c>
      <c r="AD876" s="31" t="str">
        <f t="shared" ref="AD876:AD896" si="279">_xlfn.CONCAT(RIGHT(U876,4) &amp; "-" &amp; MID(U876,4,2) &amp; "-" &amp; LEFT(U876,2) &amp; "T08:00:00.000+02:00")</f>
        <v>1942-11-04T08:00:00.000+02:00</v>
      </c>
      <c r="AE876" s="31" t="str">
        <f t="shared" ref="AE876:AE896" si="280">_xlfn.CONCAT(F876 &amp; "-" &amp; M876 &amp; "-" &amp; P876)</f>
        <v>pixii-udi-fei</v>
      </c>
      <c r="AF876" s="31" t="str">
        <f t="shared" ref="AF876:AF896" si="281">_xlfn.CONCAT(H876 &amp; " - " &amp; L876 &amp; " - " &amp; O876)</f>
        <v>Pio XII - Udienza - La fedeltà coniugale. II. Fedeltà illusoria</v>
      </c>
    </row>
    <row r="877" spans="2:32" s="31" customFormat="1" x14ac:dyDescent="0.2">
      <c r="B877" s="31">
        <v>260</v>
      </c>
      <c r="C877" s="31" t="s">
        <v>4061</v>
      </c>
      <c r="D877" s="31" t="s">
        <v>715</v>
      </c>
      <c r="E877" s="31" t="s">
        <v>724</v>
      </c>
      <c r="F877" s="31" t="s">
        <v>663</v>
      </c>
      <c r="G877" s="31" t="s">
        <v>659</v>
      </c>
      <c r="H877" s="31" t="str">
        <f t="shared" si="269"/>
        <v>Pio XII</v>
      </c>
      <c r="K877" s="31" t="s">
        <v>835</v>
      </c>
      <c r="L877" s="31" t="str">
        <f t="shared" si="268"/>
        <v>Udienza</v>
      </c>
      <c r="M877" s="31" t="s">
        <v>574</v>
      </c>
      <c r="O877" s="31" t="s">
        <v>4595</v>
      </c>
      <c r="P877" s="31" t="s">
        <v>5083</v>
      </c>
      <c r="Q877" s="40">
        <v>15635</v>
      </c>
      <c r="R877" s="35">
        <f t="shared" si="272"/>
        <v>21</v>
      </c>
      <c r="S877" s="35"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5">
        <f t="shared" si="273"/>
        <v>1942</v>
      </c>
      <c r="U877" s="31"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6"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31"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31">
        <v>831</v>
      </c>
      <c r="Y877" s="31" t="str">
        <f t="shared" si="274"/>
        <v>['Pio XII', 'Udienza', 'La fedeltà coniugale. I. Bellezza della fedeltà', 'pixii-udi-bdf', '21 ottobre 1942', '21/10/1942', '1942/10/21'],</v>
      </c>
      <c r="Z877" s="31" t="str">
        <f t="shared" si="275"/>
        <v>La fedeltà coniugale. I. Bellezza della fedeltà (15635) | Pio XII</v>
      </c>
      <c r="AA877" s="31" t="str">
        <f t="shared" si="276"/>
        <v>Udienza La fedeltà coniugale. I. Bellezza della fedeltà</v>
      </c>
      <c r="AB877" s="31" t="str">
        <f t="shared" si="277"/>
        <v>Udienza La fedeltà coniugale. I. Bellezza della fedeltà</v>
      </c>
      <c r="AC877" s="31" t="str">
        <f t="shared" si="278"/>
        <v>Pio XII, Udienza La fedeltà coniugale. I. Bellezza della fedeltà, 21 ottobre 1942</v>
      </c>
      <c r="AD877" s="31" t="str">
        <f t="shared" si="279"/>
        <v>1942-10-21T08:00:00.000+02:00</v>
      </c>
      <c r="AE877" s="31" t="str">
        <f t="shared" si="280"/>
        <v>pixii-udi-bdf</v>
      </c>
      <c r="AF877" s="31" t="str">
        <f t="shared" si="281"/>
        <v>Pio XII - Udienza - La fedeltà coniugale. I. Bellezza della fedeltà</v>
      </c>
    </row>
    <row r="878" spans="2:32" s="31" customFormat="1" x14ac:dyDescent="0.2">
      <c r="B878" s="31">
        <v>260</v>
      </c>
      <c r="C878" s="31" t="s">
        <v>4062</v>
      </c>
      <c r="D878" s="31" t="s">
        <v>715</v>
      </c>
      <c r="E878" s="31" t="s">
        <v>724</v>
      </c>
      <c r="F878" s="31" t="s">
        <v>663</v>
      </c>
      <c r="G878" s="31" t="s">
        <v>659</v>
      </c>
      <c r="H878" s="31" t="str">
        <f t="shared" si="269"/>
        <v>Pio XII</v>
      </c>
      <c r="K878" s="31" t="s">
        <v>835</v>
      </c>
      <c r="L878" s="31" t="str">
        <f t="shared" si="268"/>
        <v>Udienza</v>
      </c>
      <c r="M878" s="31" t="s">
        <v>574</v>
      </c>
      <c r="O878" s="31" t="s">
        <v>4596</v>
      </c>
      <c r="P878" s="31" t="s">
        <v>5085</v>
      </c>
      <c r="Q878" s="40">
        <v>15572</v>
      </c>
      <c r="R878" s="35">
        <f t="shared" si="272"/>
        <v>19</v>
      </c>
      <c r="S878" s="35"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5">
        <f t="shared" si="273"/>
        <v>1942</v>
      </c>
      <c r="U878" s="31"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6"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31"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31">
        <v>832</v>
      </c>
      <c r="Y878" s="31" t="str">
        <f t="shared" si="274"/>
        <v>['Pio XII', 'Udienza', 'Gli ausiliari del focolare.III. Padroni e domestici. Responsabilità', 'pixii-udi-pdr', '19 agosto 1942', '19/08/1942', '1942/08/19'],</v>
      </c>
      <c r="Z878" s="31" t="str">
        <f t="shared" si="275"/>
        <v>Gli ausiliari del focolare.III. Padroni e domestici. Responsabilità (15572) | Pio XII</v>
      </c>
      <c r="AA878" s="31" t="str">
        <f t="shared" si="276"/>
        <v>Udienza Gli ausiliari del focolare.III. Padroni e domestici. Responsabilità</v>
      </c>
      <c r="AB878" s="31" t="str">
        <f t="shared" si="277"/>
        <v>Udienza Gli ausiliari del focolare.III. Padroni e domestici. Responsabilità</v>
      </c>
      <c r="AC878" s="31" t="str">
        <f t="shared" si="278"/>
        <v>Pio XII, Udienza Gli ausiliari del focolare.III. Padroni e domestici. Responsabilità, 19 agosto 1942</v>
      </c>
      <c r="AD878" s="31" t="str">
        <f t="shared" si="279"/>
        <v>1942-08-19T08:00:00.000+02:00</v>
      </c>
      <c r="AE878" s="31" t="str">
        <f t="shared" si="280"/>
        <v>pixii-udi-pdr</v>
      </c>
      <c r="AF878" s="31" t="str">
        <f t="shared" si="281"/>
        <v>Pio XII - Udienza - Gli ausiliari del focolare.III. Padroni e domestici. Responsabilità</v>
      </c>
    </row>
    <row r="879" spans="2:32" s="31" customFormat="1" x14ac:dyDescent="0.2">
      <c r="B879" s="31">
        <v>260</v>
      </c>
      <c r="C879" s="31" t="s">
        <v>4063</v>
      </c>
      <c r="D879" s="31" t="s">
        <v>715</v>
      </c>
      <c r="E879" s="31" t="s">
        <v>724</v>
      </c>
      <c r="F879" s="31" t="s">
        <v>663</v>
      </c>
      <c r="G879" s="31" t="s">
        <v>659</v>
      </c>
      <c r="H879" s="31" t="str">
        <f t="shared" si="269"/>
        <v>Pio XII</v>
      </c>
      <c r="K879" s="31" t="s">
        <v>835</v>
      </c>
      <c r="L879" s="31" t="str">
        <f t="shared" si="268"/>
        <v>Udienza</v>
      </c>
      <c r="M879" s="31" t="s">
        <v>574</v>
      </c>
      <c r="O879" s="31" t="s">
        <v>4597</v>
      </c>
      <c r="P879" s="31" t="s">
        <v>5086</v>
      </c>
      <c r="Q879" s="40">
        <v>15558</v>
      </c>
      <c r="R879" s="35">
        <f t="shared" si="272"/>
        <v>5</v>
      </c>
      <c r="S879" s="35"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5">
        <f t="shared" si="273"/>
        <v>1942</v>
      </c>
      <c r="U879" s="31"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6"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31"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31">
        <v>833</v>
      </c>
      <c r="Y879" s="31" t="str">
        <f t="shared" si="274"/>
        <v>['Pio XII', 'Udienza', 'Gli ausiliari del focolare.II. Padroni e domestici. Doveri reciproci', 'pixii-udi-pdd', '05 agosto 1942', '05/08/1942', '1942/08/05'],</v>
      </c>
      <c r="Z879" s="31" t="str">
        <f t="shared" si="275"/>
        <v>Gli ausiliari del focolare.II. Padroni e domestici. Doveri reciproci (15558) | Pio XII</v>
      </c>
      <c r="AA879" s="31" t="str">
        <f t="shared" si="276"/>
        <v>Udienza Gli ausiliari del focolare.II. Padroni e domestici. Doveri reciproci</v>
      </c>
      <c r="AB879" s="31" t="str">
        <f t="shared" si="277"/>
        <v>Udienza Gli ausiliari del focolare.II. Padroni e domestici. Doveri reciproci</v>
      </c>
      <c r="AC879" s="31" t="str">
        <f t="shared" si="278"/>
        <v>Pio XII, Udienza Gli ausiliari del focolare.II. Padroni e domestici. Doveri reciproci, 05 agosto 1942</v>
      </c>
      <c r="AD879" s="31" t="str">
        <f t="shared" si="279"/>
        <v>1942-08-05T08:00:00.000+02:00</v>
      </c>
      <c r="AE879" s="31" t="str">
        <f t="shared" si="280"/>
        <v>pixii-udi-pdd</v>
      </c>
      <c r="AF879" s="31" t="str">
        <f t="shared" si="281"/>
        <v>Pio XII - Udienza - Gli ausiliari del focolare.II. Padroni e domestici. Doveri reciproci</v>
      </c>
    </row>
    <row r="880" spans="2:32" s="31" customFormat="1" x14ac:dyDescent="0.2">
      <c r="B880" s="31">
        <v>260</v>
      </c>
      <c r="C880" s="31" t="s">
        <v>4064</v>
      </c>
      <c r="D880" s="31" t="s">
        <v>715</v>
      </c>
      <c r="E880" s="31" t="s">
        <v>724</v>
      </c>
      <c r="F880" s="31" t="s">
        <v>663</v>
      </c>
      <c r="G880" s="31" t="s">
        <v>659</v>
      </c>
      <c r="H880" s="31" t="str">
        <f t="shared" si="269"/>
        <v>Pio XII</v>
      </c>
      <c r="K880" s="31" t="s">
        <v>835</v>
      </c>
      <c r="L880" s="31" t="str">
        <f t="shared" si="268"/>
        <v>Udienza</v>
      </c>
      <c r="M880" s="31" t="s">
        <v>574</v>
      </c>
      <c r="O880" s="31" t="s">
        <v>4598</v>
      </c>
      <c r="P880" s="31" t="s">
        <v>1675</v>
      </c>
      <c r="Q880" s="40">
        <v>15544</v>
      </c>
      <c r="R880" s="35">
        <f t="shared" si="272"/>
        <v>22</v>
      </c>
      <c r="S880" s="35"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5">
        <f t="shared" si="273"/>
        <v>1942</v>
      </c>
      <c r="U880" s="31"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6"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31"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31">
        <v>834</v>
      </c>
      <c r="Y880" s="31" t="str">
        <f t="shared" si="274"/>
        <v>['Pio XII', 'Udienza', 'Gli ausiliari del focolare. I. Padroni e domestici', 'pixii-udi-ped', '22 luglio 1942', '22/07/1942', '1942/07/22'],</v>
      </c>
      <c r="Z880" s="31" t="str">
        <f t="shared" si="275"/>
        <v>Gli ausiliari del focolare. I. Padroni e domestici (15544) | Pio XII</v>
      </c>
      <c r="AA880" s="31" t="str">
        <f t="shared" si="276"/>
        <v>Udienza Gli ausiliari del focolare. I. Padroni e domestici</v>
      </c>
      <c r="AB880" s="31" t="str">
        <f t="shared" si="277"/>
        <v>Udienza Gli ausiliari del focolare. I. Padroni e domestici</v>
      </c>
      <c r="AC880" s="31" t="str">
        <f t="shared" si="278"/>
        <v>Pio XII, Udienza Gli ausiliari del focolare. I. Padroni e domestici, 22 luglio 1942</v>
      </c>
      <c r="AD880" s="31" t="str">
        <f t="shared" si="279"/>
        <v>1942-07-22T08:00:00.000+02:00</v>
      </c>
      <c r="AE880" s="31" t="str">
        <f t="shared" si="280"/>
        <v>pixii-udi-ped</v>
      </c>
      <c r="AF880" s="31" t="str">
        <f t="shared" si="281"/>
        <v>Pio XII - Udienza - Gli ausiliari del focolare. I. Padroni e domestici</v>
      </c>
    </row>
    <row r="881" spans="2:32" s="31" customFormat="1" x14ac:dyDescent="0.2">
      <c r="B881" s="31">
        <v>260</v>
      </c>
      <c r="C881" s="31" t="s">
        <v>4065</v>
      </c>
      <c r="D881" s="31" t="s">
        <v>715</v>
      </c>
      <c r="E881" s="31" t="s">
        <v>724</v>
      </c>
      <c r="F881" s="31" t="s">
        <v>663</v>
      </c>
      <c r="G881" s="31" t="s">
        <v>659</v>
      </c>
      <c r="H881" s="31" t="str">
        <f t="shared" si="269"/>
        <v>Pio XII</v>
      </c>
      <c r="K881" s="31" t="s">
        <v>835</v>
      </c>
      <c r="L881" s="31" t="str">
        <f t="shared" si="268"/>
        <v>Udienza</v>
      </c>
      <c r="M881" s="31" t="s">
        <v>574</v>
      </c>
      <c r="O881" s="31" t="s">
        <v>4599</v>
      </c>
      <c r="P881" s="31" t="s">
        <v>5087</v>
      </c>
      <c r="Q881" s="40">
        <v>15537</v>
      </c>
      <c r="R881" s="35">
        <f t="shared" si="272"/>
        <v>15</v>
      </c>
      <c r="S881" s="35"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5">
        <f t="shared" si="273"/>
        <v>1942</v>
      </c>
      <c r="U881" s="31"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6"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31"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31">
        <v>831</v>
      </c>
      <c r="Y881" s="31" t="str">
        <f t="shared" si="274"/>
        <v>['Pio XII', 'Udienza', ' I nemici dell'unione indissolubile. III. Le separazioni forzate', 'pixii-udi-lsf', '15 luglio 1942', '15/07/1942', '1942/07/15'],</v>
      </c>
      <c r="Z881" s="31" t="str">
        <f t="shared" si="275"/>
        <v xml:space="preserve"> I nemici dell'unione indissolubile. III. Le separazioni forzate (15537) | Pio XII</v>
      </c>
      <c r="AA881" s="31" t="str">
        <f t="shared" si="276"/>
        <v>Udienza  I nemici dell'unione indissolubile. III. Le separazioni forzate</v>
      </c>
      <c r="AB881" s="31" t="str">
        <f t="shared" si="277"/>
        <v>Udienza  I nemici dell'unione indissolubile. III. Le separazioni forzate</v>
      </c>
      <c r="AC881" s="31" t="str">
        <f t="shared" si="278"/>
        <v>Pio XII, Udienza  I nemici dell'unione indissolubile. III. Le separazioni forzate, 15 luglio 1942</v>
      </c>
      <c r="AD881" s="31" t="str">
        <f t="shared" si="279"/>
        <v>1942-07-15T08:00:00.000+02:00</v>
      </c>
      <c r="AE881" s="31" t="str">
        <f t="shared" si="280"/>
        <v>pixii-udi-lsf</v>
      </c>
      <c r="AF881" s="31" t="str">
        <f t="shared" si="281"/>
        <v>Pio XII - Udienza -  I nemici dell'unione indissolubile. III. Le separazioni forzate</v>
      </c>
    </row>
    <row r="882" spans="2:32" s="31" customFormat="1" x14ac:dyDescent="0.2">
      <c r="B882" s="31">
        <v>260</v>
      </c>
      <c r="C882" s="31" t="s">
        <v>4066</v>
      </c>
      <c r="D882" s="31" t="s">
        <v>715</v>
      </c>
      <c r="E882" s="31" t="s">
        <v>724</v>
      </c>
      <c r="F882" s="31" t="s">
        <v>663</v>
      </c>
      <c r="G882" s="31" t="s">
        <v>659</v>
      </c>
      <c r="H882" s="31" t="str">
        <f t="shared" si="269"/>
        <v>Pio XII</v>
      </c>
      <c r="K882" s="31" t="s">
        <v>835</v>
      </c>
      <c r="L882" s="31" t="str">
        <f t="shared" si="268"/>
        <v>Udienza</v>
      </c>
      <c r="M882" s="31" t="s">
        <v>574</v>
      </c>
      <c r="O882" s="31" t="s">
        <v>4600</v>
      </c>
      <c r="P882" s="31" t="s">
        <v>5088</v>
      </c>
      <c r="Q882" s="40">
        <v>15530</v>
      </c>
      <c r="R882" s="35">
        <f t="shared" si="272"/>
        <v>8</v>
      </c>
      <c r="S882" s="35"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5">
        <f t="shared" si="273"/>
        <v>1942</v>
      </c>
      <c r="U882" s="31"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6"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31"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31">
        <v>832</v>
      </c>
      <c r="Y882" s="31" t="str">
        <f t="shared" si="274"/>
        <v>['Pio XII', 'Udienza', 'I nemici dell'unione indissolubile. II. Le male arti dello sregolato amore di sé', 'pixii-udi-mas', '08 luglio 1942', '08/07/1942', '1942/07/08'],</v>
      </c>
      <c r="Z882" s="31" t="str">
        <f t="shared" si="275"/>
        <v>I nemici dell'unione indissolubile. II. Le male arti dello sregolato amore di sé (15530) | Pio XII</v>
      </c>
      <c r="AA882" s="31" t="str">
        <f t="shared" si="276"/>
        <v>Udienza I nemici dell'unione indissolubile. II. Le male arti dello sregolato amore di sé</v>
      </c>
      <c r="AB882" s="31" t="str">
        <f t="shared" si="277"/>
        <v>Udienza I nemici dell'unione indissolubile. II. Le male arti dello sregolato amore di sé</v>
      </c>
      <c r="AC882" s="31" t="str">
        <f t="shared" si="278"/>
        <v>Pio XII, Udienza I nemici dell'unione indissolubile. II. Le male arti dello sregolato amore di sé, 08 luglio 1942</v>
      </c>
      <c r="AD882" s="31" t="str">
        <f t="shared" si="279"/>
        <v>1942-07-08T08:00:00.000+02:00</v>
      </c>
      <c r="AE882" s="31" t="str">
        <f t="shared" si="280"/>
        <v>pixii-udi-mas</v>
      </c>
      <c r="AF882" s="31" t="str">
        <f t="shared" si="281"/>
        <v>Pio XII - Udienza - I nemici dell'unione indissolubile. II. Le male arti dello sregolato amore di sé</v>
      </c>
    </row>
    <row r="883" spans="2:32" s="31" customFormat="1" x14ac:dyDescent="0.2">
      <c r="B883" s="31">
        <v>260</v>
      </c>
      <c r="C883" s="31" t="s">
        <v>4067</v>
      </c>
      <c r="D883" s="31" t="s">
        <v>715</v>
      </c>
      <c r="E883" s="31" t="s">
        <v>724</v>
      </c>
      <c r="F883" s="31" t="s">
        <v>663</v>
      </c>
      <c r="G883" s="31" t="s">
        <v>659</v>
      </c>
      <c r="H883" s="31" t="str">
        <f t="shared" si="269"/>
        <v>Pio XII</v>
      </c>
      <c r="K883" s="31" t="s">
        <v>835</v>
      </c>
      <c r="L883" s="31" t="str">
        <f t="shared" si="268"/>
        <v>Udienza</v>
      </c>
      <c r="M883" s="31" t="s">
        <v>574</v>
      </c>
      <c r="O883" s="31" t="s">
        <v>4601</v>
      </c>
      <c r="P883" s="31" t="s">
        <v>1025</v>
      </c>
      <c r="Q883" s="40">
        <v>15509</v>
      </c>
      <c r="R883" s="35">
        <f t="shared" si="272"/>
        <v>17</v>
      </c>
      <c r="S883" s="35"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5">
        <f t="shared" si="273"/>
        <v>1942</v>
      </c>
      <c r="U883" s="31"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6"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31"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31">
        <v>833</v>
      </c>
      <c r="Y883" s="31" t="str">
        <f t="shared" si="274"/>
        <v>['Pio XII', 'Udienza', 'I nemici dell'unione indissolubile. I. Separazione dei cuori', 'pixii-udi-sdc', '17 giugno 1942', '17/06/1942', '1942/06/17'],</v>
      </c>
      <c r="Z883" s="31" t="str">
        <f t="shared" si="275"/>
        <v>I nemici dell'unione indissolubile. I. Separazione dei cuori (15509) | Pio XII</v>
      </c>
      <c r="AA883" s="31" t="str">
        <f t="shared" si="276"/>
        <v>Udienza I nemici dell'unione indissolubile. I. Separazione dei cuori</v>
      </c>
      <c r="AB883" s="31" t="str">
        <f t="shared" si="277"/>
        <v>Udienza I nemici dell'unione indissolubile. I. Separazione dei cuori</v>
      </c>
      <c r="AC883" s="31" t="str">
        <f t="shared" si="278"/>
        <v>Pio XII, Udienza I nemici dell'unione indissolubile. I. Separazione dei cuori, 17 giugno 1942</v>
      </c>
      <c r="AD883" s="31" t="str">
        <f t="shared" si="279"/>
        <v>1942-06-17T08:00:00.000+02:00</v>
      </c>
      <c r="AE883" s="31" t="str">
        <f t="shared" si="280"/>
        <v>pixii-udi-sdc</v>
      </c>
      <c r="AF883" s="31" t="str">
        <f t="shared" si="281"/>
        <v>Pio XII - Udienza - I nemici dell'unione indissolubile. I. Separazione dei cuori</v>
      </c>
    </row>
    <row r="884" spans="2:32" s="31" customFormat="1" x14ac:dyDescent="0.2">
      <c r="B884" s="31">
        <v>260</v>
      </c>
      <c r="C884" s="31" t="s">
        <v>4068</v>
      </c>
      <c r="D884" s="31" t="s">
        <v>715</v>
      </c>
      <c r="E884" s="31" t="s">
        <v>724</v>
      </c>
      <c r="F884" s="31" t="s">
        <v>663</v>
      </c>
      <c r="G884" s="31" t="s">
        <v>659</v>
      </c>
      <c r="H884" s="31" t="str">
        <f t="shared" ref="H884:H894" si="282">_xlfn.CONCAT(D884 &amp; " " &amp; E884)</f>
        <v>Pio XII</v>
      </c>
      <c r="K884" s="31" t="s">
        <v>835</v>
      </c>
      <c r="L884" s="31" t="str">
        <f t="shared" si="268"/>
        <v>Udienza</v>
      </c>
      <c r="M884" s="31" t="s">
        <v>574</v>
      </c>
      <c r="O884" s="31" t="s">
        <v>5099</v>
      </c>
      <c r="P884" s="31" t="s">
        <v>5089</v>
      </c>
      <c r="Q884" s="40">
        <v>15460</v>
      </c>
      <c r="R884" s="35">
        <f t="shared" si="272"/>
        <v>29</v>
      </c>
      <c r="S884" s="35"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5">
        <f t="shared" si="273"/>
        <v>1942</v>
      </c>
      <c r="U884" s="31"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6"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31"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31">
        <v>834</v>
      </c>
      <c r="Y884" s="31" t="str">
        <f t="shared" si="274"/>
        <v>['Pio XII', 'Udienza', 'Il nodo divino che nessuna mano umana può sciogliere. II. I benefici effetti del matrimonio uno e indissolubile', 'pixii-udi-bem', '29 aprile 1942', '29/04/1942', '1942/04/29'],</v>
      </c>
      <c r="Z884" s="31" t="str">
        <f t="shared" si="275"/>
        <v>Il nodo divino che nessuna mano umana può sciogliere. II. I benefici effetti del matrimonio uno e indissolubile (15460) | Pio XII</v>
      </c>
      <c r="AA884" s="31" t="str">
        <f t="shared" si="276"/>
        <v>Udienza Il nodo divino che nessuna mano umana può sciogliere. II. I benefici effetti del matrimonio uno e indissolubile</v>
      </c>
      <c r="AB884" s="31" t="str">
        <f t="shared" si="277"/>
        <v>Udienza Il nodo divino che nessuna mano umana può sciogliere. II. I benefici effetti del matrimonio uno e indissolubile</v>
      </c>
      <c r="AC884" s="31" t="str">
        <f t="shared" si="278"/>
        <v>Pio XII, Udienza Il nodo divino che nessuna mano umana può sciogliere. II. I benefici effetti del matrimonio uno e indissolubile, 29 aprile 1942</v>
      </c>
      <c r="AD884" s="31" t="str">
        <f t="shared" si="279"/>
        <v>1942-04-29T08:00:00.000+02:00</v>
      </c>
      <c r="AE884" s="31" t="str">
        <f t="shared" si="280"/>
        <v>pixii-udi-bem</v>
      </c>
      <c r="AF884" s="31" t="str">
        <f t="shared" si="281"/>
        <v>Pio XII - Udienza - Il nodo divino che nessuna mano umana può sciogliere. II. I benefici effetti del matrimonio uno e indissolubile</v>
      </c>
    </row>
    <row r="885" spans="2:32" s="31" customFormat="1" x14ac:dyDescent="0.2">
      <c r="B885" s="31">
        <v>260</v>
      </c>
      <c r="C885" s="31" t="s">
        <v>4069</v>
      </c>
      <c r="D885" s="31" t="s">
        <v>715</v>
      </c>
      <c r="E885" s="31" t="s">
        <v>724</v>
      </c>
      <c r="F885" s="31" t="s">
        <v>663</v>
      </c>
      <c r="G885" s="31" t="s">
        <v>659</v>
      </c>
      <c r="H885" s="31" t="str">
        <f t="shared" si="282"/>
        <v>Pio XII</v>
      </c>
      <c r="K885" s="31" t="s">
        <v>835</v>
      </c>
      <c r="L885" s="31" t="str">
        <f t="shared" si="268"/>
        <v>Udienza</v>
      </c>
      <c r="M885" s="31" t="s">
        <v>574</v>
      </c>
      <c r="O885" s="31" t="s">
        <v>4602</v>
      </c>
      <c r="P885" s="31" t="s">
        <v>601</v>
      </c>
      <c r="Q885" s="40">
        <v>15453</v>
      </c>
      <c r="R885" s="35">
        <f t="shared" si="272"/>
        <v>22</v>
      </c>
      <c r="S885" s="35"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5">
        <f t="shared" si="273"/>
        <v>1942</v>
      </c>
      <c r="U885" s="31"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6"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31"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31">
        <v>831</v>
      </c>
      <c r="Y885" s="31" t="str">
        <f t="shared" si="274"/>
        <v>['Pio XII', 'Udienza', 'Il nodo divino che nessuna mano umana può sciogliere. I. La dignità inviolabile del matrimonio uno e indissolubile', 'pixii-udi-dim', '22 aprile 1942', '22/04/1942', '1942/04/22'],</v>
      </c>
      <c r="Z885" s="31" t="str">
        <f t="shared" si="275"/>
        <v>Il nodo divino che nessuna mano umana può sciogliere. I. La dignità inviolabile del matrimonio uno e indissolubile (15453) | Pio XII</v>
      </c>
      <c r="AA885" s="31" t="str">
        <f t="shared" si="276"/>
        <v>Udienza Il nodo divino che nessuna mano umana può sciogliere. I. La dignità inviolabile del matrimonio uno e indissolubile</v>
      </c>
      <c r="AB885" s="31" t="str">
        <f t="shared" si="277"/>
        <v>Udienza Il nodo divino che nessuna mano umana può sciogliere. I. La dignità inviolabile del matrimonio uno e indissolubile</v>
      </c>
      <c r="AC885" s="31" t="str">
        <f t="shared" si="278"/>
        <v>Pio XII, Udienza Il nodo divino che nessuna mano umana può sciogliere. I. La dignità inviolabile del matrimonio uno e indissolubile, 22 aprile 1942</v>
      </c>
      <c r="AD885" s="31" t="str">
        <f t="shared" si="279"/>
        <v>1942-04-22T08:00:00.000+02:00</v>
      </c>
      <c r="AE885" s="31" t="str">
        <f t="shared" si="280"/>
        <v>pixii-udi-dim</v>
      </c>
      <c r="AF885" s="31" t="str">
        <f t="shared" si="281"/>
        <v>Pio XII - Udienza - Il nodo divino che nessuna mano umana può sciogliere. I. La dignità inviolabile del matrimonio uno e indissolubile</v>
      </c>
    </row>
    <row r="886" spans="2:32" s="31" customFormat="1" x14ac:dyDescent="0.2">
      <c r="B886" s="31">
        <v>260</v>
      </c>
      <c r="C886" s="31" t="s">
        <v>4070</v>
      </c>
      <c r="D886" s="31" t="s">
        <v>715</v>
      </c>
      <c r="E886" s="31" t="s">
        <v>724</v>
      </c>
      <c r="F886" s="31" t="s">
        <v>663</v>
      </c>
      <c r="G886" s="31" t="s">
        <v>659</v>
      </c>
      <c r="H886" s="31" t="str">
        <f t="shared" si="282"/>
        <v>Pio XII</v>
      </c>
      <c r="K886" s="31" t="s">
        <v>835</v>
      </c>
      <c r="L886" s="31" t="str">
        <f t="shared" si="268"/>
        <v>Udienza</v>
      </c>
      <c r="M886" s="31" t="s">
        <v>574</v>
      </c>
      <c r="O886" s="31" t="s">
        <v>4603</v>
      </c>
      <c r="P886" s="31" t="s">
        <v>5090</v>
      </c>
      <c r="Q886" s="40">
        <v>15446</v>
      </c>
      <c r="R886" s="35">
        <f t="shared" si="272"/>
        <v>15</v>
      </c>
      <c r="S886" s="35"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5">
        <f t="shared" si="273"/>
        <v>1942</v>
      </c>
      <c r="U886" s="31"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6"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31"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31">
        <v>832</v>
      </c>
      <c r="Y886" s="31" t="str">
        <f t="shared" si="274"/>
        <v>['Pio XII', 'Udienza', 'L'uomo nella famiglia. II. La cooperazione dell'uomo nell'assetto e nei bisogni domestici', 'pixii-udi-cua', '15 aprile 1942', '15/04/1942', '1942/04/15'],</v>
      </c>
      <c r="Z886" s="31" t="str">
        <f t="shared" si="275"/>
        <v>L'uomo nella famiglia. II. La cooperazione dell'uomo nell'assetto e nei bisogni domestici (15446) | Pio XII</v>
      </c>
      <c r="AA886" s="31" t="str">
        <f t="shared" si="276"/>
        <v>Udienza L'uomo nella famiglia. II. La cooperazione dell'uomo nell'assetto e nei bisogni domestici</v>
      </c>
      <c r="AB886" s="31" t="str">
        <f t="shared" si="277"/>
        <v>Udienza L'uomo nella famiglia. II. La cooperazione dell'uomo nell'assetto e nei bisogni domestici</v>
      </c>
      <c r="AC886" s="31" t="str">
        <f t="shared" si="278"/>
        <v>Pio XII, Udienza L'uomo nella famiglia. II. La cooperazione dell'uomo nell'assetto e nei bisogni domestici, 15 aprile 1942</v>
      </c>
      <c r="AD886" s="31" t="str">
        <f t="shared" si="279"/>
        <v>1942-04-15T08:00:00.000+02:00</v>
      </c>
      <c r="AE886" s="31" t="str">
        <f t="shared" si="280"/>
        <v>pixii-udi-cua</v>
      </c>
      <c r="AF886" s="31" t="str">
        <f t="shared" si="281"/>
        <v>Pio XII - Udienza - L'uomo nella famiglia. II. La cooperazione dell'uomo nell'assetto e nei bisogni domestici</v>
      </c>
    </row>
    <row r="887" spans="2:32" s="31" customFormat="1" x14ac:dyDescent="0.2">
      <c r="B887" s="31">
        <v>260</v>
      </c>
      <c r="C887" s="31" t="s">
        <v>4071</v>
      </c>
      <c r="D887" s="31" t="s">
        <v>715</v>
      </c>
      <c r="E887" s="31" t="s">
        <v>724</v>
      </c>
      <c r="F887" s="31" t="s">
        <v>663</v>
      </c>
      <c r="G887" s="31" t="s">
        <v>659</v>
      </c>
      <c r="H887" s="31" t="str">
        <f t="shared" si="282"/>
        <v>Pio XII</v>
      </c>
      <c r="K887" s="31" t="s">
        <v>835</v>
      </c>
      <c r="L887" s="31" t="str">
        <f t="shared" si="268"/>
        <v>Udienza</v>
      </c>
      <c r="M887" s="31" t="s">
        <v>574</v>
      </c>
      <c r="O887" s="31" t="s">
        <v>4604</v>
      </c>
      <c r="P887" s="31" t="s">
        <v>5091</v>
      </c>
      <c r="Q887" s="40">
        <v>15439</v>
      </c>
      <c r="R887" s="35">
        <f t="shared" si="272"/>
        <v>8</v>
      </c>
      <c r="S887" s="35"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5">
        <f t="shared" si="273"/>
        <v>1942</v>
      </c>
      <c r="U887" s="31"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6"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31"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31">
        <v>833</v>
      </c>
      <c r="Y887" s="31" t="str">
        <f t="shared" si="274"/>
        <v>['Pio XII', 'Udienza', 'L'uomo nella famiglia. I. La responsabilità dell'uomo nella felicità del focolare domestico', 'pixii-udi-ruf', '08 aprile 1942', '08/04/1942', '1942/04/08'],</v>
      </c>
      <c r="Z887" s="31" t="str">
        <f t="shared" si="275"/>
        <v>L'uomo nella famiglia. I. La responsabilità dell'uomo nella felicità del focolare domestico (15439) | Pio XII</v>
      </c>
      <c r="AA887" s="31" t="str">
        <f t="shared" si="276"/>
        <v>Udienza L'uomo nella famiglia. I. La responsabilità dell'uomo nella felicità del focolare domestico</v>
      </c>
      <c r="AB887" s="31" t="str">
        <f t="shared" si="277"/>
        <v>Udienza L'uomo nella famiglia. I. La responsabilità dell'uomo nella felicità del focolare domestico</v>
      </c>
      <c r="AC887" s="31" t="str">
        <f t="shared" si="278"/>
        <v>Pio XII, Udienza L'uomo nella famiglia. I. La responsabilità dell'uomo nella felicità del focolare domestico, 08 aprile 1942</v>
      </c>
      <c r="AD887" s="31" t="str">
        <f t="shared" si="279"/>
        <v>1942-04-08T08:00:00.000+02:00</v>
      </c>
      <c r="AE887" s="31" t="str">
        <f t="shared" si="280"/>
        <v>pixii-udi-ruf</v>
      </c>
      <c r="AF887" s="31" t="str">
        <f t="shared" si="281"/>
        <v>Pio XII - Udienza - L'uomo nella famiglia. I. La responsabilità dell'uomo nella felicità del focolare domestico</v>
      </c>
    </row>
    <row r="888" spans="2:32" s="31" customFormat="1" x14ac:dyDescent="0.2">
      <c r="B888" s="31">
        <v>260</v>
      </c>
      <c r="C888" s="31" t="s">
        <v>4072</v>
      </c>
      <c r="D888" s="31" t="s">
        <v>715</v>
      </c>
      <c r="E888" s="31" t="s">
        <v>724</v>
      </c>
      <c r="F888" s="31" t="s">
        <v>663</v>
      </c>
      <c r="G888" s="31" t="s">
        <v>659</v>
      </c>
      <c r="H888" s="31" t="str">
        <f t="shared" si="282"/>
        <v>Pio XII</v>
      </c>
      <c r="K888" s="31" t="s">
        <v>835</v>
      </c>
      <c r="L888" s="31" t="str">
        <f t="shared" si="268"/>
        <v>Udienza</v>
      </c>
      <c r="M888" s="31" t="s">
        <v>574</v>
      </c>
      <c r="O888" s="31" t="s">
        <v>4605</v>
      </c>
      <c r="P888" s="31" t="s">
        <v>3833</v>
      </c>
      <c r="Q888" s="40">
        <v>15425</v>
      </c>
      <c r="R888" s="35">
        <f t="shared" si="272"/>
        <v>25</v>
      </c>
      <c r="S888" s="35"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5">
        <f t="shared" si="273"/>
        <v>1942</v>
      </c>
      <c r="U888" s="31"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6"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31"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31">
        <v>834</v>
      </c>
      <c r="Y888" s="31" t="str">
        <f t="shared" si="274"/>
        <v>['Pio XII', 'Udienza', 'La «parte di Dio» nella famiglia cristiana', 'pixii-udi-dfc', '25 marzo 1942', '25/03/1942', '1942/03/25'],</v>
      </c>
      <c r="Z888" s="31" t="str">
        <f t="shared" si="275"/>
        <v>La «parte di Dio» nella famiglia cristiana (15425) | Pio XII</v>
      </c>
      <c r="AA888" s="31" t="str">
        <f t="shared" si="276"/>
        <v>Udienza La «parte di Dio» nella famiglia cristiana</v>
      </c>
      <c r="AB888" s="31" t="str">
        <f t="shared" si="277"/>
        <v>Udienza La «parte di Dio» nella famiglia cristiana</v>
      </c>
      <c r="AC888" s="31" t="str">
        <f t="shared" si="278"/>
        <v>Pio XII, Udienza La «parte di Dio» nella famiglia cristiana, 25 marzo 1942</v>
      </c>
      <c r="AD888" s="31" t="str">
        <f t="shared" si="279"/>
        <v>1942-03-25T08:00:00.000+02:00</v>
      </c>
      <c r="AE888" s="31" t="str">
        <f t="shared" si="280"/>
        <v>pixii-udi-dfc</v>
      </c>
      <c r="AF888" s="31" t="str">
        <f t="shared" si="281"/>
        <v>Pio XII - Udienza - La «parte di Dio» nella famiglia cristiana</v>
      </c>
    </row>
    <row r="889" spans="2:32" s="31" customFormat="1" x14ac:dyDescent="0.2">
      <c r="B889" s="31">
        <v>260</v>
      </c>
      <c r="C889" s="31" t="s">
        <v>4073</v>
      </c>
      <c r="D889" s="31" t="s">
        <v>715</v>
      </c>
      <c r="E889" s="31" t="s">
        <v>724</v>
      </c>
      <c r="F889" s="31" t="s">
        <v>663</v>
      </c>
      <c r="G889" s="31" t="s">
        <v>659</v>
      </c>
      <c r="H889" s="31" t="str">
        <f t="shared" si="282"/>
        <v>Pio XII</v>
      </c>
      <c r="K889" s="31" t="s">
        <v>835</v>
      </c>
      <c r="L889" s="31" t="str">
        <f t="shared" si="268"/>
        <v>Udienza</v>
      </c>
      <c r="M889" s="31" t="s">
        <v>574</v>
      </c>
      <c r="O889" s="31" t="s">
        <v>4606</v>
      </c>
      <c r="P889" s="31" t="s">
        <v>5092</v>
      </c>
      <c r="Q889" s="40">
        <v>15418</v>
      </c>
      <c r="R889" s="35">
        <f t="shared" si="272"/>
        <v>18</v>
      </c>
      <c r="S889" s="35"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5">
        <f t="shared" si="273"/>
        <v>1942</v>
      </c>
      <c r="U889" s="31"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6"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31"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31">
        <v>831</v>
      </c>
      <c r="Y889" s="31" t="str">
        <f t="shared" si="274"/>
        <v>['Pio XII', 'Udienza', 'La collaborazione nella vita familiare tra gli sposi', 'pixii-udi-cvf', '18 marzo 1942', '18/03/1942', '1942/03/18'],</v>
      </c>
      <c r="Z889" s="31" t="str">
        <f t="shared" si="275"/>
        <v>La collaborazione nella vita familiare tra gli sposi (15418) | Pio XII</v>
      </c>
      <c r="AA889" s="31" t="str">
        <f t="shared" si="276"/>
        <v>Udienza La collaborazione nella vita familiare tra gli sposi</v>
      </c>
      <c r="AB889" s="31" t="str">
        <f t="shared" si="277"/>
        <v>Udienza La collaborazione nella vita familiare tra gli sposi</v>
      </c>
      <c r="AC889" s="31" t="str">
        <f t="shared" si="278"/>
        <v>Pio XII, Udienza La collaborazione nella vita familiare tra gli sposi, 18 marzo 1942</v>
      </c>
      <c r="AD889" s="31" t="str">
        <f t="shared" si="279"/>
        <v>1942-03-18T08:00:00.000+02:00</v>
      </c>
      <c r="AE889" s="31" t="str">
        <f t="shared" si="280"/>
        <v>pixii-udi-cvf</v>
      </c>
      <c r="AF889" s="31" t="str">
        <f t="shared" si="281"/>
        <v>Pio XII - Udienza - La collaborazione nella vita familiare tra gli sposi</v>
      </c>
    </row>
    <row r="890" spans="2:32" s="31" customFormat="1" x14ac:dyDescent="0.2">
      <c r="B890" s="31">
        <v>260</v>
      </c>
      <c r="C890" s="31" t="s">
        <v>4074</v>
      </c>
      <c r="D890" s="31" t="s">
        <v>715</v>
      </c>
      <c r="E890" s="31" t="s">
        <v>724</v>
      </c>
      <c r="F890" s="31" t="s">
        <v>663</v>
      </c>
      <c r="G890" s="31" t="s">
        <v>659</v>
      </c>
      <c r="H890" s="31" t="str">
        <f t="shared" si="282"/>
        <v>Pio XII</v>
      </c>
      <c r="K890" s="31" t="s">
        <v>835</v>
      </c>
      <c r="L890" s="31" t="str">
        <f t="shared" si="268"/>
        <v>Udienza</v>
      </c>
      <c r="M890" s="31" t="s">
        <v>574</v>
      </c>
      <c r="O890" s="31" t="s">
        <v>4607</v>
      </c>
      <c r="P890" s="31" t="s">
        <v>5093</v>
      </c>
      <c r="Q890" s="40">
        <v>15838</v>
      </c>
      <c r="R890" s="35">
        <f t="shared" si="272"/>
        <v>12</v>
      </c>
      <c r="S890" s="35"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5">
        <f t="shared" si="273"/>
        <v>1943</v>
      </c>
      <c r="U890" s="31"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6"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31"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31">
        <v>832</v>
      </c>
      <c r="Y890" s="31" t="str">
        <f t="shared" si="274"/>
        <v>['Pio XII', 'Udienza', 'Le virtù del focolare domestico. La fede - II. L'adesione filiale', 'pixii-udi-laf', '12 maggio 1943', '12/05/1943', '1943/05/12'],</v>
      </c>
      <c r="Z890" s="31" t="str">
        <f t="shared" si="275"/>
        <v>Le virtù del focolare domestico. La fede - II. L'adesione filiale (15838) | Pio XII</v>
      </c>
      <c r="AA890" s="31" t="str">
        <f t="shared" si="276"/>
        <v>Udienza Le virtù del focolare domestico. La fede - II. L'adesione filiale</v>
      </c>
      <c r="AB890" s="31" t="str">
        <f t="shared" si="277"/>
        <v>Udienza Le virtù del focolare domestico. La fede - II. L'adesione filiale</v>
      </c>
      <c r="AC890" s="31" t="str">
        <f t="shared" si="278"/>
        <v>Pio XII, Udienza Le virtù del focolare domestico. La fede - II. L'adesione filiale, 12 maggio 1943</v>
      </c>
      <c r="AD890" s="31" t="str">
        <f t="shared" si="279"/>
        <v>1943-05-12T08:00:00.000+02:00</v>
      </c>
      <c r="AE890" s="31" t="str">
        <f t="shared" si="280"/>
        <v>pixii-udi-laf</v>
      </c>
      <c r="AF890" s="31" t="str">
        <f t="shared" si="281"/>
        <v>Pio XII - Udienza - Le virtù del focolare domestico. La fede - II. L'adesione filiale</v>
      </c>
    </row>
    <row r="891" spans="2:32" s="31" customFormat="1" x14ac:dyDescent="0.2">
      <c r="B891" s="31">
        <v>260</v>
      </c>
      <c r="C891" s="31" t="s">
        <v>4075</v>
      </c>
      <c r="D891" s="31" t="s">
        <v>715</v>
      </c>
      <c r="E891" s="31" t="s">
        <v>724</v>
      </c>
      <c r="F891" s="31" t="s">
        <v>663</v>
      </c>
      <c r="G891" s="31" t="s">
        <v>659</v>
      </c>
      <c r="H891" s="31" t="str">
        <f t="shared" si="282"/>
        <v>Pio XII</v>
      </c>
      <c r="K891" s="31" t="s">
        <v>835</v>
      </c>
      <c r="L891" s="31" t="str">
        <f t="shared" si="268"/>
        <v>Udienza</v>
      </c>
      <c r="M891" s="31" t="s">
        <v>574</v>
      </c>
      <c r="O891" s="31" t="s">
        <v>4608</v>
      </c>
      <c r="P891" s="31" t="s">
        <v>984</v>
      </c>
      <c r="Q891" s="40">
        <v>15831</v>
      </c>
      <c r="R891" s="35">
        <f t="shared" si="272"/>
        <v>5</v>
      </c>
      <c r="S891" s="35"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5">
        <f t="shared" si="273"/>
        <v>1943</v>
      </c>
      <c r="U891" s="31"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6"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31"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31">
        <v>833</v>
      </c>
      <c r="Y891" s="31" t="str">
        <f t="shared" si="274"/>
        <v>['Pio XII', 'Udienza', 'Le virtù del focolare domestico. La fede - I. I segreti del Padre', 'pixii-udi-isp', '05 maggio 1943', '05/05/1943', '1943/05/05'],</v>
      </c>
      <c r="Z891" s="31" t="str">
        <f t="shared" si="275"/>
        <v>Le virtù del focolare domestico. La fede - I. I segreti del Padre (15831) | Pio XII</v>
      </c>
      <c r="AA891" s="31" t="str">
        <f t="shared" si="276"/>
        <v>Udienza Le virtù del focolare domestico. La fede - I. I segreti del Padre</v>
      </c>
      <c r="AB891" s="31" t="str">
        <f t="shared" si="277"/>
        <v>Udienza Le virtù del focolare domestico. La fede - I. I segreti del Padre</v>
      </c>
      <c r="AC891" s="31" t="str">
        <f t="shared" si="278"/>
        <v>Pio XII, Udienza Le virtù del focolare domestico. La fede - I. I segreti del Padre, 05 maggio 1943</v>
      </c>
      <c r="AD891" s="31" t="str">
        <f t="shared" si="279"/>
        <v>1943-05-05T08:00:00.000+02:00</v>
      </c>
      <c r="AE891" s="31" t="str">
        <f t="shared" si="280"/>
        <v>pixii-udi-isp</v>
      </c>
      <c r="AF891" s="31" t="str">
        <f t="shared" si="281"/>
        <v>Pio XII - Udienza - Le virtù del focolare domestico. La fede - I. I segreti del Padre</v>
      </c>
    </row>
    <row r="892" spans="2:32" s="31" customFormat="1" x14ac:dyDescent="0.2">
      <c r="B892" s="31">
        <v>260</v>
      </c>
      <c r="C892" s="31" t="s">
        <v>4076</v>
      </c>
      <c r="D892" s="31" t="s">
        <v>715</v>
      </c>
      <c r="E892" s="31" t="s">
        <v>724</v>
      </c>
      <c r="F892" s="31" t="s">
        <v>663</v>
      </c>
      <c r="G892" s="31" t="s">
        <v>659</v>
      </c>
      <c r="H892" s="31" t="str">
        <f t="shared" si="282"/>
        <v>Pio XII</v>
      </c>
      <c r="K892" s="31" t="s">
        <v>835</v>
      </c>
      <c r="L892" s="31" t="str">
        <f t="shared" si="268"/>
        <v>Udienza</v>
      </c>
      <c r="M892" s="31" t="s">
        <v>574</v>
      </c>
      <c r="O892" s="31" t="s">
        <v>4609</v>
      </c>
      <c r="P892" s="31" t="s">
        <v>5094</v>
      </c>
      <c r="Q892" s="40">
        <v>15810</v>
      </c>
      <c r="R892" s="35">
        <f t="shared" si="272"/>
        <v>14</v>
      </c>
      <c r="S892" s="35"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5">
        <f t="shared" si="273"/>
        <v>1943</v>
      </c>
      <c r="U892" s="31"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6"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31"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31">
        <v>834</v>
      </c>
      <c r="Y892" s="31" t="str">
        <f t="shared" si="274"/>
        <v>['Pio XII', 'Udienza', 'Le virtù del focolare domestico. III. Come si coltivano le virtù?', 'pixii-udi-ccv', '14 aprile 1943', '14/04/1943', '1943/04/14'],</v>
      </c>
      <c r="Z892" s="31" t="str">
        <f t="shared" si="275"/>
        <v>Le virtù del focolare domestico. III. Come si coltivano le virtù? (15810) | Pio XII</v>
      </c>
      <c r="AA892" s="31" t="str">
        <f t="shared" si="276"/>
        <v>Udienza Le virtù del focolare domestico. III. Come si coltivano le virtù?</v>
      </c>
      <c r="AB892" s="31" t="str">
        <f t="shared" si="277"/>
        <v>Udienza Le virtù del focolare domestico. III. Come si coltivano le virtù?</v>
      </c>
      <c r="AC892" s="31" t="str">
        <f t="shared" si="278"/>
        <v>Pio XII, Udienza Le virtù del focolare domestico. III. Come si coltivano le virtù?, 14 aprile 1943</v>
      </c>
      <c r="AD892" s="31" t="str">
        <f t="shared" si="279"/>
        <v>1943-04-14T08:00:00.000+02:00</v>
      </c>
      <c r="AE892" s="31" t="str">
        <f t="shared" si="280"/>
        <v>pixii-udi-ccv</v>
      </c>
      <c r="AF892" s="31" t="str">
        <f t="shared" si="281"/>
        <v>Pio XII - Udienza - Le virtù del focolare domestico. III. Come si coltivano le virtù?</v>
      </c>
    </row>
    <row r="893" spans="2:32" s="31" customFormat="1" x14ac:dyDescent="0.2">
      <c r="B893" s="31">
        <v>260</v>
      </c>
      <c r="C893" s="31" t="s">
        <v>4077</v>
      </c>
      <c r="D893" s="31" t="s">
        <v>715</v>
      </c>
      <c r="E893" s="31" t="s">
        <v>724</v>
      </c>
      <c r="F893" s="31" t="s">
        <v>663</v>
      </c>
      <c r="G893" s="31" t="s">
        <v>659</v>
      </c>
      <c r="H893" s="31" t="str">
        <f t="shared" si="282"/>
        <v>Pio XII</v>
      </c>
      <c r="K893" s="31" t="s">
        <v>835</v>
      </c>
      <c r="L893" s="31" t="str">
        <f t="shared" si="268"/>
        <v>Udienza</v>
      </c>
      <c r="M893" s="31" t="s">
        <v>574</v>
      </c>
      <c r="O893" s="31" t="s">
        <v>4610</v>
      </c>
      <c r="P893" s="31" t="s">
        <v>5095</v>
      </c>
      <c r="Q893" s="40">
        <v>15803</v>
      </c>
      <c r="R893" s="35">
        <f t="shared" si="272"/>
        <v>7</v>
      </c>
      <c r="S893" s="35"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5">
        <f t="shared" si="273"/>
        <v>1943</v>
      </c>
      <c r="U893" s="31"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6"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31"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31">
        <v>831</v>
      </c>
      <c r="Y893" s="31" t="str">
        <f t="shared" si="274"/>
        <v>['Pio XII', 'Udienza', 'Le virtù del focolare domestico. II. Che cos'è la virtù?', 'pixii-udi-clv', '07 aprile 1943', '07/04/1943', '1943/04/07'],</v>
      </c>
      <c r="Z893" s="31" t="str">
        <f t="shared" si="275"/>
        <v>Le virtù del focolare domestico. II. Che cos'è la virtù? (15803) | Pio XII</v>
      </c>
      <c r="AA893" s="31" t="str">
        <f t="shared" si="276"/>
        <v>Udienza Le virtù del focolare domestico. II. Che cos'è la virtù?</v>
      </c>
      <c r="AB893" s="31" t="str">
        <f t="shared" si="277"/>
        <v>Udienza Le virtù del focolare domestico. II. Che cos'è la virtù?</v>
      </c>
      <c r="AC893" s="31" t="str">
        <f t="shared" si="278"/>
        <v>Pio XII, Udienza Le virtù del focolare domestico. II. Che cos'è la virtù?, 07 aprile 1943</v>
      </c>
      <c r="AD893" s="31" t="str">
        <f t="shared" si="279"/>
        <v>1943-04-07T08:00:00.000+02:00</v>
      </c>
      <c r="AE893" s="31" t="str">
        <f t="shared" si="280"/>
        <v>pixii-udi-clv</v>
      </c>
      <c r="AF893" s="31" t="str">
        <f t="shared" si="281"/>
        <v>Pio XII - Udienza - Le virtù del focolare domestico. II. Che cos'è la virtù?</v>
      </c>
    </row>
    <row r="894" spans="2:32" s="31" customFormat="1" x14ac:dyDescent="0.2">
      <c r="B894" s="31">
        <v>260</v>
      </c>
      <c r="C894" s="31" t="s">
        <v>4078</v>
      </c>
      <c r="D894" s="31" t="s">
        <v>715</v>
      </c>
      <c r="E894" s="31" t="s">
        <v>724</v>
      </c>
      <c r="F894" s="31" t="s">
        <v>663</v>
      </c>
      <c r="G894" s="31" t="s">
        <v>659</v>
      </c>
      <c r="H894" s="31" t="str">
        <f t="shared" si="282"/>
        <v>Pio XII</v>
      </c>
      <c r="K894" s="31" t="s">
        <v>835</v>
      </c>
      <c r="L894" s="31" t="str">
        <f t="shared" si="268"/>
        <v>Udienza</v>
      </c>
      <c r="M894" s="31" t="s">
        <v>574</v>
      </c>
      <c r="O894" s="31" t="s">
        <v>4611</v>
      </c>
      <c r="P894" s="31" t="s">
        <v>5096</v>
      </c>
      <c r="Q894" s="40">
        <v>15733</v>
      </c>
      <c r="R894" s="35">
        <f t="shared" si="272"/>
        <v>27</v>
      </c>
      <c r="S894" s="35"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5">
        <f t="shared" si="273"/>
        <v>1943</v>
      </c>
      <c r="U894" s="31"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6"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31"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31">
        <v>832</v>
      </c>
      <c r="Y894" s="31" t="str">
        <f t="shared" si="274"/>
        <v>['Pio XII', 'Udienza', 'Le virtù del focolare domestico. I. Che cosa è un focolare?', 'pixii-udi-ccf', '27 gennaio 1943', '27/01/1943', '1943/01/27'],</v>
      </c>
      <c r="Z894" s="31" t="str">
        <f t="shared" si="275"/>
        <v>Le virtù del focolare domestico. I. Che cosa è un focolare? (15733) | Pio XII</v>
      </c>
      <c r="AA894" s="31" t="str">
        <f t="shared" si="276"/>
        <v>Udienza Le virtù del focolare domestico. I. Che cosa è un focolare?</v>
      </c>
      <c r="AB894" s="31" t="str">
        <f t="shared" si="277"/>
        <v>Udienza Le virtù del focolare domestico. I. Che cosa è un focolare?</v>
      </c>
      <c r="AC894" s="31" t="str">
        <f t="shared" si="278"/>
        <v>Pio XII, Udienza Le virtù del focolare domestico. I. Che cosa è un focolare?, 27 gennaio 1943</v>
      </c>
      <c r="AD894" s="31" t="str">
        <f t="shared" si="279"/>
        <v>1943-01-27T08:00:00.000+02:00</v>
      </c>
      <c r="AE894" s="31" t="str">
        <f t="shared" si="280"/>
        <v>pixii-udi-ccf</v>
      </c>
      <c r="AF894" s="31" t="str">
        <f t="shared" si="281"/>
        <v>Pio XII - Udienza - Le virtù del focolare domestico. I. Che cosa è un focolare?</v>
      </c>
    </row>
    <row r="895" spans="2:32" x14ac:dyDescent="0.2">
      <c r="B895" s="29">
        <v>260</v>
      </c>
      <c r="C895" s="29" t="s">
        <v>4079</v>
      </c>
      <c r="D895" s="29" t="s">
        <v>715</v>
      </c>
      <c r="E895" s="29" t="s">
        <v>724</v>
      </c>
      <c r="F895" s="29" t="s">
        <v>663</v>
      </c>
      <c r="G895" s="29" t="s">
        <v>659</v>
      </c>
      <c r="H895" s="29" t="str">
        <f t="shared" ref="H895:H958" si="283">_xlfn.CONCAT(D895 &amp; " " &amp; E895)</f>
        <v>Pio XII</v>
      </c>
      <c r="K895" s="29" t="s">
        <v>827</v>
      </c>
      <c r="L895" s="29" t="str">
        <f t="shared" ref="L895:L896" si="284">IF(J895&lt;&gt;"",_xlfn.CONCAT(J895 &amp; " " &amp; K895),K895)</f>
        <v>Discorso</v>
      </c>
      <c r="M895" s="29" t="s">
        <v>566</v>
      </c>
      <c r="O895" s="29" t="s">
        <v>4612</v>
      </c>
      <c r="Q895" s="38">
        <v>14307</v>
      </c>
      <c r="R895" s="32">
        <f t="shared" si="272"/>
        <v>3</v>
      </c>
      <c r="S895" s="32"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32">
        <f t="shared" si="273"/>
        <v>1939</v>
      </c>
      <c r="U895" s="29"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3"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9"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9">
        <v>833</v>
      </c>
      <c r="Y895" s="29" t="str">
        <f t="shared" si="274"/>
        <v>['Pio XII', 'Discorso', 'Primo radiomessaggio Dum Gravissimum all'indomani dell'elezione al Soglio Pontificio', 'pixii-dis-', '03 marzo 1939', '03/03/1939', '1939/03/03'],</v>
      </c>
      <c r="Z895" s="29" t="str">
        <f t="shared" si="275"/>
        <v>Primo radiomessaggio Dum Gravissimum all'indomani dell'elezione al Soglio Pontificio (14307) | Pio XII</v>
      </c>
      <c r="AA895" s="29" t="str">
        <f t="shared" si="276"/>
        <v>Discorso Primo radiomessaggio Dum Gravissimum all'indomani dell'elezione al Soglio Pontificio</v>
      </c>
      <c r="AB895" s="29" t="str">
        <f t="shared" si="277"/>
        <v>Discorso Primo radiomessaggio Dum Gravissimum all'indomani dell'elezione al Soglio Pontificio</v>
      </c>
      <c r="AC895" s="29" t="str">
        <f t="shared" si="278"/>
        <v>Pio XII, Discorso Primo radiomessaggio Dum Gravissimum all'indomani dell'elezione al Soglio Pontificio, 03 marzo 1939</v>
      </c>
      <c r="AD895" s="29" t="str">
        <f t="shared" si="279"/>
        <v>1939-03-03T08:00:00.000+02:00</v>
      </c>
      <c r="AE895" s="29" t="str">
        <f t="shared" si="280"/>
        <v>pixii-dis-</v>
      </c>
      <c r="AF895" s="29" t="str">
        <f t="shared" si="281"/>
        <v>Pio XII - Discorso - Primo radiomessaggio Dum Gravissimum all'indomani dell'elezione al Soglio Pontificio</v>
      </c>
    </row>
    <row r="896" spans="2:32" x14ac:dyDescent="0.2">
      <c r="B896" s="29">
        <v>260</v>
      </c>
      <c r="C896" s="29" t="s">
        <v>4080</v>
      </c>
      <c r="D896" s="29" t="s">
        <v>715</v>
      </c>
      <c r="E896" s="29" t="s">
        <v>724</v>
      </c>
      <c r="F896" s="29" t="s">
        <v>663</v>
      </c>
      <c r="G896" s="29" t="s">
        <v>659</v>
      </c>
      <c r="H896" s="29" t="str">
        <f t="shared" si="283"/>
        <v>Pio XII</v>
      </c>
      <c r="K896" s="29" t="s">
        <v>827</v>
      </c>
      <c r="L896" s="29" t="str">
        <f t="shared" si="284"/>
        <v>Discorso</v>
      </c>
      <c r="M896" s="29" t="s">
        <v>566</v>
      </c>
      <c r="O896" s="29" t="s">
        <v>4613</v>
      </c>
      <c r="Q896" s="38">
        <v>14340</v>
      </c>
      <c r="R896" s="32">
        <f t="shared" si="272"/>
        <v>5</v>
      </c>
      <c r="S896" s="32"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32">
        <f t="shared" si="273"/>
        <v>1939</v>
      </c>
      <c r="U896" s="29"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3"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9"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9">
        <v>834</v>
      </c>
      <c r="Y896" s="29" t="str">
        <f t="shared" si="274"/>
        <v>['Pio XII', 'Discorso', 'Ai membri della Curia Romana', 'pixii-dis-', '05 aprile 1939', '05/04/1939', '1939/04/05'],</v>
      </c>
      <c r="Z896" s="29" t="str">
        <f t="shared" si="275"/>
        <v>Ai membri della Curia Romana (14340) | Pio XII</v>
      </c>
      <c r="AA896" s="29" t="str">
        <f t="shared" si="276"/>
        <v>Discorso Ai membri della Curia Romana</v>
      </c>
      <c r="AB896" s="29" t="str">
        <f t="shared" si="277"/>
        <v>Discorso Ai membri della Curia Romana</v>
      </c>
      <c r="AC896" s="29" t="str">
        <f t="shared" si="278"/>
        <v>Pio XII, Discorso Ai membri della Curia Romana, 05 aprile 1939</v>
      </c>
      <c r="AD896" s="29" t="str">
        <f t="shared" si="279"/>
        <v>1939-04-05T08:00:00.000+02:00</v>
      </c>
      <c r="AE896" s="29" t="str">
        <f t="shared" si="280"/>
        <v>pixii-dis-</v>
      </c>
      <c r="AF896" s="29" t="str">
        <f t="shared" si="281"/>
        <v>Pio XII - Discorso - Ai membri della Curia Romana</v>
      </c>
    </row>
    <row r="897" spans="2:32" x14ac:dyDescent="0.2">
      <c r="B897" s="29">
        <v>260</v>
      </c>
      <c r="C897" s="29" t="s">
        <v>4081</v>
      </c>
      <c r="D897" s="29" t="s">
        <v>715</v>
      </c>
      <c r="E897" s="29" t="s">
        <v>724</v>
      </c>
      <c r="F897" s="29" t="s">
        <v>663</v>
      </c>
      <c r="G897" s="29" t="s">
        <v>659</v>
      </c>
      <c r="H897" s="29" t="str">
        <f t="shared" si="283"/>
        <v>Pio XII</v>
      </c>
      <c r="K897" s="29" t="s">
        <v>827</v>
      </c>
      <c r="L897" s="29" t="str">
        <f t="shared" ref="L897:L933" si="285">IF(J897&lt;&gt;"",_xlfn.CONCAT(J897 &amp; " " &amp; K897),K897)</f>
        <v>Discorso</v>
      </c>
      <c r="M897" s="29" t="s">
        <v>566</v>
      </c>
      <c r="O897" s="29" t="s">
        <v>4614</v>
      </c>
      <c r="Q897" s="38">
        <v>14351</v>
      </c>
      <c r="R897" s="32">
        <f t="shared" ref="R897:R913" si="286">IF(ISERROR(DAY(Q897)),TEXT((LEFT(Q897,2)),"00"),DAY(Q897))</f>
        <v>16</v>
      </c>
      <c r="S897" s="32"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32">
        <f t="shared" ref="T897:T913" si="287">IF(ISERROR(DAY(Q897)),VALUE(RIGHT(Q897,4)),YEAR(Q897))</f>
        <v>1939</v>
      </c>
      <c r="U897" s="29"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3"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9"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9">
        <v>834</v>
      </c>
      <c r="Y897" s="29" t="str">
        <f t="shared" ref="Y897:Y955" si="288">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9" t="str">
        <f t="shared" ref="Z897:Z955" si="289">_xlfn.CONCAT(O897 &amp; " (" &amp; Q897 &amp; ") | " &amp; D897 &amp; " " &amp; E897)</f>
        <v>Radiomessaggio ai fedeli spagnoli (14351) | Pio XII</v>
      </c>
      <c r="AA897" s="29" t="str">
        <f t="shared" ref="AA897:AA955" si="290">_xlfn.CONCAT(K897 &amp; " " &amp; O897)</f>
        <v>Discorso Radiomessaggio ai fedeli spagnoli</v>
      </c>
      <c r="AB897" s="29" t="str">
        <f t="shared" ref="AB897:AB955" si="291">_xlfn.CONCAT(K897 &amp; " " &amp; O897)</f>
        <v>Discorso Radiomessaggio ai fedeli spagnoli</v>
      </c>
      <c r="AC897" s="29" t="str">
        <f t="shared" ref="AC897:AC955" si="292">_xlfn.CONCAT(H897 &amp; ", " &amp; L897 &amp; " " &amp; O897 &amp; ", " &amp; LEFT(U897,2) &amp; " " &amp; TEXT(VALUE(MID(U897,4,2))*29,"mmmm") &amp; " " &amp; RIGHT(U897,4))</f>
        <v>Pio XII, Discorso Radiomessaggio ai fedeli spagnoli, 16 aprile 1939</v>
      </c>
      <c r="AD897" s="29" t="str">
        <f t="shared" ref="AD897:AD955" si="293">_xlfn.CONCAT(RIGHT(U897,4) &amp; "-" &amp; MID(U897,4,2) &amp; "-" &amp; LEFT(U897,2) &amp; "T08:00:00.000+02:00")</f>
        <v>1939-04-16T08:00:00.000+02:00</v>
      </c>
      <c r="AE897" s="29" t="str">
        <f t="shared" ref="AE897:AE934" si="294">_xlfn.CONCAT(F897 &amp; "-" &amp; M897 &amp; "-" &amp; P897)</f>
        <v>pixii-dis-</v>
      </c>
      <c r="AF897" s="29" t="str">
        <f t="shared" ref="AF897:AF934" si="295">_xlfn.CONCAT(H897 &amp; " - " &amp; L897 &amp; " - " &amp; O897)</f>
        <v>Pio XII - Discorso - Radiomessaggio ai fedeli spagnoli</v>
      </c>
    </row>
    <row r="898" spans="2:32" x14ac:dyDescent="0.2">
      <c r="B898" s="29">
        <v>260</v>
      </c>
      <c r="C898" s="29" t="s">
        <v>4082</v>
      </c>
      <c r="D898" s="29" t="s">
        <v>715</v>
      </c>
      <c r="E898" s="29" t="s">
        <v>724</v>
      </c>
      <c r="F898" s="29" t="s">
        <v>663</v>
      </c>
      <c r="G898" s="29" t="s">
        <v>659</v>
      </c>
      <c r="H898" s="29" t="str">
        <f t="shared" si="283"/>
        <v>Pio XII</v>
      </c>
      <c r="K898" s="29" t="s">
        <v>827</v>
      </c>
      <c r="L898" s="29" t="str">
        <f t="shared" si="285"/>
        <v>Discorso</v>
      </c>
      <c r="M898" s="29" t="s">
        <v>566</v>
      </c>
      <c r="O898" s="29" t="s">
        <v>4615</v>
      </c>
      <c r="Q898" s="38">
        <v>14361</v>
      </c>
      <c r="R898" s="32">
        <f t="shared" si="286"/>
        <v>26</v>
      </c>
      <c r="S898" s="32"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32">
        <f t="shared" si="287"/>
        <v>1939</v>
      </c>
      <c r="U898" s="29"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3"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9"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9">
        <v>831</v>
      </c>
      <c r="Y898" s="29" t="str">
        <f t="shared" si="288"/>
        <v>['Pio XII', 'Discorso', 'Agli sposi novelli', 'pixii-dis-', '26 aprile 1939', '26/04/1939', '1939/04/26'],</v>
      </c>
      <c r="Z898" s="29" t="str">
        <f t="shared" si="289"/>
        <v>Agli sposi novelli (14361) | Pio XII</v>
      </c>
      <c r="AA898" s="29" t="str">
        <f t="shared" si="290"/>
        <v>Discorso Agli sposi novelli</v>
      </c>
      <c r="AB898" s="29" t="str">
        <f t="shared" si="291"/>
        <v>Discorso Agli sposi novelli</v>
      </c>
      <c r="AC898" s="29" t="str">
        <f t="shared" si="292"/>
        <v>Pio XII, Discorso Agli sposi novelli, 26 aprile 1939</v>
      </c>
      <c r="AD898" s="29" t="str">
        <f t="shared" si="293"/>
        <v>1939-04-26T08:00:00.000+02:00</v>
      </c>
      <c r="AE898" s="29" t="str">
        <f t="shared" si="294"/>
        <v>pixii-dis-</v>
      </c>
      <c r="AF898" s="29" t="str">
        <f t="shared" si="295"/>
        <v>Pio XII - Discorso - Agli sposi novelli</v>
      </c>
    </row>
    <row r="899" spans="2:32" x14ac:dyDescent="0.2">
      <c r="B899" s="29">
        <v>260</v>
      </c>
      <c r="C899" s="29" t="s">
        <v>4083</v>
      </c>
      <c r="D899" s="29" t="s">
        <v>715</v>
      </c>
      <c r="E899" s="29" t="s">
        <v>724</v>
      </c>
      <c r="F899" s="29" t="s">
        <v>663</v>
      </c>
      <c r="G899" s="29" t="s">
        <v>659</v>
      </c>
      <c r="H899" s="29" t="str">
        <f t="shared" si="283"/>
        <v>Pio XII</v>
      </c>
      <c r="K899" s="29" t="s">
        <v>827</v>
      </c>
      <c r="L899" s="29" t="str">
        <f t="shared" si="285"/>
        <v>Discorso</v>
      </c>
      <c r="M899" s="29" t="s">
        <v>566</v>
      </c>
      <c r="O899" s="29" t="s">
        <v>4616</v>
      </c>
      <c r="Q899" s="38">
        <v>14368</v>
      </c>
      <c r="R899" s="32">
        <f t="shared" si="286"/>
        <v>3</v>
      </c>
      <c r="S899" s="32"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32">
        <f t="shared" si="287"/>
        <v>1939</v>
      </c>
      <c r="U899" s="29"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3"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9"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9">
        <v>832</v>
      </c>
      <c r="Y899" s="29" t="str">
        <f t="shared" si="288"/>
        <v>['Pio XII', 'Discorso', 'Agli sposi convenuti a Roma per invocare la benedizione sulle loro famiglie', 'pixii-dis-', '03 maggio 1939', '03/05/1939', '1939/05/03'],</v>
      </c>
      <c r="Z899" s="29" t="str">
        <f t="shared" si="289"/>
        <v>Agli sposi convenuti a Roma per invocare la benedizione sulle loro famiglie (14368) | Pio XII</v>
      </c>
      <c r="AA899" s="29" t="str">
        <f t="shared" si="290"/>
        <v>Discorso Agli sposi convenuti a Roma per invocare la benedizione sulle loro famiglie</v>
      </c>
      <c r="AB899" s="29" t="str">
        <f t="shared" si="291"/>
        <v>Discorso Agli sposi convenuti a Roma per invocare la benedizione sulle loro famiglie</v>
      </c>
      <c r="AC899" s="29" t="str">
        <f t="shared" si="292"/>
        <v>Pio XII, Discorso Agli sposi convenuti a Roma per invocare la benedizione sulle loro famiglie, 03 maggio 1939</v>
      </c>
      <c r="AD899" s="29" t="str">
        <f t="shared" si="293"/>
        <v>1939-05-03T08:00:00.000+02:00</v>
      </c>
      <c r="AE899" s="29" t="str">
        <f t="shared" si="294"/>
        <v>pixii-dis-</v>
      </c>
      <c r="AF899" s="29" t="str">
        <f t="shared" si="295"/>
        <v>Pio XII - Discorso - Agli sposi convenuti a Roma per invocare la benedizione sulle loro famiglie</v>
      </c>
    </row>
    <row r="900" spans="2:32" x14ac:dyDescent="0.2">
      <c r="B900" s="29">
        <v>260</v>
      </c>
      <c r="C900" s="29" t="s">
        <v>4084</v>
      </c>
      <c r="D900" s="29" t="s">
        <v>715</v>
      </c>
      <c r="E900" s="29" t="s">
        <v>724</v>
      </c>
      <c r="F900" s="29" t="s">
        <v>663</v>
      </c>
      <c r="G900" s="29" t="s">
        <v>659</v>
      </c>
      <c r="H900" s="29" t="str">
        <f t="shared" si="283"/>
        <v>Pio XII</v>
      </c>
      <c r="K900" s="29" t="s">
        <v>827</v>
      </c>
      <c r="L900" s="29" t="str">
        <f t="shared" si="285"/>
        <v>Discorso</v>
      </c>
      <c r="M900" s="29" t="s">
        <v>566</v>
      </c>
      <c r="O900" s="29" t="s">
        <v>4615</v>
      </c>
      <c r="Q900" s="38">
        <v>14375</v>
      </c>
      <c r="R900" s="32">
        <f t="shared" si="286"/>
        <v>10</v>
      </c>
      <c r="S900" s="32"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32">
        <f t="shared" si="287"/>
        <v>1939</v>
      </c>
      <c r="U900" s="29"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3"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9"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9">
        <v>833</v>
      </c>
      <c r="Y900" s="29" t="str">
        <f t="shared" si="288"/>
        <v>['Pio XII', 'Discorso', 'Agli sposi novelli', 'pixii-dis-', '10 maggio 1939', '10/05/1939', '1939/05/10'],</v>
      </c>
      <c r="Z900" s="29" t="str">
        <f t="shared" si="289"/>
        <v>Agli sposi novelli (14375) | Pio XII</v>
      </c>
      <c r="AA900" s="29" t="str">
        <f t="shared" si="290"/>
        <v>Discorso Agli sposi novelli</v>
      </c>
      <c r="AB900" s="29" t="str">
        <f t="shared" si="291"/>
        <v>Discorso Agli sposi novelli</v>
      </c>
      <c r="AC900" s="29" t="str">
        <f t="shared" si="292"/>
        <v>Pio XII, Discorso Agli sposi novelli, 10 maggio 1939</v>
      </c>
      <c r="AD900" s="29" t="str">
        <f t="shared" si="293"/>
        <v>1939-05-10T08:00:00.000+02:00</v>
      </c>
      <c r="AE900" s="29" t="str">
        <f t="shared" si="294"/>
        <v>pixii-dis-</v>
      </c>
      <c r="AF900" s="29" t="str">
        <f t="shared" si="295"/>
        <v>Pio XII - Discorso - Agli sposi novelli</v>
      </c>
    </row>
    <row r="901" spans="2:32" x14ac:dyDescent="0.2">
      <c r="B901" s="29">
        <v>260</v>
      </c>
      <c r="C901" s="29" t="s">
        <v>4085</v>
      </c>
      <c r="D901" s="29" t="s">
        <v>715</v>
      </c>
      <c r="E901" s="29" t="s">
        <v>724</v>
      </c>
      <c r="F901" s="29" t="s">
        <v>663</v>
      </c>
      <c r="G901" s="29" t="s">
        <v>659</v>
      </c>
      <c r="H901" s="29" t="str">
        <f t="shared" si="283"/>
        <v>Pio XII</v>
      </c>
      <c r="K901" s="29" t="s">
        <v>827</v>
      </c>
      <c r="L901" s="29" t="str">
        <f t="shared" si="285"/>
        <v>Discorso</v>
      </c>
      <c r="M901" s="29" t="s">
        <v>566</v>
      </c>
      <c r="O901" s="29" t="s">
        <v>4617</v>
      </c>
      <c r="Q901" s="38">
        <v>14382</v>
      </c>
      <c r="R901" s="32">
        <f t="shared" si="286"/>
        <v>17</v>
      </c>
      <c r="S901" s="32"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32">
        <f t="shared" si="287"/>
        <v>1939</v>
      </c>
      <c r="U901" s="29"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3"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9"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9">
        <v>834</v>
      </c>
      <c r="Y901" s="29" t="str">
        <f t="shared" si="288"/>
        <v>['Pio XII', 'Discorso', 'Ai novelli sposi in occasione della vigilia dell'Ascensione di Nostro Signore', 'pixii-dis-', '17 maggio 1939', '17/05/1939', '1939/05/17'],</v>
      </c>
      <c r="Z901" s="29" t="str">
        <f t="shared" si="289"/>
        <v>Ai novelli sposi in occasione della vigilia dell'Ascensione di Nostro Signore (14382) | Pio XII</v>
      </c>
      <c r="AA901" s="29" t="str">
        <f t="shared" si="290"/>
        <v>Discorso Ai novelli sposi in occasione della vigilia dell'Ascensione di Nostro Signore</v>
      </c>
      <c r="AB901" s="29" t="str">
        <f t="shared" si="291"/>
        <v>Discorso Ai novelli sposi in occasione della vigilia dell'Ascensione di Nostro Signore</v>
      </c>
      <c r="AC901" s="29" t="str">
        <f t="shared" si="292"/>
        <v>Pio XII, Discorso Ai novelli sposi in occasione della vigilia dell'Ascensione di Nostro Signore, 17 maggio 1939</v>
      </c>
      <c r="AD901" s="29" t="str">
        <f t="shared" si="293"/>
        <v>1939-05-17T08:00:00.000+02:00</v>
      </c>
      <c r="AE901" s="29" t="str">
        <f t="shared" si="294"/>
        <v>pixii-dis-</v>
      </c>
      <c r="AF901" s="29" t="str">
        <f t="shared" si="295"/>
        <v>Pio XII - Discorso - Ai novelli sposi in occasione della vigilia dell'Ascensione di Nostro Signore</v>
      </c>
    </row>
    <row r="902" spans="2:32" x14ac:dyDescent="0.2">
      <c r="B902" s="29">
        <v>260</v>
      </c>
      <c r="C902" s="29" t="s">
        <v>4086</v>
      </c>
      <c r="D902" s="29" t="s">
        <v>715</v>
      </c>
      <c r="E902" s="29" t="s">
        <v>724</v>
      </c>
      <c r="F902" s="29" t="s">
        <v>663</v>
      </c>
      <c r="G902" s="29" t="s">
        <v>659</v>
      </c>
      <c r="H902" s="29" t="str">
        <f t="shared" si="283"/>
        <v>Pio XII</v>
      </c>
      <c r="K902" s="29" t="s">
        <v>827</v>
      </c>
      <c r="L902" s="29" t="str">
        <f t="shared" si="285"/>
        <v>Discorso</v>
      </c>
      <c r="M902" s="29" t="s">
        <v>566</v>
      </c>
      <c r="O902" s="29" t="s">
        <v>4618</v>
      </c>
      <c r="Q902" s="38">
        <v>14389</v>
      </c>
      <c r="R902" s="32">
        <f t="shared" si="286"/>
        <v>24</v>
      </c>
      <c r="S902" s="32"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32">
        <f t="shared" si="287"/>
        <v>1939</v>
      </c>
      <c r="U902" s="29"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3"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9"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9">
        <v>831</v>
      </c>
      <c r="Y902" s="29" t="str">
        <f t="shared" si="288"/>
        <v>['Pio XII', 'Discorso', 'A numerose coppie di sposi, a un pellegrinaggio sloveno e ad altri fedeli', 'pixii-dis-', '24 maggio 1939', '24/05/1939', '1939/05/24'],</v>
      </c>
      <c r="Z902" s="29" t="str">
        <f t="shared" si="289"/>
        <v>A numerose coppie di sposi, a un pellegrinaggio sloveno e ad altri fedeli (14389) | Pio XII</v>
      </c>
      <c r="AA902" s="29" t="str">
        <f t="shared" si="290"/>
        <v>Discorso A numerose coppie di sposi, a un pellegrinaggio sloveno e ad altri fedeli</v>
      </c>
      <c r="AB902" s="29" t="str">
        <f t="shared" si="291"/>
        <v>Discorso A numerose coppie di sposi, a un pellegrinaggio sloveno e ad altri fedeli</v>
      </c>
      <c r="AC902" s="29" t="str">
        <f t="shared" si="292"/>
        <v>Pio XII, Discorso A numerose coppie di sposi, a un pellegrinaggio sloveno e ad altri fedeli, 24 maggio 1939</v>
      </c>
      <c r="AD902" s="29" t="str">
        <f t="shared" si="293"/>
        <v>1939-05-24T08:00:00.000+02:00</v>
      </c>
      <c r="AE902" s="29" t="str">
        <f t="shared" si="294"/>
        <v>pixii-dis-</v>
      </c>
      <c r="AF902" s="29" t="str">
        <f t="shared" si="295"/>
        <v>Pio XII - Discorso - A numerose coppie di sposi, a un pellegrinaggio sloveno e ad altri fedeli</v>
      </c>
    </row>
    <row r="903" spans="2:32" x14ac:dyDescent="0.2">
      <c r="B903" s="29">
        <v>260</v>
      </c>
      <c r="C903" s="29" t="s">
        <v>4087</v>
      </c>
      <c r="D903" s="29" t="s">
        <v>715</v>
      </c>
      <c r="E903" s="29" t="s">
        <v>724</v>
      </c>
      <c r="F903" s="29" t="s">
        <v>663</v>
      </c>
      <c r="G903" s="29" t="s">
        <v>659</v>
      </c>
      <c r="H903" s="29" t="str">
        <f t="shared" si="283"/>
        <v>Pio XII</v>
      </c>
      <c r="K903" s="29" t="s">
        <v>827</v>
      </c>
      <c r="L903" s="29" t="str">
        <f t="shared" si="285"/>
        <v>Discorso</v>
      </c>
      <c r="M903" s="29" t="s">
        <v>566</v>
      </c>
      <c r="O903" s="29" t="s">
        <v>4619</v>
      </c>
      <c r="Q903" s="38">
        <v>14396</v>
      </c>
      <c r="R903" s="32">
        <f t="shared" si="286"/>
        <v>31</v>
      </c>
      <c r="S903" s="32"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32">
        <f t="shared" si="287"/>
        <v>1939</v>
      </c>
      <c r="U903" s="29"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3"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9"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9">
        <v>832</v>
      </c>
      <c r="Y903" s="29" t="str">
        <f t="shared" si="288"/>
        <v>['Pio XII', 'Discorso', 'Ad alcune coppie di sposi, ai giovani dell'Associazione «Dante e Leonardo» e ad un gruppo di pellegrini', 'pixii-dis-', '31 maggio 1939', '31/05/1939', '1939/05/31'],</v>
      </c>
      <c r="Z903" s="29" t="str">
        <f t="shared" si="289"/>
        <v>Ad alcune coppie di sposi, ai giovani dell'Associazione «Dante e Leonardo» e ad un gruppo di pellegrini (14396) | Pio XII</v>
      </c>
      <c r="AA903" s="29" t="str">
        <f t="shared" si="290"/>
        <v>Discorso Ad alcune coppie di sposi, ai giovani dell'Associazione «Dante e Leonardo» e ad un gruppo di pellegrini</v>
      </c>
      <c r="AB903" s="29" t="str">
        <f t="shared" si="291"/>
        <v>Discorso Ad alcune coppie di sposi, ai giovani dell'Associazione «Dante e Leonardo» e ad un gruppo di pellegrini</v>
      </c>
      <c r="AC903" s="29" t="str">
        <f t="shared" si="292"/>
        <v>Pio XII, Discorso Ad alcune coppie di sposi, ai giovani dell'Associazione «Dante e Leonardo» e ad un gruppo di pellegrini, 31 maggio 1939</v>
      </c>
      <c r="AD903" s="29" t="str">
        <f t="shared" si="293"/>
        <v>1939-05-31T08:00:00.000+02:00</v>
      </c>
      <c r="AE903" s="29" t="str">
        <f t="shared" si="294"/>
        <v>pixii-dis-</v>
      </c>
      <c r="AF903" s="29" t="str">
        <f t="shared" si="295"/>
        <v>Pio XII - Discorso - Ad alcune coppie di sposi, ai giovani dell'Associazione «Dante e Leonardo» e ad un gruppo di pellegrini</v>
      </c>
    </row>
    <row r="904" spans="2:32" x14ac:dyDescent="0.2">
      <c r="B904" s="29">
        <v>260</v>
      </c>
      <c r="C904" s="29" t="s">
        <v>4088</v>
      </c>
      <c r="D904" s="29" t="s">
        <v>715</v>
      </c>
      <c r="E904" s="29" t="s">
        <v>724</v>
      </c>
      <c r="F904" s="29" t="s">
        <v>663</v>
      </c>
      <c r="G904" s="29" t="s">
        <v>659</v>
      </c>
      <c r="H904" s="29" t="str">
        <f t="shared" si="283"/>
        <v>Pio XII</v>
      </c>
      <c r="K904" s="29" t="s">
        <v>827</v>
      </c>
      <c r="L904" s="29" t="str">
        <f t="shared" si="285"/>
        <v>Discorso</v>
      </c>
      <c r="M904" s="29" t="s">
        <v>566</v>
      </c>
      <c r="O904" s="29" t="s">
        <v>4620</v>
      </c>
      <c r="Q904" s="38">
        <v>14398</v>
      </c>
      <c r="R904" s="32">
        <f t="shared" si="286"/>
        <v>2</v>
      </c>
      <c r="S904" s="32"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32">
        <f t="shared" si="287"/>
        <v>1939</v>
      </c>
      <c r="U904" s="29"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3"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9"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9">
        <v>833</v>
      </c>
      <c r="Y904" s="29" t="str">
        <f t="shared" si="288"/>
        <v>['Pio XII', 'Discorso', 'Al Sacro Collegio nel giorno di Sant'Eugenio, onomastico di Sua Santità', 'pixii-dis-', '02 giugno 1939', '02/06/1939', '1939/06/02'],</v>
      </c>
      <c r="Z904" s="29" t="str">
        <f t="shared" si="289"/>
        <v>Al Sacro Collegio nel giorno di Sant'Eugenio, onomastico di Sua Santità (14398) | Pio XII</v>
      </c>
      <c r="AA904" s="29" t="str">
        <f t="shared" si="290"/>
        <v>Discorso Al Sacro Collegio nel giorno di Sant'Eugenio, onomastico di Sua Santità</v>
      </c>
      <c r="AB904" s="29" t="str">
        <f t="shared" si="291"/>
        <v>Discorso Al Sacro Collegio nel giorno di Sant'Eugenio, onomastico di Sua Santità</v>
      </c>
      <c r="AC904" s="29" t="str">
        <f t="shared" si="292"/>
        <v>Pio XII, Discorso Al Sacro Collegio nel giorno di Sant'Eugenio, onomastico di Sua Santità, 02 giugno 1939</v>
      </c>
      <c r="AD904" s="29" t="str">
        <f t="shared" si="293"/>
        <v>1939-06-02T08:00:00.000+02:00</v>
      </c>
      <c r="AE904" s="29" t="str">
        <f t="shared" si="294"/>
        <v>pixii-dis-</v>
      </c>
      <c r="AF904" s="29" t="str">
        <f t="shared" si="295"/>
        <v>Pio XII - Discorso - Al Sacro Collegio nel giorno di Sant'Eugenio, onomastico di Sua Santità</v>
      </c>
    </row>
    <row r="905" spans="2:32" x14ac:dyDescent="0.2">
      <c r="B905" s="29">
        <v>260</v>
      </c>
      <c r="C905" s="29" t="s">
        <v>4089</v>
      </c>
      <c r="D905" s="29" t="s">
        <v>715</v>
      </c>
      <c r="E905" s="29" t="s">
        <v>724</v>
      </c>
      <c r="F905" s="29" t="s">
        <v>663</v>
      </c>
      <c r="G905" s="29" t="s">
        <v>659</v>
      </c>
      <c r="H905" s="29" t="str">
        <f t="shared" si="283"/>
        <v>Pio XII</v>
      </c>
      <c r="K905" s="29" t="s">
        <v>827</v>
      </c>
      <c r="L905" s="29" t="str">
        <f t="shared" si="285"/>
        <v>Discorso</v>
      </c>
      <c r="M905" s="29" t="s">
        <v>566</v>
      </c>
      <c r="O905" s="29" t="s">
        <v>4621</v>
      </c>
      <c r="Q905" s="38">
        <v>14402</v>
      </c>
      <c r="R905" s="32">
        <f t="shared" si="286"/>
        <v>6</v>
      </c>
      <c r="S905" s="32"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32">
        <f t="shared" si="287"/>
        <v>1939</v>
      </c>
      <c r="U905" s="29"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3"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9"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9">
        <v>834</v>
      </c>
      <c r="Y905" s="29" t="str">
        <f t="shared" si="288"/>
        <v>['Pio XII', 'Discorso', 'Per il 950 anniversario del Battesimo di San Vladimiro', 'pixii-dis-', '06 giugno 1939', '06/06/1939', '1939/06/06'],</v>
      </c>
      <c r="Z905" s="29" t="str">
        <f t="shared" si="289"/>
        <v>Per il 950 anniversario del Battesimo di San Vladimiro (14402) | Pio XII</v>
      </c>
      <c r="AA905" s="29" t="str">
        <f t="shared" si="290"/>
        <v>Discorso Per il 950 anniversario del Battesimo di San Vladimiro</v>
      </c>
      <c r="AB905" s="29" t="str">
        <f t="shared" si="291"/>
        <v>Discorso Per il 950 anniversario del Battesimo di San Vladimiro</v>
      </c>
      <c r="AC905" s="29" t="str">
        <f t="shared" si="292"/>
        <v>Pio XII, Discorso Per il 950 anniversario del Battesimo di San Vladimiro, 06 giugno 1939</v>
      </c>
      <c r="AD905" s="29" t="str">
        <f t="shared" si="293"/>
        <v>1939-06-06T08:00:00.000+02:00</v>
      </c>
      <c r="AE905" s="29" t="str">
        <f t="shared" si="294"/>
        <v>pixii-dis-</v>
      </c>
      <c r="AF905" s="29" t="str">
        <f t="shared" si="295"/>
        <v>Pio XII - Discorso - Per il 950 anniversario del Battesimo di San Vladimiro</v>
      </c>
    </row>
    <row r="906" spans="2:32" x14ac:dyDescent="0.2">
      <c r="B906" s="29">
        <v>260</v>
      </c>
      <c r="C906" s="29" t="s">
        <v>4090</v>
      </c>
      <c r="D906" s="29" t="s">
        <v>715</v>
      </c>
      <c r="E906" s="29" t="s">
        <v>724</v>
      </c>
      <c r="F906" s="29" t="s">
        <v>663</v>
      </c>
      <c r="G906" s="29" t="s">
        <v>659</v>
      </c>
      <c r="H906" s="29" t="str">
        <f t="shared" si="283"/>
        <v>Pio XII</v>
      </c>
      <c r="K906" s="29" t="s">
        <v>827</v>
      </c>
      <c r="L906" s="29" t="str">
        <f t="shared" si="285"/>
        <v>Discorso</v>
      </c>
      <c r="M906" s="29" t="s">
        <v>566</v>
      </c>
      <c r="O906" s="29" t="s">
        <v>4622</v>
      </c>
      <c r="Q906" s="38">
        <v>14412</v>
      </c>
      <c r="R906" s="32">
        <f t="shared" si="286"/>
        <v>16</v>
      </c>
      <c r="S906" s="32"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32">
        <f t="shared" si="287"/>
        <v>1939</v>
      </c>
      <c r="U906" s="29"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3"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9"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9">
        <v>831</v>
      </c>
      <c r="Y906" s="29" t="str">
        <f t="shared" si="288"/>
        <v>['Pio XII', 'Discorso', 'Ad un gruppo di sacerdoti, Assistenti di Associazioni di Azione Cattolica', 'pixii-dis-', '16 giugno 1939', '16/06/1939', '1939/06/16'],</v>
      </c>
      <c r="Z906" s="29" t="str">
        <f t="shared" si="289"/>
        <v>Ad un gruppo di sacerdoti, Assistenti di Associazioni di Azione Cattolica (14412) | Pio XII</v>
      </c>
      <c r="AA906" s="29" t="str">
        <f t="shared" si="290"/>
        <v>Discorso Ad un gruppo di sacerdoti, Assistenti di Associazioni di Azione Cattolica</v>
      </c>
      <c r="AB906" s="29" t="str">
        <f t="shared" si="291"/>
        <v>Discorso Ad un gruppo di sacerdoti, Assistenti di Associazioni di Azione Cattolica</v>
      </c>
      <c r="AC906" s="29" t="str">
        <f t="shared" si="292"/>
        <v>Pio XII, Discorso Ad un gruppo di sacerdoti, Assistenti di Associazioni di Azione Cattolica, 16 giugno 1939</v>
      </c>
      <c r="AD906" s="29" t="str">
        <f t="shared" si="293"/>
        <v>1939-06-16T08:00:00.000+02:00</v>
      </c>
      <c r="AE906" s="29" t="str">
        <f t="shared" si="294"/>
        <v>pixii-dis-</v>
      </c>
      <c r="AF906" s="29" t="str">
        <f t="shared" si="295"/>
        <v>Pio XII - Discorso - Ad un gruppo di sacerdoti, Assistenti di Associazioni di Azione Cattolica</v>
      </c>
    </row>
    <row r="907" spans="2:32" x14ac:dyDescent="0.2">
      <c r="B907" s="29">
        <v>260</v>
      </c>
      <c r="C907" s="29" t="s">
        <v>4091</v>
      </c>
      <c r="D907" s="29" t="s">
        <v>715</v>
      </c>
      <c r="E907" s="29" t="s">
        <v>724</v>
      </c>
      <c r="F907" s="29" t="s">
        <v>663</v>
      </c>
      <c r="G907" s="29" t="s">
        <v>659</v>
      </c>
      <c r="H907" s="29" t="str">
        <f t="shared" si="283"/>
        <v>Pio XII</v>
      </c>
      <c r="K907" s="29" t="s">
        <v>827</v>
      </c>
      <c r="L907" s="29" t="str">
        <f t="shared" si="285"/>
        <v>Discorso</v>
      </c>
      <c r="M907" s="29" t="s">
        <v>566</v>
      </c>
      <c r="O907" s="29" t="s">
        <v>4623</v>
      </c>
      <c r="Q907" s="38">
        <v>14459</v>
      </c>
      <c r="R907" s="32">
        <f t="shared" si="286"/>
        <v>2</v>
      </c>
      <c r="S907" s="32"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32">
        <f t="shared" si="287"/>
        <v>1939</v>
      </c>
      <c r="U907" s="29"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3"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9"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9">
        <v>832</v>
      </c>
      <c r="Y907" s="29" t="str">
        <f t="shared" si="288"/>
        <v>['Pio XII', 'Discorso', 'Al Capitolo dei SS. Celso e Giuliano', 'pixii-dis-', '02 agosto 1939', '02/08/1939', '1939/08/02'],</v>
      </c>
      <c r="Z907" s="29" t="str">
        <f t="shared" si="289"/>
        <v>Al Capitolo dei SS. Celso e Giuliano (14459) | Pio XII</v>
      </c>
      <c r="AA907" s="29" t="str">
        <f t="shared" si="290"/>
        <v>Discorso Al Capitolo dei SS. Celso e Giuliano</v>
      </c>
      <c r="AB907" s="29" t="str">
        <f t="shared" si="291"/>
        <v>Discorso Al Capitolo dei SS. Celso e Giuliano</v>
      </c>
      <c r="AC907" s="29" t="str">
        <f t="shared" si="292"/>
        <v>Pio XII, Discorso Al Capitolo dei SS. Celso e Giuliano, 02 agosto 1939</v>
      </c>
      <c r="AD907" s="29" t="str">
        <f t="shared" si="293"/>
        <v>1939-08-02T08:00:00.000+02:00</v>
      </c>
      <c r="AE907" s="29" t="str">
        <f t="shared" si="294"/>
        <v>pixii-dis-</v>
      </c>
      <c r="AF907" s="29" t="str">
        <f t="shared" si="295"/>
        <v>Pio XII - Discorso - Al Capitolo dei SS. Celso e Giuliano</v>
      </c>
    </row>
    <row r="908" spans="2:32" x14ac:dyDescent="0.2">
      <c r="B908" s="29">
        <v>260</v>
      </c>
      <c r="C908" s="29" t="s">
        <v>4092</v>
      </c>
      <c r="D908" s="29" t="s">
        <v>715</v>
      </c>
      <c r="E908" s="29" t="s">
        <v>724</v>
      </c>
      <c r="F908" s="29" t="s">
        <v>663</v>
      </c>
      <c r="G908" s="29" t="s">
        <v>659</v>
      </c>
      <c r="H908" s="29" t="str">
        <f t="shared" si="283"/>
        <v>Pio XII</v>
      </c>
      <c r="K908" s="29" t="s">
        <v>827</v>
      </c>
      <c r="L908" s="29" t="str">
        <f t="shared" si="285"/>
        <v>Discorso</v>
      </c>
      <c r="M908" s="29" t="s">
        <v>566</v>
      </c>
      <c r="O908" s="29" t="s">
        <v>4624</v>
      </c>
      <c r="Q908" s="38">
        <v>14477</v>
      </c>
      <c r="R908" s="32">
        <f t="shared" si="286"/>
        <v>20</v>
      </c>
      <c r="S908" s="32"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32">
        <f t="shared" si="287"/>
        <v>1939</v>
      </c>
      <c r="U908" s="29"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3"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9"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9">
        <v>833</v>
      </c>
      <c r="Y908" s="29" t="str">
        <f t="shared" si="288"/>
        <v>['Pio XII', 'Discorso', 'Ai fedeli delle diocesi venete, in occasione del venticinquesimo della morte di Pio X', 'pixii-dis-', '20 agosto 1939', '20/08/1939', '1939/08/20'],</v>
      </c>
      <c r="Z908" s="29" t="str">
        <f t="shared" si="289"/>
        <v>Ai fedeli delle diocesi venete, in occasione del venticinquesimo della morte di Pio X (14477) | Pio XII</v>
      </c>
      <c r="AA908" s="29" t="str">
        <f t="shared" si="290"/>
        <v>Discorso Ai fedeli delle diocesi venete, in occasione del venticinquesimo della morte di Pio X</v>
      </c>
      <c r="AB908" s="29" t="str">
        <f t="shared" si="291"/>
        <v>Discorso Ai fedeli delle diocesi venete, in occasione del venticinquesimo della morte di Pio X</v>
      </c>
      <c r="AC908" s="29" t="str">
        <f t="shared" si="292"/>
        <v>Pio XII, Discorso Ai fedeli delle diocesi venete, in occasione del venticinquesimo della morte di Pio X, 20 agosto 1939</v>
      </c>
      <c r="AD908" s="29" t="str">
        <f t="shared" si="293"/>
        <v>1939-08-20T08:00:00.000+02:00</v>
      </c>
      <c r="AE908" s="29" t="str">
        <f t="shared" si="294"/>
        <v>pixii-dis-</v>
      </c>
      <c r="AF908" s="29" t="str">
        <f t="shared" si="295"/>
        <v>Pio XII - Discorso - Ai fedeli delle diocesi venete, in occasione del venticinquesimo della morte di Pio X</v>
      </c>
    </row>
    <row r="909" spans="2:32" x14ac:dyDescent="0.2">
      <c r="B909" s="29">
        <v>260</v>
      </c>
      <c r="C909" s="29" t="s">
        <v>4093</v>
      </c>
      <c r="D909" s="29" t="s">
        <v>715</v>
      </c>
      <c r="E909" s="29" t="s">
        <v>724</v>
      </c>
      <c r="F909" s="29" t="s">
        <v>663</v>
      </c>
      <c r="G909" s="29" t="s">
        <v>659</v>
      </c>
      <c r="H909" s="29" t="str">
        <f t="shared" si="283"/>
        <v>Pio XII</v>
      </c>
      <c r="K909" s="29" t="s">
        <v>827</v>
      </c>
      <c r="L909" s="29" t="str">
        <f t="shared" si="285"/>
        <v>Discorso</v>
      </c>
      <c r="M909" s="29" t="s">
        <v>566</v>
      </c>
      <c r="O909" s="29" t="s">
        <v>4625</v>
      </c>
      <c r="Q909" s="38">
        <v>14481</v>
      </c>
      <c r="R909" s="32">
        <f t="shared" si="286"/>
        <v>24</v>
      </c>
      <c r="S909" s="32"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32">
        <f t="shared" si="287"/>
        <v>1939</v>
      </c>
      <c r="U909" s="29"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3"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9"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9">
        <v>834</v>
      </c>
      <c r="Y909" s="29" t="str">
        <f t="shared" si="288"/>
        <v>['Pio XII', 'Discorso', 'Radiomessaggio di pace rivolto ai Governanti e ai Popoli nell'imminente pericolo della guerra', 'pixii-dis-', '24 agosto 1939', '24/08/1939', '1939/08/24'],</v>
      </c>
      <c r="Z909" s="29" t="str">
        <f t="shared" si="289"/>
        <v>Radiomessaggio di pace rivolto ai Governanti e ai Popoli nell'imminente pericolo della guerra (14481) | Pio XII</v>
      </c>
      <c r="AA909" s="29" t="str">
        <f t="shared" si="290"/>
        <v>Discorso Radiomessaggio di pace rivolto ai Governanti e ai Popoli nell'imminente pericolo della guerra</v>
      </c>
      <c r="AB909" s="29" t="str">
        <f t="shared" si="291"/>
        <v>Discorso Radiomessaggio di pace rivolto ai Governanti e ai Popoli nell'imminente pericolo della guerra</v>
      </c>
      <c r="AC909" s="29" t="str">
        <f t="shared" si="292"/>
        <v>Pio XII, Discorso Radiomessaggio di pace rivolto ai Governanti e ai Popoli nell'imminente pericolo della guerra, 24 agosto 1939</v>
      </c>
      <c r="AD909" s="29" t="str">
        <f t="shared" si="293"/>
        <v>1939-08-24T08:00:00.000+02:00</v>
      </c>
      <c r="AE909" s="29" t="str">
        <f t="shared" si="294"/>
        <v>pixii-dis-</v>
      </c>
      <c r="AF909" s="29" t="str">
        <f t="shared" si="295"/>
        <v>Pio XII - Discorso - Radiomessaggio di pace rivolto ai Governanti e ai Popoli nell'imminente pericolo della guerra</v>
      </c>
    </row>
    <row r="910" spans="2:32" x14ac:dyDescent="0.2">
      <c r="B910" s="29">
        <v>260</v>
      </c>
      <c r="C910" s="29" t="s">
        <v>4094</v>
      </c>
      <c r="D910" s="29" t="s">
        <v>715</v>
      </c>
      <c r="E910" s="29" t="s">
        <v>724</v>
      </c>
      <c r="F910" s="29" t="s">
        <v>663</v>
      </c>
      <c r="G910" s="29" t="s">
        <v>659</v>
      </c>
      <c r="H910" s="29" t="str">
        <f t="shared" si="283"/>
        <v>Pio XII</v>
      </c>
      <c r="K910" s="29" t="s">
        <v>827</v>
      </c>
      <c r="L910" s="29" t="str">
        <f t="shared" si="285"/>
        <v>Discorso</v>
      </c>
      <c r="M910" s="29" t="s">
        <v>566</v>
      </c>
      <c r="O910" s="29" t="s">
        <v>4626</v>
      </c>
      <c r="Q910" s="38">
        <v>14520</v>
      </c>
      <c r="R910" s="32">
        <f t="shared" si="286"/>
        <v>2</v>
      </c>
      <c r="S910" s="32"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32">
        <f t="shared" si="287"/>
        <v>1939</v>
      </c>
      <c r="U910" s="29"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3"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9"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9">
        <v>831</v>
      </c>
      <c r="Y910" s="29" t="str">
        <f t="shared" si="288"/>
        <v>['Pio XII', 'Discorso', 'Al Collegio degli Uditori, Officiali ed Avvocati della Sacra Romana Rota all'inizio del nuovo anno giuridico', 'pixii-dis-', '02 ottobre 1939', '02/10/1939', '1939/10/02'],</v>
      </c>
      <c r="Z910" s="29" t="str">
        <f t="shared" si="289"/>
        <v>Al Collegio degli Uditori, Officiali ed Avvocati della Sacra Romana Rota all'inizio del nuovo anno giuridico (14520) | Pio XII</v>
      </c>
      <c r="AA910" s="29" t="str">
        <f t="shared" si="290"/>
        <v>Discorso Al Collegio degli Uditori, Officiali ed Avvocati della Sacra Romana Rota all'inizio del nuovo anno giuridico</v>
      </c>
      <c r="AB910" s="29" t="str">
        <f t="shared" si="291"/>
        <v>Discorso Al Collegio degli Uditori, Officiali ed Avvocati della Sacra Romana Rota all'inizio del nuovo anno giuridico</v>
      </c>
      <c r="AC910" s="29" t="str">
        <f t="shared" si="292"/>
        <v>Pio XII, Discorso Al Collegio degli Uditori, Officiali ed Avvocati della Sacra Romana Rota all'inizio del nuovo anno giuridico, 02 ottobre 1939</v>
      </c>
      <c r="AD910" s="29" t="str">
        <f t="shared" si="293"/>
        <v>1939-10-02T08:00:00.000+02:00</v>
      </c>
      <c r="AE910" s="29" t="str">
        <f t="shared" si="294"/>
        <v>pixii-dis-</v>
      </c>
      <c r="AF910" s="29" t="str">
        <f t="shared" si="295"/>
        <v>Pio XII - Discorso - Al Collegio degli Uditori, Officiali ed Avvocati della Sacra Romana Rota all'inizio del nuovo anno giuridico</v>
      </c>
    </row>
    <row r="911" spans="2:32" x14ac:dyDescent="0.2">
      <c r="B911" s="29">
        <v>260</v>
      </c>
      <c r="C911" s="29" t="s">
        <v>4095</v>
      </c>
      <c r="D911" s="29" t="s">
        <v>715</v>
      </c>
      <c r="E911" s="29" t="s">
        <v>724</v>
      </c>
      <c r="F911" s="29" t="s">
        <v>663</v>
      </c>
      <c r="G911" s="29" t="s">
        <v>659</v>
      </c>
      <c r="H911" s="29" t="str">
        <f t="shared" si="283"/>
        <v>Pio XII</v>
      </c>
      <c r="K911" s="29" t="s">
        <v>827</v>
      </c>
      <c r="L911" s="29" t="str">
        <f t="shared" si="285"/>
        <v>Discorso</v>
      </c>
      <c r="M911" s="29" t="s">
        <v>566</v>
      </c>
      <c r="O911" s="29" t="s">
        <v>4627</v>
      </c>
      <c r="Q911" s="38">
        <v>14540</v>
      </c>
      <c r="R911" s="32">
        <f t="shared" si="286"/>
        <v>22</v>
      </c>
      <c r="S911" s="32"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32">
        <f t="shared" si="287"/>
        <v>1939</v>
      </c>
      <c r="U911" s="29"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3"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9"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9">
        <v>832</v>
      </c>
      <c r="Y911" s="29" t="str">
        <f t="shared" si="288"/>
        <v>['Pio XII', 'Discorso', 'A una folta rappresentanza della popolazione di Castel Gandolfo', 'pixii-dis-', '22 ottobre 1939', '22/10/1939', '1939/10/22'],</v>
      </c>
      <c r="Z911" s="29" t="str">
        <f t="shared" si="289"/>
        <v>A una folta rappresentanza della popolazione di Castel Gandolfo (14540) | Pio XII</v>
      </c>
      <c r="AA911" s="29" t="str">
        <f t="shared" si="290"/>
        <v>Discorso A una folta rappresentanza della popolazione di Castel Gandolfo</v>
      </c>
      <c r="AB911" s="29" t="str">
        <f t="shared" si="291"/>
        <v>Discorso A una folta rappresentanza della popolazione di Castel Gandolfo</v>
      </c>
      <c r="AC911" s="29" t="str">
        <f t="shared" si="292"/>
        <v>Pio XII, Discorso A una folta rappresentanza della popolazione di Castel Gandolfo, 22 ottobre 1939</v>
      </c>
      <c r="AD911" s="29" t="str">
        <f t="shared" si="293"/>
        <v>1939-10-22T08:00:00.000+02:00</v>
      </c>
      <c r="AE911" s="29" t="str">
        <f t="shared" si="294"/>
        <v>pixii-dis-</v>
      </c>
      <c r="AF911" s="29" t="str">
        <f t="shared" si="295"/>
        <v>Pio XII - Discorso - A una folta rappresentanza della popolazione di Castel Gandolfo</v>
      </c>
    </row>
    <row r="912" spans="2:32" x14ac:dyDescent="0.2">
      <c r="B912" s="29">
        <v>260</v>
      </c>
      <c r="C912" s="29" t="s">
        <v>4096</v>
      </c>
      <c r="D912" s="29" t="s">
        <v>715</v>
      </c>
      <c r="E912" s="29" t="s">
        <v>724</v>
      </c>
      <c r="F912" s="29" t="s">
        <v>663</v>
      </c>
      <c r="G912" s="29" t="s">
        <v>659</v>
      </c>
      <c r="H912" s="29" t="str">
        <f t="shared" si="283"/>
        <v>Pio XII</v>
      </c>
      <c r="K912" s="29" t="s">
        <v>827</v>
      </c>
      <c r="L912" s="29" t="str">
        <f t="shared" si="285"/>
        <v>Discorso</v>
      </c>
      <c r="M912" s="29" t="s">
        <v>566</v>
      </c>
      <c r="O912" s="29" t="s">
        <v>4628</v>
      </c>
      <c r="Q912" s="38">
        <v>14544</v>
      </c>
      <c r="R912" s="32">
        <f t="shared" si="286"/>
        <v>26</v>
      </c>
      <c r="S912" s="32"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32">
        <f t="shared" si="287"/>
        <v>1939</v>
      </c>
      <c r="U912" s="29"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3"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9"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9">
        <v>833</v>
      </c>
      <c r="Y912" s="29" t="str">
        <f t="shared" si="288"/>
        <v>['Pio XII', 'Discorso', 'Ai Carabinieri e ai Metropolitani in servizio a Castel Gandolfo', 'pixii-dis-', '26 ottobre 1939', '26/10/1939', '1939/10/26'],</v>
      </c>
      <c r="Z912" s="29" t="str">
        <f t="shared" si="289"/>
        <v>Ai Carabinieri e ai Metropolitani in servizio a Castel Gandolfo (14544) | Pio XII</v>
      </c>
      <c r="AA912" s="29" t="str">
        <f t="shared" si="290"/>
        <v>Discorso Ai Carabinieri e ai Metropolitani in servizio a Castel Gandolfo</v>
      </c>
      <c r="AB912" s="29" t="str">
        <f t="shared" si="291"/>
        <v>Discorso Ai Carabinieri e ai Metropolitani in servizio a Castel Gandolfo</v>
      </c>
      <c r="AC912" s="29" t="str">
        <f t="shared" si="292"/>
        <v>Pio XII, Discorso Ai Carabinieri e ai Metropolitani in servizio a Castel Gandolfo, 26 ottobre 1939</v>
      </c>
      <c r="AD912" s="29" t="str">
        <f t="shared" si="293"/>
        <v>1939-10-26T08:00:00.000+02:00</v>
      </c>
      <c r="AE912" s="29" t="str">
        <f t="shared" si="294"/>
        <v>pixii-dis-</v>
      </c>
      <c r="AF912" s="29" t="str">
        <f t="shared" si="295"/>
        <v>Pio XII - Discorso - Ai Carabinieri e ai Metropolitani in servizio a Castel Gandolfo</v>
      </c>
    </row>
    <row r="913" spans="2:32" x14ac:dyDescent="0.2">
      <c r="B913" s="29">
        <v>260</v>
      </c>
      <c r="C913" s="29" t="s">
        <v>4097</v>
      </c>
      <c r="D913" s="29" t="s">
        <v>715</v>
      </c>
      <c r="E913" s="29" t="s">
        <v>724</v>
      </c>
      <c r="F913" s="29" t="s">
        <v>663</v>
      </c>
      <c r="G913" s="29" t="s">
        <v>659</v>
      </c>
      <c r="H913" s="29" t="str">
        <f t="shared" si="283"/>
        <v>Pio XII</v>
      </c>
      <c r="K913" s="29" t="s">
        <v>827</v>
      </c>
      <c r="L913" s="29" t="str">
        <f t="shared" si="285"/>
        <v>Discorso</v>
      </c>
      <c r="M913" s="29" t="s">
        <v>566</v>
      </c>
      <c r="O913" s="29" t="s">
        <v>4629</v>
      </c>
      <c r="Q913" s="38">
        <v>14562</v>
      </c>
      <c r="R913" s="32">
        <f t="shared" si="286"/>
        <v>13</v>
      </c>
      <c r="S913" s="32"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32">
        <f t="shared" si="287"/>
        <v>1939</v>
      </c>
      <c r="U913" s="29"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3"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9"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9">
        <v>834</v>
      </c>
      <c r="Y913" s="29" t="str">
        <f t="shared" si="288"/>
        <v>['Pio XII', 'Discorso', 'Radiomessaggio in occasione del cinquantenario dell'Università Cattolica di Washington', 'pixii-dis-', '13 novembre 1939', '13/11/1939', '1939/11/13'],</v>
      </c>
      <c r="Z913" s="29" t="str">
        <f t="shared" si="289"/>
        <v>Radiomessaggio in occasione del cinquantenario dell'Università Cattolica di Washington (14562) | Pio XII</v>
      </c>
      <c r="AA913" s="29" t="str">
        <f t="shared" si="290"/>
        <v>Discorso Radiomessaggio in occasione del cinquantenario dell'Università Cattolica di Washington</v>
      </c>
      <c r="AB913" s="29" t="str">
        <f t="shared" si="291"/>
        <v>Discorso Radiomessaggio in occasione del cinquantenario dell'Università Cattolica di Washington</v>
      </c>
      <c r="AC913" s="29" t="str">
        <f t="shared" si="292"/>
        <v>Pio XII, Discorso Radiomessaggio in occasione del cinquantenario dell'Università Cattolica di Washington, 13 novembre 1939</v>
      </c>
      <c r="AD913" s="29" t="str">
        <f t="shared" si="293"/>
        <v>1939-11-13T08:00:00.000+02:00</v>
      </c>
      <c r="AE913" s="29" t="str">
        <f t="shared" si="294"/>
        <v>pixii-dis-</v>
      </c>
      <c r="AF913" s="29" t="str">
        <f t="shared" si="295"/>
        <v>Pio XII - Discorso - Radiomessaggio in occasione del cinquantenario dell'Università Cattolica di Washington</v>
      </c>
    </row>
    <row r="914" spans="2:32" x14ac:dyDescent="0.2">
      <c r="B914" s="29">
        <v>260</v>
      </c>
      <c r="C914" s="29" t="s">
        <v>4098</v>
      </c>
      <c r="D914" s="29" t="s">
        <v>715</v>
      </c>
      <c r="E914" s="29" t="s">
        <v>724</v>
      </c>
      <c r="F914" s="29" t="s">
        <v>663</v>
      </c>
      <c r="G914" s="29" t="s">
        <v>659</v>
      </c>
      <c r="H914" s="29" t="str">
        <f t="shared" si="283"/>
        <v>Pio XII</v>
      </c>
      <c r="K914" s="29" t="s">
        <v>827</v>
      </c>
      <c r="L914" s="29" t="str">
        <f t="shared" si="285"/>
        <v>Discorso</v>
      </c>
      <c r="M914" s="29" t="s">
        <v>566</v>
      </c>
      <c r="O914" s="29" t="s">
        <v>4630</v>
      </c>
      <c r="Q914" s="38">
        <v>14582</v>
      </c>
      <c r="R914" s="32">
        <f t="shared" ref="R914:R977" si="296">IF(ISERROR(DAY(Q914)),TEXT((LEFT(Q914,2)),"00"),DAY(Q914))</f>
        <v>3</v>
      </c>
      <c r="S914" s="32"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32">
        <f t="shared" ref="T914:T977" si="297">IF(ISERROR(DAY(Q914)),VALUE(RIGHT(Q914,4)),YEAR(Q914))</f>
        <v>1939</v>
      </c>
      <c r="U914" s="29"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3"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9"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9">
        <v>831</v>
      </c>
      <c r="Y914" s="29" t="str">
        <f t="shared" si="288"/>
        <v>['Pio XII', 'Discorso', 'In occasione dell'inaugurazione del IV anno della Pontificia Accademia delle Scienze', 'pixii-dis-', '03 dicembre 1939', '03/12/1939', '1939/12/03'],</v>
      </c>
      <c r="Z914" s="29" t="str">
        <f t="shared" si="289"/>
        <v>In occasione dell'inaugurazione del IV anno della Pontificia Accademia delle Scienze (14582) | Pio XII</v>
      </c>
      <c r="AA914" s="29" t="str">
        <f t="shared" si="290"/>
        <v>Discorso In occasione dell'inaugurazione del IV anno della Pontificia Accademia delle Scienze</v>
      </c>
      <c r="AB914" s="29" t="str">
        <f t="shared" si="291"/>
        <v>Discorso In occasione dell'inaugurazione del IV anno della Pontificia Accademia delle Scienze</v>
      </c>
      <c r="AC914" s="29" t="str">
        <f t="shared" si="292"/>
        <v>Pio XII, Discorso In occasione dell'inaugurazione del IV anno della Pontificia Accademia delle Scienze, 03 dicembre 1939</v>
      </c>
      <c r="AD914" s="29" t="str">
        <f t="shared" si="293"/>
        <v>1939-12-03T08:00:00.000+02:00</v>
      </c>
      <c r="AE914" s="29" t="str">
        <f t="shared" si="294"/>
        <v>pixii-dis-</v>
      </c>
      <c r="AF914" s="29" t="str">
        <f t="shared" si="295"/>
        <v>Pio XII - Discorso - In occasione dell'inaugurazione del IV anno della Pontificia Accademia delle Scienze</v>
      </c>
    </row>
    <row r="915" spans="2:32" x14ac:dyDescent="0.2">
      <c r="B915" s="29">
        <v>260</v>
      </c>
      <c r="C915" s="29" t="s">
        <v>4099</v>
      </c>
      <c r="D915" s="29" t="s">
        <v>715</v>
      </c>
      <c r="E915" s="29" t="s">
        <v>724</v>
      </c>
      <c r="F915" s="29" t="s">
        <v>663</v>
      </c>
      <c r="G915" s="29" t="s">
        <v>659</v>
      </c>
      <c r="H915" s="29" t="str">
        <f t="shared" si="283"/>
        <v>Pio XII</v>
      </c>
      <c r="K915" s="29" t="s">
        <v>827</v>
      </c>
      <c r="L915" s="29" t="str">
        <f t="shared" si="285"/>
        <v>Discorso</v>
      </c>
      <c r="M915" s="29" t="s">
        <v>566</v>
      </c>
      <c r="O915" s="29" t="s">
        <v>4631</v>
      </c>
      <c r="Q915" s="38">
        <v>14586</v>
      </c>
      <c r="R915" s="32">
        <f t="shared" si="296"/>
        <v>7</v>
      </c>
      <c r="S915" s="32"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32">
        <f t="shared" si="297"/>
        <v>1939</v>
      </c>
      <c r="U915" s="29"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3"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9"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9">
        <v>832</v>
      </c>
      <c r="Y915" s="29" t="str">
        <f t="shared" si="288"/>
        <v>['Pio XII', 'Discorso', 'Al nuovo Ambasciatore d'Italia, Sua Ecc. Dino Alfieri, in occasione della presentazione delle Lettere Credenziali', 'pixii-dis-', '07 dicembre 1939', '07/12/1939', '1939/12/07'],</v>
      </c>
      <c r="Z915" s="29" t="str">
        <f t="shared" si="289"/>
        <v>Al nuovo Ambasciatore d'Italia, Sua Ecc. Dino Alfieri, in occasione della presentazione delle Lettere Credenziali (14586) | Pio XII</v>
      </c>
      <c r="AA915" s="29" t="str">
        <f t="shared" si="290"/>
        <v>Discorso Al nuovo Ambasciatore d'Italia, Sua Ecc. Dino Alfieri, in occasione della presentazione delle Lettere Credenziali</v>
      </c>
      <c r="AB915" s="29" t="str">
        <f t="shared" si="291"/>
        <v>Discorso Al nuovo Ambasciatore d'Italia, Sua Ecc. Dino Alfieri, in occasione della presentazione delle Lettere Credenziali</v>
      </c>
      <c r="AC915" s="29" t="str">
        <f t="shared" si="292"/>
        <v>Pio XII, Discorso Al nuovo Ambasciatore d'Italia, Sua Ecc. Dino Alfieri, in occasione della presentazione delle Lettere Credenziali, 07 dicembre 1939</v>
      </c>
      <c r="AD915" s="29" t="str">
        <f t="shared" si="293"/>
        <v>1939-12-07T08:00:00.000+02:00</v>
      </c>
      <c r="AE915" s="29" t="str">
        <f t="shared" si="294"/>
        <v>pixii-dis-</v>
      </c>
      <c r="AF915" s="29" t="str">
        <f t="shared" si="295"/>
        <v>Pio XII - Discorso - Al nuovo Ambasciatore d'Italia, Sua Ecc. Dino Alfieri, in occasione della presentazione delle Lettere Credenziali</v>
      </c>
    </row>
    <row r="916" spans="2:32" x14ac:dyDescent="0.2">
      <c r="B916" s="29">
        <v>260</v>
      </c>
      <c r="C916" s="29" t="s">
        <v>4100</v>
      </c>
      <c r="D916" s="29" t="s">
        <v>715</v>
      </c>
      <c r="E916" s="29" t="s">
        <v>724</v>
      </c>
      <c r="F916" s="29" t="s">
        <v>663</v>
      </c>
      <c r="G916" s="29" t="s">
        <v>659</v>
      </c>
      <c r="H916" s="29" t="str">
        <f t="shared" si="283"/>
        <v>Pio XII</v>
      </c>
      <c r="K916" s="29" t="s">
        <v>827</v>
      </c>
      <c r="L916" s="29" t="str">
        <f t="shared" si="285"/>
        <v>Discorso</v>
      </c>
      <c r="M916" s="29" t="s">
        <v>566</v>
      </c>
      <c r="O916" s="29" t="s">
        <v>4632</v>
      </c>
      <c r="Q916" s="38">
        <v>14600</v>
      </c>
      <c r="R916" s="32">
        <f t="shared" si="296"/>
        <v>21</v>
      </c>
      <c r="S916" s="32"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32">
        <f t="shared" si="297"/>
        <v>1939</v>
      </c>
      <c r="U916" s="29"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3"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9"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9">
        <v>833</v>
      </c>
      <c r="Y916" s="29" t="str">
        <f t="shared" si="288"/>
        <v>['Pio XII', 'Discorso', 'Ai Sovrani d'Italia', 'pixii-dis-', '21 dicembre 1939', '21/12/1939', '1939/12/21'],</v>
      </c>
      <c r="Z916" s="29" t="str">
        <f t="shared" si="289"/>
        <v>Ai Sovrani d'Italia (14600) | Pio XII</v>
      </c>
      <c r="AA916" s="29" t="str">
        <f t="shared" si="290"/>
        <v>Discorso Ai Sovrani d'Italia</v>
      </c>
      <c r="AB916" s="29" t="str">
        <f t="shared" si="291"/>
        <v>Discorso Ai Sovrani d'Italia</v>
      </c>
      <c r="AC916" s="29" t="str">
        <f t="shared" si="292"/>
        <v>Pio XII, Discorso Ai Sovrani d'Italia, 21 dicembre 1939</v>
      </c>
      <c r="AD916" s="29" t="str">
        <f t="shared" si="293"/>
        <v>1939-12-21T08:00:00.000+02:00</v>
      </c>
      <c r="AE916" s="29" t="str">
        <f t="shared" si="294"/>
        <v>pixii-dis-</v>
      </c>
      <c r="AF916" s="29" t="str">
        <f t="shared" si="295"/>
        <v>Pio XII - Discorso - Ai Sovrani d'Italia</v>
      </c>
    </row>
    <row r="917" spans="2:32" x14ac:dyDescent="0.2">
      <c r="B917" s="29">
        <v>260</v>
      </c>
      <c r="C917" s="29" t="s">
        <v>4101</v>
      </c>
      <c r="D917" s="29" t="s">
        <v>715</v>
      </c>
      <c r="E917" s="29" t="s">
        <v>724</v>
      </c>
      <c r="F917" s="29" t="s">
        <v>663</v>
      </c>
      <c r="G917" s="29" t="s">
        <v>659</v>
      </c>
      <c r="H917" s="29" t="str">
        <f t="shared" si="283"/>
        <v>Pio XII</v>
      </c>
      <c r="K917" s="29" t="s">
        <v>827</v>
      </c>
      <c r="L917" s="29" t="str">
        <f t="shared" si="285"/>
        <v>Discorso</v>
      </c>
      <c r="M917" s="29" t="s">
        <v>566</v>
      </c>
      <c r="O917" s="29" t="s">
        <v>4633</v>
      </c>
      <c r="Q917" s="38">
        <v>14603</v>
      </c>
      <c r="R917" s="32">
        <f t="shared" si="296"/>
        <v>24</v>
      </c>
      <c r="S917" s="32"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32">
        <f t="shared" si="297"/>
        <v>1939</v>
      </c>
      <c r="U917" s="29"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3"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9"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9">
        <v>834</v>
      </c>
      <c r="Y917" s="29" t="str">
        <f t="shared" si="288"/>
        <v>['Pio XII', 'Discorso', 'Alla Curia Romana in occasione del Natale', 'pixii-dis-', '24 dicembre 1939', '24/12/1939', '1939/12/24'],</v>
      </c>
      <c r="Z917" s="29" t="str">
        <f t="shared" si="289"/>
        <v>Alla Curia Romana in occasione del Natale (14603) | Pio XII</v>
      </c>
      <c r="AA917" s="29" t="str">
        <f t="shared" si="290"/>
        <v>Discorso Alla Curia Romana in occasione del Natale</v>
      </c>
      <c r="AB917" s="29" t="str">
        <f t="shared" si="291"/>
        <v>Discorso Alla Curia Romana in occasione del Natale</v>
      </c>
      <c r="AC917" s="29" t="str">
        <f t="shared" si="292"/>
        <v>Pio XII, Discorso Alla Curia Romana in occasione del Natale, 24 dicembre 1939</v>
      </c>
      <c r="AD917" s="29" t="str">
        <f t="shared" si="293"/>
        <v>1939-12-24T08:00:00.000+02:00</v>
      </c>
      <c r="AE917" s="29" t="str">
        <f t="shared" si="294"/>
        <v>pixii-dis-</v>
      </c>
      <c r="AF917" s="29" t="str">
        <f t="shared" si="295"/>
        <v>Pio XII - Discorso - Alla Curia Romana in occasione del Natale</v>
      </c>
    </row>
    <row r="918" spans="2:32" x14ac:dyDescent="0.2">
      <c r="B918" s="29">
        <v>260</v>
      </c>
      <c r="C918" s="29" t="s">
        <v>4102</v>
      </c>
      <c r="D918" s="29" t="s">
        <v>715</v>
      </c>
      <c r="E918" s="29" t="s">
        <v>724</v>
      </c>
      <c r="F918" s="29" t="s">
        <v>663</v>
      </c>
      <c r="G918" s="29" t="s">
        <v>659</v>
      </c>
      <c r="H918" s="29" t="str">
        <f t="shared" si="283"/>
        <v>Pio XII</v>
      </c>
      <c r="K918" s="29" t="s">
        <v>827</v>
      </c>
      <c r="L918" s="29" t="str">
        <f t="shared" si="285"/>
        <v>Discorso</v>
      </c>
      <c r="M918" s="29" t="s">
        <v>566</v>
      </c>
      <c r="O918" s="29" t="s">
        <v>4634</v>
      </c>
      <c r="Q918" s="38">
        <v>14605</v>
      </c>
      <c r="R918" s="32">
        <f t="shared" si="296"/>
        <v>26</v>
      </c>
      <c r="S918" s="32"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32">
        <f t="shared" si="297"/>
        <v>1939</v>
      </c>
      <c r="U918" s="29"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3"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9"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9">
        <v>834</v>
      </c>
      <c r="Y918" s="29" t="str">
        <f t="shared" si="288"/>
        <v>['Pio XII', 'Discorso', 'Alla Guardia nobile pontificia', 'pixii-dis-', '26 dicembre 1939', '26/12/1939', '1939/12/26'],</v>
      </c>
      <c r="Z918" s="29" t="str">
        <f t="shared" si="289"/>
        <v>Alla Guardia nobile pontificia (14605) | Pio XII</v>
      </c>
      <c r="AA918" s="29" t="str">
        <f t="shared" si="290"/>
        <v>Discorso Alla Guardia nobile pontificia</v>
      </c>
      <c r="AB918" s="29" t="str">
        <f t="shared" si="291"/>
        <v>Discorso Alla Guardia nobile pontificia</v>
      </c>
      <c r="AC918" s="29" t="str">
        <f t="shared" si="292"/>
        <v>Pio XII, Discorso Alla Guardia nobile pontificia, 26 dicembre 1939</v>
      </c>
      <c r="AD918" s="29" t="str">
        <f t="shared" si="293"/>
        <v>1939-12-26T08:00:00.000+02:00</v>
      </c>
      <c r="AE918" s="29" t="str">
        <f t="shared" si="294"/>
        <v>pixii-dis-</v>
      </c>
      <c r="AF918" s="29" t="str">
        <f t="shared" si="295"/>
        <v>Pio XII - Discorso - Alla Guardia nobile pontificia</v>
      </c>
    </row>
    <row r="919" spans="2:32" x14ac:dyDescent="0.2">
      <c r="B919" s="29">
        <v>260</v>
      </c>
      <c r="C919" s="29" t="s">
        <v>4103</v>
      </c>
      <c r="D919" s="29" t="s">
        <v>715</v>
      </c>
      <c r="E919" s="29" t="s">
        <v>724</v>
      </c>
      <c r="F919" s="29" t="s">
        <v>663</v>
      </c>
      <c r="G919" s="29" t="s">
        <v>659</v>
      </c>
      <c r="H919" s="29" t="str">
        <f t="shared" si="283"/>
        <v>Pio XII</v>
      </c>
      <c r="K919" s="29" t="s">
        <v>827</v>
      </c>
      <c r="L919" s="29" t="str">
        <f t="shared" si="285"/>
        <v>Discorso</v>
      </c>
      <c r="M919" s="29" t="s">
        <v>566</v>
      </c>
      <c r="O919" s="29" t="s">
        <v>4635</v>
      </c>
      <c r="Q919" s="38">
        <v>14607</v>
      </c>
      <c r="R919" s="32">
        <f t="shared" si="296"/>
        <v>28</v>
      </c>
      <c r="S919" s="32"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32">
        <f t="shared" si="297"/>
        <v>1939</v>
      </c>
      <c r="U919" s="29"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3"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9"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9">
        <v>831</v>
      </c>
      <c r="Y919" s="29" t="str">
        <f t="shared" si="288"/>
        <v>['Pio XII', 'Discorso', 'Incontro con i sovrani d'Italia al Quirinale', 'pixii-dis-', '28 dicembre 1939', '28/12/1939', '1939/12/28'],</v>
      </c>
      <c r="Z919" s="29" t="str">
        <f t="shared" si="289"/>
        <v>Incontro con i sovrani d'Italia al Quirinale (14607) | Pio XII</v>
      </c>
      <c r="AA919" s="29" t="str">
        <f t="shared" si="290"/>
        <v>Discorso Incontro con i sovrani d'Italia al Quirinale</v>
      </c>
      <c r="AB919" s="29" t="str">
        <f t="shared" si="291"/>
        <v>Discorso Incontro con i sovrani d'Italia al Quirinale</v>
      </c>
      <c r="AC919" s="29" t="str">
        <f t="shared" si="292"/>
        <v>Pio XII, Discorso Incontro con i sovrani d'Italia al Quirinale, 28 dicembre 1939</v>
      </c>
      <c r="AD919" s="29" t="str">
        <f t="shared" si="293"/>
        <v>1939-12-28T08:00:00.000+02:00</v>
      </c>
      <c r="AE919" s="29" t="str">
        <f t="shared" si="294"/>
        <v>pixii-dis-</v>
      </c>
      <c r="AF919" s="29" t="str">
        <f t="shared" si="295"/>
        <v>Pio XII - Discorso - Incontro con i sovrani d'Italia al Quirinale</v>
      </c>
    </row>
    <row r="920" spans="2:32" x14ac:dyDescent="0.2">
      <c r="B920" s="29">
        <v>260</v>
      </c>
      <c r="C920" s="29" t="s">
        <v>4104</v>
      </c>
      <c r="D920" s="29" t="s">
        <v>715</v>
      </c>
      <c r="E920" s="29" t="s">
        <v>724</v>
      </c>
      <c r="F920" s="29" t="s">
        <v>663</v>
      </c>
      <c r="G920" s="29" t="s">
        <v>659</v>
      </c>
      <c r="H920" s="29" t="str">
        <f t="shared" si="283"/>
        <v>Pio XII</v>
      </c>
      <c r="K920" s="29" t="s">
        <v>827</v>
      </c>
      <c r="L920" s="29" t="str">
        <f t="shared" si="285"/>
        <v>Discorso</v>
      </c>
      <c r="M920" s="29" t="s">
        <v>566</v>
      </c>
      <c r="O920" s="29" t="s">
        <v>4636</v>
      </c>
      <c r="Q920" s="38">
        <v>14618</v>
      </c>
      <c r="R920" s="32">
        <f t="shared" si="296"/>
        <v>8</v>
      </c>
      <c r="S920" s="32"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32">
        <f t="shared" si="297"/>
        <v>1940</v>
      </c>
      <c r="U920" s="29"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3"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9"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9">
        <v>832</v>
      </c>
      <c r="Y920" s="29" t="str">
        <f t="shared" si="288"/>
        <v>['Pio XII', 'Discorso', 'Al Patriziato e alla nobiltà romana', 'pixii-dis-', '08 gennaio 1940', '08/01/1940', '1940/01/08'],</v>
      </c>
      <c r="Z920" s="29" t="str">
        <f t="shared" si="289"/>
        <v>Al Patriziato e alla nobiltà romana (14618) | Pio XII</v>
      </c>
      <c r="AA920" s="29" t="str">
        <f t="shared" si="290"/>
        <v>Discorso Al Patriziato e alla nobiltà romana</v>
      </c>
      <c r="AB920" s="29" t="str">
        <f t="shared" si="291"/>
        <v>Discorso Al Patriziato e alla nobiltà romana</v>
      </c>
      <c r="AC920" s="29" t="str">
        <f t="shared" si="292"/>
        <v>Pio XII, Discorso Al Patriziato e alla nobiltà romana, 08 gennaio 1940</v>
      </c>
      <c r="AD920" s="29" t="str">
        <f t="shared" si="293"/>
        <v>1940-01-08T08:00:00.000+02:00</v>
      </c>
      <c r="AE920" s="29" t="str">
        <f t="shared" si="294"/>
        <v>pixii-dis-</v>
      </c>
      <c r="AF920" s="29" t="str">
        <f t="shared" si="295"/>
        <v>Pio XII - Discorso - Al Patriziato e alla nobiltà romana</v>
      </c>
    </row>
    <row r="921" spans="2:32" x14ac:dyDescent="0.2">
      <c r="B921" s="29">
        <v>260</v>
      </c>
      <c r="C921" s="29" t="s">
        <v>4105</v>
      </c>
      <c r="D921" s="29" t="s">
        <v>715</v>
      </c>
      <c r="E921" s="29" t="s">
        <v>724</v>
      </c>
      <c r="F921" s="29" t="s">
        <v>663</v>
      </c>
      <c r="G921" s="29" t="s">
        <v>659</v>
      </c>
      <c r="H921" s="29" t="str">
        <f t="shared" si="283"/>
        <v>Pio XII</v>
      </c>
      <c r="K921" s="29" t="s">
        <v>827</v>
      </c>
      <c r="L921" s="29" t="str">
        <f t="shared" si="285"/>
        <v>Discorso</v>
      </c>
      <c r="M921" s="29" t="s">
        <v>566</v>
      </c>
      <c r="O921" s="29" t="s">
        <v>4637</v>
      </c>
      <c r="Q921" s="38">
        <v>14625</v>
      </c>
      <c r="R921" s="32">
        <f t="shared" si="296"/>
        <v>15</v>
      </c>
      <c r="S921" s="32"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32">
        <f t="shared" si="297"/>
        <v>1940</v>
      </c>
      <c r="U921" s="29"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3"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9"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9">
        <v>833</v>
      </c>
      <c r="Y921" s="29" t="str">
        <f t="shared" si="288"/>
        <v>['Pio XII', 'Discorso', 'Al Sovrano Militare Ordine Gerosolimitano di Malta', 'pixii-dis-', '15 gennaio 1940', '15/01/1940', '1940/01/15'],</v>
      </c>
      <c r="Z921" s="29" t="str">
        <f t="shared" si="289"/>
        <v>Al Sovrano Militare Ordine Gerosolimitano di Malta (14625) | Pio XII</v>
      </c>
      <c r="AA921" s="29" t="str">
        <f t="shared" si="290"/>
        <v>Discorso Al Sovrano Militare Ordine Gerosolimitano di Malta</v>
      </c>
      <c r="AB921" s="29" t="str">
        <f t="shared" si="291"/>
        <v>Discorso Al Sovrano Militare Ordine Gerosolimitano di Malta</v>
      </c>
      <c r="AC921" s="29" t="str">
        <f t="shared" si="292"/>
        <v>Pio XII, Discorso Al Sovrano Militare Ordine Gerosolimitano di Malta, 15 gennaio 1940</v>
      </c>
      <c r="AD921" s="29" t="str">
        <f t="shared" si="293"/>
        <v>1940-01-15T08:00:00.000+02:00</v>
      </c>
      <c r="AE921" s="29" t="str">
        <f t="shared" si="294"/>
        <v>pixii-dis-</v>
      </c>
      <c r="AF921" s="29" t="str">
        <f t="shared" si="295"/>
        <v>Pio XII - Discorso - Al Sovrano Militare Ordine Gerosolimitano di Malta</v>
      </c>
    </row>
    <row r="922" spans="2:32" x14ac:dyDescent="0.2">
      <c r="B922" s="29">
        <v>260</v>
      </c>
      <c r="C922" s="29" t="s">
        <v>4106</v>
      </c>
      <c r="D922" s="29" t="s">
        <v>715</v>
      </c>
      <c r="E922" s="29" t="s">
        <v>724</v>
      </c>
      <c r="F922" s="29" t="s">
        <v>663</v>
      </c>
      <c r="G922" s="29" t="s">
        <v>659</v>
      </c>
      <c r="H922" s="29" t="str">
        <f t="shared" si="283"/>
        <v>Pio XII</v>
      </c>
      <c r="K922" s="29" t="s">
        <v>827</v>
      </c>
      <c r="L922" s="29" t="str">
        <f t="shared" si="285"/>
        <v>Discorso</v>
      </c>
      <c r="M922" s="29" t="s">
        <v>566</v>
      </c>
      <c r="O922" s="29" t="s">
        <v>4638</v>
      </c>
      <c r="Q922" s="38">
        <v>14647</v>
      </c>
      <c r="R922" s="32">
        <f t="shared" si="296"/>
        <v>6</v>
      </c>
      <c r="S922" s="32"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32">
        <f t="shared" si="297"/>
        <v>1940</v>
      </c>
      <c r="U922" s="29"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3"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9"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9">
        <v>834</v>
      </c>
      <c r="Y922" s="29" t="str">
        <f t="shared" si="288"/>
        <v>['Pio XII', 'Discorso', 'Ai Parroci e ai Quaresimalisti di Roma', 'pixii-dis-', '06 febbraio 1940', '06/02/1940', '1940/02/06'],</v>
      </c>
      <c r="Z922" s="29" t="str">
        <f t="shared" si="289"/>
        <v>Ai Parroci e ai Quaresimalisti di Roma (14647) | Pio XII</v>
      </c>
      <c r="AA922" s="29" t="str">
        <f t="shared" si="290"/>
        <v>Discorso Ai Parroci e ai Quaresimalisti di Roma</v>
      </c>
      <c r="AB922" s="29" t="str">
        <f t="shared" si="291"/>
        <v>Discorso Ai Parroci e ai Quaresimalisti di Roma</v>
      </c>
      <c r="AC922" s="29" t="str">
        <f t="shared" si="292"/>
        <v>Pio XII, Discorso Ai Parroci e ai Quaresimalisti di Roma, 06 febbraio 1940</v>
      </c>
      <c r="AD922" s="29" t="str">
        <f t="shared" si="293"/>
        <v>1940-02-06T08:00:00.000+02:00</v>
      </c>
      <c r="AE922" s="29" t="str">
        <f t="shared" si="294"/>
        <v>pixii-dis-</v>
      </c>
      <c r="AF922" s="29" t="str">
        <f t="shared" si="295"/>
        <v>Pio XII - Discorso - Ai Parroci e ai Quaresimalisti di Roma</v>
      </c>
    </row>
    <row r="923" spans="2:32" x14ac:dyDescent="0.2">
      <c r="B923" s="29">
        <v>260</v>
      </c>
      <c r="C923" s="29" t="s">
        <v>4107</v>
      </c>
      <c r="D923" s="29" t="s">
        <v>715</v>
      </c>
      <c r="E923" s="29" t="s">
        <v>724</v>
      </c>
      <c r="F923" s="29" t="s">
        <v>663</v>
      </c>
      <c r="G923" s="29" t="s">
        <v>659</v>
      </c>
      <c r="H923" s="29" t="str">
        <f t="shared" si="283"/>
        <v>Pio XII</v>
      </c>
      <c r="K923" s="29" t="s">
        <v>827</v>
      </c>
      <c r="L923" s="29" t="str">
        <f t="shared" si="285"/>
        <v>Discorso</v>
      </c>
      <c r="M923" s="29" t="s">
        <v>566</v>
      </c>
      <c r="O923" s="29" t="s">
        <v>4639</v>
      </c>
      <c r="Q923" s="38">
        <v>14652</v>
      </c>
      <c r="R923" s="32">
        <f t="shared" si="296"/>
        <v>11</v>
      </c>
      <c r="S923" s="32"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32">
        <f t="shared" si="297"/>
        <v>1940</v>
      </c>
      <c r="U923" s="29"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3"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9"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9">
        <v>831</v>
      </c>
      <c r="Y923" s="29" t="str">
        <f t="shared" si="288"/>
        <v>['Pio XII', 'Discorso', 'Ad un numeroso pellegrinaggio dell'Arcidiocesi di Milano, in occasione del primo anniversario della morte di Pio XI', 'pixii-dis-', '11 febbraio 1940', '11/02/1940', '1940/02/11'],</v>
      </c>
      <c r="Z923" s="29" t="str">
        <f t="shared" si="289"/>
        <v>Ad un numeroso pellegrinaggio dell'Arcidiocesi di Milano, in occasione del primo anniversario della morte di Pio XI (14652) | Pio XII</v>
      </c>
      <c r="AA923" s="29" t="str">
        <f t="shared" si="290"/>
        <v>Discorso Ad un numeroso pellegrinaggio dell'Arcidiocesi di Milano, in occasione del primo anniversario della morte di Pio XI</v>
      </c>
      <c r="AB923" s="29" t="str">
        <f t="shared" si="291"/>
        <v>Discorso Ad un numeroso pellegrinaggio dell'Arcidiocesi di Milano, in occasione del primo anniversario della morte di Pio XI</v>
      </c>
      <c r="AC923" s="29" t="str">
        <f t="shared" si="292"/>
        <v>Pio XII, Discorso Ad un numeroso pellegrinaggio dell'Arcidiocesi di Milano, in occasione del primo anniversario della morte di Pio XI, 11 febbraio 1940</v>
      </c>
      <c r="AD923" s="29" t="str">
        <f t="shared" si="293"/>
        <v>1940-02-11T08:00:00.000+02:00</v>
      </c>
      <c r="AE923" s="29" t="str">
        <f t="shared" si="294"/>
        <v>pixii-dis-</v>
      </c>
      <c r="AF923" s="29" t="str">
        <f t="shared" si="295"/>
        <v>Pio XII - Discorso - Ad un numeroso pellegrinaggio dell'Arcidiocesi di Milano, in occasione del primo anniversario della morte di Pio XI</v>
      </c>
    </row>
    <row r="924" spans="2:32" x14ac:dyDescent="0.2">
      <c r="B924" s="29">
        <v>260</v>
      </c>
      <c r="C924" s="29" t="s">
        <v>4108</v>
      </c>
      <c r="D924" s="29" t="s">
        <v>715</v>
      </c>
      <c r="E924" s="29" t="s">
        <v>724</v>
      </c>
      <c r="F924" s="29" t="s">
        <v>663</v>
      </c>
      <c r="G924" s="29" t="s">
        <v>659</v>
      </c>
      <c r="H924" s="29" t="str">
        <f t="shared" si="283"/>
        <v>Pio XII</v>
      </c>
      <c r="K924" s="29" t="s">
        <v>827</v>
      </c>
      <c r="L924" s="29" t="str">
        <f t="shared" si="285"/>
        <v>Discorso</v>
      </c>
      <c r="M924" s="29" t="s">
        <v>566</v>
      </c>
      <c r="O924" s="29" t="s">
        <v>4640</v>
      </c>
      <c r="Q924" s="38">
        <v>14736</v>
      </c>
      <c r="R924" s="32">
        <f t="shared" si="296"/>
        <v>5</v>
      </c>
      <c r="S924" s="32"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32">
        <f t="shared" si="297"/>
        <v>1940</v>
      </c>
      <c r="U924" s="29"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3"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9"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9">
        <v>832</v>
      </c>
      <c r="Y924" s="29" t="str">
        <f t="shared" si="288"/>
        <v>['Pio XII', 'Discorso', 'Sulle figure di San Francesco d'Assisi e Santa Caterina da Siena', 'pixii-dis-', '05 maggio 1940', '05/05/1940', '1940/05/05'],</v>
      </c>
      <c r="Z924" s="29" t="str">
        <f t="shared" si="289"/>
        <v>Sulle figure di San Francesco d'Assisi e Santa Caterina da Siena (14736) | Pio XII</v>
      </c>
      <c r="AA924" s="29" t="str">
        <f t="shared" si="290"/>
        <v>Discorso Sulle figure di San Francesco d'Assisi e Santa Caterina da Siena</v>
      </c>
      <c r="AB924" s="29" t="str">
        <f t="shared" si="291"/>
        <v>Discorso Sulle figure di San Francesco d'Assisi e Santa Caterina da Siena</v>
      </c>
      <c r="AC924" s="29" t="str">
        <f t="shared" si="292"/>
        <v>Pio XII, Discorso Sulle figure di San Francesco d'Assisi e Santa Caterina da Siena, 05 maggio 1940</v>
      </c>
      <c r="AD924" s="29" t="str">
        <f t="shared" si="293"/>
        <v>1940-05-05T08:00:00.000+02:00</v>
      </c>
      <c r="AE924" s="29" t="str">
        <f t="shared" si="294"/>
        <v>pixii-dis-</v>
      </c>
      <c r="AF924" s="29" t="str">
        <f t="shared" si="295"/>
        <v>Pio XII - Discorso - Sulle figure di San Francesco d'Assisi e Santa Caterina da Siena</v>
      </c>
    </row>
    <row r="925" spans="2:32" x14ac:dyDescent="0.2">
      <c r="B925" s="29">
        <v>260</v>
      </c>
      <c r="C925" s="29" t="s">
        <v>4109</v>
      </c>
      <c r="D925" s="29" t="s">
        <v>715</v>
      </c>
      <c r="E925" s="29" t="s">
        <v>724</v>
      </c>
      <c r="F925" s="29" t="s">
        <v>663</v>
      </c>
      <c r="G925" s="29" t="s">
        <v>659</v>
      </c>
      <c r="H925" s="29" t="str">
        <f t="shared" si="283"/>
        <v>Pio XII</v>
      </c>
      <c r="K925" s="29" t="s">
        <v>827</v>
      </c>
      <c r="L925" s="29" t="str">
        <f t="shared" si="285"/>
        <v>Discorso</v>
      </c>
      <c r="M925" s="29" t="s">
        <v>566</v>
      </c>
      <c r="O925" s="29" t="s">
        <v>4641</v>
      </c>
      <c r="Q925" s="38">
        <v>14764</v>
      </c>
      <c r="R925" s="32">
        <f t="shared" si="296"/>
        <v>2</v>
      </c>
      <c r="S925" s="32"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32">
        <f t="shared" si="297"/>
        <v>1940</v>
      </c>
      <c r="U925" s="29"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3"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9"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9">
        <v>833</v>
      </c>
      <c r="Y925" s="29" t="str">
        <f t="shared" si="288"/>
        <v>['Pio XII', 'Discorso', 'Alle popolazioni cadute sotto l’occupazione straniera', 'pixii-dis-', '02 giugno 1940', '02/06/1940', '1940/06/02'],</v>
      </c>
      <c r="Z925" s="29" t="str">
        <f t="shared" si="289"/>
        <v>Alle popolazioni cadute sotto l’occupazione straniera (14764) | Pio XII</v>
      </c>
      <c r="AA925" s="29" t="str">
        <f t="shared" si="290"/>
        <v>Discorso Alle popolazioni cadute sotto l’occupazione straniera</v>
      </c>
      <c r="AB925" s="29" t="str">
        <f t="shared" si="291"/>
        <v>Discorso Alle popolazioni cadute sotto l’occupazione straniera</v>
      </c>
      <c r="AC925" s="29" t="str">
        <f t="shared" si="292"/>
        <v>Pio XII, Discorso Alle popolazioni cadute sotto l’occupazione straniera, 02 giugno 1940</v>
      </c>
      <c r="AD925" s="29" t="str">
        <f t="shared" si="293"/>
        <v>1940-06-02T08:00:00.000+02:00</v>
      </c>
      <c r="AE925" s="29" t="str">
        <f t="shared" si="294"/>
        <v>pixii-dis-</v>
      </c>
      <c r="AF925" s="29" t="str">
        <f t="shared" si="295"/>
        <v>Pio XII - Discorso - Alle popolazioni cadute sotto l’occupazione straniera</v>
      </c>
    </row>
    <row r="926" spans="2:32" x14ac:dyDescent="0.2">
      <c r="B926" s="29">
        <v>260</v>
      </c>
      <c r="C926" s="29" t="s">
        <v>4110</v>
      </c>
      <c r="D926" s="29" t="s">
        <v>715</v>
      </c>
      <c r="E926" s="29" t="s">
        <v>724</v>
      </c>
      <c r="F926" s="29" t="s">
        <v>663</v>
      </c>
      <c r="G926" s="29" t="s">
        <v>659</v>
      </c>
      <c r="H926" s="29" t="str">
        <f t="shared" si="283"/>
        <v>Pio XII</v>
      </c>
      <c r="K926" s="29" t="s">
        <v>827</v>
      </c>
      <c r="L926" s="29" t="str">
        <f t="shared" si="285"/>
        <v>Discorso</v>
      </c>
      <c r="M926" s="29" t="s">
        <v>566</v>
      </c>
      <c r="O926" s="29" t="s">
        <v>4642</v>
      </c>
      <c r="Q926" s="38">
        <v>14771</v>
      </c>
      <c r="R926" s="32">
        <f t="shared" si="296"/>
        <v>9</v>
      </c>
      <c r="S926" s="32"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32">
        <f t="shared" si="297"/>
        <v>1940</v>
      </c>
      <c r="U926" s="29"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3"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9"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9">
        <v>834</v>
      </c>
      <c r="Y926" s="29" t="str">
        <f t="shared" si="288"/>
        <v>['Pio XII', 'Discorso', 'Al nuovo Ambasciatore di Francia, S.E. il Sign. Vladimir d'Ormesson, in occasione della presentazione delle Lettere Credenziali', 'pixii-dis-', '09 giugno 1940', '09/06/1940', '1940/06/09'],</v>
      </c>
      <c r="Z926" s="29" t="str">
        <f t="shared" si="289"/>
        <v>Al nuovo Ambasciatore di Francia, S.E. il Sign. Vladimir d'Ormesson, in occasione della presentazione delle Lettere Credenziali (14771) | Pio XII</v>
      </c>
      <c r="AA926" s="29" t="str">
        <f t="shared" si="290"/>
        <v>Discorso Al nuovo Ambasciatore di Francia, S.E. il Sign. Vladimir d'Ormesson, in occasione della presentazione delle Lettere Credenziali</v>
      </c>
      <c r="AB926" s="29" t="str">
        <f t="shared" si="291"/>
        <v>Discorso Al nuovo Ambasciatore di Francia, S.E. il Sign. Vladimir d'Ormesson, in occasione della presentazione delle Lettere Credenziali</v>
      </c>
      <c r="AC926" s="29" t="str">
        <f t="shared" si="292"/>
        <v>Pio XII, Discorso Al nuovo Ambasciatore di Francia, S.E. il Sign. Vladimir d'Ormesson, in occasione della presentazione delle Lettere Credenziali, 09 giugno 1940</v>
      </c>
      <c r="AD926" s="29" t="str">
        <f t="shared" si="293"/>
        <v>1940-06-09T08:00:00.000+02:00</v>
      </c>
      <c r="AE926" s="29" t="str">
        <f t="shared" si="294"/>
        <v>pixii-dis-</v>
      </c>
      <c r="AF926" s="29" t="str">
        <f t="shared" si="295"/>
        <v>Pio XII - Discorso - Al nuovo Ambasciatore di Francia, S.E. il Sign. Vladimir d'Ormesson, in occasione della presentazione delle Lettere Credenziali</v>
      </c>
    </row>
    <row r="927" spans="2:32" x14ac:dyDescent="0.2">
      <c r="B927" s="29">
        <v>260</v>
      </c>
      <c r="C927" s="29" t="s">
        <v>4111</v>
      </c>
      <c r="D927" s="29" t="s">
        <v>715</v>
      </c>
      <c r="E927" s="29" t="s">
        <v>724</v>
      </c>
      <c r="F927" s="29" t="s">
        <v>663</v>
      </c>
      <c r="G927" s="29" t="s">
        <v>659</v>
      </c>
      <c r="H927" s="29" t="str">
        <f t="shared" si="283"/>
        <v>Pio XII</v>
      </c>
      <c r="K927" s="29" t="s">
        <v>827</v>
      </c>
      <c r="L927" s="29" t="str">
        <f t="shared" si="285"/>
        <v>Discorso</v>
      </c>
      <c r="M927" s="29" t="s">
        <v>566</v>
      </c>
      <c r="O927" s="29" t="s">
        <v>4643</v>
      </c>
      <c r="Q927" s="38">
        <v>14833</v>
      </c>
      <c r="R927" s="32">
        <f t="shared" si="296"/>
        <v>10</v>
      </c>
      <c r="S927" s="32"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32">
        <f t="shared" si="297"/>
        <v>1940</v>
      </c>
      <c r="U927" s="29"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3"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9"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9">
        <v>831</v>
      </c>
      <c r="Y927" s="29" t="str">
        <f t="shared" si="288"/>
        <v>['Pio XII', 'Discorso', 'All'Ambasciatore della Bolivia presso la Santa Sede, S.E. il Signor Carlos Quintanilla, in occasione della presentazione delle Lettere Credenziali', 'pixii-dis-', '10 agosto 1940', '10/08/1940', '1940/08/10'],</v>
      </c>
      <c r="Z927" s="29" t="str">
        <f t="shared" si="289"/>
        <v>All'Ambasciatore della Bolivia presso la Santa Sede, S.E. il Signor Carlos Quintanilla, in occasione della presentazione delle Lettere Credenziali (14833) | Pio XII</v>
      </c>
      <c r="AA927" s="29" t="str">
        <f t="shared" si="290"/>
        <v>Discorso All'Ambasciatore della Bolivia presso la Santa Sede, S.E. il Signor Carlos Quintanilla, in occasione della presentazione delle Lettere Credenziali</v>
      </c>
      <c r="AB927" s="29" t="str">
        <f t="shared" si="291"/>
        <v>Discorso All'Ambasciatore della Bolivia presso la Santa Sede, S.E. il Signor Carlos Quintanilla, in occasione della presentazione delle Lettere Credenziali</v>
      </c>
      <c r="AC927" s="29" t="str">
        <f t="shared" si="292"/>
        <v>Pio XII, Discorso All'Ambasciatore della Bolivia presso la Santa Sede, S.E. il Signor Carlos Quintanilla, in occasione della presentazione delle Lettere Credenziali, 10 agosto 1940</v>
      </c>
      <c r="AD927" s="29" t="str">
        <f t="shared" si="293"/>
        <v>1940-08-10T08:00:00.000+02:00</v>
      </c>
      <c r="AE927" s="29" t="str">
        <f t="shared" si="294"/>
        <v>pixii-dis-</v>
      </c>
      <c r="AF927" s="29" t="str">
        <f t="shared" si="295"/>
        <v>Pio XII - Discorso - All'Ambasciatore della Bolivia presso la Santa Sede, S.E. il Signor Carlos Quintanilla, in occasione della presentazione delle Lettere Credenziali</v>
      </c>
    </row>
    <row r="928" spans="2:32" x14ac:dyDescent="0.2">
      <c r="B928" s="29">
        <v>260</v>
      </c>
      <c r="C928" s="29" t="s">
        <v>4112</v>
      </c>
      <c r="D928" s="29" t="s">
        <v>715</v>
      </c>
      <c r="E928" s="29" t="s">
        <v>724</v>
      </c>
      <c r="F928" s="29" t="s">
        <v>663</v>
      </c>
      <c r="G928" s="29" t="s">
        <v>659</v>
      </c>
      <c r="H928" s="29" t="str">
        <f t="shared" si="283"/>
        <v>Pio XII</v>
      </c>
      <c r="K928" s="29" t="s">
        <v>827</v>
      </c>
      <c r="L928" s="29" t="str">
        <f t="shared" si="285"/>
        <v>Discorso</v>
      </c>
      <c r="M928" s="29" t="s">
        <v>566</v>
      </c>
      <c r="O928" s="29" t="s">
        <v>4644</v>
      </c>
      <c r="Q928" s="38">
        <v>14858</v>
      </c>
      <c r="R928" s="32">
        <f t="shared" si="296"/>
        <v>4</v>
      </c>
      <c r="S928" s="32"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32">
        <f t="shared" si="297"/>
        <v>1940</v>
      </c>
      <c r="U928" s="29"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3"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9"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9">
        <v>832</v>
      </c>
      <c r="Y928" s="29" t="str">
        <f t="shared" si="288"/>
        <v>['Pio XII', 'Discorso', 'Ai dirigenti dell'Azione Cattolica Italiana per elogiare l'attività di conservazione e diffusione della fede', 'pixii-dis-', '04 settembre 1940', '04/09/1940', '1940/09/04'],</v>
      </c>
      <c r="Z928" s="29" t="str">
        <f t="shared" si="289"/>
        <v>Ai dirigenti dell'Azione Cattolica Italiana per elogiare l'attività di conservazione e diffusione della fede (14858) | Pio XII</v>
      </c>
      <c r="AA928" s="29" t="str">
        <f t="shared" si="290"/>
        <v>Discorso Ai dirigenti dell'Azione Cattolica Italiana per elogiare l'attività di conservazione e diffusione della fede</v>
      </c>
      <c r="AB928" s="29" t="str">
        <f t="shared" si="291"/>
        <v>Discorso Ai dirigenti dell'Azione Cattolica Italiana per elogiare l'attività di conservazione e diffusione della fede</v>
      </c>
      <c r="AC928" s="29" t="str">
        <f t="shared" si="292"/>
        <v>Pio XII, Discorso Ai dirigenti dell'Azione Cattolica Italiana per elogiare l'attività di conservazione e diffusione della fede, 04 settembre 1940</v>
      </c>
      <c r="AD928" s="29" t="str">
        <f t="shared" si="293"/>
        <v>1940-09-04T08:00:00.000+02:00</v>
      </c>
      <c r="AE928" s="29" t="str">
        <f t="shared" si="294"/>
        <v>pixii-dis-</v>
      </c>
      <c r="AF928" s="29" t="str">
        <f t="shared" si="295"/>
        <v>Pio XII - Discorso - Ai dirigenti dell'Azione Cattolica Italiana per elogiare l'attività di conservazione e diffusione della fede</v>
      </c>
    </row>
    <row r="929" spans="2:32" x14ac:dyDescent="0.2">
      <c r="B929" s="29">
        <v>260</v>
      </c>
      <c r="C929" s="29" t="s">
        <v>4113</v>
      </c>
      <c r="D929" s="29" t="s">
        <v>715</v>
      </c>
      <c r="E929" s="29" t="s">
        <v>724</v>
      </c>
      <c r="F929" s="29" t="s">
        <v>663</v>
      </c>
      <c r="G929" s="29" t="s">
        <v>659</v>
      </c>
      <c r="H929" s="29" t="str">
        <f t="shared" si="283"/>
        <v>Pio XII</v>
      </c>
      <c r="K929" s="29" t="s">
        <v>827</v>
      </c>
      <c r="L929" s="29" t="str">
        <f t="shared" si="285"/>
        <v>Discorso</v>
      </c>
      <c r="M929" s="29" t="s">
        <v>566</v>
      </c>
      <c r="O929" s="29" t="s">
        <v>4645</v>
      </c>
      <c r="Q929" s="38">
        <v>14885</v>
      </c>
      <c r="R929" s="32">
        <f t="shared" si="296"/>
        <v>1</v>
      </c>
      <c r="S929" s="32"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32">
        <f t="shared" si="297"/>
        <v>1940</v>
      </c>
      <c r="U929" s="29"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3"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9"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9">
        <v>833</v>
      </c>
      <c r="Y929" s="29" t="str">
        <f t="shared" si="288"/>
        <v>['Pio XII', 'Discorso', 'Al Tribunale della Sacra Romana Rota', 'pixii-dis-', '01 ottobre 1940', '01/10/1940', '1940/10/01'],</v>
      </c>
      <c r="Z929" s="29" t="str">
        <f t="shared" si="289"/>
        <v>Al Tribunale della Sacra Romana Rota (14885) | Pio XII</v>
      </c>
      <c r="AA929" s="29" t="str">
        <f t="shared" si="290"/>
        <v>Discorso Al Tribunale della Sacra Romana Rota</v>
      </c>
      <c r="AB929" s="29" t="str">
        <f t="shared" si="291"/>
        <v>Discorso Al Tribunale della Sacra Romana Rota</v>
      </c>
      <c r="AC929" s="29" t="str">
        <f t="shared" si="292"/>
        <v>Pio XII, Discorso Al Tribunale della Sacra Romana Rota, 01 ottobre 1940</v>
      </c>
      <c r="AD929" s="29" t="str">
        <f t="shared" si="293"/>
        <v>1940-10-01T08:00:00.000+02:00</v>
      </c>
      <c r="AE929" s="29" t="str">
        <f t="shared" si="294"/>
        <v>pixii-dis-</v>
      </c>
      <c r="AF929" s="29" t="str">
        <f t="shared" si="295"/>
        <v>Pio XII - Discorso - Al Tribunale della Sacra Romana Rota</v>
      </c>
    </row>
    <row r="930" spans="2:32" x14ac:dyDescent="0.2">
      <c r="B930" s="29">
        <v>260</v>
      </c>
      <c r="C930" s="29" t="s">
        <v>4114</v>
      </c>
      <c r="D930" s="29" t="s">
        <v>715</v>
      </c>
      <c r="E930" s="29" t="s">
        <v>724</v>
      </c>
      <c r="F930" s="29" t="s">
        <v>663</v>
      </c>
      <c r="G930" s="29" t="s">
        <v>659</v>
      </c>
      <c r="H930" s="29" t="str">
        <f t="shared" si="283"/>
        <v>Pio XII</v>
      </c>
      <c r="K930" s="29" t="s">
        <v>827</v>
      </c>
      <c r="L930" s="29" t="str">
        <f t="shared" si="285"/>
        <v>Discorso</v>
      </c>
      <c r="M930" s="29" t="s">
        <v>566</v>
      </c>
      <c r="O930" s="29" t="s">
        <v>4646</v>
      </c>
      <c r="Q930" s="38">
        <v>14897</v>
      </c>
      <c r="R930" s="32">
        <f t="shared" si="296"/>
        <v>13</v>
      </c>
      <c r="S930" s="32"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32">
        <f t="shared" si="297"/>
        <v>1940</v>
      </c>
      <c r="U930" s="29"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3"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9"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9">
        <v>834</v>
      </c>
      <c r="Y930" s="29" t="str">
        <f t="shared" si="288"/>
        <v>['Pio XII', 'Discorso', 'Radiomessaggio in occasione del Congresso Eucaristico di Santa Fe', 'pixii-dis-', '13 ottobre 1940', '13/10/1940', '1940/10/13'],</v>
      </c>
      <c r="Z930" s="29" t="str">
        <f t="shared" si="289"/>
        <v>Radiomessaggio in occasione del Congresso Eucaristico di Santa Fe (14897) | Pio XII</v>
      </c>
      <c r="AA930" s="29" t="str">
        <f t="shared" si="290"/>
        <v>Discorso Radiomessaggio in occasione del Congresso Eucaristico di Santa Fe</v>
      </c>
      <c r="AB930" s="29" t="str">
        <f t="shared" si="291"/>
        <v>Discorso Radiomessaggio in occasione del Congresso Eucaristico di Santa Fe</v>
      </c>
      <c r="AC930" s="29" t="str">
        <f t="shared" si="292"/>
        <v>Pio XII, Discorso Radiomessaggio in occasione del Congresso Eucaristico di Santa Fe, 13 ottobre 1940</v>
      </c>
      <c r="AD930" s="29" t="str">
        <f t="shared" si="293"/>
        <v>1940-10-13T08:00:00.000+02:00</v>
      </c>
      <c r="AE930" s="29" t="str">
        <f t="shared" si="294"/>
        <v>pixii-dis-</v>
      </c>
      <c r="AF930" s="29" t="str">
        <f t="shared" si="295"/>
        <v>Pio XII - Discorso - Radiomessaggio in occasione del Congresso Eucaristico di Santa Fe</v>
      </c>
    </row>
    <row r="931" spans="2:32" x14ac:dyDescent="0.2">
      <c r="B931" s="29">
        <v>260</v>
      </c>
      <c r="C931" s="29" t="s">
        <v>4115</v>
      </c>
      <c r="D931" s="29" t="s">
        <v>715</v>
      </c>
      <c r="E931" s="29" t="s">
        <v>724</v>
      </c>
      <c r="F931" s="29" t="s">
        <v>663</v>
      </c>
      <c r="G931" s="29" t="s">
        <v>659</v>
      </c>
      <c r="H931" s="29" t="str">
        <f t="shared" si="283"/>
        <v>Pio XII</v>
      </c>
      <c r="K931" s="29" t="s">
        <v>827</v>
      </c>
      <c r="L931" s="29" t="str">
        <f t="shared" si="285"/>
        <v>Discorso</v>
      </c>
      <c r="M931" s="29" t="s">
        <v>566</v>
      </c>
      <c r="O931" s="29" t="s">
        <v>4647</v>
      </c>
      <c r="Q931" s="38">
        <v>14903</v>
      </c>
      <c r="R931" s="32">
        <f t="shared" si="296"/>
        <v>19</v>
      </c>
      <c r="S931" s="32"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32">
        <f t="shared" si="297"/>
        <v>1940</v>
      </c>
      <c r="U931" s="29"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3"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9"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9">
        <v>831</v>
      </c>
      <c r="Y931" s="29" t="str">
        <f t="shared" si="288"/>
        <v>['Pio XII', 'Discorso', 'Radiomessaggio alla vigilia della Giornata Missionaria Mondiale', 'pixii-dis-', '19 ottobre 1940', '19/10/1940', '1940/10/19'],</v>
      </c>
      <c r="Z931" s="29" t="str">
        <f t="shared" si="289"/>
        <v>Radiomessaggio alla vigilia della Giornata Missionaria Mondiale (14903) | Pio XII</v>
      </c>
      <c r="AA931" s="29" t="str">
        <f t="shared" si="290"/>
        <v>Discorso Radiomessaggio alla vigilia della Giornata Missionaria Mondiale</v>
      </c>
      <c r="AB931" s="29" t="str">
        <f t="shared" si="291"/>
        <v>Discorso Radiomessaggio alla vigilia della Giornata Missionaria Mondiale</v>
      </c>
      <c r="AC931" s="29" t="str">
        <f t="shared" si="292"/>
        <v>Pio XII, Discorso Radiomessaggio alla vigilia della Giornata Missionaria Mondiale, 19 ottobre 1940</v>
      </c>
      <c r="AD931" s="29" t="str">
        <f t="shared" si="293"/>
        <v>1940-10-19T08:00:00.000+02:00</v>
      </c>
      <c r="AE931" s="29" t="str">
        <f t="shared" si="294"/>
        <v>pixii-dis-</v>
      </c>
      <c r="AF931" s="29" t="str">
        <f t="shared" si="295"/>
        <v>Pio XII - Discorso - Radiomessaggio alla vigilia della Giornata Missionaria Mondiale</v>
      </c>
    </row>
    <row r="932" spans="2:32" x14ac:dyDescent="0.2">
      <c r="B932" s="29">
        <v>260</v>
      </c>
      <c r="C932" s="29" t="s">
        <v>4116</v>
      </c>
      <c r="D932" s="29" t="s">
        <v>715</v>
      </c>
      <c r="E932" s="29" t="s">
        <v>724</v>
      </c>
      <c r="F932" s="29" t="s">
        <v>663</v>
      </c>
      <c r="G932" s="29" t="s">
        <v>659</v>
      </c>
      <c r="H932" s="29" t="str">
        <f t="shared" si="283"/>
        <v>Pio XII</v>
      </c>
      <c r="K932" s="29" t="s">
        <v>827</v>
      </c>
      <c r="L932" s="29" t="str">
        <f t="shared" si="285"/>
        <v>Discorso</v>
      </c>
      <c r="M932" s="29" t="s">
        <v>566</v>
      </c>
      <c r="O932" s="29" t="s">
        <v>4648</v>
      </c>
      <c r="Q932" s="38">
        <v>14904</v>
      </c>
      <c r="R932" s="32">
        <f t="shared" si="296"/>
        <v>20</v>
      </c>
      <c r="S932" s="32"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32">
        <f t="shared" si="297"/>
        <v>1940</v>
      </c>
      <c r="U932" s="29"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3"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9"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9">
        <v>832</v>
      </c>
      <c r="Y932" s="29" t="str">
        <f t="shared" si="288"/>
        <v>['Pio XII', 'Discorso', 'Al nuovo Ambasciatore del Portogallo, S.E. il Sign. Antonio Faria Carneiro Pacheco, in occasione della presentazione delle Lettere Credenziali', 'pixii-dis-', '20 ottobre 1940', '20/10/1940', '1940/10/20'],</v>
      </c>
      <c r="Z932" s="29" t="str">
        <f t="shared" si="289"/>
        <v>Al nuovo Ambasciatore del Portogallo, S.E. il Sign. Antonio Faria Carneiro Pacheco, in occasione della presentazione delle Lettere Credenziali (14904) | Pio XII</v>
      </c>
      <c r="AA932" s="29" t="str">
        <f t="shared" si="290"/>
        <v>Discorso Al nuovo Ambasciatore del Portogallo, S.E. il Sign. Antonio Faria Carneiro Pacheco, in occasione della presentazione delle Lettere Credenziali</v>
      </c>
      <c r="AB932" s="29" t="str">
        <f t="shared" si="291"/>
        <v>Discorso Al nuovo Ambasciatore del Portogallo, S.E. il Sign. Antonio Faria Carneiro Pacheco, in occasione della presentazione delle Lettere Credenziali</v>
      </c>
      <c r="AC932" s="29" t="str">
        <f t="shared" si="292"/>
        <v>Pio XII, Discorso Al nuovo Ambasciatore del Portogallo, S.E. il Sign. Antonio Faria Carneiro Pacheco, in occasione della presentazione delle Lettere Credenziali, 20 ottobre 1940</v>
      </c>
      <c r="AD932" s="29" t="str">
        <f t="shared" si="293"/>
        <v>1940-10-20T08:00:00.000+02:00</v>
      </c>
      <c r="AE932" s="29" t="str">
        <f t="shared" si="294"/>
        <v>pixii-dis-</v>
      </c>
      <c r="AF932" s="29" t="str">
        <f t="shared" si="295"/>
        <v>Pio XII - Discorso - Al nuovo Ambasciatore del Portogallo, S.E. il Sign. Antonio Faria Carneiro Pacheco, in occasione della presentazione delle Lettere Credenziali</v>
      </c>
    </row>
    <row r="933" spans="2:32" x14ac:dyDescent="0.2">
      <c r="B933" s="29">
        <v>260</v>
      </c>
      <c r="C933" s="29" t="s">
        <v>4117</v>
      </c>
      <c r="D933" s="29" t="s">
        <v>715</v>
      </c>
      <c r="E933" s="29" t="s">
        <v>724</v>
      </c>
      <c r="F933" s="29" t="s">
        <v>663</v>
      </c>
      <c r="G933" s="29" t="s">
        <v>659</v>
      </c>
      <c r="H933" s="29" t="str">
        <f t="shared" si="283"/>
        <v>Pio XII</v>
      </c>
      <c r="K933" s="29" t="s">
        <v>827</v>
      </c>
      <c r="L933" s="29" t="str">
        <f t="shared" si="285"/>
        <v>Discorso</v>
      </c>
      <c r="M933" s="29" t="s">
        <v>566</v>
      </c>
      <c r="O933" s="29" t="s">
        <v>4649</v>
      </c>
      <c r="Q933" s="38">
        <v>14911</v>
      </c>
      <c r="R933" s="32">
        <f t="shared" si="296"/>
        <v>27</v>
      </c>
      <c r="S933" s="32"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32">
        <f t="shared" si="297"/>
        <v>1940</v>
      </c>
      <c r="U933" s="29"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3"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9"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9">
        <v>833</v>
      </c>
      <c r="Y933" s="29" t="str">
        <f t="shared" si="288"/>
        <v>['Pio XII', 'Discorso', 'Radiomessaggio in occasione del Congresso Eucaristico di Arequipa', 'pixii-dis-', '27 ottobre 1940', '27/10/1940', '1940/10/27'],</v>
      </c>
      <c r="Z933" s="29" t="str">
        <f t="shared" si="289"/>
        <v>Radiomessaggio in occasione del Congresso Eucaristico di Arequipa (14911) | Pio XII</v>
      </c>
      <c r="AA933" s="29" t="str">
        <f t="shared" si="290"/>
        <v>Discorso Radiomessaggio in occasione del Congresso Eucaristico di Arequipa</v>
      </c>
      <c r="AB933" s="29" t="str">
        <f t="shared" si="291"/>
        <v>Discorso Radiomessaggio in occasione del Congresso Eucaristico di Arequipa</v>
      </c>
      <c r="AC933" s="29" t="str">
        <f t="shared" si="292"/>
        <v>Pio XII, Discorso Radiomessaggio in occasione del Congresso Eucaristico di Arequipa, 27 ottobre 1940</v>
      </c>
      <c r="AD933" s="29" t="str">
        <f t="shared" si="293"/>
        <v>1940-10-27T08:00:00.000+02:00</v>
      </c>
      <c r="AE933" s="29" t="str">
        <f t="shared" si="294"/>
        <v>pixii-dis-</v>
      </c>
      <c r="AF933" s="29" t="str">
        <f t="shared" si="295"/>
        <v>Pio XII - Discorso - Radiomessaggio in occasione del Congresso Eucaristico di Arequipa</v>
      </c>
    </row>
    <row r="934" spans="2:32" x14ac:dyDescent="0.2">
      <c r="B934" s="29">
        <v>260</v>
      </c>
      <c r="C934" s="29" t="s">
        <v>4118</v>
      </c>
      <c r="D934" s="29" t="s">
        <v>715</v>
      </c>
      <c r="E934" s="29" t="s">
        <v>724</v>
      </c>
      <c r="F934" s="29" t="s">
        <v>663</v>
      </c>
      <c r="G934" s="29" t="s">
        <v>659</v>
      </c>
      <c r="H934" s="29" t="str">
        <f t="shared" si="283"/>
        <v>Pio XII</v>
      </c>
      <c r="K934" s="29" t="s">
        <v>827</v>
      </c>
      <c r="L934" s="29" t="str">
        <f t="shared" ref="L934:L997" si="298">IF(J934&lt;&gt;"",_xlfn.CONCAT(J934 &amp; " " &amp; K934),K934)</f>
        <v>Discorso</v>
      </c>
      <c r="M934" s="29" t="s">
        <v>566</v>
      </c>
      <c r="O934" s="29" t="s">
        <v>4650</v>
      </c>
      <c r="Q934" s="38">
        <v>14930</v>
      </c>
      <c r="R934" s="32">
        <f t="shared" si="296"/>
        <v>15</v>
      </c>
      <c r="S934" s="32"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32">
        <f t="shared" si="297"/>
        <v>1940</v>
      </c>
      <c r="U934" s="29"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3"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9"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9">
        <v>834</v>
      </c>
      <c r="Y934" s="29" t="str">
        <f t="shared" si="288"/>
        <v>['Pio XII', 'Discorso', 'All'Inviato Straordinario e Ministro Plenipotenziario della Romania, S.E. il Signor Basile Grigorcea, in occasione della presentazione delle Lettere Credenziali', 'pixii-dis-', '15 novembre 1940', '15/11/1940', '1940/11/15'],</v>
      </c>
      <c r="Z934" s="29" t="str">
        <f t="shared" si="289"/>
        <v>All'Inviato Straordinario e Ministro Plenipotenziario della Romania, S.E. il Signor Basile Grigorcea, in occasione della presentazione delle Lettere Credenziali (14930) | Pio XII</v>
      </c>
      <c r="AA934" s="29" t="str">
        <f t="shared" si="290"/>
        <v>Discorso All'Inviato Straordinario e Ministro Plenipotenziario della Romania, S.E. il Signor Basile Grigorcea, in occasione della presentazione delle Lettere Credenziali</v>
      </c>
      <c r="AB934" s="29" t="str">
        <f t="shared" si="291"/>
        <v>Discorso All'Inviato Straordinario e Ministro Plenipotenziario della Romania, S.E. il Signor Basile Grigorcea, in occasione della presentazione delle Lettere Credenziali</v>
      </c>
      <c r="AC934" s="29" t="str">
        <f t="shared" si="292"/>
        <v>Pio XII, Discorso All'Inviato Straordinario e Ministro Plenipotenziario della Romania, S.E. il Signor Basile Grigorcea, in occasione della presentazione delle Lettere Credenziali, 15 novembre 1940</v>
      </c>
      <c r="AD934" s="29" t="str">
        <f t="shared" si="293"/>
        <v>1940-11-15T08:00:00.000+02:00</v>
      </c>
      <c r="AE934" s="29" t="str">
        <f t="shared" si="294"/>
        <v>pixii-dis-</v>
      </c>
      <c r="AF934" s="29" t="str">
        <f t="shared" si="295"/>
        <v>Pio XII - Discorso - All'Inviato Straordinario e Ministro Plenipotenziario della Romania, S.E. il Signor Basile Grigorcea, in occasione della presentazione delle Lettere Credenziali</v>
      </c>
    </row>
    <row r="935" spans="2:32" x14ac:dyDescent="0.2">
      <c r="B935" s="29">
        <v>260</v>
      </c>
      <c r="C935" s="29" t="s">
        <v>4119</v>
      </c>
      <c r="D935" s="29" t="s">
        <v>715</v>
      </c>
      <c r="E935" s="29" t="s">
        <v>724</v>
      </c>
      <c r="F935" s="29" t="s">
        <v>663</v>
      </c>
      <c r="G935" s="29" t="s">
        <v>659</v>
      </c>
      <c r="H935" s="29" t="str">
        <f t="shared" si="283"/>
        <v>Pio XII</v>
      </c>
      <c r="K935" s="29" t="s">
        <v>827</v>
      </c>
      <c r="L935" s="29" t="str">
        <f t="shared" si="298"/>
        <v>Discorso</v>
      </c>
      <c r="M935" s="29" t="s">
        <v>566</v>
      </c>
      <c r="O935" s="29" t="s">
        <v>4651</v>
      </c>
      <c r="Q935" s="38">
        <v>14954</v>
      </c>
      <c r="R935" s="32">
        <f t="shared" si="296"/>
        <v>9</v>
      </c>
      <c r="S935" s="32"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32">
        <f t="shared" si="297"/>
        <v>1940</v>
      </c>
      <c r="U935" s="29"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3"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9"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9">
        <v>831</v>
      </c>
      <c r="Y935" s="29" t="str">
        <f t="shared" si="288"/>
        <v>['Pio XII', 'Discorso', 'Al Nuovo Ambasciatore di Francia, S.E. il Signor Léon Bérard, in occasione della presentazione delle Lettere Credenziali', 'pixii-dis-', '09 dicembre 1940', '09/12/1940', '1940/12/09'],</v>
      </c>
      <c r="Z935" s="29" t="str">
        <f t="shared" si="289"/>
        <v>Al Nuovo Ambasciatore di Francia, S.E. il Signor Léon Bérard, in occasione della presentazione delle Lettere Credenziali (14954) | Pio XII</v>
      </c>
      <c r="AA935" s="29" t="str">
        <f t="shared" si="290"/>
        <v>Discorso Al Nuovo Ambasciatore di Francia, S.E. il Signor Léon Bérard, in occasione della presentazione delle Lettere Credenziali</v>
      </c>
      <c r="AB935" s="29" t="str">
        <f t="shared" si="291"/>
        <v>Discorso Al Nuovo Ambasciatore di Francia, S.E. il Signor Léon Bérard, in occasione della presentazione delle Lettere Credenziali</v>
      </c>
      <c r="AC935" s="29" t="str">
        <f t="shared" si="292"/>
        <v>Pio XII, Discorso Al Nuovo Ambasciatore di Francia, S.E. il Signor Léon Bérard, in occasione della presentazione delle Lettere Credenziali, 09 dicembre 1940</v>
      </c>
      <c r="AD935" s="29" t="str">
        <f t="shared" si="293"/>
        <v>1940-12-09T08:00:00.000+02:00</v>
      </c>
      <c r="AE935" s="29" t="str">
        <f t="shared" ref="AE935:AE998" si="299">_xlfn.CONCAT(F935 &amp; "-" &amp; M935 &amp; "-" &amp; P935)</f>
        <v>pixii-dis-</v>
      </c>
      <c r="AF935" s="29" t="str">
        <f t="shared" ref="AF935:AF998" si="300">_xlfn.CONCAT(H935 &amp; " - " &amp; L935 &amp; " - " &amp; O935)</f>
        <v>Pio XII - Discorso - Al Nuovo Ambasciatore di Francia, S.E. il Signor Léon Bérard, in occasione della presentazione delle Lettere Credenziali</v>
      </c>
    </row>
    <row r="936" spans="2:32" x14ac:dyDescent="0.2">
      <c r="B936" s="29">
        <v>260</v>
      </c>
      <c r="C936" s="29" t="s">
        <v>4120</v>
      </c>
      <c r="D936" s="29" t="s">
        <v>715</v>
      </c>
      <c r="E936" s="29" t="s">
        <v>724</v>
      </c>
      <c r="F936" s="29" t="s">
        <v>663</v>
      </c>
      <c r="G936" s="29" t="s">
        <v>659</v>
      </c>
      <c r="H936" s="29" t="str">
        <f t="shared" si="283"/>
        <v>Pio XII</v>
      </c>
      <c r="K936" s="29" t="s">
        <v>827</v>
      </c>
      <c r="L936" s="29" t="str">
        <f t="shared" si="298"/>
        <v>Discorso</v>
      </c>
      <c r="M936" s="29" t="s">
        <v>566</v>
      </c>
      <c r="O936" s="29" t="s">
        <v>4652</v>
      </c>
      <c r="Q936" s="38">
        <v>14969</v>
      </c>
      <c r="R936" s="32">
        <f t="shared" si="296"/>
        <v>24</v>
      </c>
      <c r="S936" s="32"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32">
        <f t="shared" si="297"/>
        <v>1940</v>
      </c>
      <c r="U936" s="29"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3"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9"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9">
        <v>832</v>
      </c>
      <c r="Y936" s="29" t="str">
        <f t="shared" si="288"/>
        <v>['Pio XII', 'Discorso', 'Al sacro collegio dei cardinali e alla Prelatura romana: presupposti fondamentali e indispensabili per realizzare il nuovo ordinamento dei popoli', 'pixii-dis-', '24 dicembre 1940', '24/12/1940', '1940/12/24'],</v>
      </c>
      <c r="Z936" s="29" t="str">
        <f t="shared" si="289"/>
        <v>Al sacro collegio dei cardinali e alla Prelatura romana: presupposti fondamentali e indispensabili per realizzare il nuovo ordinamento dei popoli (14969) | Pio XII</v>
      </c>
      <c r="AA936" s="29" t="str">
        <f t="shared" si="290"/>
        <v>Discorso Al sacro collegio dei cardinali e alla Prelatura romana: presupposti fondamentali e indispensabili per realizzare il nuovo ordinamento dei popoli</v>
      </c>
      <c r="AB936" s="29" t="str">
        <f t="shared" si="291"/>
        <v>Discorso Al sacro collegio dei cardinali e alla Prelatura romana: presupposti fondamentali e indispensabili per realizzare il nuovo ordinamento dei popoli</v>
      </c>
      <c r="AC936" s="29" t="str">
        <f t="shared" si="292"/>
        <v>Pio XII, Discorso Al sacro collegio dei cardinali e alla Prelatura romana: presupposti fondamentali e indispensabili per realizzare il nuovo ordinamento dei popoli, 24 dicembre 1940</v>
      </c>
      <c r="AD936" s="29" t="str">
        <f t="shared" si="293"/>
        <v>1940-12-24T08:00:00.000+02:00</v>
      </c>
      <c r="AE936" s="29" t="str">
        <f t="shared" si="299"/>
        <v>pixii-dis-</v>
      </c>
      <c r="AF936" s="29" t="str">
        <f t="shared" si="300"/>
        <v>Pio XII - Discorso - Al sacro collegio dei cardinali e alla Prelatura romana: presupposti fondamentali e indispensabili per realizzare il nuovo ordinamento dei popoli</v>
      </c>
    </row>
    <row r="937" spans="2:32" x14ac:dyDescent="0.2">
      <c r="B937" s="29">
        <v>260</v>
      </c>
      <c r="C937" s="29" t="s">
        <v>4121</v>
      </c>
      <c r="D937" s="29" t="s">
        <v>715</v>
      </c>
      <c r="E937" s="29" t="s">
        <v>724</v>
      </c>
      <c r="F937" s="29" t="s">
        <v>663</v>
      </c>
      <c r="G937" s="29" t="s">
        <v>659</v>
      </c>
      <c r="H937" s="29" t="str">
        <f t="shared" si="283"/>
        <v>Pio XII</v>
      </c>
      <c r="K937" s="29" t="s">
        <v>827</v>
      </c>
      <c r="L937" s="29" t="str">
        <f t="shared" si="298"/>
        <v>Discorso</v>
      </c>
      <c r="M937" s="29" t="s">
        <v>566</v>
      </c>
      <c r="O937" s="29" t="s">
        <v>4653</v>
      </c>
      <c r="Q937" s="38">
        <v>15065</v>
      </c>
      <c r="R937" s="32">
        <f t="shared" si="296"/>
        <v>30</v>
      </c>
      <c r="S937" s="32"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32">
        <f t="shared" si="297"/>
        <v>1941</v>
      </c>
      <c r="U937" s="29"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3"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9"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9">
        <v>833</v>
      </c>
      <c r="Y937" s="29" t="str">
        <f t="shared" si="288"/>
        <v>['Pio XII', 'Discorso', 'All'Inviato Straordinario e Ministro Plenipotenziario del Sovrano Militare Ordine di Malta, S.E. il Conte Stanislao Pecci', 'pixii-dis-', '30 marzo 1941', '30/03/1941', '1941/03/30'],</v>
      </c>
      <c r="Z937" s="29" t="str">
        <f t="shared" si="289"/>
        <v>All'Inviato Straordinario e Ministro Plenipotenziario del Sovrano Militare Ordine di Malta, S.E. il Conte Stanislao Pecci (15065) | Pio XII</v>
      </c>
      <c r="AA937" s="29" t="str">
        <f t="shared" si="290"/>
        <v>Discorso All'Inviato Straordinario e Ministro Plenipotenziario del Sovrano Militare Ordine di Malta, S.E. il Conte Stanislao Pecci</v>
      </c>
      <c r="AB937" s="29" t="str">
        <f t="shared" si="291"/>
        <v>Discorso All'Inviato Straordinario e Ministro Plenipotenziario del Sovrano Militare Ordine di Malta, S.E. il Conte Stanislao Pecci</v>
      </c>
      <c r="AC937" s="29" t="str">
        <f t="shared" si="292"/>
        <v>Pio XII, Discorso All'Inviato Straordinario e Ministro Plenipotenziario del Sovrano Militare Ordine di Malta, S.E. il Conte Stanislao Pecci, 30 marzo 1941</v>
      </c>
      <c r="AD937" s="29" t="str">
        <f t="shared" si="293"/>
        <v>1941-03-30T08:00:00.000+02:00</v>
      </c>
      <c r="AE937" s="29" t="str">
        <f t="shared" si="299"/>
        <v>pixii-dis-</v>
      </c>
      <c r="AF937" s="29" t="str">
        <f t="shared" si="300"/>
        <v>Pio XII - Discorso - All'Inviato Straordinario e Ministro Plenipotenziario del Sovrano Militare Ordine di Malta, S.E. il Conte Stanislao Pecci</v>
      </c>
    </row>
    <row r="938" spans="2:32" x14ac:dyDescent="0.2">
      <c r="B938" s="29">
        <v>260</v>
      </c>
      <c r="C938" s="29" t="s">
        <v>4122</v>
      </c>
      <c r="D938" s="29" t="s">
        <v>715</v>
      </c>
      <c r="E938" s="29" t="s">
        <v>724</v>
      </c>
      <c r="F938" s="29" t="s">
        <v>663</v>
      </c>
      <c r="G938" s="29" t="s">
        <v>659</v>
      </c>
      <c r="H938" s="29" t="str">
        <f t="shared" si="283"/>
        <v>Pio XII</v>
      </c>
      <c r="K938" s="29" t="s">
        <v>827</v>
      </c>
      <c r="L938" s="29" t="str">
        <f t="shared" si="298"/>
        <v>Discorso</v>
      </c>
      <c r="M938" s="29" t="s">
        <v>566</v>
      </c>
      <c r="O938" s="29" t="s">
        <v>4654</v>
      </c>
      <c r="Q938" s="38">
        <v>15128</v>
      </c>
      <c r="R938" s="32">
        <f t="shared" si="296"/>
        <v>1</v>
      </c>
      <c r="S938" s="32"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32">
        <f t="shared" si="297"/>
        <v>1941</v>
      </c>
      <c r="U938" s="29"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3"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9"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9">
        <v>834</v>
      </c>
      <c r="Y938" s="29" t="str">
        <f t="shared" si="288"/>
        <v>['Pio XII', 'Discorso', 'Radiomessaggio di Pentecoste', 'pixii-dis-', '01 giugno 1941', '01/06/1941', '1941/06/01'],</v>
      </c>
      <c r="Z938" s="29" t="str">
        <f t="shared" si="289"/>
        <v>Radiomessaggio di Pentecoste (15128) | Pio XII</v>
      </c>
      <c r="AA938" s="29" t="str">
        <f t="shared" si="290"/>
        <v>Discorso Radiomessaggio di Pentecoste</v>
      </c>
      <c r="AB938" s="29" t="str">
        <f t="shared" si="291"/>
        <v>Discorso Radiomessaggio di Pentecoste</v>
      </c>
      <c r="AC938" s="29" t="str">
        <f t="shared" si="292"/>
        <v>Pio XII, Discorso Radiomessaggio di Pentecoste, 01 giugno 1941</v>
      </c>
      <c r="AD938" s="29" t="str">
        <f t="shared" si="293"/>
        <v>1941-06-01T08:00:00.000+02:00</v>
      </c>
      <c r="AE938" s="29" t="str">
        <f t="shared" si="299"/>
        <v>pixii-dis-</v>
      </c>
      <c r="AF938" s="29" t="str">
        <f t="shared" si="300"/>
        <v>Pio XII - Discorso - Radiomessaggio di Pentecoste</v>
      </c>
    </row>
    <row r="939" spans="2:32" x14ac:dyDescent="0.2">
      <c r="B939" s="29">
        <v>260</v>
      </c>
      <c r="C939" s="29" t="s">
        <v>4123</v>
      </c>
      <c r="D939" s="29" t="s">
        <v>715</v>
      </c>
      <c r="E939" s="29" t="s">
        <v>724</v>
      </c>
      <c r="F939" s="29" t="s">
        <v>663</v>
      </c>
      <c r="G939" s="29" t="s">
        <v>659</v>
      </c>
      <c r="H939" s="29" t="str">
        <f t="shared" si="283"/>
        <v>Pio XII</v>
      </c>
      <c r="K939" s="29" t="s">
        <v>827</v>
      </c>
      <c r="L939" s="29" t="str">
        <f t="shared" si="298"/>
        <v>Discorso</v>
      </c>
      <c r="M939" s="29" t="s">
        <v>566</v>
      </c>
      <c r="O939" s="29" t="s">
        <v>4645</v>
      </c>
      <c r="Q939" s="38">
        <v>15252</v>
      </c>
      <c r="R939" s="32">
        <f t="shared" si="296"/>
        <v>3</v>
      </c>
      <c r="S939" s="32"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32">
        <f t="shared" si="297"/>
        <v>1941</v>
      </c>
      <c r="U939" s="29"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3"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9"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9">
        <v>835</v>
      </c>
      <c r="Y939" s="29" t="str">
        <f t="shared" si="288"/>
        <v>['Pio XII', 'Discorso', 'Al Tribunale della Sacra Romana Rota', 'pixii-dis-', '03 ottobre 1941', '03/10/1941', '1941/10/03'],</v>
      </c>
      <c r="Z939" s="29" t="str">
        <f t="shared" si="289"/>
        <v>Al Tribunale della Sacra Romana Rota (15252) | Pio XII</v>
      </c>
      <c r="AA939" s="29" t="str">
        <f t="shared" si="290"/>
        <v>Discorso Al Tribunale della Sacra Romana Rota</v>
      </c>
      <c r="AB939" s="29" t="str">
        <f t="shared" si="291"/>
        <v>Discorso Al Tribunale della Sacra Romana Rota</v>
      </c>
      <c r="AC939" s="29" t="str">
        <f t="shared" si="292"/>
        <v>Pio XII, Discorso Al Tribunale della Sacra Romana Rota, 03 ottobre 1941</v>
      </c>
      <c r="AD939" s="29" t="str">
        <f t="shared" si="293"/>
        <v>1941-10-03T08:00:00.000+02:00</v>
      </c>
      <c r="AE939" s="29" t="str">
        <f t="shared" si="299"/>
        <v>pixii-dis-</v>
      </c>
      <c r="AF939" s="29" t="str">
        <f t="shared" si="300"/>
        <v>Pio XII - Discorso - Al Tribunale della Sacra Romana Rota</v>
      </c>
    </row>
    <row r="940" spans="2:32" x14ac:dyDescent="0.2">
      <c r="B940" s="29">
        <v>260</v>
      </c>
      <c r="C940" s="29" t="s">
        <v>4124</v>
      </c>
      <c r="D940" s="29" t="s">
        <v>715</v>
      </c>
      <c r="E940" s="29" t="s">
        <v>724</v>
      </c>
      <c r="F940" s="29" t="s">
        <v>663</v>
      </c>
      <c r="G940" s="29" t="s">
        <v>659</v>
      </c>
      <c r="H940" s="29" t="str">
        <f t="shared" si="283"/>
        <v>Pio XII</v>
      </c>
      <c r="K940" s="29" t="s">
        <v>827</v>
      </c>
      <c r="L940" s="29" t="str">
        <f t="shared" si="298"/>
        <v>Discorso</v>
      </c>
      <c r="M940" s="29" t="s">
        <v>566</v>
      </c>
      <c r="O940" s="29" t="s">
        <v>4655</v>
      </c>
      <c r="Q940" s="38">
        <v>15334</v>
      </c>
      <c r="R940" s="32">
        <f t="shared" si="296"/>
        <v>24</v>
      </c>
      <c r="S940" s="32"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32">
        <f t="shared" si="297"/>
        <v>1941</v>
      </c>
      <c r="U940" s="29"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3"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9"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9">
        <v>836</v>
      </c>
      <c r="Y940" s="29" t="str">
        <f t="shared" si="288"/>
        <v>['Pio XII', 'Discorso', 'Radiomessaggio natalizio', 'pixii-dis-', '24 dicembre 1941', '24/12/1941', '1941/12/24'],</v>
      </c>
      <c r="Z940" s="29" t="str">
        <f t="shared" si="289"/>
        <v>Radiomessaggio natalizio (15334) | Pio XII</v>
      </c>
      <c r="AA940" s="29" t="str">
        <f t="shared" si="290"/>
        <v>Discorso Radiomessaggio natalizio</v>
      </c>
      <c r="AB940" s="29" t="str">
        <f t="shared" si="291"/>
        <v>Discorso Radiomessaggio natalizio</v>
      </c>
      <c r="AC940" s="29" t="str">
        <f t="shared" si="292"/>
        <v>Pio XII, Discorso Radiomessaggio natalizio, 24 dicembre 1941</v>
      </c>
      <c r="AD940" s="29" t="str">
        <f t="shared" si="293"/>
        <v>1941-12-24T08:00:00.000+02:00</v>
      </c>
      <c r="AE940" s="29" t="str">
        <f t="shared" si="299"/>
        <v>pixii-dis-</v>
      </c>
      <c r="AF940" s="29" t="str">
        <f t="shared" si="300"/>
        <v>Pio XII - Discorso - Radiomessaggio natalizio</v>
      </c>
    </row>
    <row r="941" spans="2:32" x14ac:dyDescent="0.2">
      <c r="B941" s="29">
        <v>260</v>
      </c>
      <c r="C941" s="29" t="s">
        <v>4125</v>
      </c>
      <c r="D941" s="29" t="s">
        <v>715</v>
      </c>
      <c r="E941" s="29" t="s">
        <v>724</v>
      </c>
      <c r="F941" s="29" t="s">
        <v>663</v>
      </c>
      <c r="G941" s="29" t="s">
        <v>659</v>
      </c>
      <c r="H941" s="29" t="str">
        <f t="shared" si="283"/>
        <v>Pio XII</v>
      </c>
      <c r="K941" s="29" t="s">
        <v>827</v>
      </c>
      <c r="L941" s="29" t="str">
        <f t="shared" si="298"/>
        <v>Discorso</v>
      </c>
      <c r="M941" s="29" t="s">
        <v>566</v>
      </c>
      <c r="O941" s="29" t="s">
        <v>4656</v>
      </c>
      <c r="Q941" s="38">
        <v>15432</v>
      </c>
      <c r="R941" s="32">
        <f t="shared" si="296"/>
        <v>1</v>
      </c>
      <c r="S941" s="32"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32">
        <f t="shared" si="297"/>
        <v>1942</v>
      </c>
      <c r="U941" s="29"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3"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9"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9">
        <v>837</v>
      </c>
      <c r="Y941" s="29" t="str">
        <f t="shared" si="288"/>
        <v>['Pio XII', 'Discorso', 'Ai ciechi di guerra dell'Istituto di Assistenza in Roma', 'pixii-dis-', '01 aprile 1942', '01/04/1942', '1942/04/01'],</v>
      </c>
      <c r="Z941" s="29" t="str">
        <f t="shared" si="289"/>
        <v>Ai ciechi di guerra dell'Istituto di Assistenza in Roma (15432) | Pio XII</v>
      </c>
      <c r="AA941" s="29" t="str">
        <f t="shared" si="290"/>
        <v>Discorso Ai ciechi di guerra dell'Istituto di Assistenza in Roma</v>
      </c>
      <c r="AB941" s="29" t="str">
        <f t="shared" si="291"/>
        <v>Discorso Ai ciechi di guerra dell'Istituto di Assistenza in Roma</v>
      </c>
      <c r="AC941" s="29" t="str">
        <f t="shared" si="292"/>
        <v>Pio XII, Discorso Ai ciechi di guerra dell'Istituto di Assistenza in Roma, 01 aprile 1942</v>
      </c>
      <c r="AD941" s="29" t="str">
        <f t="shared" si="293"/>
        <v>1942-04-01T08:00:00.000+02:00</v>
      </c>
      <c r="AE941" s="29" t="str">
        <f t="shared" si="299"/>
        <v>pixii-dis-</v>
      </c>
      <c r="AF941" s="29" t="str">
        <f t="shared" si="300"/>
        <v>Pio XII - Discorso - Ai ciechi di guerra dell'Istituto di Assistenza in Roma</v>
      </c>
    </row>
    <row r="942" spans="2:32" x14ac:dyDescent="0.2">
      <c r="B942" s="29">
        <v>260</v>
      </c>
      <c r="C942" s="29" t="s">
        <v>4126</v>
      </c>
      <c r="D942" s="29" t="s">
        <v>715</v>
      </c>
      <c r="E942" s="29" t="s">
        <v>724</v>
      </c>
      <c r="F942" s="29" t="s">
        <v>663</v>
      </c>
      <c r="G942" s="29" t="s">
        <v>659</v>
      </c>
      <c r="H942" s="29" t="str">
        <f t="shared" si="283"/>
        <v>Pio XII</v>
      </c>
      <c r="K942" s="29" t="s">
        <v>827</v>
      </c>
      <c r="L942" s="29" t="str">
        <f t="shared" si="298"/>
        <v>Discorso</v>
      </c>
      <c r="M942" s="29" t="s">
        <v>566</v>
      </c>
      <c r="O942" s="29" t="s">
        <v>4657</v>
      </c>
      <c r="Q942" s="38">
        <v>15474</v>
      </c>
      <c r="R942" s="32">
        <f t="shared" si="296"/>
        <v>13</v>
      </c>
      <c r="S942" s="32"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32">
        <f t="shared" si="297"/>
        <v>1942</v>
      </c>
      <c r="U942" s="29"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3"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9"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9">
        <v>838</v>
      </c>
      <c r="Y942" s="29" t="str">
        <f t="shared" si="288"/>
        <v>['Pio XII', 'Discorso', 'Radiomessaggio per il XXV della Consacrazione episcopale del Santo Padre', 'pixii-dis-', '13 maggio 1942', '13/05/1942', '1942/05/13'],</v>
      </c>
      <c r="Z942" s="29" t="str">
        <f t="shared" si="289"/>
        <v>Radiomessaggio per il XXV della Consacrazione episcopale del Santo Padre (15474) | Pio XII</v>
      </c>
      <c r="AA942" s="29" t="str">
        <f t="shared" si="290"/>
        <v>Discorso Radiomessaggio per il XXV della Consacrazione episcopale del Santo Padre</v>
      </c>
      <c r="AB942" s="29" t="str">
        <f t="shared" si="291"/>
        <v>Discorso Radiomessaggio per il XXV della Consacrazione episcopale del Santo Padre</v>
      </c>
      <c r="AC942" s="29" t="str">
        <f t="shared" si="292"/>
        <v>Pio XII, Discorso Radiomessaggio per il XXV della Consacrazione episcopale del Santo Padre, 13 maggio 1942</v>
      </c>
      <c r="AD942" s="29" t="str">
        <f t="shared" si="293"/>
        <v>1942-05-13T08:00:00.000+02:00</v>
      </c>
      <c r="AE942" s="29" t="str">
        <f t="shared" si="299"/>
        <v>pixii-dis-</v>
      </c>
      <c r="AF942" s="29" t="str">
        <f t="shared" si="300"/>
        <v>Pio XII - Discorso - Radiomessaggio per il XXV della Consacrazione episcopale del Santo Padre</v>
      </c>
    </row>
    <row r="943" spans="2:32" x14ac:dyDescent="0.2">
      <c r="B943" s="29">
        <v>260</v>
      </c>
      <c r="C943" s="29" t="s">
        <v>4127</v>
      </c>
      <c r="D943" s="29" t="s">
        <v>715</v>
      </c>
      <c r="E943" s="29" t="s">
        <v>724</v>
      </c>
      <c r="F943" s="29" t="s">
        <v>663</v>
      </c>
      <c r="G943" s="29" t="s">
        <v>659</v>
      </c>
      <c r="H943" s="29" t="str">
        <f t="shared" si="283"/>
        <v>Pio XII</v>
      </c>
      <c r="K943" s="29" t="s">
        <v>827</v>
      </c>
      <c r="L943" s="29" t="str">
        <f t="shared" si="298"/>
        <v>Discorso</v>
      </c>
      <c r="M943" s="29" t="s">
        <v>566</v>
      </c>
      <c r="O943" s="29" t="s">
        <v>4658</v>
      </c>
      <c r="Q943" s="38">
        <v>15478</v>
      </c>
      <c r="R943" s="32">
        <f t="shared" si="296"/>
        <v>17</v>
      </c>
      <c r="S943" s="32"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32">
        <f t="shared" si="297"/>
        <v>1942</v>
      </c>
      <c r="U943" s="29"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3"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9"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9">
        <v>839</v>
      </c>
      <c r="Y943" s="29" t="str">
        <f t="shared" si="288"/>
        <v>['Pio XII', 'Discorso', 'Alle lettrici della rivista «Alba»', 'pixii-dis-', '17 maggio 1942', '17/05/1942', '1942/05/17'],</v>
      </c>
      <c r="Z943" s="29" t="str">
        <f t="shared" si="289"/>
        <v>Alle lettrici della rivista «Alba» (15478) | Pio XII</v>
      </c>
      <c r="AA943" s="29" t="str">
        <f t="shared" si="290"/>
        <v>Discorso Alle lettrici della rivista «Alba»</v>
      </c>
      <c r="AB943" s="29" t="str">
        <f t="shared" si="291"/>
        <v>Discorso Alle lettrici della rivista «Alba»</v>
      </c>
      <c r="AC943" s="29" t="str">
        <f t="shared" si="292"/>
        <v>Pio XII, Discorso Alle lettrici della rivista «Alba», 17 maggio 1942</v>
      </c>
      <c r="AD943" s="29" t="str">
        <f t="shared" si="293"/>
        <v>1942-05-17T08:00:00.000+02:00</v>
      </c>
      <c r="AE943" s="29" t="str">
        <f t="shared" si="299"/>
        <v>pixii-dis-</v>
      </c>
      <c r="AF943" s="29" t="str">
        <f t="shared" si="300"/>
        <v>Pio XII - Discorso - Alle lettrici della rivista «Alba»</v>
      </c>
    </row>
    <row r="944" spans="2:32" x14ac:dyDescent="0.2">
      <c r="B944" s="29">
        <v>260</v>
      </c>
      <c r="C944" s="29" t="s">
        <v>4128</v>
      </c>
      <c r="D944" s="29" t="s">
        <v>715</v>
      </c>
      <c r="E944" s="29" t="s">
        <v>724</v>
      </c>
      <c r="F944" s="29" t="s">
        <v>663</v>
      </c>
      <c r="G944" s="29" t="s">
        <v>659</v>
      </c>
      <c r="H944" s="29" t="str">
        <f t="shared" si="283"/>
        <v>Pio XII</v>
      </c>
      <c r="K944" s="29" t="s">
        <v>827</v>
      </c>
      <c r="L944" s="29" t="str">
        <f t="shared" si="298"/>
        <v>Discorso</v>
      </c>
      <c r="M944" s="29" t="s">
        <v>566</v>
      </c>
      <c r="O944" s="29" t="s">
        <v>4659</v>
      </c>
      <c r="Q944" s="38">
        <v>15494</v>
      </c>
      <c r="R944" s="32">
        <f t="shared" si="296"/>
        <v>2</v>
      </c>
      <c r="S944" s="32"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32">
        <f t="shared" si="297"/>
        <v>1942</v>
      </c>
      <c r="U944" s="29"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3"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9"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9">
        <v>840</v>
      </c>
      <c r="Y944" s="29" t="str">
        <f t="shared" si="288"/>
        <v>['Pio XII', 'Discorso', 'Al sacro collegio nel giorno onomastico di Sua Santità', 'pixii-dis-', '02 giugno 1942', '02/06/1942', '1942/06/02'],</v>
      </c>
      <c r="Z944" s="29" t="str">
        <f t="shared" si="289"/>
        <v>Al sacro collegio nel giorno onomastico di Sua Santità (15494) | Pio XII</v>
      </c>
      <c r="AA944" s="29" t="str">
        <f t="shared" si="290"/>
        <v>Discorso Al sacro collegio nel giorno onomastico di Sua Santità</v>
      </c>
      <c r="AB944" s="29" t="str">
        <f t="shared" si="291"/>
        <v>Discorso Al sacro collegio nel giorno onomastico di Sua Santità</v>
      </c>
      <c r="AC944" s="29" t="str">
        <f t="shared" si="292"/>
        <v>Pio XII, Discorso Al sacro collegio nel giorno onomastico di Sua Santità, 02 giugno 1942</v>
      </c>
      <c r="AD944" s="29" t="str">
        <f t="shared" si="293"/>
        <v>1942-06-02T08:00:00.000+02:00</v>
      </c>
      <c r="AE944" s="29" t="str">
        <f t="shared" si="299"/>
        <v>pixii-dis-</v>
      </c>
      <c r="AF944" s="29" t="str">
        <f t="shared" si="300"/>
        <v>Pio XII - Discorso - Al sacro collegio nel giorno onomastico di Sua Santità</v>
      </c>
    </row>
    <row r="945" spans="2:32" x14ac:dyDescent="0.2">
      <c r="B945" s="29">
        <v>260</v>
      </c>
      <c r="C945" s="29" t="s">
        <v>4129</v>
      </c>
      <c r="D945" s="29" t="s">
        <v>715</v>
      </c>
      <c r="E945" s="29" t="s">
        <v>724</v>
      </c>
      <c r="F945" s="29" t="s">
        <v>663</v>
      </c>
      <c r="G945" s="29" t="s">
        <v>659</v>
      </c>
      <c r="H945" s="29" t="str">
        <f t="shared" si="283"/>
        <v>Pio XII</v>
      </c>
      <c r="K945" s="29" t="s">
        <v>827</v>
      </c>
      <c r="L945" s="29" t="str">
        <f t="shared" si="298"/>
        <v>Discorso</v>
      </c>
      <c r="M945" s="29" t="s">
        <v>566</v>
      </c>
      <c r="O945" s="29" t="s">
        <v>4660</v>
      </c>
      <c r="Q945" s="38">
        <v>15507</v>
      </c>
      <c r="R945" s="32">
        <f t="shared" si="296"/>
        <v>15</v>
      </c>
      <c r="S945" s="32"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32">
        <f t="shared" si="297"/>
        <v>1942</v>
      </c>
      <c r="U945" s="29"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3"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9"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9">
        <v>841</v>
      </c>
      <c r="Y945" s="29" t="str">
        <f t="shared" si="288"/>
        <v>['Pio XII', 'Discorso', 'Alla Scuola vaticana di Biblioteconomia e alla Scuola pontificia di Paleografia Diplomatica e Archivistica', 'pixii-dis-', '15 giugno 1942', '15/06/1942', '1942/06/15'],</v>
      </c>
      <c r="Z945" s="29" t="str">
        <f t="shared" si="289"/>
        <v>Alla Scuola vaticana di Biblioteconomia e alla Scuola pontificia di Paleografia Diplomatica e Archivistica (15507) | Pio XII</v>
      </c>
      <c r="AA945" s="29" t="str">
        <f t="shared" si="290"/>
        <v>Discorso Alla Scuola vaticana di Biblioteconomia e alla Scuola pontificia di Paleografia Diplomatica e Archivistica</v>
      </c>
      <c r="AB945" s="29" t="str">
        <f t="shared" si="291"/>
        <v>Discorso Alla Scuola vaticana di Biblioteconomia e alla Scuola pontificia di Paleografia Diplomatica e Archivistica</v>
      </c>
      <c r="AC945" s="29" t="str">
        <f t="shared" si="292"/>
        <v>Pio XII, Discorso Alla Scuola vaticana di Biblioteconomia e alla Scuola pontificia di Paleografia Diplomatica e Archivistica, 15 giugno 1942</v>
      </c>
      <c r="AD945" s="29" t="str">
        <f t="shared" si="293"/>
        <v>1942-06-15T08:00:00.000+02:00</v>
      </c>
      <c r="AE945" s="29" t="str">
        <f t="shared" si="299"/>
        <v>pixii-dis-</v>
      </c>
      <c r="AF945" s="29" t="str">
        <f t="shared" si="300"/>
        <v>Pio XII - Discorso - Alla Scuola vaticana di Biblioteconomia e alla Scuola pontificia di Paleografia Diplomatica e Archivistica</v>
      </c>
    </row>
    <row r="946" spans="2:32" x14ac:dyDescent="0.2">
      <c r="B946" s="29">
        <v>260</v>
      </c>
      <c r="C946" s="29" t="s">
        <v>4130</v>
      </c>
      <c r="D946" s="29" t="s">
        <v>715</v>
      </c>
      <c r="E946" s="29" t="s">
        <v>724</v>
      </c>
      <c r="F946" s="29" t="s">
        <v>663</v>
      </c>
      <c r="G946" s="29" t="s">
        <v>659</v>
      </c>
      <c r="H946" s="29" t="str">
        <f t="shared" si="283"/>
        <v>Pio XII</v>
      </c>
      <c r="K946" s="29" t="s">
        <v>827</v>
      </c>
      <c r="L946" s="29" t="str">
        <f t="shared" si="298"/>
        <v>Discorso</v>
      </c>
      <c r="M946" s="29" t="s">
        <v>566</v>
      </c>
      <c r="O946" s="29" t="s">
        <v>4661</v>
      </c>
      <c r="Q946" s="38">
        <v>15604</v>
      </c>
      <c r="R946" s="32">
        <f t="shared" si="296"/>
        <v>20</v>
      </c>
      <c r="S946" s="32"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32">
        <f t="shared" si="297"/>
        <v>1942</v>
      </c>
      <c r="U946" s="29"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3"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9"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9">
        <v>842</v>
      </c>
      <c r="Y946" s="29" t="str">
        <f t="shared" si="288"/>
        <v>['Pio XII', 'Discorso', 'Agli uomini di Azione Cattolica', 'pixii-dis-', '20 settembre 1942', '20/09/1942', '1942/09/20'],</v>
      </c>
      <c r="Z946" s="29" t="str">
        <f t="shared" si="289"/>
        <v>Agli uomini di Azione Cattolica (15604) | Pio XII</v>
      </c>
      <c r="AA946" s="29" t="str">
        <f t="shared" si="290"/>
        <v>Discorso Agli uomini di Azione Cattolica</v>
      </c>
      <c r="AB946" s="29" t="str">
        <f t="shared" si="291"/>
        <v>Discorso Agli uomini di Azione Cattolica</v>
      </c>
      <c r="AC946" s="29" t="str">
        <f t="shared" si="292"/>
        <v>Pio XII, Discorso Agli uomini di Azione Cattolica, 20 settembre 1942</v>
      </c>
      <c r="AD946" s="29" t="str">
        <f t="shared" si="293"/>
        <v>1942-09-20T08:00:00.000+02:00</v>
      </c>
      <c r="AE946" s="29" t="str">
        <f t="shared" si="299"/>
        <v>pixii-dis-</v>
      </c>
      <c r="AF946" s="29" t="str">
        <f t="shared" si="300"/>
        <v>Pio XII - Discorso - Agli uomini di Azione Cattolica</v>
      </c>
    </row>
    <row r="947" spans="2:32" x14ac:dyDescent="0.2">
      <c r="B947" s="29">
        <v>260</v>
      </c>
      <c r="C947" s="29" t="s">
        <v>4131</v>
      </c>
      <c r="D947" s="29" t="s">
        <v>715</v>
      </c>
      <c r="E947" s="29" t="s">
        <v>724</v>
      </c>
      <c r="F947" s="29" t="s">
        <v>663</v>
      </c>
      <c r="G947" s="29" t="s">
        <v>659</v>
      </c>
      <c r="H947" s="29" t="str">
        <f t="shared" si="283"/>
        <v>Pio XII</v>
      </c>
      <c r="K947" s="29" t="s">
        <v>827</v>
      </c>
      <c r="L947" s="29" t="str">
        <f t="shared" si="298"/>
        <v>Discorso</v>
      </c>
      <c r="M947" s="29" t="s">
        <v>566</v>
      </c>
      <c r="O947" s="29" t="s">
        <v>4645</v>
      </c>
      <c r="Q947" s="38">
        <v>15615</v>
      </c>
      <c r="R947" s="32">
        <f t="shared" si="296"/>
        <v>1</v>
      </c>
      <c r="S947" s="32"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32">
        <f t="shared" si="297"/>
        <v>1942</v>
      </c>
      <c r="U947" s="29"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3"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9"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9">
        <v>843</v>
      </c>
      <c r="Y947" s="29" t="str">
        <f t="shared" si="288"/>
        <v>['Pio XII', 'Discorso', 'Al Tribunale della Sacra Romana Rota', 'pixii-dis-', '01 ottobre 1942', '01/10/1942', '1942/10/01'],</v>
      </c>
      <c r="Z947" s="29" t="str">
        <f t="shared" si="289"/>
        <v>Al Tribunale della Sacra Romana Rota (15615) | Pio XII</v>
      </c>
      <c r="AA947" s="29" t="str">
        <f t="shared" si="290"/>
        <v>Discorso Al Tribunale della Sacra Romana Rota</v>
      </c>
      <c r="AB947" s="29" t="str">
        <f t="shared" si="291"/>
        <v>Discorso Al Tribunale della Sacra Romana Rota</v>
      </c>
      <c r="AC947" s="29" t="str">
        <f t="shared" si="292"/>
        <v>Pio XII, Discorso Al Tribunale della Sacra Romana Rota, 01 ottobre 1942</v>
      </c>
      <c r="AD947" s="29" t="str">
        <f t="shared" si="293"/>
        <v>1942-10-01T08:00:00.000+02:00</v>
      </c>
      <c r="AE947" s="29" t="str">
        <f t="shared" si="299"/>
        <v>pixii-dis-</v>
      </c>
      <c r="AF947" s="29" t="str">
        <f t="shared" si="300"/>
        <v>Pio XII - Discorso - Al Tribunale della Sacra Romana Rota</v>
      </c>
    </row>
    <row r="948" spans="2:32" x14ac:dyDescent="0.2">
      <c r="B948" s="29">
        <v>260</v>
      </c>
      <c r="C948" s="29" t="s">
        <v>4132</v>
      </c>
      <c r="D948" s="29" t="s">
        <v>715</v>
      </c>
      <c r="E948" s="29" t="s">
        <v>724</v>
      </c>
      <c r="F948" s="29" t="s">
        <v>663</v>
      </c>
      <c r="G948" s="29" t="s">
        <v>659</v>
      </c>
      <c r="H948" s="29" t="str">
        <f t="shared" si="283"/>
        <v>Pio XII</v>
      </c>
      <c r="K948" s="29" t="s">
        <v>827</v>
      </c>
      <c r="L948" s="29" t="str">
        <f t="shared" si="298"/>
        <v>Discorso</v>
      </c>
      <c r="M948" s="29" t="s">
        <v>566</v>
      </c>
      <c r="O948" s="29" t="s">
        <v>4662</v>
      </c>
      <c r="Q948" s="38">
        <v>15616</v>
      </c>
      <c r="R948" s="32">
        <f t="shared" si="296"/>
        <v>2</v>
      </c>
      <c r="S948" s="32"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32">
        <f t="shared" si="297"/>
        <v>1942</v>
      </c>
      <c r="U948" s="29"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3"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9"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9">
        <v>844</v>
      </c>
      <c r="Y948" s="29" t="str">
        <f t="shared" si="288"/>
        <v>['Pio XII', 'Discorso', 'Ai congressisti della Società italiana per il progresso delle Scienze', 'pixii-dis-', '02 ottobre 1942', '02/10/1942', '1942/10/02'],</v>
      </c>
      <c r="Z948" s="29" t="str">
        <f t="shared" si="289"/>
        <v>Ai congressisti della Società italiana per il progresso delle Scienze (15616) | Pio XII</v>
      </c>
      <c r="AA948" s="29" t="str">
        <f t="shared" si="290"/>
        <v>Discorso Ai congressisti della Società italiana per il progresso delle Scienze</v>
      </c>
      <c r="AB948" s="29" t="str">
        <f t="shared" si="291"/>
        <v>Discorso Ai congressisti della Società italiana per il progresso delle Scienze</v>
      </c>
      <c r="AC948" s="29" t="str">
        <f t="shared" si="292"/>
        <v>Pio XII, Discorso Ai congressisti della Società italiana per il progresso delle Scienze, 02 ottobre 1942</v>
      </c>
      <c r="AD948" s="29" t="str">
        <f t="shared" si="293"/>
        <v>1942-10-02T08:00:00.000+02:00</v>
      </c>
      <c r="AE948" s="29" t="str">
        <f t="shared" si="299"/>
        <v>pixii-dis-</v>
      </c>
      <c r="AF948" s="29" t="str">
        <f t="shared" si="300"/>
        <v>Pio XII - Discorso - Ai congressisti della Società italiana per il progresso delle Scienze</v>
      </c>
    </row>
    <row r="949" spans="2:32" x14ac:dyDescent="0.2">
      <c r="B949" s="29">
        <v>260</v>
      </c>
      <c r="C949" s="29" t="s">
        <v>4133</v>
      </c>
      <c r="D949" s="29" t="s">
        <v>715</v>
      </c>
      <c r="E949" s="29" t="s">
        <v>724</v>
      </c>
      <c r="F949" s="29" t="s">
        <v>663</v>
      </c>
      <c r="G949" s="29" t="s">
        <v>659</v>
      </c>
      <c r="H949" s="29" t="str">
        <f t="shared" si="283"/>
        <v>Pio XII</v>
      </c>
      <c r="K949" s="29" t="s">
        <v>827</v>
      </c>
      <c r="L949" s="29" t="str">
        <f t="shared" si="298"/>
        <v>Discorso</v>
      </c>
      <c r="M949" s="29" t="s">
        <v>566</v>
      </c>
      <c r="O949" s="29" t="s">
        <v>4663</v>
      </c>
      <c r="Q949" s="38">
        <v>15639</v>
      </c>
      <c r="R949" s="32">
        <f t="shared" si="296"/>
        <v>25</v>
      </c>
      <c r="S949" s="32"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32">
        <f t="shared" si="297"/>
        <v>1942</v>
      </c>
      <c r="U949" s="29"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3"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9"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9">
        <v>845</v>
      </c>
      <c r="Y949" s="29" t="str">
        <f t="shared" si="288"/>
        <v>['Pio XII', 'Discorso', 'In occasione del 75 della Pia unione delle Figlie di Maria', 'pixii-dis-', '25 ottobre 1942', '25/10/1942', '1942/10/25'],</v>
      </c>
      <c r="Z949" s="29" t="str">
        <f t="shared" si="289"/>
        <v>In occasione del 75 della Pia unione delle Figlie di Maria (15639) | Pio XII</v>
      </c>
      <c r="AA949" s="29" t="str">
        <f t="shared" si="290"/>
        <v>Discorso In occasione del 75 della Pia unione delle Figlie di Maria</v>
      </c>
      <c r="AB949" s="29" t="str">
        <f t="shared" si="291"/>
        <v>Discorso In occasione del 75 della Pia unione delle Figlie di Maria</v>
      </c>
      <c r="AC949" s="29" t="str">
        <f t="shared" si="292"/>
        <v>Pio XII, Discorso In occasione del 75 della Pia unione delle Figlie di Maria, 25 ottobre 1942</v>
      </c>
      <c r="AD949" s="29" t="str">
        <f t="shared" si="293"/>
        <v>1942-10-25T08:00:00.000+02:00</v>
      </c>
      <c r="AE949" s="29" t="str">
        <f t="shared" si="299"/>
        <v>pixii-dis-</v>
      </c>
      <c r="AF949" s="29" t="str">
        <f t="shared" si="300"/>
        <v>Pio XII - Discorso - In occasione del 75 della Pia unione delle Figlie di Maria</v>
      </c>
    </row>
    <row r="950" spans="2:32" x14ac:dyDescent="0.2">
      <c r="B950" s="29">
        <v>260</v>
      </c>
      <c r="C950" s="29" t="s">
        <v>4134</v>
      </c>
      <c r="D950" s="29" t="s">
        <v>715</v>
      </c>
      <c r="E950" s="29" t="s">
        <v>724</v>
      </c>
      <c r="F950" s="29" t="s">
        <v>663</v>
      </c>
      <c r="G950" s="29" t="s">
        <v>659</v>
      </c>
      <c r="H950" s="29" t="str">
        <f t="shared" si="283"/>
        <v>Pio XII</v>
      </c>
      <c r="K950" s="29" t="s">
        <v>827</v>
      </c>
      <c r="L950" s="29" t="str">
        <f t="shared" si="298"/>
        <v>Discorso</v>
      </c>
      <c r="M950" s="29" t="s">
        <v>566</v>
      </c>
      <c r="O950" s="29" t="s">
        <v>4664</v>
      </c>
      <c r="Q950" s="38">
        <v>15645</v>
      </c>
      <c r="R950" s="32">
        <f t="shared" si="296"/>
        <v>31</v>
      </c>
      <c r="S950" s="32"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32">
        <f t="shared" si="297"/>
        <v>1942</v>
      </c>
      <c r="U950" s="29"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3"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9"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9">
        <v>846</v>
      </c>
      <c r="Y950" s="29" t="str">
        <f t="shared" si="288"/>
        <v>['Pio XII', 'Discorso', 'Radiomessaggio al Portogallo: preghiera per la Consacrazione della Chiesa e del genere umano al Cuore Immacolato di Maria', 'pixii-dis-', '31 ottobre 1942', '31/10/1942', '1942/10/31'],</v>
      </c>
      <c r="Z950" s="29" t="str">
        <f t="shared" si="289"/>
        <v>Radiomessaggio al Portogallo: preghiera per la Consacrazione della Chiesa e del genere umano al Cuore Immacolato di Maria (15645) | Pio XII</v>
      </c>
      <c r="AA950" s="29" t="str">
        <f t="shared" si="290"/>
        <v>Discorso Radiomessaggio al Portogallo: preghiera per la Consacrazione della Chiesa e del genere umano al Cuore Immacolato di Maria</v>
      </c>
      <c r="AB950" s="29" t="str">
        <f t="shared" si="291"/>
        <v>Discorso Radiomessaggio al Portogallo: preghiera per la Consacrazione della Chiesa e del genere umano al Cuore Immacolato di Maria</v>
      </c>
      <c r="AC950" s="29" t="str">
        <f t="shared" si="292"/>
        <v>Pio XII, Discorso Radiomessaggio al Portogallo: preghiera per la Consacrazione della Chiesa e del genere umano al Cuore Immacolato di Maria, 31 ottobre 1942</v>
      </c>
      <c r="AD950" s="29" t="str">
        <f t="shared" si="293"/>
        <v>1942-10-31T08:00:00.000+02:00</v>
      </c>
      <c r="AE950" s="29" t="str">
        <f t="shared" si="299"/>
        <v>pixii-dis-</v>
      </c>
      <c r="AF950" s="29" t="str">
        <f t="shared" si="300"/>
        <v>Pio XII - Discorso - Radiomessaggio al Portogallo: preghiera per la Consacrazione della Chiesa e del genere umano al Cuore Immacolato di Maria</v>
      </c>
    </row>
    <row r="951" spans="2:32" x14ac:dyDescent="0.2">
      <c r="B951" s="29">
        <v>260</v>
      </c>
      <c r="C951" s="29" t="s">
        <v>4135</v>
      </c>
      <c r="D951" s="29" t="s">
        <v>715</v>
      </c>
      <c r="E951" s="29" t="s">
        <v>724</v>
      </c>
      <c r="F951" s="29" t="s">
        <v>663</v>
      </c>
      <c r="G951" s="29" t="s">
        <v>659</v>
      </c>
      <c r="H951" s="29" t="str">
        <f t="shared" si="283"/>
        <v>Pio XII</v>
      </c>
      <c r="K951" s="29" t="s">
        <v>827</v>
      </c>
      <c r="L951" s="29" t="str">
        <f t="shared" si="298"/>
        <v>Discorso</v>
      </c>
      <c r="M951" s="29" t="s">
        <v>566</v>
      </c>
      <c r="O951" s="29" t="s">
        <v>4665</v>
      </c>
      <c r="Q951" s="38">
        <v>15657</v>
      </c>
      <c r="R951" s="32">
        <f t="shared" si="296"/>
        <v>12</v>
      </c>
      <c r="S951" s="32"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32">
        <f t="shared" si="297"/>
        <v>1942</v>
      </c>
      <c r="U951" s="29"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3"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9"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9">
        <v>847</v>
      </c>
      <c r="Y951" s="29" t="str">
        <f t="shared" si="288"/>
        <v>['Pio XII', 'Discorso', 'Ai partecipanti al Convegno internazionale delle alte scienze matematiche', 'pixii-dis-', '12 novembre 1942', '12/11/1942', '1942/11/12'],</v>
      </c>
      <c r="Z951" s="29" t="str">
        <f t="shared" si="289"/>
        <v>Ai partecipanti al Convegno internazionale delle alte scienze matematiche (15657) | Pio XII</v>
      </c>
      <c r="AA951" s="29" t="str">
        <f t="shared" si="290"/>
        <v>Discorso Ai partecipanti al Convegno internazionale delle alte scienze matematiche</v>
      </c>
      <c r="AB951" s="29" t="str">
        <f t="shared" si="291"/>
        <v>Discorso Ai partecipanti al Convegno internazionale delle alte scienze matematiche</v>
      </c>
      <c r="AC951" s="29" t="str">
        <f t="shared" si="292"/>
        <v>Pio XII, Discorso Ai partecipanti al Convegno internazionale delle alte scienze matematiche, 12 novembre 1942</v>
      </c>
      <c r="AD951" s="29" t="str">
        <f t="shared" si="293"/>
        <v>1942-11-12T08:00:00.000+02:00</v>
      </c>
      <c r="AE951" s="29" t="str">
        <f t="shared" si="299"/>
        <v>pixii-dis-</v>
      </c>
      <c r="AF951" s="29" t="str">
        <f t="shared" si="300"/>
        <v>Pio XII - Discorso - Ai partecipanti al Convegno internazionale delle alte scienze matematiche</v>
      </c>
    </row>
    <row r="952" spans="2:32" x14ac:dyDescent="0.2">
      <c r="B952" s="29">
        <v>260</v>
      </c>
      <c r="C952" s="29" t="s">
        <v>4136</v>
      </c>
      <c r="D952" s="29" t="s">
        <v>715</v>
      </c>
      <c r="E952" s="29" t="s">
        <v>724</v>
      </c>
      <c r="F952" s="29" t="s">
        <v>663</v>
      </c>
      <c r="G952" s="29" t="s">
        <v>659</v>
      </c>
      <c r="H952" s="29" t="str">
        <f t="shared" si="283"/>
        <v>Pio XII</v>
      </c>
      <c r="K952" s="29" t="s">
        <v>827</v>
      </c>
      <c r="L952" s="29" t="str">
        <f t="shared" si="298"/>
        <v>Discorso</v>
      </c>
      <c r="M952" s="29" t="s">
        <v>566</v>
      </c>
      <c r="O952" s="29" t="s">
        <v>4666</v>
      </c>
      <c r="Q952" s="38">
        <v>15674</v>
      </c>
      <c r="R952" s="32">
        <f t="shared" si="296"/>
        <v>29</v>
      </c>
      <c r="S952" s="32"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32">
        <f t="shared" si="297"/>
        <v>1942</v>
      </c>
      <c r="U952" s="29"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3"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9"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9">
        <v>848</v>
      </c>
      <c r="Y952" s="29" t="str">
        <f t="shared" si="288"/>
        <v>['Pio XII', 'Discorso', 'Ai professori e ai dirigenti della scuola del «Centro mutilati Principessa di Piemonte»', 'pixii-dis-', '29 novembre 1942', '29/11/1942', '1942/11/29'],</v>
      </c>
      <c r="Z952" s="29" t="str">
        <f t="shared" si="289"/>
        <v>Ai professori e ai dirigenti della scuola del «Centro mutilati Principessa di Piemonte» (15674) | Pio XII</v>
      </c>
      <c r="AA952" s="29" t="str">
        <f t="shared" si="290"/>
        <v>Discorso Ai professori e ai dirigenti della scuola del «Centro mutilati Principessa di Piemonte»</v>
      </c>
      <c r="AB952" s="29" t="str">
        <f t="shared" si="291"/>
        <v>Discorso Ai professori e ai dirigenti della scuola del «Centro mutilati Principessa di Piemonte»</v>
      </c>
      <c r="AC952" s="29" t="str">
        <f t="shared" si="292"/>
        <v>Pio XII, Discorso Ai professori e ai dirigenti della scuola del «Centro mutilati Principessa di Piemonte», 29 novembre 1942</v>
      </c>
      <c r="AD952" s="29" t="str">
        <f t="shared" si="293"/>
        <v>1942-11-29T08:00:00.000+02:00</v>
      </c>
      <c r="AE952" s="29" t="str">
        <f t="shared" si="299"/>
        <v>pixii-dis-</v>
      </c>
      <c r="AF952" s="29" t="str">
        <f t="shared" si="300"/>
        <v>Pio XII - Discorso - Ai professori e ai dirigenti della scuola del «Centro mutilati Principessa di Piemonte»</v>
      </c>
    </row>
    <row r="953" spans="2:32" x14ac:dyDescent="0.2">
      <c r="B953" s="29">
        <v>260</v>
      </c>
      <c r="C953" s="29" t="s">
        <v>4137</v>
      </c>
      <c r="D953" s="29" t="s">
        <v>715</v>
      </c>
      <c r="E953" s="29" t="s">
        <v>724</v>
      </c>
      <c r="F953" s="29" t="s">
        <v>663</v>
      </c>
      <c r="G953" s="29" t="s">
        <v>659</v>
      </c>
      <c r="H953" s="29" t="str">
        <f t="shared" si="283"/>
        <v>Pio XII</v>
      </c>
      <c r="K953" s="29" t="s">
        <v>827</v>
      </c>
      <c r="L953" s="29" t="str">
        <f t="shared" si="298"/>
        <v>Discorso</v>
      </c>
      <c r="M953" s="29" t="s">
        <v>566</v>
      </c>
      <c r="O953" s="29" t="s">
        <v>4667</v>
      </c>
      <c r="Q953" s="38">
        <v>15680</v>
      </c>
      <c r="R953" s="32">
        <f t="shared" si="296"/>
        <v>5</v>
      </c>
      <c r="S953" s="32"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32">
        <f t="shared" si="297"/>
        <v>1942</v>
      </c>
      <c r="U953" s="29"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3"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9"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9">
        <v>849</v>
      </c>
      <c r="Y953" s="29" t="str">
        <f t="shared" si="288"/>
        <v>['Pio XII', 'Discorso', 'Ai Porporati e ai Prelati a chiusura dei SS. Esercizi Spirituali in Vaticano', 'pixii-dis-', '05 dicembre 1942', '05/12/1942', '1942/12/05'],</v>
      </c>
      <c r="Z953" s="29" t="str">
        <f t="shared" si="289"/>
        <v>Ai Porporati e ai Prelati a chiusura dei SS. Esercizi Spirituali in Vaticano (15680) | Pio XII</v>
      </c>
      <c r="AA953" s="29" t="str">
        <f t="shared" si="290"/>
        <v>Discorso Ai Porporati e ai Prelati a chiusura dei SS. Esercizi Spirituali in Vaticano</v>
      </c>
      <c r="AB953" s="29" t="str">
        <f t="shared" si="291"/>
        <v>Discorso Ai Porporati e ai Prelati a chiusura dei SS. Esercizi Spirituali in Vaticano</v>
      </c>
      <c r="AC953" s="29" t="str">
        <f t="shared" si="292"/>
        <v>Pio XII, Discorso Ai Porporati e ai Prelati a chiusura dei SS. Esercizi Spirituali in Vaticano, 05 dicembre 1942</v>
      </c>
      <c r="AD953" s="29" t="str">
        <f t="shared" si="293"/>
        <v>1942-12-05T08:00:00.000+02:00</v>
      </c>
      <c r="AE953" s="29" t="str">
        <f t="shared" si="299"/>
        <v>pixii-dis-</v>
      </c>
      <c r="AF953" s="29" t="str">
        <f t="shared" si="300"/>
        <v>Pio XII - Discorso - Ai Porporati e ai Prelati a chiusura dei SS. Esercizi Spirituali in Vaticano</v>
      </c>
    </row>
    <row r="954" spans="2:32" x14ac:dyDescent="0.2">
      <c r="B954" s="29">
        <v>260</v>
      </c>
      <c r="C954" s="29" t="s">
        <v>4138</v>
      </c>
      <c r="D954" s="29" t="s">
        <v>715</v>
      </c>
      <c r="E954" s="29" t="s">
        <v>724</v>
      </c>
      <c r="F954" s="29" t="s">
        <v>663</v>
      </c>
      <c r="G954" s="29" t="s">
        <v>659</v>
      </c>
      <c r="H954" s="29" t="str">
        <f t="shared" si="283"/>
        <v>Pio XII</v>
      </c>
      <c r="K954" s="29" t="s">
        <v>827</v>
      </c>
      <c r="L954" s="29" t="str">
        <f t="shared" si="298"/>
        <v>Discorso</v>
      </c>
      <c r="M954" s="29" t="s">
        <v>566</v>
      </c>
      <c r="O954" s="29" t="s">
        <v>4668</v>
      </c>
      <c r="Q954" s="38">
        <v>15699</v>
      </c>
      <c r="R954" s="32">
        <f t="shared" si="296"/>
        <v>24</v>
      </c>
      <c r="S954" s="32"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32">
        <f t="shared" si="297"/>
        <v>1942</v>
      </c>
      <c r="U954" s="29"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3"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9"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9">
        <v>850</v>
      </c>
      <c r="Y954" s="29" t="str">
        <f t="shared" si="288"/>
        <v>['Pio XII', 'Discorso', 'Radiomessaggio alla vigilia del Santo Natale', 'pixii-dis-', '24 dicembre 1942', '24/12/1942', '1942/12/24'],</v>
      </c>
      <c r="Z954" s="29" t="str">
        <f t="shared" si="289"/>
        <v>Radiomessaggio alla vigilia del Santo Natale (15699) | Pio XII</v>
      </c>
      <c r="AA954" s="29" t="str">
        <f t="shared" si="290"/>
        <v>Discorso Radiomessaggio alla vigilia del Santo Natale</v>
      </c>
      <c r="AB954" s="29" t="str">
        <f t="shared" si="291"/>
        <v>Discorso Radiomessaggio alla vigilia del Santo Natale</v>
      </c>
      <c r="AC954" s="29" t="str">
        <f t="shared" si="292"/>
        <v>Pio XII, Discorso Radiomessaggio alla vigilia del Santo Natale, 24 dicembre 1942</v>
      </c>
      <c r="AD954" s="29" t="str">
        <f t="shared" si="293"/>
        <v>1942-12-24T08:00:00.000+02:00</v>
      </c>
      <c r="AE954" s="29" t="str">
        <f t="shared" si="299"/>
        <v>pixii-dis-</v>
      </c>
      <c r="AF954" s="29" t="str">
        <f t="shared" si="300"/>
        <v>Pio XII - Discorso - Radiomessaggio alla vigilia del Santo Natale</v>
      </c>
    </row>
    <row r="955" spans="2:32" x14ac:dyDescent="0.2">
      <c r="B955" s="29">
        <v>260</v>
      </c>
      <c r="C955" s="29" t="s">
        <v>4139</v>
      </c>
      <c r="D955" s="29" t="s">
        <v>715</v>
      </c>
      <c r="E955" s="29" t="s">
        <v>724</v>
      </c>
      <c r="F955" s="29" t="s">
        <v>663</v>
      </c>
      <c r="G955" s="29" t="s">
        <v>659</v>
      </c>
      <c r="H955" s="29" t="str">
        <f t="shared" si="283"/>
        <v>Pio XII</v>
      </c>
      <c r="K955" s="29" t="s">
        <v>827</v>
      </c>
      <c r="L955" s="29" t="str">
        <f t="shared" si="298"/>
        <v>Discorso</v>
      </c>
      <c r="M955" s="29" t="s">
        <v>566</v>
      </c>
      <c r="O955" s="29" t="s">
        <v>4669</v>
      </c>
      <c r="Q955" s="38">
        <v>15699</v>
      </c>
      <c r="R955" s="32">
        <f t="shared" si="296"/>
        <v>24</v>
      </c>
      <c r="S955" s="32"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32">
        <f t="shared" si="297"/>
        <v>1942</v>
      </c>
      <c r="U955" s="29"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3"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9"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9">
        <v>851</v>
      </c>
      <c r="Y955" s="29" t="str">
        <f t="shared" si="288"/>
        <v>['Pio XII', 'Discorso', 'Al Sacro Collegio alla Vigilia del Santo Natale', 'pixii-dis-', '24 dicembre 1942', '24/12/1942', '1942/12/24'],</v>
      </c>
      <c r="Z955" s="29" t="str">
        <f t="shared" si="289"/>
        <v>Al Sacro Collegio alla Vigilia del Santo Natale (15699) | Pio XII</v>
      </c>
      <c r="AA955" s="29" t="str">
        <f t="shared" si="290"/>
        <v>Discorso Al Sacro Collegio alla Vigilia del Santo Natale</v>
      </c>
      <c r="AB955" s="29" t="str">
        <f t="shared" si="291"/>
        <v>Discorso Al Sacro Collegio alla Vigilia del Santo Natale</v>
      </c>
      <c r="AC955" s="29" t="str">
        <f t="shared" si="292"/>
        <v>Pio XII, Discorso Al Sacro Collegio alla Vigilia del Santo Natale, 24 dicembre 1942</v>
      </c>
      <c r="AD955" s="29" t="str">
        <f t="shared" si="293"/>
        <v>1942-12-24T08:00:00.000+02:00</v>
      </c>
      <c r="AE955" s="29" t="str">
        <f t="shared" si="299"/>
        <v>pixii-dis-</v>
      </c>
      <c r="AF955" s="29" t="str">
        <f t="shared" si="300"/>
        <v>Pio XII - Discorso - Al Sacro Collegio alla Vigilia del Santo Natale</v>
      </c>
    </row>
    <row r="956" spans="2:32" x14ac:dyDescent="0.2">
      <c r="B956" s="29">
        <v>260</v>
      </c>
      <c r="C956" s="29" t="s">
        <v>4140</v>
      </c>
      <c r="D956" s="29" t="s">
        <v>715</v>
      </c>
      <c r="E956" s="29" t="s">
        <v>724</v>
      </c>
      <c r="F956" s="29" t="s">
        <v>663</v>
      </c>
      <c r="G956" s="29" t="s">
        <v>659</v>
      </c>
      <c r="H956" s="29" t="str">
        <f t="shared" si="283"/>
        <v>Pio XII</v>
      </c>
      <c r="K956" s="29" t="s">
        <v>827</v>
      </c>
      <c r="L956" s="29" t="str">
        <f t="shared" si="298"/>
        <v>Discorso</v>
      </c>
      <c r="M956" s="29" t="s">
        <v>566</v>
      </c>
      <c r="O956" s="29" t="s">
        <v>4634</v>
      </c>
      <c r="Q956" s="38">
        <v>15701</v>
      </c>
      <c r="R956" s="32">
        <f t="shared" si="296"/>
        <v>26</v>
      </c>
      <c r="S956" s="32"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32">
        <f t="shared" si="297"/>
        <v>1942</v>
      </c>
      <c r="U956" s="29"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3"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9"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9">
        <v>983</v>
      </c>
      <c r="Y956" s="29" t="str">
        <f t="shared" ref="Y956:Y961" si="301">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9" t="str">
        <f t="shared" ref="Z956:Z961" si="302">_xlfn.CONCAT(O956 &amp; " (" &amp; Q956 &amp; ") | " &amp; D956 &amp; " " &amp; E956)</f>
        <v>Alla Guardia nobile pontificia (15701) | Pio XII</v>
      </c>
      <c r="AA956" s="29" t="str">
        <f t="shared" ref="AA956:AA961" si="303">_xlfn.CONCAT(K956 &amp; " " &amp; O956)</f>
        <v>Discorso Alla Guardia nobile pontificia</v>
      </c>
      <c r="AB956" s="29" t="str">
        <f t="shared" ref="AB956:AB961" si="304">_xlfn.CONCAT(K956 &amp; " " &amp; O956)</f>
        <v>Discorso Alla Guardia nobile pontificia</v>
      </c>
      <c r="AC956" s="29" t="str">
        <f t="shared" ref="AC956:AC961" si="305">_xlfn.CONCAT(H956 &amp; ", " &amp; L956 &amp; " " &amp; O956 &amp; ", " &amp; LEFT(U956,2) &amp; " " &amp; TEXT(VALUE(MID(U956,4,2))*29,"mmmm") &amp; " " &amp; RIGHT(U956,4))</f>
        <v>Pio XII, Discorso Alla Guardia nobile pontificia, 26 dicembre 1942</v>
      </c>
      <c r="AD956" s="29" t="str">
        <f t="shared" ref="AD956:AD961" si="306">_xlfn.CONCAT(RIGHT(U956,4) &amp; "-" &amp; MID(U956,4,2) &amp; "-" &amp; LEFT(U956,2) &amp; "T08:00:00.000+02:00")</f>
        <v>1942-12-26T08:00:00.000+02:00</v>
      </c>
      <c r="AE956" s="29" t="str">
        <f t="shared" si="299"/>
        <v>pixii-dis-</v>
      </c>
      <c r="AF956" s="29" t="str">
        <f t="shared" si="300"/>
        <v>Pio XII - Discorso - Alla Guardia nobile pontificia</v>
      </c>
    </row>
    <row r="957" spans="2:32" x14ac:dyDescent="0.2">
      <c r="B957" s="29">
        <v>260</v>
      </c>
      <c r="C957" s="29" t="s">
        <v>4141</v>
      </c>
      <c r="D957" s="29" t="s">
        <v>715</v>
      </c>
      <c r="E957" s="29" t="s">
        <v>724</v>
      </c>
      <c r="F957" s="29" t="s">
        <v>663</v>
      </c>
      <c r="G957" s="29" t="s">
        <v>659</v>
      </c>
      <c r="H957" s="29" t="str">
        <f t="shared" si="283"/>
        <v>Pio XII</v>
      </c>
      <c r="K957" s="29" t="s">
        <v>827</v>
      </c>
      <c r="L957" s="29" t="str">
        <f t="shared" si="298"/>
        <v>Discorso</v>
      </c>
      <c r="M957" s="29" t="s">
        <v>566</v>
      </c>
      <c r="O957" s="29" t="s">
        <v>4670</v>
      </c>
      <c r="Q957" s="38">
        <v>15717</v>
      </c>
      <c r="R957" s="32">
        <f t="shared" si="296"/>
        <v>11</v>
      </c>
      <c r="S957" s="32"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32">
        <f t="shared" si="297"/>
        <v>1943</v>
      </c>
      <c r="U957" s="29"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3"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9"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9">
        <v>984</v>
      </c>
      <c r="Y957" s="29" t="str">
        <f t="shared" si="301"/>
        <v>['Pio XII', 'Discorso', 'Al patriziato e alla nobiltà romana', 'pixii-dis-', '11 gennaio 1943', '11/01/1943', '1943/01/11'],</v>
      </c>
      <c r="Z957" s="29" t="str">
        <f t="shared" si="302"/>
        <v>Al patriziato e alla nobiltà romana (15717) | Pio XII</v>
      </c>
      <c r="AA957" s="29" t="str">
        <f t="shared" si="303"/>
        <v>Discorso Al patriziato e alla nobiltà romana</v>
      </c>
      <c r="AB957" s="29" t="str">
        <f t="shared" si="304"/>
        <v>Discorso Al patriziato e alla nobiltà romana</v>
      </c>
      <c r="AC957" s="29" t="str">
        <f t="shared" si="305"/>
        <v>Pio XII, Discorso Al patriziato e alla nobiltà romana, 11 gennaio 1943</v>
      </c>
      <c r="AD957" s="29" t="str">
        <f t="shared" si="306"/>
        <v>1943-01-11T08:00:00.000+02:00</v>
      </c>
      <c r="AE957" s="29" t="str">
        <f t="shared" si="299"/>
        <v>pixii-dis-</v>
      </c>
      <c r="AF957" s="29" t="str">
        <f t="shared" si="300"/>
        <v>Pio XII - Discorso - Al patriziato e alla nobiltà romana</v>
      </c>
    </row>
    <row r="958" spans="2:32" x14ac:dyDescent="0.2">
      <c r="B958" s="29">
        <v>260</v>
      </c>
      <c r="C958" s="29" t="s">
        <v>4142</v>
      </c>
      <c r="D958" s="29" t="s">
        <v>715</v>
      </c>
      <c r="E958" s="29" t="s">
        <v>724</v>
      </c>
      <c r="F958" s="29" t="s">
        <v>663</v>
      </c>
      <c r="G958" s="29" t="s">
        <v>659</v>
      </c>
      <c r="H958" s="29" t="str">
        <f t="shared" si="283"/>
        <v>Pio XII</v>
      </c>
      <c r="K958" s="29" t="s">
        <v>827</v>
      </c>
      <c r="L958" s="29" t="str">
        <f t="shared" si="298"/>
        <v>Discorso</v>
      </c>
      <c r="M958" s="29" t="s">
        <v>566</v>
      </c>
      <c r="O958" s="29" t="s">
        <v>4671</v>
      </c>
      <c r="Q958" s="38">
        <v>15723</v>
      </c>
      <c r="R958" s="32">
        <f t="shared" si="296"/>
        <v>17</v>
      </c>
      <c r="S958" s="32"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32">
        <f t="shared" si="297"/>
        <v>1943</v>
      </c>
      <c r="U958" s="29"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3"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9"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9">
        <v>985</v>
      </c>
      <c r="Y958" s="29" t="str">
        <f t="shared" si="301"/>
        <v>['Pio XII', 'Discorso', 'Ad una rappresentanza di centri dell'Apostolato della  in Italia', 'pixii-dis-', '17 gennaio 1943', '17/01/1943', '1943/01/17'],</v>
      </c>
      <c r="Z958" s="29" t="str">
        <f t="shared" si="302"/>
        <v>Ad una rappresentanza di centri dell'Apostolato della  in Italia (15723) | Pio XII</v>
      </c>
      <c r="AA958" s="29" t="str">
        <f t="shared" si="303"/>
        <v>Discorso Ad una rappresentanza di centri dell'Apostolato della  in Italia</v>
      </c>
      <c r="AB958" s="29" t="str">
        <f t="shared" si="304"/>
        <v>Discorso Ad una rappresentanza di centri dell'Apostolato della  in Italia</v>
      </c>
      <c r="AC958" s="29" t="str">
        <f t="shared" si="305"/>
        <v>Pio XII, Discorso Ad una rappresentanza di centri dell'Apostolato della  in Italia, 17 gennaio 1943</v>
      </c>
      <c r="AD958" s="29" t="str">
        <f t="shared" si="306"/>
        <v>1943-01-17T08:00:00.000+02:00</v>
      </c>
      <c r="AE958" s="29" t="str">
        <f t="shared" si="299"/>
        <v>pixii-dis-</v>
      </c>
      <c r="AF958" s="29" t="str">
        <f t="shared" si="300"/>
        <v>Pio XII - Discorso - Ad una rappresentanza di centri dell'Apostolato della  in Italia</v>
      </c>
    </row>
    <row r="959" spans="2:32" x14ac:dyDescent="0.2">
      <c r="B959" s="29">
        <v>260</v>
      </c>
      <c r="C959" s="29" t="s">
        <v>4143</v>
      </c>
      <c r="D959" s="29" t="s">
        <v>715</v>
      </c>
      <c r="E959" s="29" t="s">
        <v>724</v>
      </c>
      <c r="F959" s="29" t="s">
        <v>663</v>
      </c>
      <c r="G959" s="29" t="s">
        <v>659</v>
      </c>
      <c r="H959" s="29" t="str">
        <f t="shared" ref="H959:H1022" si="307">_xlfn.CONCAT(D959 &amp; " " &amp; E959)</f>
        <v>Pio XII</v>
      </c>
      <c r="K959" s="29" t="s">
        <v>827</v>
      </c>
      <c r="L959" s="29" t="str">
        <f t="shared" si="298"/>
        <v>Discorso</v>
      </c>
      <c r="M959" s="29" t="s">
        <v>566</v>
      </c>
      <c r="O959" s="29" t="s">
        <v>4672</v>
      </c>
      <c r="Q959" s="38">
        <v>15758</v>
      </c>
      <c r="R959" s="32">
        <f t="shared" si="296"/>
        <v>21</v>
      </c>
      <c r="S959" s="32"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32">
        <f t="shared" si="297"/>
        <v>1943</v>
      </c>
      <c r="U959" s="29"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3"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9"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9">
        <v>986</v>
      </c>
      <c r="Y959" s="29" t="str">
        <f t="shared" si="301"/>
        <v>['Pio XII', 'Discorso', 'Per l'inaugurazione del VII anno della Pontificia Accademia delle Scienze', 'pixii-dis-', '21 febbraio 1943', '21/02/1943', '1943/02/21'],</v>
      </c>
      <c r="Z959" s="29" t="str">
        <f t="shared" si="302"/>
        <v>Per l'inaugurazione del VII anno della Pontificia Accademia delle Scienze (15758) | Pio XII</v>
      </c>
      <c r="AA959" s="29" t="str">
        <f t="shared" si="303"/>
        <v>Discorso Per l'inaugurazione del VII anno della Pontificia Accademia delle Scienze</v>
      </c>
      <c r="AB959" s="29" t="str">
        <f t="shared" si="304"/>
        <v>Discorso Per l'inaugurazione del VII anno della Pontificia Accademia delle Scienze</v>
      </c>
      <c r="AC959" s="29" t="str">
        <f t="shared" si="305"/>
        <v>Pio XII, Discorso Per l'inaugurazione del VII anno della Pontificia Accademia delle Scienze, 21 febbraio 1943</v>
      </c>
      <c r="AD959" s="29" t="str">
        <f t="shared" si="306"/>
        <v>1943-02-21T08:00:00.000+02:00</v>
      </c>
      <c r="AE959" s="29" t="str">
        <f t="shared" si="299"/>
        <v>pixii-dis-</v>
      </c>
      <c r="AF959" s="29" t="str">
        <f t="shared" si="300"/>
        <v>Pio XII - Discorso - Per l'inaugurazione del VII anno della Pontificia Accademia delle Scienze</v>
      </c>
    </row>
    <row r="960" spans="2:32" x14ac:dyDescent="0.2">
      <c r="B960" s="29">
        <v>260</v>
      </c>
      <c r="C960" s="29" t="s">
        <v>4144</v>
      </c>
      <c r="D960" s="29" t="s">
        <v>715</v>
      </c>
      <c r="E960" s="29" t="s">
        <v>724</v>
      </c>
      <c r="F960" s="29" t="s">
        <v>663</v>
      </c>
      <c r="G960" s="29" t="s">
        <v>659</v>
      </c>
      <c r="H960" s="29" t="str">
        <f t="shared" si="307"/>
        <v>Pio XII</v>
      </c>
      <c r="K960" s="29" t="s">
        <v>827</v>
      </c>
      <c r="L960" s="29" t="str">
        <f t="shared" si="298"/>
        <v>Discorso</v>
      </c>
      <c r="M960" s="29" t="s">
        <v>566</v>
      </c>
      <c r="O960" s="29" t="s">
        <v>4673</v>
      </c>
      <c r="Q960" s="38">
        <v>15766</v>
      </c>
      <c r="R960" s="32">
        <f t="shared" si="296"/>
        <v>1</v>
      </c>
      <c r="S960" s="32"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32">
        <f t="shared" si="297"/>
        <v>1943</v>
      </c>
      <c r="U960" s="29"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3"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9"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9">
        <v>987</v>
      </c>
      <c r="Y960" s="29" t="str">
        <f t="shared" si="301"/>
        <v>['Pio XII', 'Discorso', 'Al nuovo Ambasciatore Straordinario e Plenipotenziario d'Italia, S.E. il Conte Galeazzo Ciano di Cortellazzo, in occasione della presentazione delle Lettere Credenziali', 'pixii-dis-', '01 marzo 1943', '01/03/1943', '1943/03/01'],</v>
      </c>
      <c r="Z960" s="29" t="str">
        <f t="shared" si="302"/>
        <v>Al nuovo Ambasciatore Straordinario e Plenipotenziario d'Italia, S.E. il Conte Galeazzo Ciano di Cortellazzo, in occasione della presentazione delle Lettere Credenziali (15766) | Pio XII</v>
      </c>
      <c r="AA960" s="29" t="str">
        <f t="shared" si="303"/>
        <v>Discorso Al nuovo Ambasciatore Straordinario e Plenipotenziario d'Italia, S.E. il Conte Galeazzo Ciano di Cortellazzo, in occasione della presentazione delle Lettere Credenziali</v>
      </c>
      <c r="AB960" s="29" t="str">
        <f t="shared" si="304"/>
        <v>Discorso Al nuovo Ambasciatore Straordinario e Plenipotenziario d'Italia, S.E. il Conte Galeazzo Ciano di Cortellazzo, in occasione della presentazione delle Lettere Credenziali</v>
      </c>
      <c r="AC960" s="29" t="str">
        <f t="shared" si="305"/>
        <v>Pio XII, Discorso Al nuovo Ambasciatore Straordinario e Plenipotenziario d'Italia, S.E. il Conte Galeazzo Ciano di Cortellazzo, in occasione della presentazione delle Lettere Credenziali, 01 marzo 1943</v>
      </c>
      <c r="AD960" s="29" t="str">
        <f t="shared" si="306"/>
        <v>1943-03-01T08:00:00.000+02:00</v>
      </c>
      <c r="AE960" s="29" t="str">
        <f t="shared" si="299"/>
        <v>pixii-dis-</v>
      </c>
      <c r="AF960" s="29" t="str">
        <f t="shared" si="300"/>
        <v>Pio XII - Discorso - Al nuovo Ambasciatore Straordinario e Plenipotenziario d'Italia, S.E. il Conte Galeazzo Ciano di Cortellazzo, in occasione della presentazione delle Lettere Credenziali</v>
      </c>
    </row>
    <row r="961" spans="2:32" x14ac:dyDescent="0.2">
      <c r="B961" s="29">
        <v>260</v>
      </c>
      <c r="C961" s="29" t="s">
        <v>4145</v>
      </c>
      <c r="D961" s="29" t="s">
        <v>715</v>
      </c>
      <c r="E961" s="29" t="s">
        <v>724</v>
      </c>
      <c r="F961" s="29" t="s">
        <v>663</v>
      </c>
      <c r="G961" s="29" t="s">
        <v>659</v>
      </c>
      <c r="H961" s="29" t="str">
        <f t="shared" si="307"/>
        <v>Pio XII</v>
      </c>
      <c r="K961" s="29" t="s">
        <v>827</v>
      </c>
      <c r="L961" s="29" t="str">
        <f t="shared" si="298"/>
        <v>Discorso</v>
      </c>
      <c r="M961" s="29" t="s">
        <v>566</v>
      </c>
      <c r="O961" s="29" t="s">
        <v>4638</v>
      </c>
      <c r="Q961" s="38">
        <v>15778</v>
      </c>
      <c r="R961" s="32">
        <f t="shared" si="296"/>
        <v>13</v>
      </c>
      <c r="S961" s="32"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32">
        <f t="shared" si="297"/>
        <v>1943</v>
      </c>
      <c r="U961" s="29"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3"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9"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9">
        <v>988</v>
      </c>
      <c r="Y961" s="29" t="str">
        <f t="shared" si="301"/>
        <v>['Pio XII', 'Discorso', 'Ai Parroci e ai Quaresimalisti di Roma', 'pixii-dis-', '13 marzo 1943', '13/03/1943', '1943/03/13'],</v>
      </c>
      <c r="Z961" s="29" t="str">
        <f t="shared" si="302"/>
        <v>Ai Parroci e ai Quaresimalisti di Roma (15778) | Pio XII</v>
      </c>
      <c r="AA961" s="29" t="str">
        <f t="shared" si="303"/>
        <v>Discorso Ai Parroci e ai Quaresimalisti di Roma</v>
      </c>
      <c r="AB961" s="29" t="str">
        <f t="shared" si="304"/>
        <v>Discorso Ai Parroci e ai Quaresimalisti di Roma</v>
      </c>
      <c r="AC961" s="29" t="str">
        <f t="shared" si="305"/>
        <v>Pio XII, Discorso Ai Parroci e ai Quaresimalisti di Roma, 13 marzo 1943</v>
      </c>
      <c r="AD961" s="29" t="str">
        <f t="shared" si="306"/>
        <v>1943-03-13T08:00:00.000+02:00</v>
      </c>
      <c r="AE961" s="29" t="str">
        <f t="shared" si="299"/>
        <v>pixii-dis-</v>
      </c>
      <c r="AF961" s="29" t="str">
        <f t="shared" si="300"/>
        <v>Pio XII - Discorso - Ai Parroci e ai Quaresimalisti di Roma</v>
      </c>
    </row>
    <row r="962" spans="2:32" x14ac:dyDescent="0.2">
      <c r="B962" s="29">
        <v>260</v>
      </c>
      <c r="C962" s="29" t="s">
        <v>4146</v>
      </c>
      <c r="D962" s="29" t="s">
        <v>715</v>
      </c>
      <c r="E962" s="29" t="s">
        <v>724</v>
      </c>
      <c r="F962" s="29" t="s">
        <v>663</v>
      </c>
      <c r="G962" s="29" t="s">
        <v>659</v>
      </c>
      <c r="H962" s="29" t="str">
        <f t="shared" si="307"/>
        <v>Pio XII</v>
      </c>
      <c r="K962" s="29" t="s">
        <v>827</v>
      </c>
      <c r="L962" s="29" t="str">
        <f t="shared" si="298"/>
        <v>Discorso</v>
      </c>
      <c r="M962" s="29" t="s">
        <v>566</v>
      </c>
      <c r="O962" s="29" t="s">
        <v>4674</v>
      </c>
      <c r="Q962" s="38">
        <v>15820</v>
      </c>
      <c r="R962" s="32">
        <f t="shared" si="296"/>
        <v>24</v>
      </c>
      <c r="S962" s="32"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32">
        <f t="shared" si="297"/>
        <v>1943</v>
      </c>
      <c r="U962" s="29"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3"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9"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9">
        <v>989</v>
      </c>
      <c r="Y962" s="29" t="str">
        <f t="shared" ref="Y962:Y1025" si="308">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9" t="str">
        <f t="shared" ref="Z962:Z1025" si="309">_xlfn.CONCAT(O962 &amp; " (" &amp; Q962 &amp; ") | " &amp; D962 &amp; " " &amp; E962)</f>
        <v>Nel XXV della Gioventù femminile di Azione Cattolica Italiana (15820) | Pio XII</v>
      </c>
      <c r="AA962" s="29" t="str">
        <f t="shared" ref="AA962:AA1025" si="310">_xlfn.CONCAT(K962 &amp; " " &amp; O962)</f>
        <v>Discorso Nel XXV della Gioventù femminile di Azione Cattolica Italiana</v>
      </c>
      <c r="AB962" s="29" t="str">
        <f t="shared" ref="AB962:AB1025" si="311">_xlfn.CONCAT(K962 &amp; " " &amp; O962)</f>
        <v>Discorso Nel XXV della Gioventù femminile di Azione Cattolica Italiana</v>
      </c>
      <c r="AC962" s="29" t="str">
        <f t="shared" ref="AC962:AC1025" si="312">_xlfn.CONCAT(H962 &amp; ", " &amp; L962 &amp; " " &amp; O962 &amp; ", " &amp; LEFT(U962,2) &amp; " " &amp; TEXT(VALUE(MID(U962,4,2))*29,"mmmm") &amp; " " &amp; RIGHT(U962,4))</f>
        <v>Pio XII, Discorso Nel XXV della Gioventù femminile di Azione Cattolica Italiana, 24 aprile 1943</v>
      </c>
      <c r="AD962" s="29" t="str">
        <f t="shared" ref="AD962:AD1025" si="313">_xlfn.CONCAT(RIGHT(U962,4) &amp; "-" &amp; MID(U962,4,2) &amp; "-" &amp; LEFT(U962,2) &amp; "T08:00:00.000+02:00")</f>
        <v>1943-04-24T08:00:00.000+02:00</v>
      </c>
      <c r="AE962" s="29" t="str">
        <f t="shared" si="299"/>
        <v>pixii-dis-</v>
      </c>
      <c r="AF962" s="29" t="str">
        <f t="shared" si="300"/>
        <v>Pio XII - Discorso - Nel XXV della Gioventù femminile di Azione Cattolica Italiana</v>
      </c>
    </row>
    <row r="963" spans="2:32" x14ac:dyDescent="0.2">
      <c r="B963" s="29">
        <v>260</v>
      </c>
      <c r="C963" s="29" t="s">
        <v>4147</v>
      </c>
      <c r="D963" s="29" t="s">
        <v>715</v>
      </c>
      <c r="E963" s="29" t="s">
        <v>724</v>
      </c>
      <c r="F963" s="29" t="s">
        <v>663</v>
      </c>
      <c r="G963" s="29" t="s">
        <v>659</v>
      </c>
      <c r="H963" s="29" t="str">
        <f t="shared" si="307"/>
        <v>Pio XII</v>
      </c>
      <c r="K963" s="29" t="s">
        <v>827</v>
      </c>
      <c r="L963" s="29" t="str">
        <f t="shared" si="298"/>
        <v>Discorso</v>
      </c>
      <c r="M963" s="29" t="s">
        <v>566</v>
      </c>
      <c r="O963" s="29" t="s">
        <v>4675</v>
      </c>
      <c r="Q963" s="38">
        <v>15859</v>
      </c>
      <c r="R963" s="32">
        <f t="shared" si="296"/>
        <v>2</v>
      </c>
      <c r="S963" s="32"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32">
        <f t="shared" si="297"/>
        <v>1943</v>
      </c>
      <c r="U963" s="29"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3"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9"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9">
        <v>990</v>
      </c>
      <c r="Y963" s="29" t="str">
        <f t="shared" si="308"/>
        <v>['Pio XII', 'Discorso', 'Al Sacro Collegio nel giorno onomastico di Sua Santità', 'pixii-dis-', '02 giugno 1943', '02/06/1943', '1943/06/02'],</v>
      </c>
      <c r="Z963" s="29" t="str">
        <f t="shared" si="309"/>
        <v>Al Sacro Collegio nel giorno onomastico di Sua Santità (15859) | Pio XII</v>
      </c>
      <c r="AA963" s="29" t="str">
        <f t="shared" si="310"/>
        <v>Discorso Al Sacro Collegio nel giorno onomastico di Sua Santità</v>
      </c>
      <c r="AB963" s="29" t="str">
        <f t="shared" si="311"/>
        <v>Discorso Al Sacro Collegio nel giorno onomastico di Sua Santità</v>
      </c>
      <c r="AC963" s="29" t="str">
        <f t="shared" si="312"/>
        <v>Pio XII, Discorso Al Sacro Collegio nel giorno onomastico di Sua Santità, 02 giugno 1943</v>
      </c>
      <c r="AD963" s="29" t="str">
        <f t="shared" si="313"/>
        <v>1943-06-02T08:00:00.000+02:00</v>
      </c>
      <c r="AE963" s="29" t="str">
        <f t="shared" si="299"/>
        <v>pixii-dis-</v>
      </c>
      <c r="AF963" s="29" t="str">
        <f t="shared" si="300"/>
        <v>Pio XII - Discorso - Al Sacro Collegio nel giorno onomastico di Sua Santità</v>
      </c>
    </row>
    <row r="964" spans="2:32" x14ac:dyDescent="0.2">
      <c r="B964" s="29">
        <v>260</v>
      </c>
      <c r="C964" s="29" t="s">
        <v>4148</v>
      </c>
      <c r="D964" s="29" t="s">
        <v>715</v>
      </c>
      <c r="E964" s="29" t="s">
        <v>724</v>
      </c>
      <c r="F964" s="29" t="s">
        <v>663</v>
      </c>
      <c r="G964" s="29" t="s">
        <v>659</v>
      </c>
      <c r="H964" s="29" t="str">
        <f t="shared" si="307"/>
        <v>Pio XII</v>
      </c>
      <c r="K964" s="29" t="s">
        <v>827</v>
      </c>
      <c r="L964" s="29" t="str">
        <f t="shared" si="298"/>
        <v>Discorso</v>
      </c>
      <c r="M964" s="29" t="s">
        <v>566</v>
      </c>
      <c r="O964" s="29" t="s">
        <v>4676</v>
      </c>
      <c r="Q964" s="38">
        <v>15870</v>
      </c>
      <c r="R964" s="32">
        <f t="shared" si="296"/>
        <v>13</v>
      </c>
      <c r="S964" s="32"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32">
        <f t="shared" si="297"/>
        <v>1943</v>
      </c>
      <c r="U964" s="29"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3"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9"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9">
        <v>991</v>
      </c>
      <c r="Y964" s="29" t="str">
        <f t="shared" si="308"/>
        <v>['Pio XII', 'Discorso', 'Ad una imponente rappresentanza dei lavoratori d'Italia', 'pixii-dis-', '13 giugno 1943', '13/06/1943', '1943/06/13'],</v>
      </c>
      <c r="Z964" s="29" t="str">
        <f t="shared" si="309"/>
        <v>Ad una imponente rappresentanza dei lavoratori d'Italia (15870) | Pio XII</v>
      </c>
      <c r="AA964" s="29" t="str">
        <f t="shared" si="310"/>
        <v>Discorso Ad una imponente rappresentanza dei lavoratori d'Italia</v>
      </c>
      <c r="AB964" s="29" t="str">
        <f t="shared" si="311"/>
        <v>Discorso Ad una imponente rappresentanza dei lavoratori d'Italia</v>
      </c>
      <c r="AC964" s="29" t="str">
        <f t="shared" si="312"/>
        <v>Pio XII, Discorso Ad una imponente rappresentanza dei lavoratori d'Italia, 13 giugno 1943</v>
      </c>
      <c r="AD964" s="29" t="str">
        <f t="shared" si="313"/>
        <v>1943-06-13T08:00:00.000+02:00</v>
      </c>
      <c r="AE964" s="29" t="str">
        <f t="shared" si="299"/>
        <v>pixii-dis-</v>
      </c>
      <c r="AF964" s="29" t="str">
        <f t="shared" si="300"/>
        <v>Pio XII - Discorso - Ad una imponente rappresentanza dei lavoratori d'Italia</v>
      </c>
    </row>
    <row r="965" spans="2:32" x14ac:dyDescent="0.2">
      <c r="B965" s="29">
        <v>260</v>
      </c>
      <c r="C965" s="29" t="s">
        <v>4149</v>
      </c>
      <c r="D965" s="29" t="s">
        <v>715</v>
      </c>
      <c r="E965" s="29" t="s">
        <v>724</v>
      </c>
      <c r="F965" s="29" t="s">
        <v>663</v>
      </c>
      <c r="G965" s="29" t="s">
        <v>659</v>
      </c>
      <c r="H965" s="29" t="str">
        <f t="shared" si="307"/>
        <v>Pio XII</v>
      </c>
      <c r="K965" s="29" t="s">
        <v>827</v>
      </c>
      <c r="L965" s="29" t="str">
        <f t="shared" si="298"/>
        <v>Discorso</v>
      </c>
      <c r="M965" s="29" t="s">
        <v>566</v>
      </c>
      <c r="O965" s="29" t="s">
        <v>4677</v>
      </c>
      <c r="Q965" s="38">
        <v>15950</v>
      </c>
      <c r="R965" s="32">
        <f t="shared" si="296"/>
        <v>1</v>
      </c>
      <c r="S965" s="32"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32">
        <f t="shared" si="297"/>
        <v>1943</v>
      </c>
      <c r="U965" s="29"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3"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9"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9">
        <v>992</v>
      </c>
      <c r="Y965" s="29" t="str">
        <f t="shared" si="308"/>
        <v>['Pio XII', 'Discorso', 'Radiomessaggio nel IV anniversario dell'inizio della guerra mondiale', 'pixii-dis-', '01 settembre 1943', '01/09/1943', '1943/09/01'],</v>
      </c>
      <c r="Z965" s="29" t="str">
        <f t="shared" si="309"/>
        <v>Radiomessaggio nel IV anniversario dell'inizio della guerra mondiale (15950) | Pio XII</v>
      </c>
      <c r="AA965" s="29" t="str">
        <f t="shared" si="310"/>
        <v>Discorso Radiomessaggio nel IV anniversario dell'inizio della guerra mondiale</v>
      </c>
      <c r="AB965" s="29" t="str">
        <f t="shared" si="311"/>
        <v>Discorso Radiomessaggio nel IV anniversario dell'inizio della guerra mondiale</v>
      </c>
      <c r="AC965" s="29" t="str">
        <f t="shared" si="312"/>
        <v>Pio XII, Discorso Radiomessaggio nel IV anniversario dell'inizio della guerra mondiale, 01 settembre 1943</v>
      </c>
      <c r="AD965" s="29" t="str">
        <f t="shared" si="313"/>
        <v>1943-09-01T08:00:00.000+02:00</v>
      </c>
      <c r="AE965" s="29" t="str">
        <f t="shared" si="299"/>
        <v>pixii-dis-</v>
      </c>
      <c r="AF965" s="29" t="str">
        <f t="shared" si="300"/>
        <v>Pio XII - Discorso - Radiomessaggio nel IV anniversario dell'inizio della guerra mondiale</v>
      </c>
    </row>
    <row r="966" spans="2:32" x14ac:dyDescent="0.2">
      <c r="B966" s="29">
        <v>260</v>
      </c>
      <c r="C966" s="29" t="s">
        <v>4150</v>
      </c>
      <c r="D966" s="29" t="s">
        <v>715</v>
      </c>
      <c r="E966" s="29" t="s">
        <v>724</v>
      </c>
      <c r="F966" s="29" t="s">
        <v>663</v>
      </c>
      <c r="G966" s="29" t="s">
        <v>659</v>
      </c>
      <c r="H966" s="29" t="str">
        <f t="shared" si="307"/>
        <v>Pio XII</v>
      </c>
      <c r="K966" s="29" t="s">
        <v>827</v>
      </c>
      <c r="L966" s="29" t="str">
        <f t="shared" si="298"/>
        <v>Discorso</v>
      </c>
      <c r="M966" s="29" t="s">
        <v>566</v>
      </c>
      <c r="O966" s="29" t="s">
        <v>4678</v>
      </c>
      <c r="Q966" s="38">
        <v>16010</v>
      </c>
      <c r="R966" s="32">
        <f t="shared" si="296"/>
        <v>31</v>
      </c>
      <c r="S966" s="32"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32">
        <f t="shared" si="297"/>
        <v>1943</v>
      </c>
      <c r="U966" s="29"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3"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9"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9">
        <v>993</v>
      </c>
      <c r="Y966" s="29" t="str">
        <f t="shared" si="308"/>
        <v>['Pio XII', 'Discorso', 'Radiomessaggio ai partecipanti al III Congresso Eucaristico Nazionale del Perù', 'pixii-dis-', '31 ottobre 1943', '31/10/1943', '1943/10/31'],</v>
      </c>
      <c r="Z966" s="29" t="str">
        <f t="shared" si="309"/>
        <v>Radiomessaggio ai partecipanti al III Congresso Eucaristico Nazionale del Perù (16010) | Pio XII</v>
      </c>
      <c r="AA966" s="29" t="str">
        <f t="shared" si="310"/>
        <v>Discorso Radiomessaggio ai partecipanti al III Congresso Eucaristico Nazionale del Perù</v>
      </c>
      <c r="AB966" s="29" t="str">
        <f t="shared" si="311"/>
        <v>Discorso Radiomessaggio ai partecipanti al III Congresso Eucaristico Nazionale del Perù</v>
      </c>
      <c r="AC966" s="29" t="str">
        <f t="shared" si="312"/>
        <v>Pio XII, Discorso Radiomessaggio ai partecipanti al III Congresso Eucaristico Nazionale del Perù, 31 ottobre 1943</v>
      </c>
      <c r="AD966" s="29" t="str">
        <f t="shared" si="313"/>
        <v>1943-10-31T08:00:00.000+02:00</v>
      </c>
      <c r="AE966" s="29" t="str">
        <f t="shared" si="299"/>
        <v>pixii-dis-</v>
      </c>
      <c r="AF966" s="29" t="str">
        <f t="shared" si="300"/>
        <v>Pio XII - Discorso - Radiomessaggio ai partecipanti al III Congresso Eucaristico Nazionale del Perù</v>
      </c>
    </row>
    <row r="967" spans="2:32" x14ac:dyDescent="0.2">
      <c r="B967" s="29">
        <v>260</v>
      </c>
      <c r="C967" s="29" t="s">
        <v>4151</v>
      </c>
      <c r="D967" s="29" t="s">
        <v>715</v>
      </c>
      <c r="E967" s="29" t="s">
        <v>724</v>
      </c>
      <c r="F967" s="29" t="s">
        <v>663</v>
      </c>
      <c r="G967" s="29" t="s">
        <v>659</v>
      </c>
      <c r="H967" s="29" t="str">
        <f t="shared" si="307"/>
        <v>Pio XII</v>
      </c>
      <c r="K967" s="29" t="s">
        <v>827</v>
      </c>
      <c r="L967" s="29" t="str">
        <f t="shared" si="298"/>
        <v>Discorso</v>
      </c>
      <c r="M967" s="29" t="s">
        <v>566</v>
      </c>
      <c r="O967" s="29" t="s">
        <v>4679</v>
      </c>
      <c r="Q967" s="38">
        <v>16044</v>
      </c>
      <c r="R967" s="32">
        <f t="shared" si="296"/>
        <v>4</v>
      </c>
      <c r="S967" s="32"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32">
        <f t="shared" si="297"/>
        <v>1943</v>
      </c>
      <c r="U967" s="29"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3"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9"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9">
        <v>994</v>
      </c>
      <c r="Y967" s="29" t="str">
        <f t="shared" si="308"/>
        <v>['Pio XII', 'Discorso', 'A chiusura degli esercizi spirituali in Vaticano', 'pixii-dis-', '04 dicembre 1943', '04/12/1943', '1943/12/04'],</v>
      </c>
      <c r="Z967" s="29" t="str">
        <f t="shared" si="309"/>
        <v>A chiusura degli esercizi spirituali in Vaticano (16044) | Pio XII</v>
      </c>
      <c r="AA967" s="29" t="str">
        <f t="shared" si="310"/>
        <v>Discorso A chiusura degli esercizi spirituali in Vaticano</v>
      </c>
      <c r="AB967" s="29" t="str">
        <f t="shared" si="311"/>
        <v>Discorso A chiusura degli esercizi spirituali in Vaticano</v>
      </c>
      <c r="AC967" s="29" t="str">
        <f t="shared" si="312"/>
        <v>Pio XII, Discorso A chiusura degli esercizi spirituali in Vaticano, 04 dicembre 1943</v>
      </c>
      <c r="AD967" s="29" t="str">
        <f t="shared" si="313"/>
        <v>1943-12-04T08:00:00.000+02:00</v>
      </c>
      <c r="AE967" s="29" t="str">
        <f t="shared" si="299"/>
        <v>pixii-dis-</v>
      </c>
      <c r="AF967" s="29" t="str">
        <f t="shared" si="300"/>
        <v>Pio XII - Discorso - A chiusura degli esercizi spirituali in Vaticano</v>
      </c>
    </row>
    <row r="968" spans="2:32" x14ac:dyDescent="0.2">
      <c r="B968" s="29">
        <v>260</v>
      </c>
      <c r="C968" s="29" t="s">
        <v>4152</v>
      </c>
      <c r="D968" s="29" t="s">
        <v>715</v>
      </c>
      <c r="E968" s="29" t="s">
        <v>724</v>
      </c>
      <c r="F968" s="29" t="s">
        <v>663</v>
      </c>
      <c r="G968" s="29" t="s">
        <v>659</v>
      </c>
      <c r="H968" s="29" t="str">
        <f t="shared" si="307"/>
        <v>Pio XII</v>
      </c>
      <c r="K968" s="29" t="s">
        <v>827</v>
      </c>
      <c r="L968" s="29" t="str">
        <f t="shared" si="298"/>
        <v>Discorso</v>
      </c>
      <c r="M968" s="29" t="s">
        <v>566</v>
      </c>
      <c r="O968" s="29" t="s">
        <v>4680</v>
      </c>
      <c r="Q968" s="38">
        <v>16064</v>
      </c>
      <c r="R968" s="32">
        <f t="shared" si="296"/>
        <v>24</v>
      </c>
      <c r="S968" s="32"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32">
        <f t="shared" si="297"/>
        <v>1943</v>
      </c>
      <c r="U968" s="29"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3"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9"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9">
        <v>995</v>
      </c>
      <c r="Y968" s="29" t="str">
        <f t="shared" si="308"/>
        <v>['Pio XII', 'Discorso', 'Radiomessaggio natalizio ai popoli del mondo intero', 'pixii-dis-', '24 dicembre 1943', '24/12/1943', '1943/12/24'],</v>
      </c>
      <c r="Z968" s="29" t="str">
        <f t="shared" si="309"/>
        <v>Radiomessaggio natalizio ai popoli del mondo intero (16064) | Pio XII</v>
      </c>
      <c r="AA968" s="29" t="str">
        <f t="shared" si="310"/>
        <v>Discorso Radiomessaggio natalizio ai popoli del mondo intero</v>
      </c>
      <c r="AB968" s="29" t="str">
        <f t="shared" si="311"/>
        <v>Discorso Radiomessaggio natalizio ai popoli del mondo intero</v>
      </c>
      <c r="AC968" s="29" t="str">
        <f t="shared" si="312"/>
        <v>Pio XII, Discorso Radiomessaggio natalizio ai popoli del mondo intero, 24 dicembre 1943</v>
      </c>
      <c r="AD968" s="29" t="str">
        <f t="shared" si="313"/>
        <v>1943-12-24T08:00:00.000+02:00</v>
      </c>
      <c r="AE968" s="29" t="str">
        <f t="shared" si="299"/>
        <v>pixii-dis-</v>
      </c>
      <c r="AF968" s="29" t="str">
        <f t="shared" si="300"/>
        <v>Pio XII - Discorso - Radiomessaggio natalizio ai popoli del mondo intero</v>
      </c>
    </row>
    <row r="969" spans="2:32" x14ac:dyDescent="0.2">
      <c r="B969" s="29">
        <v>260</v>
      </c>
      <c r="C969" s="29" t="s">
        <v>4153</v>
      </c>
      <c r="D969" s="29" t="s">
        <v>715</v>
      </c>
      <c r="E969" s="29" t="s">
        <v>724</v>
      </c>
      <c r="F969" s="29" t="s">
        <v>663</v>
      </c>
      <c r="G969" s="29" t="s">
        <v>659</v>
      </c>
      <c r="H969" s="29" t="str">
        <f t="shared" si="307"/>
        <v>Pio XII</v>
      </c>
      <c r="K969" s="29" t="s">
        <v>827</v>
      </c>
      <c r="L969" s="29" t="str">
        <f t="shared" si="298"/>
        <v>Discorso</v>
      </c>
      <c r="M969" s="29" t="s">
        <v>566</v>
      </c>
      <c r="O969" s="29" t="s">
        <v>4681</v>
      </c>
      <c r="Q969" s="38">
        <v>16064</v>
      </c>
      <c r="R969" s="32">
        <f t="shared" si="296"/>
        <v>24</v>
      </c>
      <c r="S969" s="32"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32">
        <f t="shared" si="297"/>
        <v>1943</v>
      </c>
      <c r="U969" s="29"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3"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9"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9">
        <v>996</v>
      </c>
      <c r="Y969" s="29" t="str">
        <f t="shared" si="308"/>
        <v>['Pio XII', 'Discorso', 'Al sacro Collegio e alla Prelatura romana alla Vigilia di Natale', 'pixii-dis-', '24 dicembre 1943', '24/12/1943', '1943/12/24'],</v>
      </c>
      <c r="Z969" s="29" t="str">
        <f t="shared" si="309"/>
        <v>Al sacro Collegio e alla Prelatura romana alla Vigilia di Natale (16064) | Pio XII</v>
      </c>
      <c r="AA969" s="29" t="str">
        <f t="shared" si="310"/>
        <v>Discorso Al sacro Collegio e alla Prelatura romana alla Vigilia di Natale</v>
      </c>
      <c r="AB969" s="29" t="str">
        <f t="shared" si="311"/>
        <v>Discorso Al sacro Collegio e alla Prelatura romana alla Vigilia di Natale</v>
      </c>
      <c r="AC969" s="29" t="str">
        <f t="shared" si="312"/>
        <v>Pio XII, Discorso Al sacro Collegio e alla Prelatura romana alla Vigilia di Natale, 24 dicembre 1943</v>
      </c>
      <c r="AD969" s="29" t="str">
        <f t="shared" si="313"/>
        <v>1943-12-24T08:00:00.000+02:00</v>
      </c>
      <c r="AE969" s="29" t="str">
        <f t="shared" si="299"/>
        <v>pixii-dis-</v>
      </c>
      <c r="AF969" s="29" t="str">
        <f t="shared" si="300"/>
        <v>Pio XII - Discorso - Al sacro Collegio e alla Prelatura romana alla Vigilia di Natale</v>
      </c>
    </row>
    <row r="970" spans="2:32" x14ac:dyDescent="0.2">
      <c r="B970" s="29">
        <v>260</v>
      </c>
      <c r="C970" s="29" t="s">
        <v>4154</v>
      </c>
      <c r="D970" s="29" t="s">
        <v>715</v>
      </c>
      <c r="E970" s="29" t="s">
        <v>724</v>
      </c>
      <c r="F970" s="29" t="s">
        <v>663</v>
      </c>
      <c r="G970" s="29" t="s">
        <v>659</v>
      </c>
      <c r="H970" s="29" t="str">
        <f t="shared" si="307"/>
        <v>Pio XII</v>
      </c>
      <c r="K970" s="29" t="s">
        <v>827</v>
      </c>
      <c r="L970" s="29" t="str">
        <f t="shared" si="298"/>
        <v>Discorso</v>
      </c>
      <c r="M970" s="29" t="s">
        <v>566</v>
      </c>
      <c r="O970" s="29" t="s">
        <v>4634</v>
      </c>
      <c r="Q970" s="38">
        <v>16069</v>
      </c>
      <c r="R970" s="32">
        <f t="shared" si="296"/>
        <v>29</v>
      </c>
      <c r="S970" s="32"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32">
        <f t="shared" si="297"/>
        <v>1943</v>
      </c>
      <c r="U970" s="29"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3"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9"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9">
        <v>997</v>
      </c>
      <c r="Y970" s="29" t="str">
        <f t="shared" si="308"/>
        <v>['Pio XII', 'Discorso', 'Alla Guardia nobile pontificia', 'pixii-dis-', '29 dicembre 1943', '29/12/1943', '1943/12/29'],</v>
      </c>
      <c r="Z970" s="29" t="str">
        <f t="shared" si="309"/>
        <v>Alla Guardia nobile pontificia (16069) | Pio XII</v>
      </c>
      <c r="AA970" s="29" t="str">
        <f t="shared" si="310"/>
        <v>Discorso Alla Guardia nobile pontificia</v>
      </c>
      <c r="AB970" s="29" t="str">
        <f t="shared" si="311"/>
        <v>Discorso Alla Guardia nobile pontificia</v>
      </c>
      <c r="AC970" s="29" t="str">
        <f t="shared" si="312"/>
        <v>Pio XII, Discorso Alla Guardia nobile pontificia, 29 dicembre 1943</v>
      </c>
      <c r="AD970" s="29" t="str">
        <f t="shared" si="313"/>
        <v>1943-12-29T08:00:00.000+02:00</v>
      </c>
      <c r="AE970" s="29" t="str">
        <f t="shared" si="299"/>
        <v>pixii-dis-</v>
      </c>
      <c r="AF970" s="29" t="str">
        <f t="shared" si="300"/>
        <v>Pio XII - Discorso - Alla Guardia nobile pontificia</v>
      </c>
    </row>
    <row r="971" spans="2:32" x14ac:dyDescent="0.2">
      <c r="B971" s="29">
        <v>260</v>
      </c>
      <c r="C971" s="29" t="s">
        <v>4155</v>
      </c>
      <c r="D971" s="29" t="s">
        <v>715</v>
      </c>
      <c r="E971" s="29" t="s">
        <v>724</v>
      </c>
      <c r="F971" s="29" t="s">
        <v>663</v>
      </c>
      <c r="G971" s="29" t="s">
        <v>659</v>
      </c>
      <c r="H971" s="29" t="str">
        <f t="shared" si="307"/>
        <v>Pio XII</v>
      </c>
      <c r="K971" s="29" t="s">
        <v>827</v>
      </c>
      <c r="L971" s="29" t="str">
        <f t="shared" si="298"/>
        <v>Discorso</v>
      </c>
      <c r="M971" s="29" t="s">
        <v>566</v>
      </c>
      <c r="O971" s="29" t="s">
        <v>4670</v>
      </c>
      <c r="Q971" s="38">
        <v>16090</v>
      </c>
      <c r="R971" s="32">
        <f t="shared" si="296"/>
        <v>19</v>
      </c>
      <c r="S971" s="32"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32">
        <f t="shared" si="297"/>
        <v>1944</v>
      </c>
      <c r="U971" s="29"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3"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9"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9">
        <v>998</v>
      </c>
      <c r="Y971" s="29" t="str">
        <f t="shared" si="308"/>
        <v>['Pio XII', 'Discorso', 'Al patriziato e alla nobiltà romana', 'pixii-dis-', '19 gennaio 1944', '19/01/1944', '1944/01/19'],</v>
      </c>
      <c r="Z971" s="29" t="str">
        <f t="shared" si="309"/>
        <v>Al patriziato e alla nobiltà romana (16090) | Pio XII</v>
      </c>
      <c r="AA971" s="29" t="str">
        <f t="shared" si="310"/>
        <v>Discorso Al patriziato e alla nobiltà romana</v>
      </c>
      <c r="AB971" s="29" t="str">
        <f t="shared" si="311"/>
        <v>Discorso Al patriziato e alla nobiltà romana</v>
      </c>
      <c r="AC971" s="29" t="str">
        <f t="shared" si="312"/>
        <v>Pio XII, Discorso Al patriziato e alla nobiltà romana, 19 gennaio 1944</v>
      </c>
      <c r="AD971" s="29" t="str">
        <f t="shared" si="313"/>
        <v>1944-01-19T08:00:00.000+02:00</v>
      </c>
      <c r="AE971" s="29" t="str">
        <f t="shared" si="299"/>
        <v>pixii-dis-</v>
      </c>
      <c r="AF971" s="29" t="str">
        <f t="shared" si="300"/>
        <v>Pio XII - Discorso - Al patriziato e alla nobiltà romana</v>
      </c>
    </row>
    <row r="972" spans="2:32" x14ac:dyDescent="0.2">
      <c r="B972" s="29">
        <v>260</v>
      </c>
      <c r="C972" s="29" t="s">
        <v>4156</v>
      </c>
      <c r="D972" s="29" t="s">
        <v>715</v>
      </c>
      <c r="E972" s="29" t="s">
        <v>724</v>
      </c>
      <c r="F972" s="29" t="s">
        <v>663</v>
      </c>
      <c r="G972" s="29" t="s">
        <v>659</v>
      </c>
      <c r="H972" s="29" t="str">
        <f t="shared" si="307"/>
        <v>Pio XII</v>
      </c>
      <c r="K972" s="29" t="s">
        <v>827</v>
      </c>
      <c r="L972" s="29" t="str">
        <f t="shared" si="298"/>
        <v>Discorso</v>
      </c>
      <c r="M972" s="29" t="s">
        <v>566</v>
      </c>
      <c r="O972" s="29" t="s">
        <v>4682</v>
      </c>
      <c r="Q972" s="38">
        <v>16125</v>
      </c>
      <c r="R972" s="32">
        <f t="shared" si="296"/>
        <v>23</v>
      </c>
      <c r="S972" s="32"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32">
        <f t="shared" si="297"/>
        <v>1944</v>
      </c>
      <c r="U972" s="29"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3"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9"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9">
        <v>999</v>
      </c>
      <c r="Y972" s="29" t="str">
        <f t="shared" si="308"/>
        <v>['Pio XII', 'Discorso', 'Ai Parroci e ai Quaresimalisti di Roma: sull'osservanza dei comandamenti di Dio', 'pixii-dis-', '23 febbraio 1944', '23/02/1944', '1944/02/23'],</v>
      </c>
      <c r="Z972" s="29" t="str">
        <f t="shared" si="309"/>
        <v>Ai Parroci e ai Quaresimalisti di Roma: sull'osservanza dei comandamenti di Dio (16125) | Pio XII</v>
      </c>
      <c r="AA972" s="29" t="str">
        <f t="shared" si="310"/>
        <v>Discorso Ai Parroci e ai Quaresimalisti di Roma: sull'osservanza dei comandamenti di Dio</v>
      </c>
      <c r="AB972" s="29" t="str">
        <f t="shared" si="311"/>
        <v>Discorso Ai Parroci e ai Quaresimalisti di Roma: sull'osservanza dei comandamenti di Dio</v>
      </c>
      <c r="AC972" s="29" t="str">
        <f t="shared" si="312"/>
        <v>Pio XII, Discorso Ai Parroci e ai Quaresimalisti di Roma: sull'osservanza dei comandamenti di Dio, 23 febbraio 1944</v>
      </c>
      <c r="AD972" s="29" t="str">
        <f t="shared" si="313"/>
        <v>1944-02-23T08:00:00.000+02:00</v>
      </c>
      <c r="AE972" s="29" t="str">
        <f t="shared" si="299"/>
        <v>pixii-dis-</v>
      </c>
      <c r="AF972" s="29" t="str">
        <f t="shared" si="300"/>
        <v>Pio XII - Discorso - Ai Parroci e ai Quaresimalisti di Roma: sull'osservanza dei comandamenti di Dio</v>
      </c>
    </row>
    <row r="973" spans="2:32" x14ac:dyDescent="0.2">
      <c r="B973" s="29">
        <v>260</v>
      </c>
      <c r="C973" s="29" t="s">
        <v>4157</v>
      </c>
      <c r="D973" s="29" t="s">
        <v>715</v>
      </c>
      <c r="E973" s="29" t="s">
        <v>724</v>
      </c>
      <c r="F973" s="29" t="s">
        <v>663</v>
      </c>
      <c r="G973" s="29" t="s">
        <v>659</v>
      </c>
      <c r="H973" s="29" t="str">
        <f t="shared" si="307"/>
        <v>Pio XII</v>
      </c>
      <c r="K973" s="29" t="s">
        <v>827</v>
      </c>
      <c r="L973" s="29" t="str">
        <f t="shared" si="298"/>
        <v>Discorso</v>
      </c>
      <c r="M973" s="29" t="s">
        <v>566</v>
      </c>
      <c r="O973" s="29" t="s">
        <v>4683</v>
      </c>
      <c r="Q973" s="38">
        <v>16143</v>
      </c>
      <c r="R973" s="32">
        <f t="shared" si="296"/>
        <v>12</v>
      </c>
      <c r="S973" s="32"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32">
        <f t="shared" si="297"/>
        <v>1944</v>
      </c>
      <c r="U973" s="29"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3"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9"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9">
        <v>1000</v>
      </c>
      <c r="Y973" s="29" t="str">
        <f t="shared" si="308"/>
        <v>['Pio XII', 'Discorso', 'Ai profughi di guerra rifugiatisi in Roma e agli abitanti dell’Urbe', 'pixii-dis-', '12 marzo 1944', '12/03/1944', '1944/03/12'],</v>
      </c>
      <c r="Z973" s="29" t="str">
        <f t="shared" si="309"/>
        <v>Ai profughi di guerra rifugiatisi in Roma e agli abitanti dell’Urbe (16143) | Pio XII</v>
      </c>
      <c r="AA973" s="29" t="str">
        <f t="shared" si="310"/>
        <v>Discorso Ai profughi di guerra rifugiatisi in Roma e agli abitanti dell’Urbe</v>
      </c>
      <c r="AB973" s="29" t="str">
        <f t="shared" si="311"/>
        <v>Discorso Ai profughi di guerra rifugiatisi in Roma e agli abitanti dell’Urbe</v>
      </c>
      <c r="AC973" s="29" t="str">
        <f t="shared" si="312"/>
        <v>Pio XII, Discorso Ai profughi di guerra rifugiatisi in Roma e agli abitanti dell’Urbe, 12 marzo 1944</v>
      </c>
      <c r="AD973" s="29" t="str">
        <f t="shared" si="313"/>
        <v>1944-03-12T08:00:00.000+02:00</v>
      </c>
      <c r="AE973" s="29" t="str">
        <f t="shared" si="299"/>
        <v>pixii-dis-</v>
      </c>
      <c r="AF973" s="29" t="str">
        <f t="shared" si="300"/>
        <v>Pio XII - Discorso - Ai profughi di guerra rifugiatisi in Roma e agli abitanti dell’Urbe</v>
      </c>
    </row>
    <row r="974" spans="2:32" x14ac:dyDescent="0.2">
      <c r="B974" s="29">
        <v>260</v>
      </c>
      <c r="C974" s="29" t="s">
        <v>4158</v>
      </c>
      <c r="D974" s="29" t="s">
        <v>715</v>
      </c>
      <c r="E974" s="29" t="s">
        <v>724</v>
      </c>
      <c r="F974" s="29" t="s">
        <v>663</v>
      </c>
      <c r="G974" s="29" t="s">
        <v>659</v>
      </c>
      <c r="H974" s="29" t="str">
        <f t="shared" si="307"/>
        <v>Pio XII</v>
      </c>
      <c r="K974" s="29" t="s">
        <v>827</v>
      </c>
      <c r="L974" s="29" t="str">
        <f t="shared" si="298"/>
        <v>Discorso</v>
      </c>
      <c r="M974" s="29" t="s">
        <v>566</v>
      </c>
      <c r="O974" s="29" t="s">
        <v>4684</v>
      </c>
      <c r="Q974" s="38">
        <v>16225</v>
      </c>
      <c r="R974" s="32">
        <f t="shared" si="296"/>
        <v>2</v>
      </c>
      <c r="S974" s="32"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32">
        <f t="shared" si="297"/>
        <v>1944</v>
      </c>
      <c r="U974" s="29"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3"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9"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9">
        <v>1001</v>
      </c>
      <c r="Y974" s="29" t="str">
        <f t="shared" si="308"/>
        <v>['Pio XII', 'Discorso', 'Ai Cardinali che hanno presentato gli auguri al Santo Padre in occasione della festa di Sant’Eugenio', 'pixii-dis-', '02 giugno 1944', '02/06/1944', '1944/06/02'],</v>
      </c>
      <c r="Z974" s="29" t="str">
        <f t="shared" si="309"/>
        <v>Ai Cardinali che hanno presentato gli auguri al Santo Padre in occasione della festa di Sant’Eugenio (16225) | Pio XII</v>
      </c>
      <c r="AA974" s="29" t="str">
        <f t="shared" si="310"/>
        <v>Discorso Ai Cardinali che hanno presentato gli auguri al Santo Padre in occasione della festa di Sant’Eugenio</v>
      </c>
      <c r="AB974" s="29" t="str">
        <f t="shared" si="311"/>
        <v>Discorso Ai Cardinali che hanno presentato gli auguri al Santo Padre in occasione della festa di Sant’Eugenio</v>
      </c>
      <c r="AC974" s="29" t="str">
        <f t="shared" si="312"/>
        <v>Pio XII, Discorso Ai Cardinali che hanno presentato gli auguri al Santo Padre in occasione della festa di Sant’Eugenio, 02 giugno 1944</v>
      </c>
      <c r="AD974" s="29" t="str">
        <f t="shared" si="313"/>
        <v>1944-06-02T08:00:00.000+02:00</v>
      </c>
      <c r="AE974" s="29" t="str">
        <f t="shared" si="299"/>
        <v>pixii-dis-</v>
      </c>
      <c r="AF974" s="29" t="str">
        <f t="shared" si="300"/>
        <v>Pio XII - Discorso - Ai Cardinali che hanno presentato gli auguri al Santo Padre in occasione della festa di Sant’Eugenio</v>
      </c>
    </row>
    <row r="975" spans="2:32" x14ac:dyDescent="0.2">
      <c r="B975" s="29">
        <v>260</v>
      </c>
      <c r="C975" s="29" t="s">
        <v>4159</v>
      </c>
      <c r="D975" s="29" t="s">
        <v>715</v>
      </c>
      <c r="E975" s="29" t="s">
        <v>724</v>
      </c>
      <c r="F975" s="29" t="s">
        <v>663</v>
      </c>
      <c r="G975" s="29" t="s">
        <v>659</v>
      </c>
      <c r="H975" s="29" t="str">
        <f t="shared" si="307"/>
        <v>Pio XII</v>
      </c>
      <c r="K975" s="29" t="s">
        <v>827</v>
      </c>
      <c r="L975" s="29" t="str">
        <f t="shared" si="298"/>
        <v>Discorso</v>
      </c>
      <c r="M975" s="29" t="s">
        <v>566</v>
      </c>
      <c r="O975" s="29" t="s">
        <v>4685</v>
      </c>
      <c r="Q975" s="38">
        <v>16229</v>
      </c>
      <c r="R975" s="32">
        <f t="shared" si="296"/>
        <v>6</v>
      </c>
      <c r="S975" s="32"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32">
        <f t="shared" si="297"/>
        <v>1944</v>
      </c>
      <c r="U975" s="29"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3"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9"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9">
        <v>1002</v>
      </c>
      <c r="Y975" s="29" t="str">
        <f t="shared" si="308"/>
        <v>['Pio XII', 'Discorso', 'Al popolo romano', 'pixii-dis-', '06 giugno 1944', '06/06/1944', '1944/06/06'],</v>
      </c>
      <c r="Z975" s="29" t="str">
        <f t="shared" si="309"/>
        <v>Al popolo romano (16229) | Pio XII</v>
      </c>
      <c r="AA975" s="29" t="str">
        <f t="shared" si="310"/>
        <v>Discorso Al popolo romano</v>
      </c>
      <c r="AB975" s="29" t="str">
        <f t="shared" si="311"/>
        <v>Discorso Al popolo romano</v>
      </c>
      <c r="AC975" s="29" t="str">
        <f t="shared" si="312"/>
        <v>Pio XII, Discorso Al popolo romano, 06 giugno 1944</v>
      </c>
      <c r="AD975" s="29" t="str">
        <f t="shared" si="313"/>
        <v>1944-06-06T08:00:00.000+02:00</v>
      </c>
      <c r="AE975" s="29" t="str">
        <f t="shared" si="299"/>
        <v>pixii-dis-</v>
      </c>
      <c r="AF975" s="29" t="str">
        <f t="shared" si="300"/>
        <v>Pio XII - Discorso - Al popolo romano</v>
      </c>
    </row>
    <row r="976" spans="2:32" x14ac:dyDescent="0.2">
      <c r="B976" s="29">
        <v>260</v>
      </c>
      <c r="C976" s="29" t="s">
        <v>4160</v>
      </c>
      <c r="D976" s="29" t="s">
        <v>715</v>
      </c>
      <c r="E976" s="29" t="s">
        <v>724</v>
      </c>
      <c r="F976" s="29" t="s">
        <v>663</v>
      </c>
      <c r="G976" s="29" t="s">
        <v>659</v>
      </c>
      <c r="H976" s="29" t="str">
        <f t="shared" si="307"/>
        <v>Pio XII</v>
      </c>
      <c r="K976" s="29" t="s">
        <v>827</v>
      </c>
      <c r="L976" s="29" t="str">
        <f t="shared" si="298"/>
        <v>Discorso</v>
      </c>
      <c r="M976" s="29" t="s">
        <v>566</v>
      </c>
      <c r="O976" s="29" t="s">
        <v>4686</v>
      </c>
      <c r="Q976" s="38">
        <v>16234</v>
      </c>
      <c r="R976" s="32">
        <f t="shared" si="296"/>
        <v>11</v>
      </c>
      <c r="S976" s="32"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32">
        <f t="shared" si="297"/>
        <v>1944</v>
      </c>
      <c r="U976" s="29"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3"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9"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9">
        <v>1003</v>
      </c>
      <c r="Y976" s="29" t="str">
        <f t="shared" si="308"/>
        <v>['Pio XII', 'Discorso', 'Ai fedeli nella Chiesa di Sant'Ignazio, in pellegrinaggio alla Madonna del Divino Amore', 'pixii-dis-', '11 giugno 1944', '11/06/1944', '1944/06/11'],</v>
      </c>
      <c r="Z976" s="29" t="str">
        <f t="shared" si="309"/>
        <v>Ai fedeli nella Chiesa di Sant'Ignazio, in pellegrinaggio alla Madonna del Divino Amore (16234) | Pio XII</v>
      </c>
      <c r="AA976" s="29" t="str">
        <f t="shared" si="310"/>
        <v>Discorso Ai fedeli nella Chiesa di Sant'Ignazio, in pellegrinaggio alla Madonna del Divino Amore</v>
      </c>
      <c r="AB976" s="29" t="str">
        <f t="shared" si="311"/>
        <v>Discorso Ai fedeli nella Chiesa di Sant'Ignazio, in pellegrinaggio alla Madonna del Divino Amore</v>
      </c>
      <c r="AC976" s="29" t="str">
        <f t="shared" si="312"/>
        <v>Pio XII, Discorso Ai fedeli nella Chiesa di Sant'Ignazio, in pellegrinaggio alla Madonna del Divino Amore, 11 giugno 1944</v>
      </c>
      <c r="AD976" s="29" t="str">
        <f t="shared" si="313"/>
        <v>1944-06-11T08:00:00.000+02:00</v>
      </c>
      <c r="AE976" s="29" t="str">
        <f t="shared" si="299"/>
        <v>pixii-dis-</v>
      </c>
      <c r="AF976" s="29" t="str">
        <f t="shared" si="300"/>
        <v>Pio XII - Discorso - Ai fedeli nella Chiesa di Sant'Ignazio, in pellegrinaggio alla Madonna del Divino Amore</v>
      </c>
    </row>
    <row r="977" spans="2:32" x14ac:dyDescent="0.2">
      <c r="B977" s="29">
        <v>260</v>
      </c>
      <c r="C977" s="29" t="s">
        <v>4161</v>
      </c>
      <c r="D977" s="29" t="s">
        <v>715</v>
      </c>
      <c r="E977" s="29" t="s">
        <v>724</v>
      </c>
      <c r="F977" s="29" t="s">
        <v>663</v>
      </c>
      <c r="G977" s="29" t="s">
        <v>659</v>
      </c>
      <c r="H977" s="29" t="str">
        <f t="shared" si="307"/>
        <v>Pio XII</v>
      </c>
      <c r="K977" s="29" t="s">
        <v>827</v>
      </c>
      <c r="L977" s="29" t="str">
        <f t="shared" si="298"/>
        <v>Discorso</v>
      </c>
      <c r="M977" s="29" t="s">
        <v>566</v>
      </c>
      <c r="O977" s="29" t="s">
        <v>4687</v>
      </c>
      <c r="Q977" s="38">
        <v>16247</v>
      </c>
      <c r="R977" s="32">
        <f t="shared" si="296"/>
        <v>24</v>
      </c>
      <c r="S977" s="32"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32">
        <f t="shared" si="297"/>
        <v>1944</v>
      </c>
      <c r="U977" s="29"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3"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9"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9">
        <v>1004</v>
      </c>
      <c r="Y977" s="29" t="str">
        <f t="shared" si="308"/>
        <v>['Pio XII', 'Discorso', 'Alle Pontificie Opere Missionarie', 'pixii-dis-', '24 giugno 1944', '24/06/1944', '1944/06/24'],</v>
      </c>
      <c r="Z977" s="29" t="str">
        <f t="shared" si="309"/>
        <v>Alle Pontificie Opere Missionarie (16247) | Pio XII</v>
      </c>
      <c r="AA977" s="29" t="str">
        <f t="shared" si="310"/>
        <v>Discorso Alle Pontificie Opere Missionarie</v>
      </c>
      <c r="AB977" s="29" t="str">
        <f t="shared" si="311"/>
        <v>Discorso Alle Pontificie Opere Missionarie</v>
      </c>
      <c r="AC977" s="29" t="str">
        <f t="shared" si="312"/>
        <v>Pio XII, Discorso Alle Pontificie Opere Missionarie, 24 giugno 1944</v>
      </c>
      <c r="AD977" s="29" t="str">
        <f t="shared" si="313"/>
        <v>1944-06-24T08:00:00.000+02:00</v>
      </c>
      <c r="AE977" s="29" t="str">
        <f t="shared" si="299"/>
        <v>pixii-dis-</v>
      </c>
      <c r="AF977" s="29" t="str">
        <f t="shared" si="300"/>
        <v>Pio XII - Discorso - Alle Pontificie Opere Missionarie</v>
      </c>
    </row>
    <row r="978" spans="2:32" x14ac:dyDescent="0.2">
      <c r="B978" s="29">
        <v>260</v>
      </c>
      <c r="C978" s="29" t="s">
        <v>4162</v>
      </c>
      <c r="D978" s="29" t="s">
        <v>715</v>
      </c>
      <c r="E978" s="29" t="s">
        <v>724</v>
      </c>
      <c r="F978" s="29" t="s">
        <v>663</v>
      </c>
      <c r="G978" s="29" t="s">
        <v>659</v>
      </c>
      <c r="H978" s="29" t="str">
        <f t="shared" si="307"/>
        <v>Pio XII</v>
      </c>
      <c r="K978" s="29" t="s">
        <v>827</v>
      </c>
      <c r="L978" s="29" t="str">
        <f t="shared" si="298"/>
        <v>Discorso</v>
      </c>
      <c r="M978" s="29" t="s">
        <v>566</v>
      </c>
      <c r="O978" s="29" t="s">
        <v>4688</v>
      </c>
      <c r="Q978" s="38">
        <v>16264</v>
      </c>
      <c r="R978" s="32">
        <f t="shared" ref="R978:R1041" si="314">IF(ISERROR(DAY(Q978)),TEXT((LEFT(Q978,2)),"00"),DAY(Q978))</f>
        <v>11</v>
      </c>
      <c r="S978" s="32"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32">
        <f t="shared" ref="T978:T1041" si="315">IF(ISERROR(DAY(Q978)),VALUE(RIGHT(Q978,4)),YEAR(Q978))</f>
        <v>1944</v>
      </c>
      <c r="U978" s="29"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3"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9"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9">
        <v>1005</v>
      </c>
      <c r="Y978" s="29" t="str">
        <f t="shared" si="308"/>
        <v>['Pio XII', 'Discorso', 'Alle famiglie della nobiltà romana', 'pixii-dis-', '11 luglio 1944', '11/07/1944', '1944/07/11'],</v>
      </c>
      <c r="Z978" s="29" t="str">
        <f t="shared" si="309"/>
        <v>Alle famiglie della nobiltà romana (16264) | Pio XII</v>
      </c>
      <c r="AA978" s="29" t="str">
        <f t="shared" si="310"/>
        <v>Discorso Alle famiglie della nobiltà romana</v>
      </c>
      <c r="AB978" s="29" t="str">
        <f t="shared" si="311"/>
        <v>Discorso Alle famiglie della nobiltà romana</v>
      </c>
      <c r="AC978" s="29" t="str">
        <f t="shared" si="312"/>
        <v>Pio XII, Discorso Alle famiglie della nobiltà romana, 11 luglio 1944</v>
      </c>
      <c r="AD978" s="29" t="str">
        <f t="shared" si="313"/>
        <v>1944-07-11T08:00:00.000+02:00</v>
      </c>
      <c r="AE978" s="29" t="str">
        <f t="shared" si="299"/>
        <v>pixii-dis-</v>
      </c>
      <c r="AF978" s="29" t="str">
        <f t="shared" si="300"/>
        <v>Pio XII - Discorso - Alle famiglie della nobiltà romana</v>
      </c>
    </row>
    <row r="979" spans="2:32" x14ac:dyDescent="0.2">
      <c r="B979" s="29">
        <v>260</v>
      </c>
      <c r="C979" s="29" t="s">
        <v>4163</v>
      </c>
      <c r="D979" s="29" t="s">
        <v>715</v>
      </c>
      <c r="E979" s="29" t="s">
        <v>724</v>
      </c>
      <c r="F979" s="29" t="s">
        <v>663</v>
      </c>
      <c r="G979" s="29" t="s">
        <v>659</v>
      </c>
      <c r="H979" s="29" t="str">
        <f t="shared" si="307"/>
        <v>Pio XII</v>
      </c>
      <c r="K979" s="29" t="s">
        <v>827</v>
      </c>
      <c r="L979" s="29" t="str">
        <f t="shared" si="298"/>
        <v>Discorso</v>
      </c>
      <c r="M979" s="29" t="s">
        <v>566</v>
      </c>
      <c r="O979" s="29" t="s">
        <v>4689</v>
      </c>
      <c r="Q979" s="38">
        <v>16265</v>
      </c>
      <c r="R979" s="32">
        <f t="shared" si="314"/>
        <v>12</v>
      </c>
      <c r="S979" s="32"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32">
        <f t="shared" si="315"/>
        <v>1944</v>
      </c>
      <c r="U979" s="29"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3"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9"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9">
        <v>1006</v>
      </c>
      <c r="Y979" s="29" t="str">
        <f t="shared" si="308"/>
        <v>['Pio XII', 'Discorso', 'Al Sindaco e ai rappresentanti della Città di Roma', 'pixii-dis-', '12 luglio 1944', '12/07/1944', '1944/07/12'],</v>
      </c>
      <c r="Z979" s="29" t="str">
        <f t="shared" si="309"/>
        <v>Al Sindaco e ai rappresentanti della Città di Roma (16265) | Pio XII</v>
      </c>
      <c r="AA979" s="29" t="str">
        <f t="shared" si="310"/>
        <v>Discorso Al Sindaco e ai rappresentanti della Città di Roma</v>
      </c>
      <c r="AB979" s="29" t="str">
        <f t="shared" si="311"/>
        <v>Discorso Al Sindaco e ai rappresentanti della Città di Roma</v>
      </c>
      <c r="AC979" s="29" t="str">
        <f t="shared" si="312"/>
        <v>Pio XII, Discorso Al Sindaco e ai rappresentanti della Città di Roma, 12 luglio 1944</v>
      </c>
      <c r="AD979" s="29" t="str">
        <f t="shared" si="313"/>
        <v>1944-07-12T08:00:00.000+02:00</v>
      </c>
      <c r="AE979" s="29" t="str">
        <f t="shared" si="299"/>
        <v>pixii-dis-</v>
      </c>
      <c r="AF979" s="29" t="str">
        <f t="shared" si="300"/>
        <v>Pio XII - Discorso - Al Sindaco e ai rappresentanti della Città di Roma</v>
      </c>
    </row>
    <row r="980" spans="2:32" x14ac:dyDescent="0.2">
      <c r="B980" s="29">
        <v>260</v>
      </c>
      <c r="C980" s="29" t="s">
        <v>4164</v>
      </c>
      <c r="D980" s="29" t="s">
        <v>715</v>
      </c>
      <c r="E980" s="29" t="s">
        <v>724</v>
      </c>
      <c r="F980" s="29" t="s">
        <v>663</v>
      </c>
      <c r="G980" s="29" t="s">
        <v>659</v>
      </c>
      <c r="H980" s="29" t="str">
        <f t="shared" si="307"/>
        <v>Pio XII</v>
      </c>
      <c r="K980" s="29" t="s">
        <v>827</v>
      </c>
      <c r="L980" s="29" t="str">
        <f t="shared" si="298"/>
        <v>Discorso</v>
      </c>
      <c r="M980" s="29" t="s">
        <v>566</v>
      </c>
      <c r="O980" s="29" t="s">
        <v>4690</v>
      </c>
      <c r="Q980" s="38">
        <v>16276</v>
      </c>
      <c r="R980" s="32">
        <f t="shared" si="314"/>
        <v>23</v>
      </c>
      <c r="S980" s="32"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32">
        <f t="shared" si="315"/>
        <v>1944</v>
      </c>
      <c r="U980" s="29"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3"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9"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9">
        <v>1007</v>
      </c>
      <c r="Y980" s="29" t="str">
        <f t="shared" si="308"/>
        <v>['Pio XII', 'Discorso', 'In occasione del 75 del Circolo di San Pietro', 'pixii-dis-', '23 luglio 1944', '23/07/1944', '1944/07/23'],</v>
      </c>
      <c r="Z980" s="29" t="str">
        <f t="shared" si="309"/>
        <v>In occasione del 75 del Circolo di San Pietro (16276) | Pio XII</v>
      </c>
      <c r="AA980" s="29" t="str">
        <f t="shared" si="310"/>
        <v>Discorso In occasione del 75 del Circolo di San Pietro</v>
      </c>
      <c r="AB980" s="29" t="str">
        <f t="shared" si="311"/>
        <v>Discorso In occasione del 75 del Circolo di San Pietro</v>
      </c>
      <c r="AC980" s="29" t="str">
        <f t="shared" si="312"/>
        <v>Pio XII, Discorso In occasione del 75 del Circolo di San Pietro, 23 luglio 1944</v>
      </c>
      <c r="AD980" s="29" t="str">
        <f t="shared" si="313"/>
        <v>1944-07-23T08:00:00.000+02:00</v>
      </c>
      <c r="AE980" s="29" t="str">
        <f t="shared" si="299"/>
        <v>pixii-dis-</v>
      </c>
      <c r="AF980" s="29" t="str">
        <f t="shared" si="300"/>
        <v>Pio XII - Discorso - In occasione del 75 del Circolo di San Pietro</v>
      </c>
    </row>
    <row r="981" spans="2:32" x14ac:dyDescent="0.2">
      <c r="B981" s="29">
        <v>260</v>
      </c>
      <c r="C981" s="29" t="s">
        <v>4165</v>
      </c>
      <c r="D981" s="29" t="s">
        <v>715</v>
      </c>
      <c r="E981" s="29" t="s">
        <v>724</v>
      </c>
      <c r="F981" s="29" t="s">
        <v>663</v>
      </c>
      <c r="G981" s="29" t="s">
        <v>659</v>
      </c>
      <c r="H981" s="29" t="str">
        <f t="shared" si="307"/>
        <v>Pio XII</v>
      </c>
      <c r="K981" s="29" t="s">
        <v>827</v>
      </c>
      <c r="L981" s="29" t="str">
        <f t="shared" si="298"/>
        <v>Discorso</v>
      </c>
      <c r="M981" s="29" t="s">
        <v>566</v>
      </c>
      <c r="O981" s="29" t="s">
        <v>4691</v>
      </c>
      <c r="Q981" s="38">
        <v>16316</v>
      </c>
      <c r="R981" s="32">
        <f t="shared" si="314"/>
        <v>1</v>
      </c>
      <c r="S981" s="32"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32">
        <f t="shared" si="315"/>
        <v>1944</v>
      </c>
      <c r="U981" s="29"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3"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9"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9">
        <v>1008</v>
      </c>
      <c r="Y981" s="29" t="str">
        <f t="shared" si="308"/>
        <v>['Pio XII', 'Discorso', 'Radiomessaggio nel quinto anniversario dallo scoppio della guerra', 'pixii-dis-', '01 settembre 1944', '01/09/1944', '1944/09/01'],</v>
      </c>
      <c r="Z981" s="29" t="str">
        <f t="shared" si="309"/>
        <v>Radiomessaggio nel quinto anniversario dallo scoppio della guerra (16316) | Pio XII</v>
      </c>
      <c r="AA981" s="29" t="str">
        <f t="shared" si="310"/>
        <v>Discorso Radiomessaggio nel quinto anniversario dallo scoppio della guerra</v>
      </c>
      <c r="AB981" s="29" t="str">
        <f t="shared" si="311"/>
        <v>Discorso Radiomessaggio nel quinto anniversario dallo scoppio della guerra</v>
      </c>
      <c r="AC981" s="29" t="str">
        <f t="shared" si="312"/>
        <v>Pio XII, Discorso Radiomessaggio nel quinto anniversario dallo scoppio della guerra, 01 settembre 1944</v>
      </c>
      <c r="AD981" s="29" t="str">
        <f t="shared" si="313"/>
        <v>1944-09-01T08:00:00.000+02:00</v>
      </c>
      <c r="AE981" s="29" t="str">
        <f t="shared" si="299"/>
        <v>pixii-dis-</v>
      </c>
      <c r="AF981" s="29" t="str">
        <f t="shared" si="300"/>
        <v>Pio XII - Discorso - Radiomessaggio nel quinto anniversario dallo scoppio della guerra</v>
      </c>
    </row>
    <row r="982" spans="2:32" x14ac:dyDescent="0.2">
      <c r="B982" s="29">
        <v>260</v>
      </c>
      <c r="C982" s="29" t="s">
        <v>4166</v>
      </c>
      <c r="D982" s="29" t="s">
        <v>715</v>
      </c>
      <c r="E982" s="29" t="s">
        <v>724</v>
      </c>
      <c r="F982" s="29" t="s">
        <v>663</v>
      </c>
      <c r="G982" s="29" t="s">
        <v>659</v>
      </c>
      <c r="H982" s="29" t="str">
        <f t="shared" si="307"/>
        <v>Pio XII</v>
      </c>
      <c r="K982" s="29" t="s">
        <v>827</v>
      </c>
      <c r="L982" s="29" t="str">
        <f t="shared" si="298"/>
        <v>Discorso</v>
      </c>
      <c r="M982" s="29" t="s">
        <v>566</v>
      </c>
      <c r="O982" s="29" t="s">
        <v>4692</v>
      </c>
      <c r="Q982" s="38">
        <v>16330</v>
      </c>
      <c r="R982" s="32">
        <f t="shared" si="314"/>
        <v>15</v>
      </c>
      <c r="S982" s="32"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32">
        <f t="shared" si="315"/>
        <v>1944</v>
      </c>
      <c r="U982" s="29"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3"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9"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9">
        <v>1009</v>
      </c>
      <c r="Y982" s="29" t="str">
        <f t="shared" si="308"/>
        <v>['Pio XII', 'Discorso', 'Ai soldati dell'esercito polacco', 'pixii-dis-', '15 settembre 1944', '15/09/1944', '1944/09/15'],</v>
      </c>
      <c r="Z982" s="29" t="str">
        <f t="shared" si="309"/>
        <v>Ai soldati dell'esercito polacco (16330) | Pio XII</v>
      </c>
      <c r="AA982" s="29" t="str">
        <f t="shared" si="310"/>
        <v>Discorso Ai soldati dell'esercito polacco</v>
      </c>
      <c r="AB982" s="29" t="str">
        <f t="shared" si="311"/>
        <v>Discorso Ai soldati dell'esercito polacco</v>
      </c>
      <c r="AC982" s="29" t="str">
        <f t="shared" si="312"/>
        <v>Pio XII, Discorso Ai soldati dell'esercito polacco, 15 settembre 1944</v>
      </c>
      <c r="AD982" s="29" t="str">
        <f t="shared" si="313"/>
        <v>1944-09-15T08:00:00.000+02:00</v>
      </c>
      <c r="AE982" s="29" t="str">
        <f t="shared" si="299"/>
        <v>pixii-dis-</v>
      </c>
      <c r="AF982" s="29" t="str">
        <f t="shared" si="300"/>
        <v>Pio XII - Discorso - Ai soldati dell'esercito polacco</v>
      </c>
    </row>
    <row r="983" spans="2:32" x14ac:dyDescent="0.2">
      <c r="B983" s="29">
        <v>260</v>
      </c>
      <c r="C983" s="29" t="s">
        <v>4167</v>
      </c>
      <c r="D983" s="29" t="s">
        <v>715</v>
      </c>
      <c r="E983" s="29" t="s">
        <v>724</v>
      </c>
      <c r="F983" s="29" t="s">
        <v>663</v>
      </c>
      <c r="G983" s="29" t="s">
        <v>659</v>
      </c>
      <c r="H983" s="29" t="str">
        <f t="shared" si="307"/>
        <v>Pio XII</v>
      </c>
      <c r="K983" s="29" t="s">
        <v>827</v>
      </c>
      <c r="L983" s="29" t="str">
        <f t="shared" si="298"/>
        <v>Discorso</v>
      </c>
      <c r="M983" s="29" t="s">
        <v>566</v>
      </c>
      <c r="O983" s="29" t="s">
        <v>4693</v>
      </c>
      <c r="Q983" s="38">
        <v>16338</v>
      </c>
      <c r="R983" s="32">
        <f t="shared" si="314"/>
        <v>23</v>
      </c>
      <c r="S983" s="32"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32">
        <f t="shared" si="315"/>
        <v>1944</v>
      </c>
      <c r="U983" s="29"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3"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9"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9">
        <v>1010</v>
      </c>
      <c r="Y983" s="29" t="str">
        <f t="shared" si="308"/>
        <v>['Pio XII', 'Discorso', 'Ai sacerdoti e ai fedeli della Diocesi Suburbicaria di Velletri', 'pixii-dis-', '23 settembre 1944', '23/09/1944', '1944/09/23'],</v>
      </c>
      <c r="Z983" s="29" t="str">
        <f t="shared" si="309"/>
        <v>Ai sacerdoti e ai fedeli della Diocesi Suburbicaria di Velletri (16338) | Pio XII</v>
      </c>
      <c r="AA983" s="29" t="str">
        <f t="shared" si="310"/>
        <v>Discorso Ai sacerdoti e ai fedeli della Diocesi Suburbicaria di Velletri</v>
      </c>
      <c r="AB983" s="29" t="str">
        <f t="shared" si="311"/>
        <v>Discorso Ai sacerdoti e ai fedeli della Diocesi Suburbicaria di Velletri</v>
      </c>
      <c r="AC983" s="29" t="str">
        <f t="shared" si="312"/>
        <v>Pio XII, Discorso Ai sacerdoti e ai fedeli della Diocesi Suburbicaria di Velletri, 23 settembre 1944</v>
      </c>
      <c r="AD983" s="29" t="str">
        <f t="shared" si="313"/>
        <v>1944-09-23T08:00:00.000+02:00</v>
      </c>
      <c r="AE983" s="29" t="str">
        <f t="shared" si="299"/>
        <v>pixii-dis-</v>
      </c>
      <c r="AF983" s="29" t="str">
        <f t="shared" si="300"/>
        <v>Pio XII - Discorso - Ai sacerdoti e ai fedeli della Diocesi Suburbicaria di Velletri</v>
      </c>
    </row>
    <row r="984" spans="2:32" x14ac:dyDescent="0.2">
      <c r="B984" s="29">
        <v>260</v>
      </c>
      <c r="C984" s="29" t="s">
        <v>4168</v>
      </c>
      <c r="D984" s="29" t="s">
        <v>715</v>
      </c>
      <c r="E984" s="29" t="s">
        <v>724</v>
      </c>
      <c r="F984" s="29" t="s">
        <v>663</v>
      </c>
      <c r="G984" s="29" t="s">
        <v>659</v>
      </c>
      <c r="H984" s="29" t="str">
        <f t="shared" si="307"/>
        <v>Pio XII</v>
      </c>
      <c r="K984" s="29" t="s">
        <v>827</v>
      </c>
      <c r="L984" s="29" t="str">
        <f t="shared" si="298"/>
        <v>Discorso</v>
      </c>
      <c r="M984" s="29" t="s">
        <v>566</v>
      </c>
      <c r="O984" s="29" t="s">
        <v>4694</v>
      </c>
      <c r="Q984" s="38">
        <v>16343</v>
      </c>
      <c r="R984" s="32">
        <f t="shared" si="314"/>
        <v>28</v>
      </c>
      <c r="S984" s="32"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32">
        <f t="shared" si="315"/>
        <v>1944</v>
      </c>
      <c r="U984" s="29"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3"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9"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9">
        <v>1011</v>
      </c>
      <c r="Y984" s="29" t="str">
        <f t="shared" si="308"/>
        <v>['Pio XII', 'Discorso', 'Ai conterranei di San Venceslao residenti in Roma', 'pixii-dis-', '28 settembre 1944', '28/09/1944', '1944/09/28'],</v>
      </c>
      <c r="Z984" s="29" t="str">
        <f t="shared" si="309"/>
        <v>Ai conterranei di San Venceslao residenti in Roma (16343) | Pio XII</v>
      </c>
      <c r="AA984" s="29" t="str">
        <f t="shared" si="310"/>
        <v>Discorso Ai conterranei di San Venceslao residenti in Roma</v>
      </c>
      <c r="AB984" s="29" t="str">
        <f t="shared" si="311"/>
        <v>Discorso Ai conterranei di San Venceslao residenti in Roma</v>
      </c>
      <c r="AC984" s="29" t="str">
        <f t="shared" si="312"/>
        <v>Pio XII, Discorso Ai conterranei di San Venceslao residenti in Roma, 28 settembre 1944</v>
      </c>
      <c r="AD984" s="29" t="str">
        <f t="shared" si="313"/>
        <v>1944-09-28T08:00:00.000+02:00</v>
      </c>
      <c r="AE984" s="29" t="str">
        <f t="shared" si="299"/>
        <v>pixii-dis-</v>
      </c>
      <c r="AF984" s="29" t="str">
        <f t="shared" si="300"/>
        <v>Pio XII - Discorso - Ai conterranei di San Venceslao residenti in Roma</v>
      </c>
    </row>
    <row r="985" spans="2:32" x14ac:dyDescent="0.2">
      <c r="B985" s="29">
        <v>260</v>
      </c>
      <c r="C985" s="29" t="s">
        <v>4169</v>
      </c>
      <c r="D985" s="29" t="s">
        <v>715</v>
      </c>
      <c r="E985" s="29" t="s">
        <v>724</v>
      </c>
      <c r="F985" s="29" t="s">
        <v>663</v>
      </c>
      <c r="G985" s="29" t="s">
        <v>659</v>
      </c>
      <c r="H985" s="29" t="str">
        <f t="shared" si="307"/>
        <v>Pio XII</v>
      </c>
      <c r="K985" s="29" t="s">
        <v>827</v>
      </c>
      <c r="L985" s="29" t="str">
        <f t="shared" si="298"/>
        <v>Discorso</v>
      </c>
      <c r="M985" s="29" t="s">
        <v>566</v>
      </c>
      <c r="O985" s="29" t="s">
        <v>4645</v>
      </c>
      <c r="Q985" s="38">
        <v>16347</v>
      </c>
      <c r="R985" s="32">
        <f t="shared" si="314"/>
        <v>2</v>
      </c>
      <c r="S985" s="32"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32">
        <f t="shared" si="315"/>
        <v>1944</v>
      </c>
      <c r="U985" s="29"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3"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9"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9">
        <v>1012</v>
      </c>
      <c r="Y985" s="29" t="str">
        <f t="shared" si="308"/>
        <v>['Pio XII', 'Discorso', 'Al Tribunale della Sacra Romana Rota', 'pixii-dis-', '02 ottobre 1944', '02/10/1944', '1944/10/02'],</v>
      </c>
      <c r="Z985" s="29" t="str">
        <f t="shared" si="309"/>
        <v>Al Tribunale della Sacra Romana Rota (16347) | Pio XII</v>
      </c>
      <c r="AA985" s="29" t="str">
        <f t="shared" si="310"/>
        <v>Discorso Al Tribunale della Sacra Romana Rota</v>
      </c>
      <c r="AB985" s="29" t="str">
        <f t="shared" si="311"/>
        <v>Discorso Al Tribunale della Sacra Romana Rota</v>
      </c>
      <c r="AC985" s="29" t="str">
        <f t="shared" si="312"/>
        <v>Pio XII, Discorso Al Tribunale della Sacra Romana Rota, 02 ottobre 1944</v>
      </c>
      <c r="AD985" s="29" t="str">
        <f t="shared" si="313"/>
        <v>1944-10-02T08:00:00.000+02:00</v>
      </c>
      <c r="AE985" s="29" t="str">
        <f t="shared" si="299"/>
        <v>pixii-dis-</v>
      </c>
      <c r="AF985" s="29" t="str">
        <f t="shared" si="300"/>
        <v>Pio XII - Discorso - Al Tribunale della Sacra Romana Rota</v>
      </c>
    </row>
    <row r="986" spans="2:32" x14ac:dyDescent="0.2">
      <c r="B986" s="29">
        <v>260</v>
      </c>
      <c r="C986" s="29" t="s">
        <v>4170</v>
      </c>
      <c r="D986" s="29" t="s">
        <v>715</v>
      </c>
      <c r="E986" s="29" t="s">
        <v>724</v>
      </c>
      <c r="F986" s="29" t="s">
        <v>663</v>
      </c>
      <c r="G986" s="29" t="s">
        <v>659</v>
      </c>
      <c r="H986" s="29" t="str">
        <f t="shared" si="307"/>
        <v>Pio XII</v>
      </c>
      <c r="K986" s="29" t="s">
        <v>827</v>
      </c>
      <c r="L986" s="29" t="str">
        <f t="shared" si="298"/>
        <v>Discorso</v>
      </c>
      <c r="M986" s="29" t="s">
        <v>566</v>
      </c>
      <c r="O986" s="29" t="s">
        <v>4695</v>
      </c>
      <c r="Q986" s="38">
        <v>16388</v>
      </c>
      <c r="R986" s="32">
        <f t="shared" si="314"/>
        <v>12</v>
      </c>
      <c r="S986" s="32"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32">
        <f t="shared" si="315"/>
        <v>1944</v>
      </c>
      <c r="U986" s="29"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3"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9"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9">
        <v>1013</v>
      </c>
      <c r="Y986" s="29" t="str">
        <f t="shared" si="308"/>
        <v>['Pio XII', 'Discorso', 'Alla Unione Italiana Medico-Biologica "San Luca"', 'pixii-dis-', '12 novembre 1944', '12/11/1944', '1944/11/12'],</v>
      </c>
      <c r="Z986" s="29" t="str">
        <f t="shared" si="309"/>
        <v>Alla Unione Italiana Medico-Biologica "San Luca" (16388) | Pio XII</v>
      </c>
      <c r="AA986" s="29" t="str">
        <f t="shared" si="310"/>
        <v>Discorso Alla Unione Italiana Medico-Biologica "San Luca"</v>
      </c>
      <c r="AB986" s="29" t="str">
        <f t="shared" si="311"/>
        <v>Discorso Alla Unione Italiana Medico-Biologica "San Luca"</v>
      </c>
      <c r="AC986" s="29" t="str">
        <f t="shared" si="312"/>
        <v>Pio XII, Discorso Alla Unione Italiana Medico-Biologica "San Luca", 12 novembre 1944</v>
      </c>
      <c r="AD986" s="29" t="str">
        <f t="shared" si="313"/>
        <v>1944-11-12T08:00:00.000+02:00</v>
      </c>
      <c r="AE986" s="29" t="str">
        <f t="shared" si="299"/>
        <v>pixii-dis-</v>
      </c>
      <c r="AF986" s="29" t="str">
        <f t="shared" si="300"/>
        <v>Pio XII - Discorso - Alla Unione Italiana Medico-Biologica "San Luca"</v>
      </c>
    </row>
    <row r="987" spans="2:32" x14ac:dyDescent="0.2">
      <c r="B987" s="29">
        <v>260</v>
      </c>
      <c r="C987" s="29" t="s">
        <v>4171</v>
      </c>
      <c r="D987" s="29" t="s">
        <v>715</v>
      </c>
      <c r="E987" s="29" t="s">
        <v>724</v>
      </c>
      <c r="F987" s="29" t="s">
        <v>663</v>
      </c>
      <c r="G987" s="29" t="s">
        <v>659</v>
      </c>
      <c r="H987" s="29" t="str">
        <f t="shared" si="307"/>
        <v>Pio XII</v>
      </c>
      <c r="K987" s="29" t="s">
        <v>827</v>
      </c>
      <c r="L987" s="29" t="str">
        <f t="shared" si="298"/>
        <v>Discorso</v>
      </c>
      <c r="M987" s="29" t="s">
        <v>566</v>
      </c>
      <c r="O987" s="29" t="s">
        <v>4696</v>
      </c>
      <c r="Q987" s="38">
        <v>16409</v>
      </c>
      <c r="R987" s="32">
        <f t="shared" si="314"/>
        <v>3</v>
      </c>
      <c r="S987" s="32"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32">
        <f t="shared" si="315"/>
        <v>1944</v>
      </c>
      <c r="U987" s="29"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3"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9"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9">
        <v>1014</v>
      </c>
      <c r="Y987" s="29" t="str">
        <f t="shared" si="308"/>
        <v>['Pio XII', 'Discorso', 'Ai lavoratori della R.A.I.', 'pixii-dis-', '03 dicembre 1944', '03/12/1944', '1944/12/03'],</v>
      </c>
      <c r="Z987" s="29" t="str">
        <f t="shared" si="309"/>
        <v>Ai lavoratori della R.A.I. (16409) | Pio XII</v>
      </c>
      <c r="AA987" s="29" t="str">
        <f t="shared" si="310"/>
        <v>Discorso Ai lavoratori della R.A.I.</v>
      </c>
      <c r="AB987" s="29" t="str">
        <f t="shared" si="311"/>
        <v>Discorso Ai lavoratori della R.A.I.</v>
      </c>
      <c r="AC987" s="29" t="str">
        <f t="shared" si="312"/>
        <v>Pio XII, Discorso Ai lavoratori della R.A.I., 03 dicembre 1944</v>
      </c>
      <c r="AD987" s="29" t="str">
        <f t="shared" si="313"/>
        <v>1944-12-03T08:00:00.000+02:00</v>
      </c>
      <c r="AE987" s="29" t="str">
        <f t="shared" si="299"/>
        <v>pixii-dis-</v>
      </c>
      <c r="AF987" s="29" t="str">
        <f t="shared" si="300"/>
        <v>Pio XII - Discorso - Ai lavoratori della R.A.I.</v>
      </c>
    </row>
    <row r="988" spans="2:32" x14ac:dyDescent="0.2">
      <c r="B988" s="29">
        <v>260</v>
      </c>
      <c r="C988" s="29" t="s">
        <v>4172</v>
      </c>
      <c r="D988" s="29" t="s">
        <v>715</v>
      </c>
      <c r="E988" s="29" t="s">
        <v>724</v>
      </c>
      <c r="F988" s="29" t="s">
        <v>663</v>
      </c>
      <c r="G988" s="29" t="s">
        <v>659</v>
      </c>
      <c r="H988" s="29" t="str">
        <f t="shared" si="307"/>
        <v>Pio XII</v>
      </c>
      <c r="K988" s="29" t="s">
        <v>827</v>
      </c>
      <c r="L988" s="29" t="str">
        <f t="shared" si="298"/>
        <v>Discorso</v>
      </c>
      <c r="M988" s="29" t="s">
        <v>566</v>
      </c>
      <c r="O988" s="29" t="s">
        <v>4679</v>
      </c>
      <c r="Q988" s="38">
        <v>16415</v>
      </c>
      <c r="R988" s="32">
        <f t="shared" si="314"/>
        <v>9</v>
      </c>
      <c r="S988" s="32"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32">
        <f t="shared" si="315"/>
        <v>1944</v>
      </c>
      <c r="U988" s="29"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3"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9"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9">
        <v>1015</v>
      </c>
      <c r="Y988" s="29" t="str">
        <f t="shared" si="308"/>
        <v>['Pio XII', 'Discorso', 'A chiusura degli esercizi spirituali in Vaticano', 'pixii-dis-', '09 dicembre 1944', '09/12/1944', '1944/12/09'],</v>
      </c>
      <c r="Z988" s="29" t="str">
        <f t="shared" si="309"/>
        <v>A chiusura degli esercizi spirituali in Vaticano (16415) | Pio XII</v>
      </c>
      <c r="AA988" s="29" t="str">
        <f t="shared" si="310"/>
        <v>Discorso A chiusura degli esercizi spirituali in Vaticano</v>
      </c>
      <c r="AB988" s="29" t="str">
        <f t="shared" si="311"/>
        <v>Discorso A chiusura degli esercizi spirituali in Vaticano</v>
      </c>
      <c r="AC988" s="29" t="str">
        <f t="shared" si="312"/>
        <v>Pio XII, Discorso A chiusura degli esercizi spirituali in Vaticano, 09 dicembre 1944</v>
      </c>
      <c r="AD988" s="29" t="str">
        <f t="shared" si="313"/>
        <v>1944-12-09T08:00:00.000+02:00</v>
      </c>
      <c r="AE988" s="29" t="str">
        <f t="shared" si="299"/>
        <v>pixii-dis-</v>
      </c>
      <c r="AF988" s="29" t="str">
        <f t="shared" si="300"/>
        <v>Pio XII - Discorso - A chiusura degli esercizi spirituali in Vaticano</v>
      </c>
    </row>
    <row r="989" spans="2:32" x14ac:dyDescent="0.2">
      <c r="B989" s="29">
        <v>260</v>
      </c>
      <c r="C989" s="29" t="s">
        <v>4173</v>
      </c>
      <c r="D989" s="29" t="s">
        <v>715</v>
      </c>
      <c r="E989" s="29" t="s">
        <v>724</v>
      </c>
      <c r="F989" s="29" t="s">
        <v>663</v>
      </c>
      <c r="G989" s="29" t="s">
        <v>659</v>
      </c>
      <c r="H989" s="29" t="str">
        <f t="shared" si="307"/>
        <v>Pio XII</v>
      </c>
      <c r="K989" s="29" t="s">
        <v>827</v>
      </c>
      <c r="L989" s="29" t="str">
        <f t="shared" si="298"/>
        <v>Discorso</v>
      </c>
      <c r="M989" s="29" t="s">
        <v>566</v>
      </c>
      <c r="O989" s="29" t="s">
        <v>4680</v>
      </c>
      <c r="Q989" s="38">
        <v>16430</v>
      </c>
      <c r="R989" s="32">
        <f t="shared" si="314"/>
        <v>24</v>
      </c>
      <c r="S989" s="32"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32">
        <f t="shared" si="315"/>
        <v>1944</v>
      </c>
      <c r="U989" s="29"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3"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9"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9">
        <v>1016</v>
      </c>
      <c r="Y989" s="29" t="str">
        <f t="shared" si="308"/>
        <v>['Pio XII', 'Discorso', 'Radiomessaggio natalizio ai popoli del mondo intero', 'pixii-dis-', '24 dicembre 1944', '24/12/1944', '1944/12/24'],</v>
      </c>
      <c r="Z989" s="29" t="str">
        <f t="shared" si="309"/>
        <v>Radiomessaggio natalizio ai popoli del mondo intero (16430) | Pio XII</v>
      </c>
      <c r="AA989" s="29" t="str">
        <f t="shared" si="310"/>
        <v>Discorso Radiomessaggio natalizio ai popoli del mondo intero</v>
      </c>
      <c r="AB989" s="29" t="str">
        <f t="shared" si="311"/>
        <v>Discorso Radiomessaggio natalizio ai popoli del mondo intero</v>
      </c>
      <c r="AC989" s="29" t="str">
        <f t="shared" si="312"/>
        <v>Pio XII, Discorso Radiomessaggio natalizio ai popoli del mondo intero, 24 dicembre 1944</v>
      </c>
      <c r="AD989" s="29" t="str">
        <f t="shared" si="313"/>
        <v>1944-12-24T08:00:00.000+02:00</v>
      </c>
      <c r="AE989" s="29" t="str">
        <f t="shared" si="299"/>
        <v>pixii-dis-</v>
      </c>
      <c r="AF989" s="29" t="str">
        <f t="shared" si="300"/>
        <v>Pio XII - Discorso - Radiomessaggio natalizio ai popoli del mondo intero</v>
      </c>
    </row>
    <row r="990" spans="2:32" x14ac:dyDescent="0.2">
      <c r="B990" s="29">
        <v>260</v>
      </c>
      <c r="C990" s="29" t="s">
        <v>4174</v>
      </c>
      <c r="D990" s="29" t="s">
        <v>715</v>
      </c>
      <c r="E990" s="29" t="s">
        <v>724</v>
      </c>
      <c r="F990" s="29" t="s">
        <v>663</v>
      </c>
      <c r="G990" s="29" t="s">
        <v>659</v>
      </c>
      <c r="H990" s="29" t="str">
        <f t="shared" si="307"/>
        <v>Pio XII</v>
      </c>
      <c r="K990" s="29" t="s">
        <v>827</v>
      </c>
      <c r="L990" s="29" t="str">
        <f t="shared" si="298"/>
        <v>Discorso</v>
      </c>
      <c r="M990" s="29" t="s">
        <v>566</v>
      </c>
      <c r="O990" s="29" t="s">
        <v>4697</v>
      </c>
      <c r="Q990" s="38">
        <v>16430</v>
      </c>
      <c r="R990" s="32">
        <f t="shared" si="314"/>
        <v>24</v>
      </c>
      <c r="S990" s="32"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32">
        <f t="shared" si="315"/>
        <v>1944</v>
      </c>
      <c r="U990" s="29"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3"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9"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9">
        <v>1017</v>
      </c>
      <c r="Y990" s="29" t="str">
        <f t="shared" si="308"/>
        <v>['Pio XII', 'Discorso', 'Al Sacro Collegio e alla Prelatura di Roma alla vigilia di Natale', 'pixii-dis-', '24 dicembre 1944', '24/12/1944', '1944/12/24'],</v>
      </c>
      <c r="Z990" s="29" t="str">
        <f t="shared" si="309"/>
        <v>Al Sacro Collegio e alla Prelatura di Roma alla vigilia di Natale (16430) | Pio XII</v>
      </c>
      <c r="AA990" s="29" t="str">
        <f t="shared" si="310"/>
        <v>Discorso Al Sacro Collegio e alla Prelatura di Roma alla vigilia di Natale</v>
      </c>
      <c r="AB990" s="29" t="str">
        <f t="shared" si="311"/>
        <v>Discorso Al Sacro Collegio e alla Prelatura di Roma alla vigilia di Natale</v>
      </c>
      <c r="AC990" s="29" t="str">
        <f t="shared" si="312"/>
        <v>Pio XII, Discorso Al Sacro Collegio e alla Prelatura di Roma alla vigilia di Natale, 24 dicembre 1944</v>
      </c>
      <c r="AD990" s="29" t="str">
        <f t="shared" si="313"/>
        <v>1944-12-24T08:00:00.000+02:00</v>
      </c>
      <c r="AE990" s="29" t="str">
        <f t="shared" si="299"/>
        <v>pixii-dis-</v>
      </c>
      <c r="AF990" s="29" t="str">
        <f t="shared" si="300"/>
        <v>Pio XII - Discorso - Al Sacro Collegio e alla Prelatura di Roma alla vigilia di Natale</v>
      </c>
    </row>
    <row r="991" spans="2:32" x14ac:dyDescent="0.2">
      <c r="B991" s="29">
        <v>260</v>
      </c>
      <c r="C991" s="29" t="s">
        <v>4175</v>
      </c>
      <c r="D991" s="29" t="s">
        <v>715</v>
      </c>
      <c r="E991" s="29" t="s">
        <v>724</v>
      </c>
      <c r="F991" s="29" t="s">
        <v>663</v>
      </c>
      <c r="G991" s="29" t="s">
        <v>659</v>
      </c>
      <c r="H991" s="29" t="str">
        <f t="shared" si="307"/>
        <v>Pio XII</v>
      </c>
      <c r="K991" s="29" t="s">
        <v>827</v>
      </c>
      <c r="L991" s="29" t="str">
        <f t="shared" si="298"/>
        <v>Discorso</v>
      </c>
      <c r="M991" s="29" t="s">
        <v>566</v>
      </c>
      <c r="O991" s="29" t="s">
        <v>4698</v>
      </c>
      <c r="Q991" s="38">
        <v>16431</v>
      </c>
      <c r="R991" s="32">
        <f t="shared" si="314"/>
        <v>25</v>
      </c>
      <c r="S991" s="32"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32">
        <f t="shared" si="315"/>
        <v>1944</v>
      </c>
      <c r="U991" s="29"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3"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9"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9">
        <v>1018</v>
      </c>
      <c r="Y991" s="29" t="str">
        <f t="shared" si="308"/>
        <v>['Pio XII', 'Discorso', 'In occasione della distribuzione di doni natalizi ai bambini profughi', 'pixii-dis-', '25 dicembre 1944', '25/12/1944', '1944/12/25'],</v>
      </c>
      <c r="Z991" s="29" t="str">
        <f t="shared" si="309"/>
        <v>In occasione della distribuzione di doni natalizi ai bambini profughi (16431) | Pio XII</v>
      </c>
      <c r="AA991" s="29" t="str">
        <f t="shared" si="310"/>
        <v>Discorso In occasione della distribuzione di doni natalizi ai bambini profughi</v>
      </c>
      <c r="AB991" s="29" t="str">
        <f t="shared" si="311"/>
        <v>Discorso In occasione della distribuzione di doni natalizi ai bambini profughi</v>
      </c>
      <c r="AC991" s="29" t="str">
        <f t="shared" si="312"/>
        <v>Pio XII, Discorso In occasione della distribuzione di doni natalizi ai bambini profughi, 25 dicembre 1944</v>
      </c>
      <c r="AD991" s="29" t="str">
        <f t="shared" si="313"/>
        <v>1944-12-25T08:00:00.000+02:00</v>
      </c>
      <c r="AE991" s="29" t="str">
        <f t="shared" si="299"/>
        <v>pixii-dis-</v>
      </c>
      <c r="AF991" s="29" t="str">
        <f t="shared" si="300"/>
        <v>Pio XII - Discorso - In occasione della distribuzione di doni natalizi ai bambini profughi</v>
      </c>
    </row>
    <row r="992" spans="2:32" x14ac:dyDescent="0.2">
      <c r="B992" s="29">
        <v>260</v>
      </c>
      <c r="C992" s="29" t="s">
        <v>4176</v>
      </c>
      <c r="D992" s="29" t="s">
        <v>715</v>
      </c>
      <c r="E992" s="29" t="s">
        <v>724</v>
      </c>
      <c r="F992" s="29" t="s">
        <v>663</v>
      </c>
      <c r="G992" s="29" t="s">
        <v>659</v>
      </c>
      <c r="H992" s="29" t="str">
        <f t="shared" si="307"/>
        <v>Pio XII</v>
      </c>
      <c r="K992" s="29" t="s">
        <v>827</v>
      </c>
      <c r="L992" s="29" t="str">
        <f t="shared" si="298"/>
        <v>Discorso</v>
      </c>
      <c r="M992" s="29" t="s">
        <v>566</v>
      </c>
      <c r="O992" s="29" t="s">
        <v>4634</v>
      </c>
      <c r="Q992" s="38">
        <v>16437</v>
      </c>
      <c r="R992" s="32">
        <f t="shared" si="314"/>
        <v>31</v>
      </c>
      <c r="S992" s="32"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32">
        <f t="shared" si="315"/>
        <v>1944</v>
      </c>
      <c r="U992" s="29"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3"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9"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9">
        <v>1019</v>
      </c>
      <c r="Y992" s="29" t="str">
        <f t="shared" si="308"/>
        <v>['Pio XII', 'Discorso', 'Alla Guardia nobile pontificia', 'pixii-dis-', '31 dicembre 1944', '31/12/1944', '1944/12/31'],</v>
      </c>
      <c r="Z992" s="29" t="str">
        <f t="shared" si="309"/>
        <v>Alla Guardia nobile pontificia (16437) | Pio XII</v>
      </c>
      <c r="AA992" s="29" t="str">
        <f t="shared" si="310"/>
        <v>Discorso Alla Guardia nobile pontificia</v>
      </c>
      <c r="AB992" s="29" t="str">
        <f t="shared" si="311"/>
        <v>Discorso Alla Guardia nobile pontificia</v>
      </c>
      <c r="AC992" s="29" t="str">
        <f t="shared" si="312"/>
        <v>Pio XII, Discorso Alla Guardia nobile pontificia, 31 dicembre 1944</v>
      </c>
      <c r="AD992" s="29" t="str">
        <f t="shared" si="313"/>
        <v>1944-12-31T08:00:00.000+02:00</v>
      </c>
      <c r="AE992" s="29" t="str">
        <f t="shared" si="299"/>
        <v>pixii-dis-</v>
      </c>
      <c r="AF992" s="29" t="str">
        <f t="shared" si="300"/>
        <v>Pio XII - Discorso - Alla Guardia nobile pontificia</v>
      </c>
    </row>
    <row r="993" spans="2:32" x14ac:dyDescent="0.2">
      <c r="B993" s="29">
        <v>260</v>
      </c>
      <c r="C993" s="29" t="s">
        <v>4177</v>
      </c>
      <c r="D993" s="29" t="s">
        <v>715</v>
      </c>
      <c r="E993" s="29" t="s">
        <v>724</v>
      </c>
      <c r="F993" s="29" t="s">
        <v>663</v>
      </c>
      <c r="G993" s="29" t="s">
        <v>659</v>
      </c>
      <c r="H993" s="29" t="str">
        <f t="shared" si="307"/>
        <v>Pio XII</v>
      </c>
      <c r="K993" s="29" t="s">
        <v>827</v>
      </c>
      <c r="L993" s="29" t="str">
        <f t="shared" si="298"/>
        <v>Discorso</v>
      </c>
      <c r="M993" s="29" t="s">
        <v>566</v>
      </c>
      <c r="O993" s="29" t="s">
        <v>4670</v>
      </c>
      <c r="Q993" s="38">
        <v>16451</v>
      </c>
      <c r="R993" s="32">
        <f t="shared" si="314"/>
        <v>14</v>
      </c>
      <c r="S993" s="32"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32">
        <f t="shared" si="315"/>
        <v>1945</v>
      </c>
      <c r="U993" s="29"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3"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9"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9">
        <v>1020</v>
      </c>
      <c r="Y993" s="29" t="str">
        <f t="shared" si="308"/>
        <v>['Pio XII', 'Discorso', 'Al patriziato e alla nobiltà romana', 'pixii-dis-', '14 gennaio 1945', '14/01/1945', '1945/01/14'],</v>
      </c>
      <c r="Z993" s="29" t="str">
        <f t="shared" si="309"/>
        <v>Al patriziato e alla nobiltà romana (16451) | Pio XII</v>
      </c>
      <c r="AA993" s="29" t="str">
        <f t="shared" si="310"/>
        <v>Discorso Al patriziato e alla nobiltà romana</v>
      </c>
      <c r="AB993" s="29" t="str">
        <f t="shared" si="311"/>
        <v>Discorso Al patriziato e alla nobiltà romana</v>
      </c>
      <c r="AC993" s="29" t="str">
        <f t="shared" si="312"/>
        <v>Pio XII, Discorso Al patriziato e alla nobiltà romana, 14 gennaio 1945</v>
      </c>
      <c r="AD993" s="29" t="str">
        <f t="shared" si="313"/>
        <v>1945-01-14T08:00:00.000+02:00</v>
      </c>
      <c r="AE993" s="29" t="str">
        <f t="shared" si="299"/>
        <v>pixii-dis-</v>
      </c>
      <c r="AF993" s="29" t="str">
        <f t="shared" si="300"/>
        <v>Pio XII - Discorso - Al patriziato e alla nobiltà romana</v>
      </c>
    </row>
    <row r="994" spans="2:32" x14ac:dyDescent="0.2">
      <c r="B994" s="29">
        <v>260</v>
      </c>
      <c r="C994" s="29" t="s">
        <v>4178</v>
      </c>
      <c r="D994" s="29" t="s">
        <v>715</v>
      </c>
      <c r="E994" s="29" t="s">
        <v>724</v>
      </c>
      <c r="F994" s="29" t="s">
        <v>663</v>
      </c>
      <c r="G994" s="29" t="s">
        <v>659</v>
      </c>
      <c r="H994" s="29" t="str">
        <f t="shared" si="307"/>
        <v>Pio XII</v>
      </c>
      <c r="K994" s="29" t="s">
        <v>827</v>
      </c>
      <c r="L994" s="29" t="str">
        <f t="shared" si="298"/>
        <v>Discorso</v>
      </c>
      <c r="M994" s="29" t="s">
        <v>566</v>
      </c>
      <c r="O994" s="29" t="s">
        <v>4699</v>
      </c>
      <c r="Q994" s="38">
        <v>16458</v>
      </c>
      <c r="R994" s="32">
        <f t="shared" si="314"/>
        <v>21</v>
      </c>
      <c r="S994" s="32"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32">
        <f t="shared" si="315"/>
        <v>1945</v>
      </c>
      <c r="U994" s="29"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3"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9"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9">
        <v>1021</v>
      </c>
      <c r="Y994" s="29" t="str">
        <f t="shared" si="308"/>
        <v>['Pio XII', 'Discorso', 'Alle Congregazioni mariane di Roma nel 50 anniversario dell' iscrizione del Pontefice a Congregato Mariano', 'pixii-dis-', '21 gennaio 1945', '21/01/1945', '1945/01/21'],</v>
      </c>
      <c r="Z994" s="29" t="str">
        <f t="shared" si="309"/>
        <v>Alle Congregazioni mariane di Roma nel 50 anniversario dell' iscrizione del Pontefice a Congregato Mariano (16458) | Pio XII</v>
      </c>
      <c r="AA994" s="29" t="str">
        <f t="shared" si="310"/>
        <v>Discorso Alle Congregazioni mariane di Roma nel 50 anniversario dell' iscrizione del Pontefice a Congregato Mariano</v>
      </c>
      <c r="AB994" s="29" t="str">
        <f t="shared" si="311"/>
        <v>Discorso Alle Congregazioni mariane di Roma nel 50 anniversario dell' iscrizione del Pontefice a Congregato Mariano</v>
      </c>
      <c r="AC994" s="29" t="str">
        <f t="shared" si="312"/>
        <v>Pio XII, Discorso Alle Congregazioni mariane di Roma nel 50 anniversario dell' iscrizione del Pontefice a Congregato Mariano, 21 gennaio 1945</v>
      </c>
      <c r="AD994" s="29" t="str">
        <f t="shared" si="313"/>
        <v>1945-01-21T08:00:00.000+02:00</v>
      </c>
      <c r="AE994" s="29" t="str">
        <f t="shared" si="299"/>
        <v>pixii-dis-</v>
      </c>
      <c r="AF994" s="29" t="str">
        <f t="shared" si="300"/>
        <v>Pio XII - Discorso - Alle Congregazioni mariane di Roma nel 50 anniversario dell' iscrizione del Pontefice a Congregato Mariano</v>
      </c>
    </row>
    <row r="995" spans="2:32" x14ac:dyDescent="0.2">
      <c r="B995" s="29">
        <v>260</v>
      </c>
      <c r="C995" s="29" t="s">
        <v>4179</v>
      </c>
      <c r="D995" s="29" t="s">
        <v>715</v>
      </c>
      <c r="E995" s="29" t="s">
        <v>724</v>
      </c>
      <c r="F995" s="29" t="s">
        <v>663</v>
      </c>
      <c r="G995" s="29" t="s">
        <v>659</v>
      </c>
      <c r="H995" s="29" t="str">
        <f t="shared" si="307"/>
        <v>Pio XII</v>
      </c>
      <c r="K995" s="29" t="s">
        <v>827</v>
      </c>
      <c r="L995" s="29" t="str">
        <f t="shared" si="298"/>
        <v>Discorso</v>
      </c>
      <c r="M995" s="29" t="s">
        <v>566</v>
      </c>
      <c r="O995" s="29" t="s">
        <v>4700</v>
      </c>
      <c r="Q995" s="38">
        <v>16462</v>
      </c>
      <c r="R995" s="32">
        <f t="shared" si="314"/>
        <v>25</v>
      </c>
      <c r="S995" s="32"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32">
        <f t="shared" si="315"/>
        <v>1945</v>
      </c>
      <c r="U995" s="29"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3"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9"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9">
        <v>1022</v>
      </c>
      <c r="Y995" s="29" t="str">
        <f t="shared" si="308"/>
        <v>['Pio XII', 'Discorso', 'Alle popolazioni della Provincia di Roma', 'pixii-dis-', '25 gennaio 1945', '25/01/1945', '1945/01/25'],</v>
      </c>
      <c r="Z995" s="29" t="str">
        <f t="shared" si="309"/>
        <v>Alle popolazioni della Provincia di Roma (16462) | Pio XII</v>
      </c>
      <c r="AA995" s="29" t="str">
        <f t="shared" si="310"/>
        <v>Discorso Alle popolazioni della Provincia di Roma</v>
      </c>
      <c r="AB995" s="29" t="str">
        <f t="shared" si="311"/>
        <v>Discorso Alle popolazioni della Provincia di Roma</v>
      </c>
      <c r="AC995" s="29" t="str">
        <f t="shared" si="312"/>
        <v>Pio XII, Discorso Alle popolazioni della Provincia di Roma, 25 gennaio 1945</v>
      </c>
      <c r="AD995" s="29" t="str">
        <f t="shared" si="313"/>
        <v>1945-01-25T08:00:00.000+02:00</v>
      </c>
      <c r="AE995" s="29" t="str">
        <f t="shared" si="299"/>
        <v>pixii-dis-</v>
      </c>
      <c r="AF995" s="29" t="str">
        <f t="shared" si="300"/>
        <v>Pio XII - Discorso - Alle popolazioni della Provincia di Roma</v>
      </c>
    </row>
    <row r="996" spans="2:32" x14ac:dyDescent="0.2">
      <c r="B996" s="29">
        <v>260</v>
      </c>
      <c r="C996" s="29" t="s">
        <v>4180</v>
      </c>
      <c r="D996" s="29" t="s">
        <v>715</v>
      </c>
      <c r="E996" s="29" t="s">
        <v>724</v>
      </c>
      <c r="F996" s="29" t="s">
        <v>663</v>
      </c>
      <c r="G996" s="29" t="s">
        <v>659</v>
      </c>
      <c r="H996" s="29" t="str">
        <f t="shared" si="307"/>
        <v>Pio XII</v>
      </c>
      <c r="K996" s="29" t="s">
        <v>827</v>
      </c>
      <c r="L996" s="29" t="str">
        <f t="shared" si="298"/>
        <v>Discorso</v>
      </c>
      <c r="M996" s="29" t="s">
        <v>566</v>
      </c>
      <c r="O996" s="29" t="s">
        <v>4638</v>
      </c>
      <c r="Q996" s="38">
        <v>16485</v>
      </c>
      <c r="R996" s="32">
        <f t="shared" si="314"/>
        <v>17</v>
      </c>
      <c r="S996" s="32"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32">
        <f t="shared" si="315"/>
        <v>1945</v>
      </c>
      <c r="U996" s="29"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3"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9"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9">
        <v>1023</v>
      </c>
      <c r="Y996" s="29" t="str">
        <f t="shared" si="308"/>
        <v>['Pio XII', 'Discorso', 'Ai Parroci e ai Quaresimalisti di Roma', 'pixii-dis-', '17 febbraio 1945', '17/02/1945', '1945/02/17'],</v>
      </c>
      <c r="Z996" s="29" t="str">
        <f t="shared" si="309"/>
        <v>Ai Parroci e ai Quaresimalisti di Roma (16485) | Pio XII</v>
      </c>
      <c r="AA996" s="29" t="str">
        <f t="shared" si="310"/>
        <v>Discorso Ai Parroci e ai Quaresimalisti di Roma</v>
      </c>
      <c r="AB996" s="29" t="str">
        <f t="shared" si="311"/>
        <v>Discorso Ai Parroci e ai Quaresimalisti di Roma</v>
      </c>
      <c r="AC996" s="29" t="str">
        <f t="shared" si="312"/>
        <v>Pio XII, Discorso Ai Parroci e ai Quaresimalisti di Roma, 17 febbraio 1945</v>
      </c>
      <c r="AD996" s="29" t="str">
        <f t="shared" si="313"/>
        <v>1945-02-17T08:00:00.000+02:00</v>
      </c>
      <c r="AE996" s="29" t="str">
        <f t="shared" si="299"/>
        <v>pixii-dis-</v>
      </c>
      <c r="AF996" s="29" t="str">
        <f t="shared" si="300"/>
        <v>Pio XII - Discorso - Ai Parroci e ai Quaresimalisti di Roma</v>
      </c>
    </row>
    <row r="997" spans="2:32" x14ac:dyDescent="0.2">
      <c r="B997" s="29">
        <v>260</v>
      </c>
      <c r="C997" s="29" t="s">
        <v>4181</v>
      </c>
      <c r="D997" s="29" t="s">
        <v>715</v>
      </c>
      <c r="E997" s="29" t="s">
        <v>724</v>
      </c>
      <c r="F997" s="29" t="s">
        <v>663</v>
      </c>
      <c r="G997" s="29" t="s">
        <v>659</v>
      </c>
      <c r="H997" s="29" t="str">
        <f t="shared" si="307"/>
        <v>Pio XII</v>
      </c>
      <c r="K997" s="29" t="s">
        <v>827</v>
      </c>
      <c r="L997" s="29" t="str">
        <f t="shared" si="298"/>
        <v>Discorso</v>
      </c>
      <c r="M997" s="29" t="s">
        <v>566</v>
      </c>
      <c r="O997" s="29" t="s">
        <v>4701</v>
      </c>
      <c r="Q997" s="38">
        <v>16514</v>
      </c>
      <c r="R997" s="32">
        <f t="shared" si="314"/>
        <v>18</v>
      </c>
      <c r="S997" s="32"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32">
        <f t="shared" si="315"/>
        <v>1945</v>
      </c>
      <c r="U997" s="29"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3"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9"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9">
        <v>1024</v>
      </c>
      <c r="Y997" s="29" t="str">
        <f t="shared" si="308"/>
        <v>['Pio XII', 'Discorso', 'Ai cattolici un invito a comportarsi nella società e nella famiglia secondo gli insegnamenti della Chiesa', 'pixii-dis-', '18 marzo 1945', '18/03/1945', '1945/03/18'],</v>
      </c>
      <c r="Z997" s="29" t="str">
        <f t="shared" si="309"/>
        <v>Ai cattolici un invito a comportarsi nella società e nella famiglia secondo gli insegnamenti della Chiesa (16514) | Pio XII</v>
      </c>
      <c r="AA997" s="29" t="str">
        <f t="shared" si="310"/>
        <v>Discorso Ai cattolici un invito a comportarsi nella società e nella famiglia secondo gli insegnamenti della Chiesa</v>
      </c>
      <c r="AB997" s="29" t="str">
        <f t="shared" si="311"/>
        <v>Discorso Ai cattolici un invito a comportarsi nella società e nella famiglia secondo gli insegnamenti della Chiesa</v>
      </c>
      <c r="AC997" s="29" t="str">
        <f t="shared" si="312"/>
        <v>Pio XII, Discorso Ai cattolici un invito a comportarsi nella società e nella famiglia secondo gli insegnamenti della Chiesa, 18 marzo 1945</v>
      </c>
      <c r="AD997" s="29" t="str">
        <f t="shared" si="313"/>
        <v>1945-03-18T08:00:00.000+02:00</v>
      </c>
      <c r="AE997" s="29" t="str">
        <f t="shared" si="299"/>
        <v>pixii-dis-</v>
      </c>
      <c r="AF997" s="29" t="str">
        <f t="shared" si="300"/>
        <v>Pio XII - Discorso - Ai cattolici un invito a comportarsi nella società e nella famiglia secondo gli insegnamenti della Chiesa</v>
      </c>
    </row>
    <row r="998" spans="2:32" x14ac:dyDescent="0.2">
      <c r="B998" s="29">
        <v>260</v>
      </c>
      <c r="C998" s="29" t="s">
        <v>4182</v>
      </c>
      <c r="D998" s="29" t="s">
        <v>715</v>
      </c>
      <c r="E998" s="29" t="s">
        <v>724</v>
      </c>
      <c r="F998" s="29" t="s">
        <v>663</v>
      </c>
      <c r="G998" s="29" t="s">
        <v>659</v>
      </c>
      <c r="H998" s="29" t="str">
        <f t="shared" si="307"/>
        <v>Pio XII</v>
      </c>
      <c r="K998" s="29" t="s">
        <v>827</v>
      </c>
      <c r="L998" s="29" t="str">
        <f t="shared" ref="L998:L1061" si="316">IF(J998&lt;&gt;"",_xlfn.CONCAT(J998 &amp; " " &amp; K998),K998)</f>
        <v>Discorso</v>
      </c>
      <c r="M998" s="29" t="s">
        <v>566</v>
      </c>
      <c r="O998" s="29" t="s">
        <v>4702</v>
      </c>
      <c r="Q998" s="38">
        <v>16566</v>
      </c>
      <c r="R998" s="32">
        <f t="shared" si="314"/>
        <v>9</v>
      </c>
      <c r="S998" s="32"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32">
        <f t="shared" si="315"/>
        <v>1945</v>
      </c>
      <c r="U998" s="29"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3"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9"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9">
        <v>1025</v>
      </c>
      <c r="Y998" s="29" t="str">
        <f t="shared" si="308"/>
        <v>['Pio XII', 'Discorso', 'Radiomessaggio', 'pixii-dis-', '09 maggio 1945', '09/05/1945', '1945/05/09'],</v>
      </c>
      <c r="Z998" s="29" t="str">
        <f t="shared" si="309"/>
        <v>Radiomessaggio (16566) | Pio XII</v>
      </c>
      <c r="AA998" s="29" t="str">
        <f t="shared" si="310"/>
        <v>Discorso Radiomessaggio</v>
      </c>
      <c r="AB998" s="29" t="str">
        <f t="shared" si="311"/>
        <v>Discorso Radiomessaggio</v>
      </c>
      <c r="AC998" s="29" t="str">
        <f t="shared" si="312"/>
        <v>Pio XII, Discorso Radiomessaggio, 09 maggio 1945</v>
      </c>
      <c r="AD998" s="29" t="str">
        <f t="shared" si="313"/>
        <v>1945-05-09T08:00:00.000+02:00</v>
      </c>
      <c r="AE998" s="29" t="str">
        <f t="shared" si="299"/>
        <v>pixii-dis-</v>
      </c>
      <c r="AF998" s="29" t="str">
        <f t="shared" si="300"/>
        <v>Pio XII - Discorso - Radiomessaggio</v>
      </c>
    </row>
    <row r="999" spans="2:32" x14ac:dyDescent="0.2">
      <c r="B999" s="29">
        <v>260</v>
      </c>
      <c r="C999" s="29" t="s">
        <v>4183</v>
      </c>
      <c r="D999" s="29" t="s">
        <v>715</v>
      </c>
      <c r="E999" s="29" t="s">
        <v>724</v>
      </c>
      <c r="F999" s="29" t="s">
        <v>663</v>
      </c>
      <c r="G999" s="29" t="s">
        <v>659</v>
      </c>
      <c r="H999" s="29" t="str">
        <f t="shared" si="307"/>
        <v>Pio XII</v>
      </c>
      <c r="K999" s="29" t="s">
        <v>827</v>
      </c>
      <c r="L999" s="29" t="str">
        <f t="shared" si="316"/>
        <v>Discorso</v>
      </c>
      <c r="M999" s="29" t="s">
        <v>566</v>
      </c>
      <c r="O999" s="29" t="s">
        <v>4703</v>
      </c>
      <c r="Q999" s="38">
        <v>16582</v>
      </c>
      <c r="R999" s="32">
        <f t="shared" si="314"/>
        <v>25</v>
      </c>
      <c r="S999" s="32"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32">
        <f t="shared" si="315"/>
        <v>1945</v>
      </c>
      <c r="U999" s="29"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3"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9"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9">
        <v>1026</v>
      </c>
      <c r="Y999" s="29" t="str">
        <f t="shared" si="308"/>
        <v>['Pio XII', 'Discorso', 'Agli Sportivi italiani', 'pixii-dis-', '25 maggio 1945', '25/05/1945', '1945/05/25'],</v>
      </c>
      <c r="Z999" s="29" t="str">
        <f t="shared" si="309"/>
        <v>Agli Sportivi italiani (16582) | Pio XII</v>
      </c>
      <c r="AA999" s="29" t="str">
        <f t="shared" si="310"/>
        <v>Discorso Agli Sportivi italiani</v>
      </c>
      <c r="AB999" s="29" t="str">
        <f t="shared" si="311"/>
        <v>Discorso Agli Sportivi italiani</v>
      </c>
      <c r="AC999" s="29" t="str">
        <f t="shared" si="312"/>
        <v>Pio XII, Discorso Agli Sportivi italiani, 25 maggio 1945</v>
      </c>
      <c r="AD999" s="29" t="str">
        <f t="shared" si="313"/>
        <v>1945-05-25T08:00:00.000+02:00</v>
      </c>
      <c r="AE999" s="29" t="str">
        <f t="shared" ref="AE999:AE1062" si="317">_xlfn.CONCAT(F999 &amp; "-" &amp; M999 &amp; "-" &amp; P999)</f>
        <v>pixii-dis-</v>
      </c>
      <c r="AF999" s="29" t="str">
        <f t="shared" ref="AF999:AF1062" si="318">_xlfn.CONCAT(H999 &amp; " - " &amp; L999 &amp; " - " &amp; O999)</f>
        <v>Pio XII - Discorso - Agli Sportivi italiani</v>
      </c>
    </row>
    <row r="1000" spans="2:32" x14ac:dyDescent="0.2">
      <c r="B1000" s="29">
        <v>260</v>
      </c>
      <c r="C1000" s="29" t="s">
        <v>4184</v>
      </c>
      <c r="D1000" s="29" t="s">
        <v>715</v>
      </c>
      <c r="E1000" s="29" t="s">
        <v>724</v>
      </c>
      <c r="F1000" s="29" t="s">
        <v>663</v>
      </c>
      <c r="G1000" s="29" t="s">
        <v>659</v>
      </c>
      <c r="H1000" s="29" t="str">
        <f t="shared" si="307"/>
        <v>Pio XII</v>
      </c>
      <c r="K1000" s="29" t="s">
        <v>827</v>
      </c>
      <c r="L1000" s="29" t="str">
        <f t="shared" si="316"/>
        <v>Discorso</v>
      </c>
      <c r="M1000" s="29" t="s">
        <v>566</v>
      </c>
      <c r="O1000" s="29" t="s">
        <v>4704</v>
      </c>
      <c r="Q1000" s="38">
        <v>16590</v>
      </c>
      <c r="R1000" s="32">
        <f t="shared" si="314"/>
        <v>2</v>
      </c>
      <c r="S1000" s="32"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32">
        <f t="shared" si="315"/>
        <v>1945</v>
      </c>
      <c r="U1000" s="29"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3"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9"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9">
        <v>1027</v>
      </c>
      <c r="Y1000" s="29" t="str">
        <f t="shared" si="308"/>
        <v>['Pio XII', 'Discorso', 'A fronte della pace raggiunta vengono richiamati i doveri fondamentali della Chiesa', 'pixii-dis-', '02 giugno 1945', '02/06/1945', '1945/06/02'],</v>
      </c>
      <c r="Z1000" s="29" t="str">
        <f t="shared" si="309"/>
        <v>A fronte della pace raggiunta vengono richiamati i doveri fondamentali della Chiesa (16590) | Pio XII</v>
      </c>
      <c r="AA1000" s="29" t="str">
        <f t="shared" si="310"/>
        <v>Discorso A fronte della pace raggiunta vengono richiamati i doveri fondamentali della Chiesa</v>
      </c>
      <c r="AB1000" s="29" t="str">
        <f t="shared" si="311"/>
        <v>Discorso A fronte della pace raggiunta vengono richiamati i doveri fondamentali della Chiesa</v>
      </c>
      <c r="AC1000" s="29" t="str">
        <f t="shared" si="312"/>
        <v>Pio XII, Discorso A fronte della pace raggiunta vengono richiamati i doveri fondamentali della Chiesa, 02 giugno 1945</v>
      </c>
      <c r="AD1000" s="29" t="str">
        <f t="shared" si="313"/>
        <v>1945-06-02T08:00:00.000+02:00</v>
      </c>
      <c r="AE1000" s="29" t="str">
        <f t="shared" si="317"/>
        <v>pixii-dis-</v>
      </c>
      <c r="AF1000" s="29" t="str">
        <f t="shared" si="318"/>
        <v>Pio XII - Discorso - A fronte della pace raggiunta vengono richiamati i doveri fondamentali della Chiesa</v>
      </c>
    </row>
    <row r="1001" spans="2:32" x14ac:dyDescent="0.2">
      <c r="B1001" s="29">
        <v>260</v>
      </c>
      <c r="C1001" s="29" t="s">
        <v>4185</v>
      </c>
      <c r="D1001" s="29" t="s">
        <v>715</v>
      </c>
      <c r="E1001" s="29" t="s">
        <v>724</v>
      </c>
      <c r="F1001" s="29" t="s">
        <v>663</v>
      </c>
      <c r="G1001" s="29" t="s">
        <v>659</v>
      </c>
      <c r="H1001" s="29" t="str">
        <f t="shared" si="307"/>
        <v>Pio XII</v>
      </c>
      <c r="K1001" s="29" t="s">
        <v>827</v>
      </c>
      <c r="L1001" s="29" t="str">
        <f t="shared" si="316"/>
        <v>Discorso</v>
      </c>
      <c r="M1001" s="29" t="s">
        <v>566</v>
      </c>
      <c r="O1001" s="29" t="s">
        <v>4645</v>
      </c>
      <c r="Q1001" s="38">
        <v>16712</v>
      </c>
      <c r="R1001" s="32">
        <f t="shared" si="314"/>
        <v>2</v>
      </c>
      <c r="S1001" s="32"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32">
        <f t="shared" si="315"/>
        <v>1945</v>
      </c>
      <c r="U1001" s="29"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3"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9"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9">
        <v>1028</v>
      </c>
      <c r="Y1001" s="29" t="str">
        <f t="shared" si="308"/>
        <v>['Pio XII', 'Discorso', 'Al Tribunale della Sacra Romana Rota', 'pixii-dis-', '02 ottobre 1945', '02/10/1945', '1945/10/02'],</v>
      </c>
      <c r="Z1001" s="29" t="str">
        <f t="shared" si="309"/>
        <v>Al Tribunale della Sacra Romana Rota (16712) | Pio XII</v>
      </c>
      <c r="AA1001" s="29" t="str">
        <f t="shared" si="310"/>
        <v>Discorso Al Tribunale della Sacra Romana Rota</v>
      </c>
      <c r="AB1001" s="29" t="str">
        <f t="shared" si="311"/>
        <v>Discorso Al Tribunale della Sacra Romana Rota</v>
      </c>
      <c r="AC1001" s="29" t="str">
        <f t="shared" si="312"/>
        <v>Pio XII, Discorso Al Tribunale della Sacra Romana Rota, 02 ottobre 1945</v>
      </c>
      <c r="AD1001" s="29" t="str">
        <f t="shared" si="313"/>
        <v>1945-10-02T08:00:00.000+02:00</v>
      </c>
      <c r="AE1001" s="29" t="str">
        <f t="shared" si="317"/>
        <v>pixii-dis-</v>
      </c>
      <c r="AF1001" s="29" t="str">
        <f t="shared" si="318"/>
        <v>Pio XII - Discorso - Al Tribunale della Sacra Romana Rota</v>
      </c>
    </row>
    <row r="1002" spans="2:32" x14ac:dyDescent="0.2">
      <c r="B1002" s="29">
        <v>260</v>
      </c>
      <c r="C1002" s="29" t="s">
        <v>4186</v>
      </c>
      <c r="D1002" s="29" t="s">
        <v>715</v>
      </c>
      <c r="E1002" s="29" t="s">
        <v>724</v>
      </c>
      <c r="F1002" s="29" t="s">
        <v>663</v>
      </c>
      <c r="G1002" s="29" t="s">
        <v>659</v>
      </c>
      <c r="H1002" s="29" t="str">
        <f t="shared" si="307"/>
        <v>Pio XII</v>
      </c>
      <c r="K1002" s="29" t="s">
        <v>827</v>
      </c>
      <c r="L1002" s="29" t="str">
        <f t="shared" si="316"/>
        <v>Discorso</v>
      </c>
      <c r="M1002" s="29" t="s">
        <v>566</v>
      </c>
      <c r="O1002" s="29" t="s">
        <v>4705</v>
      </c>
      <c r="Q1002" s="38">
        <v>16768</v>
      </c>
      <c r="R1002" s="32">
        <f t="shared" si="314"/>
        <v>27</v>
      </c>
      <c r="S1002" s="32"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32">
        <f t="shared" si="315"/>
        <v>1945</v>
      </c>
      <c r="U1002" s="29"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3"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9"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9">
        <v>1029</v>
      </c>
      <c r="Y1002" s="29" t="str">
        <f t="shared" si="308"/>
        <v>['Pio XII', 'Discorso', 'Al nuovo Ambasciatore della Repubblica Argentina presso la Santa Sede, S.E. il Sign. Luis Castiñeiras, in occasione della presentazione delle Lettere Credenziali', 'pixii-dis-', '27 novembre 1945', '27/11/1945', '1945/11/27'],</v>
      </c>
      <c r="Z1002" s="29" t="str">
        <f t="shared" si="309"/>
        <v>Al nuovo Ambasciatore della Repubblica Argentina presso la Santa Sede, S.E. il Sign. Luis Castiñeiras, in occasione della presentazione delle Lettere Credenziali (16768) | Pio XII</v>
      </c>
      <c r="AA1002" s="29" t="str">
        <f t="shared" si="310"/>
        <v>Discorso Al nuovo Ambasciatore della Repubblica Argentina presso la Santa Sede, S.E. il Sign. Luis Castiñeiras, in occasione della presentazione delle Lettere Credenziali</v>
      </c>
      <c r="AB1002" s="29" t="str">
        <f t="shared" si="311"/>
        <v>Discorso Al nuovo Ambasciatore della Repubblica Argentina presso la Santa Sede, S.E. il Sign. Luis Castiñeiras, in occasione della presentazione delle Lettere Credenziali</v>
      </c>
      <c r="AC1002" s="29" t="str">
        <f t="shared" si="312"/>
        <v>Pio XII, Discorso Al nuovo Ambasciatore della Repubblica Argentina presso la Santa Sede, S.E. il Sign. Luis Castiñeiras, in occasione della presentazione delle Lettere Credenziali, 27 novembre 1945</v>
      </c>
      <c r="AD1002" s="29" t="str">
        <f t="shared" si="313"/>
        <v>1945-11-27T08:00:00.000+02:00</v>
      </c>
      <c r="AE1002" s="29" t="str">
        <f t="shared" si="317"/>
        <v>pixii-dis-</v>
      </c>
      <c r="AF1002" s="29" t="str">
        <f t="shared" si="318"/>
        <v>Pio XII - Discorso - Al nuovo Ambasciatore della Repubblica Argentina presso la Santa Sede, S.E. il Sign. Luis Castiñeiras, in occasione della presentazione delle Lettere Credenziali</v>
      </c>
    </row>
    <row r="1003" spans="2:32" x14ac:dyDescent="0.2">
      <c r="B1003" s="29">
        <v>260</v>
      </c>
      <c r="C1003" s="29" t="s">
        <v>4187</v>
      </c>
      <c r="D1003" s="29" t="s">
        <v>715</v>
      </c>
      <c r="E1003" s="29" t="s">
        <v>724</v>
      </c>
      <c r="F1003" s="29" t="s">
        <v>663</v>
      </c>
      <c r="G1003" s="29" t="s">
        <v>659</v>
      </c>
      <c r="H1003" s="29" t="str">
        <f t="shared" si="307"/>
        <v>Pio XII</v>
      </c>
      <c r="K1003" s="29" t="s">
        <v>827</v>
      </c>
      <c r="L1003" s="29" t="str">
        <f t="shared" si="316"/>
        <v>Discorso</v>
      </c>
      <c r="M1003" s="29" t="s">
        <v>566</v>
      </c>
      <c r="O1003" s="29" t="s">
        <v>4706</v>
      </c>
      <c r="Q1003" s="38">
        <v>16795</v>
      </c>
      <c r="R1003" s="32">
        <f t="shared" si="314"/>
        <v>24</v>
      </c>
      <c r="S1003" s="32"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32">
        <f t="shared" si="315"/>
        <v>1945</v>
      </c>
      <c r="U1003" s="29"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3"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9"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9">
        <v>1030</v>
      </c>
      <c r="Y1003" s="29" t="str">
        <f t="shared" si="308"/>
        <v>['Pio XII', 'Discorso', 'Sui principi a cui dovranno ispirasi i futuri accordi internazionali per una pace duratura', 'pixii-dis-', '24 dicembre 1945', '24/12/1945', '1945/12/24'],</v>
      </c>
      <c r="Z1003" s="29" t="str">
        <f t="shared" si="309"/>
        <v>Sui principi a cui dovranno ispirasi i futuri accordi internazionali per una pace duratura (16795) | Pio XII</v>
      </c>
      <c r="AA1003" s="29" t="str">
        <f t="shared" si="310"/>
        <v>Discorso Sui principi a cui dovranno ispirasi i futuri accordi internazionali per una pace duratura</v>
      </c>
      <c r="AB1003" s="29" t="str">
        <f t="shared" si="311"/>
        <v>Discorso Sui principi a cui dovranno ispirasi i futuri accordi internazionali per una pace duratura</v>
      </c>
      <c r="AC1003" s="29" t="str">
        <f t="shared" si="312"/>
        <v>Pio XII, Discorso Sui principi a cui dovranno ispirasi i futuri accordi internazionali per una pace duratura, 24 dicembre 1945</v>
      </c>
      <c r="AD1003" s="29" t="str">
        <f t="shared" si="313"/>
        <v>1945-12-24T08:00:00.000+02:00</v>
      </c>
      <c r="AE1003" s="29" t="str">
        <f t="shared" si="317"/>
        <v>pixii-dis-</v>
      </c>
      <c r="AF1003" s="29" t="str">
        <f t="shared" si="318"/>
        <v>Pio XII - Discorso - Sui principi a cui dovranno ispirasi i futuri accordi internazionali per una pace duratura</v>
      </c>
    </row>
    <row r="1004" spans="2:32" x14ac:dyDescent="0.2">
      <c r="B1004" s="29">
        <v>260</v>
      </c>
      <c r="C1004" s="29" t="s">
        <v>4188</v>
      </c>
      <c r="D1004" s="29" t="s">
        <v>715</v>
      </c>
      <c r="E1004" s="29" t="s">
        <v>724</v>
      </c>
      <c r="F1004" s="29" t="s">
        <v>663</v>
      </c>
      <c r="G1004" s="29" t="s">
        <v>659</v>
      </c>
      <c r="H1004" s="29" t="str">
        <f t="shared" si="307"/>
        <v>Pio XII</v>
      </c>
      <c r="K1004" s="29" t="s">
        <v>827</v>
      </c>
      <c r="L1004" s="29" t="str">
        <f t="shared" si="316"/>
        <v>Discorso</v>
      </c>
      <c r="M1004" s="29" t="s">
        <v>566</v>
      </c>
      <c r="O1004" s="29" t="s">
        <v>4707</v>
      </c>
      <c r="Q1004" s="38">
        <v>16825</v>
      </c>
      <c r="R1004" s="32">
        <f t="shared" si="314"/>
        <v>23</v>
      </c>
      <c r="S1004" s="32"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32">
        <f t="shared" si="315"/>
        <v>1946</v>
      </c>
      <c r="U1004" s="29"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3"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9"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9">
        <v>1031</v>
      </c>
      <c r="Y1004" s="29" t="str">
        <f t="shared" si="308"/>
        <v>['Pio XII', 'Discorso', 'Ad un gruppo di senatori americani', 'pixii-dis-', '23 gennaio 1946', '23/01/1946', '1946/01/23'],</v>
      </c>
      <c r="Z1004" s="29" t="str">
        <f t="shared" si="309"/>
        <v>Ad un gruppo di senatori americani (16825) | Pio XII</v>
      </c>
      <c r="AA1004" s="29" t="str">
        <f t="shared" si="310"/>
        <v>Discorso Ad un gruppo di senatori americani</v>
      </c>
      <c r="AB1004" s="29" t="str">
        <f t="shared" si="311"/>
        <v>Discorso Ad un gruppo di senatori americani</v>
      </c>
      <c r="AC1004" s="29" t="str">
        <f t="shared" si="312"/>
        <v>Pio XII, Discorso Ad un gruppo di senatori americani, 23 gennaio 1946</v>
      </c>
      <c r="AD1004" s="29" t="str">
        <f t="shared" si="313"/>
        <v>1946-01-23T08:00:00.000+02:00</v>
      </c>
      <c r="AE1004" s="29" t="str">
        <f t="shared" si="317"/>
        <v>pixii-dis-</v>
      </c>
      <c r="AF1004" s="29" t="str">
        <f t="shared" si="318"/>
        <v>Pio XII - Discorso - Ad un gruppo di senatori americani</v>
      </c>
    </row>
    <row r="1005" spans="2:32" x14ac:dyDescent="0.2">
      <c r="B1005" s="29">
        <v>260</v>
      </c>
      <c r="C1005" s="29" t="s">
        <v>4189</v>
      </c>
      <c r="D1005" s="29" t="s">
        <v>715</v>
      </c>
      <c r="E1005" s="29" t="s">
        <v>724</v>
      </c>
      <c r="F1005" s="29" t="s">
        <v>663</v>
      </c>
      <c r="G1005" s="29" t="s">
        <v>659</v>
      </c>
      <c r="H1005" s="29" t="str">
        <f t="shared" si="307"/>
        <v>Pio XII</v>
      </c>
      <c r="K1005" s="29" t="s">
        <v>827</v>
      </c>
      <c r="L1005" s="29" t="str">
        <f t="shared" si="316"/>
        <v>Discorso</v>
      </c>
      <c r="M1005" s="29" t="s">
        <v>566</v>
      </c>
      <c r="O1005" s="29" t="s">
        <v>4708</v>
      </c>
      <c r="Q1005" s="38">
        <v>16843</v>
      </c>
      <c r="R1005" s="32">
        <f t="shared" si="314"/>
        <v>10</v>
      </c>
      <c r="S1005" s="32"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32">
        <f t="shared" si="315"/>
        <v>1946</v>
      </c>
      <c r="U1005" s="29"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3"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9"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9">
        <v>1032</v>
      </c>
      <c r="Y1005" s="29" t="str">
        <f t="shared" si="308"/>
        <v>['Pio XII', 'Discorso', 'Al nuovo Ambasciatore d'Italia presso la Santa Sede, il Marchese Pasquale Diana, in occasione della presentazione delle Lettere Credenziali', 'pixii-dis-', '10 febbraio 1946', '10/02/1946', '1946/02/10'],</v>
      </c>
      <c r="Z1005" s="29" t="str">
        <f t="shared" si="309"/>
        <v>Al nuovo Ambasciatore d'Italia presso la Santa Sede, il Marchese Pasquale Diana, in occasione della presentazione delle Lettere Credenziali (16843) | Pio XII</v>
      </c>
      <c r="AA1005" s="29" t="str">
        <f t="shared" si="310"/>
        <v>Discorso Al nuovo Ambasciatore d'Italia presso la Santa Sede, il Marchese Pasquale Diana, in occasione della presentazione delle Lettere Credenziali</v>
      </c>
      <c r="AB1005" s="29" t="str">
        <f t="shared" si="311"/>
        <v>Discorso Al nuovo Ambasciatore d'Italia presso la Santa Sede, il Marchese Pasquale Diana, in occasione della presentazione delle Lettere Credenziali</v>
      </c>
      <c r="AC1005" s="29" t="str">
        <f t="shared" si="312"/>
        <v>Pio XII, Discorso Al nuovo Ambasciatore d'Italia presso la Santa Sede, il Marchese Pasquale Diana, in occasione della presentazione delle Lettere Credenziali, 10 febbraio 1946</v>
      </c>
      <c r="AD1005" s="29" t="str">
        <f t="shared" si="313"/>
        <v>1946-02-10T08:00:00.000+02:00</v>
      </c>
      <c r="AE1005" s="29" t="str">
        <f t="shared" si="317"/>
        <v>pixii-dis-</v>
      </c>
      <c r="AF1005" s="29" t="str">
        <f t="shared" si="318"/>
        <v>Pio XII - Discorso - Al nuovo Ambasciatore d'Italia presso la Santa Sede, il Marchese Pasquale Diana, in occasione della presentazione delle Lettere Credenziali</v>
      </c>
    </row>
    <row r="1006" spans="2:32" x14ac:dyDescent="0.2">
      <c r="B1006" s="29">
        <v>260</v>
      </c>
      <c r="C1006" s="29" t="s">
        <v>4190</v>
      </c>
      <c r="D1006" s="29" t="s">
        <v>715</v>
      </c>
      <c r="E1006" s="29" t="s">
        <v>724</v>
      </c>
      <c r="F1006" s="29" t="s">
        <v>663</v>
      </c>
      <c r="G1006" s="29" t="s">
        <v>659</v>
      </c>
      <c r="H1006" s="29" t="str">
        <f t="shared" si="307"/>
        <v>Pio XII</v>
      </c>
      <c r="K1006" s="29" t="s">
        <v>827</v>
      </c>
      <c r="L1006" s="29" t="str">
        <f t="shared" si="316"/>
        <v>Discorso</v>
      </c>
      <c r="M1006" s="29" t="s">
        <v>566</v>
      </c>
      <c r="O1006" s="29" t="s">
        <v>4709</v>
      </c>
      <c r="Q1006" s="38">
        <v>16846</v>
      </c>
      <c r="R1006" s="32">
        <f t="shared" si="314"/>
        <v>13</v>
      </c>
      <c r="S1006" s="32"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32">
        <f t="shared" si="315"/>
        <v>1946</v>
      </c>
      <c r="U1006" s="29"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3"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9"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9">
        <v>1033</v>
      </c>
      <c r="Y1006" s="29" t="str">
        <f t="shared" si="308"/>
        <v>['Pio XII', 'Discorso', 'Al nuovo Ambasciatore del Belgio presso la Santa Sede, S.E. il Principe Réginald de Croy, in occasione della presentazione delle Lettere Credenziali', 'pixii-dis-', '13 febbraio 1946', '13/02/1946', '1946/02/13'],</v>
      </c>
      <c r="Z1006" s="29" t="str">
        <f t="shared" si="309"/>
        <v>Al nuovo Ambasciatore del Belgio presso la Santa Sede, S.E. il Principe Réginald de Croy, in occasione della presentazione delle Lettere Credenziali (16846) | Pio XII</v>
      </c>
      <c r="AA1006" s="29" t="str">
        <f t="shared" si="310"/>
        <v>Discorso Al nuovo Ambasciatore del Belgio presso la Santa Sede, S.E. il Principe Réginald de Croy, in occasione della presentazione delle Lettere Credenziali</v>
      </c>
      <c r="AB1006" s="29" t="str">
        <f t="shared" si="311"/>
        <v>Discorso Al nuovo Ambasciatore del Belgio presso la Santa Sede, S.E. il Principe Réginald de Croy, in occasione della presentazione delle Lettere Credenziali</v>
      </c>
      <c r="AC1006" s="29" t="str">
        <f t="shared" si="312"/>
        <v>Pio XII, Discorso Al nuovo Ambasciatore del Belgio presso la Santa Sede, S.E. il Principe Réginald de Croy, in occasione della presentazione delle Lettere Credenziali, 13 febbraio 1946</v>
      </c>
      <c r="AD1006" s="29" t="str">
        <f t="shared" si="313"/>
        <v>1946-02-13T08:00:00.000+02:00</v>
      </c>
      <c r="AE1006" s="29" t="str">
        <f t="shared" si="317"/>
        <v>pixii-dis-</v>
      </c>
      <c r="AF1006" s="29" t="str">
        <f t="shared" si="318"/>
        <v>Pio XII - Discorso - Al nuovo Ambasciatore del Belgio presso la Santa Sede, S.E. il Principe Réginald de Croy, in occasione della presentazione delle Lettere Credenziali</v>
      </c>
    </row>
    <row r="1007" spans="2:32" x14ac:dyDescent="0.2">
      <c r="B1007" s="29">
        <v>260</v>
      </c>
      <c r="C1007" s="29" t="s">
        <v>4191</v>
      </c>
      <c r="D1007" s="29" t="s">
        <v>715</v>
      </c>
      <c r="E1007" s="29" t="s">
        <v>724</v>
      </c>
      <c r="F1007" s="29" t="s">
        <v>663</v>
      </c>
      <c r="G1007" s="29" t="s">
        <v>659</v>
      </c>
      <c r="H1007" s="29" t="str">
        <f t="shared" si="307"/>
        <v>Pio XII</v>
      </c>
      <c r="K1007" s="29" t="s">
        <v>827</v>
      </c>
      <c r="L1007" s="29" t="str">
        <f t="shared" si="316"/>
        <v>Discorso</v>
      </c>
      <c r="M1007" s="29" t="s">
        <v>566</v>
      </c>
      <c r="O1007" s="29" t="s">
        <v>4710</v>
      </c>
      <c r="Q1007" s="38">
        <v>16849</v>
      </c>
      <c r="R1007" s="32">
        <f t="shared" si="314"/>
        <v>16</v>
      </c>
      <c r="S1007" s="32"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32">
        <f t="shared" si="315"/>
        <v>1946</v>
      </c>
      <c r="U1007" s="29"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3"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9"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9">
        <v>1034</v>
      </c>
      <c r="Y1007" s="29" t="str">
        <f t="shared" si="308"/>
        <v>['Pio XII', 'Discorso', 'Al nuovo Ambasciatore di Spagna presso la Santa Sede, S.E. il Sign. Pablo Churruca y Dotres, in occasione della presentazione delle Lettere Credenziali', 'pixii-dis-', '16 febbraio 1946', '16/02/1946', '1946/02/16'],</v>
      </c>
      <c r="Z1007" s="29" t="str">
        <f t="shared" si="309"/>
        <v>Al nuovo Ambasciatore di Spagna presso la Santa Sede, S.E. il Sign. Pablo Churruca y Dotres, in occasione della presentazione delle Lettere Credenziali (16849) | Pio XII</v>
      </c>
      <c r="AA1007" s="29" t="str">
        <f t="shared" si="310"/>
        <v>Discorso Al nuovo Ambasciatore di Spagna presso la Santa Sede, S.E. il Sign. Pablo Churruca y Dotres, in occasione della presentazione delle Lettere Credenziali</v>
      </c>
      <c r="AB1007" s="29" t="str">
        <f t="shared" si="311"/>
        <v>Discorso Al nuovo Ambasciatore di Spagna presso la Santa Sede, S.E. il Sign. Pablo Churruca y Dotres, in occasione della presentazione delle Lettere Credenziali</v>
      </c>
      <c r="AC1007" s="29" t="str">
        <f t="shared" si="312"/>
        <v>Pio XII, Discorso Al nuovo Ambasciatore di Spagna presso la Santa Sede, S.E. il Sign. Pablo Churruca y Dotres, in occasione della presentazione delle Lettere Credenziali, 16 febbraio 1946</v>
      </c>
      <c r="AD1007" s="29" t="str">
        <f t="shared" si="313"/>
        <v>1946-02-16T08:00:00.000+02:00</v>
      </c>
      <c r="AE1007" s="29" t="str">
        <f t="shared" si="317"/>
        <v>pixii-dis-</v>
      </c>
      <c r="AF1007" s="29" t="str">
        <f t="shared" si="318"/>
        <v>Pio XII - Discorso - Al nuovo Ambasciatore di Spagna presso la Santa Sede, S.E. il Sign. Pablo Churruca y Dotres, in occasione della presentazione delle Lettere Credenziali</v>
      </c>
    </row>
    <row r="1008" spans="2:32" x14ac:dyDescent="0.2">
      <c r="B1008" s="29">
        <v>260</v>
      </c>
      <c r="C1008" s="29" t="s">
        <v>4192</v>
      </c>
      <c r="D1008" s="29" t="s">
        <v>715</v>
      </c>
      <c r="E1008" s="29" t="s">
        <v>724</v>
      </c>
      <c r="F1008" s="29" t="s">
        <v>663</v>
      </c>
      <c r="G1008" s="29" t="s">
        <v>659</v>
      </c>
      <c r="H1008" s="29" t="str">
        <f t="shared" si="307"/>
        <v>Pio XII</v>
      </c>
      <c r="K1008" s="29" t="s">
        <v>827</v>
      </c>
      <c r="L1008" s="29" t="str">
        <f t="shared" si="316"/>
        <v>Discorso</v>
      </c>
      <c r="M1008" s="29" t="s">
        <v>566</v>
      </c>
      <c r="O1008" s="29" t="s">
        <v>4711</v>
      </c>
      <c r="Q1008" s="38">
        <v>16853</v>
      </c>
      <c r="R1008" s="32">
        <f t="shared" si="314"/>
        <v>20</v>
      </c>
      <c r="S1008" s="32"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32">
        <f t="shared" si="315"/>
        <v>1946</v>
      </c>
      <c r="U1008" s="29"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3"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9"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9">
        <v>1035</v>
      </c>
      <c r="Y1008" s="29" t="str">
        <f t="shared" si="308"/>
        <v>['Pio XII', 'Discorso', 'Ai nuovi cardinali sulla sopranazionalità della Chiesa cattolica', 'pixii-dis-', '20 febbraio 1946', '20/02/1946', '1946/02/20'],</v>
      </c>
      <c r="Z1008" s="29" t="str">
        <f t="shared" si="309"/>
        <v>Ai nuovi cardinali sulla sopranazionalità della Chiesa cattolica (16853) | Pio XII</v>
      </c>
      <c r="AA1008" s="29" t="str">
        <f t="shared" si="310"/>
        <v>Discorso Ai nuovi cardinali sulla sopranazionalità della Chiesa cattolica</v>
      </c>
      <c r="AB1008" s="29" t="str">
        <f t="shared" si="311"/>
        <v>Discorso Ai nuovi cardinali sulla sopranazionalità della Chiesa cattolica</v>
      </c>
      <c r="AC1008" s="29" t="str">
        <f t="shared" si="312"/>
        <v>Pio XII, Discorso Ai nuovi cardinali sulla sopranazionalità della Chiesa cattolica, 20 febbraio 1946</v>
      </c>
      <c r="AD1008" s="29" t="str">
        <f t="shared" si="313"/>
        <v>1946-02-20T08:00:00.000+02:00</v>
      </c>
      <c r="AE1008" s="29" t="str">
        <f t="shared" si="317"/>
        <v>pixii-dis-</v>
      </c>
      <c r="AF1008" s="29" t="str">
        <f t="shared" si="318"/>
        <v>Pio XII - Discorso - Ai nuovi cardinali sulla sopranazionalità della Chiesa cattolica</v>
      </c>
    </row>
    <row r="1009" spans="2:32" x14ac:dyDescent="0.2">
      <c r="B1009" s="29">
        <v>260</v>
      </c>
      <c r="C1009" s="29" t="s">
        <v>4193</v>
      </c>
      <c r="D1009" s="29" t="s">
        <v>715</v>
      </c>
      <c r="E1009" s="29" t="s">
        <v>724</v>
      </c>
      <c r="F1009" s="29" t="s">
        <v>663</v>
      </c>
      <c r="G1009" s="29" t="s">
        <v>659</v>
      </c>
      <c r="H1009" s="29" t="str">
        <f t="shared" si="307"/>
        <v>Pio XII</v>
      </c>
      <c r="K1009" s="29" t="s">
        <v>827</v>
      </c>
      <c r="L1009" s="29" t="str">
        <f t="shared" si="316"/>
        <v>Discorso</v>
      </c>
      <c r="M1009" s="29" t="s">
        <v>566</v>
      </c>
      <c r="O1009" s="29" t="s">
        <v>4712</v>
      </c>
      <c r="Q1009" s="38">
        <v>16858</v>
      </c>
      <c r="R1009" s="32">
        <f t="shared" si="314"/>
        <v>25</v>
      </c>
      <c r="S1009" s="32"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32">
        <f t="shared" si="315"/>
        <v>1946</v>
      </c>
      <c r="U1009" s="29"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3"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9"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9">
        <v>1036</v>
      </c>
      <c r="Y1009" s="29" t="str">
        <f t="shared" si="308"/>
        <v>['Pio XII', 'Discorso', 'Ai membri del Corpo Diplomatico presso la Santa Sede', 'pixii-dis-', '25 febbraio 1946', '25/02/1946', '1946/02/25'],</v>
      </c>
      <c r="Z1009" s="29" t="str">
        <f t="shared" si="309"/>
        <v>Ai membri del Corpo Diplomatico presso la Santa Sede (16858) | Pio XII</v>
      </c>
      <c r="AA1009" s="29" t="str">
        <f t="shared" si="310"/>
        <v>Discorso Ai membri del Corpo Diplomatico presso la Santa Sede</v>
      </c>
      <c r="AB1009" s="29" t="str">
        <f t="shared" si="311"/>
        <v>Discorso Ai membri del Corpo Diplomatico presso la Santa Sede</v>
      </c>
      <c r="AC1009" s="29" t="str">
        <f t="shared" si="312"/>
        <v>Pio XII, Discorso Ai membri del Corpo Diplomatico presso la Santa Sede, 25 febbraio 1946</v>
      </c>
      <c r="AD1009" s="29" t="str">
        <f t="shared" si="313"/>
        <v>1946-02-25T08:00:00.000+02:00</v>
      </c>
      <c r="AE1009" s="29" t="str">
        <f t="shared" si="317"/>
        <v>pixii-dis-</v>
      </c>
      <c r="AF1009" s="29" t="str">
        <f t="shared" si="318"/>
        <v>Pio XII - Discorso - Ai membri del Corpo Diplomatico presso la Santa Sede</v>
      </c>
    </row>
    <row r="1010" spans="2:32" x14ac:dyDescent="0.2">
      <c r="B1010" s="29">
        <v>260</v>
      </c>
      <c r="C1010" s="29" t="s">
        <v>4194</v>
      </c>
      <c r="D1010" s="29" t="s">
        <v>715</v>
      </c>
      <c r="E1010" s="29" t="s">
        <v>724</v>
      </c>
      <c r="F1010" s="29" t="s">
        <v>663</v>
      </c>
      <c r="G1010" s="29" t="s">
        <v>659</v>
      </c>
      <c r="H1010" s="29" t="str">
        <f t="shared" si="307"/>
        <v>Pio XII</v>
      </c>
      <c r="K1010" s="29" t="s">
        <v>827</v>
      </c>
      <c r="L1010" s="29" t="str">
        <f t="shared" si="316"/>
        <v>Discorso</v>
      </c>
      <c r="M1010" s="29" t="s">
        <v>566</v>
      </c>
      <c r="O1010" s="29" t="s">
        <v>4713</v>
      </c>
      <c r="Q1010" s="38">
        <v>16874</v>
      </c>
      <c r="R1010" s="32">
        <f t="shared" si="314"/>
        <v>13</v>
      </c>
      <c r="S1010" s="32"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32">
        <f t="shared" si="315"/>
        <v>1946</v>
      </c>
      <c r="U1010" s="29"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3"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9"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9">
        <v>1037</v>
      </c>
      <c r="Y1010" s="29" t="str">
        <f t="shared" si="308"/>
        <v>['Pio XII', 'Discorso', 'A Gregorio Pietro XV Agagianian, Patriarca degli Armeni', 'pixii-dis-', '13 marzo 1946', '13/03/1946', '1946/03/13'],</v>
      </c>
      <c r="Z1010" s="29" t="str">
        <f t="shared" si="309"/>
        <v>A Gregorio Pietro XV Agagianian, Patriarca degli Armeni (16874) | Pio XII</v>
      </c>
      <c r="AA1010" s="29" t="str">
        <f t="shared" si="310"/>
        <v>Discorso A Gregorio Pietro XV Agagianian, Patriarca degli Armeni</v>
      </c>
      <c r="AB1010" s="29" t="str">
        <f t="shared" si="311"/>
        <v>Discorso A Gregorio Pietro XV Agagianian, Patriarca degli Armeni</v>
      </c>
      <c r="AC1010" s="29" t="str">
        <f t="shared" si="312"/>
        <v>Pio XII, Discorso A Gregorio Pietro XV Agagianian, Patriarca degli Armeni, 13 marzo 1946</v>
      </c>
      <c r="AD1010" s="29" t="str">
        <f t="shared" si="313"/>
        <v>1946-03-13T08:00:00.000+02:00</v>
      </c>
      <c r="AE1010" s="29" t="str">
        <f t="shared" si="317"/>
        <v>pixii-dis-</v>
      </c>
      <c r="AF1010" s="29" t="str">
        <f t="shared" si="318"/>
        <v>Pio XII - Discorso - A Gregorio Pietro XV Agagianian, Patriarca degli Armeni</v>
      </c>
    </row>
    <row r="1011" spans="2:32" x14ac:dyDescent="0.2">
      <c r="B1011" s="29">
        <v>260</v>
      </c>
      <c r="C1011" s="29" t="s">
        <v>4195</v>
      </c>
      <c r="D1011" s="29" t="s">
        <v>715</v>
      </c>
      <c r="E1011" s="29" t="s">
        <v>724</v>
      </c>
      <c r="F1011" s="29" t="s">
        <v>663</v>
      </c>
      <c r="G1011" s="29" t="s">
        <v>659</v>
      </c>
      <c r="H1011" s="29" t="str">
        <f t="shared" si="307"/>
        <v>Pio XII</v>
      </c>
      <c r="K1011" s="29" t="s">
        <v>827</v>
      </c>
      <c r="L1011" s="29" t="str">
        <f t="shared" si="316"/>
        <v>Discorso</v>
      </c>
      <c r="M1011" s="29" t="s">
        <v>566</v>
      </c>
      <c r="O1011" s="29" t="s">
        <v>4714</v>
      </c>
      <c r="Q1011" s="38">
        <v>16874</v>
      </c>
      <c r="R1011" s="32">
        <f t="shared" si="314"/>
        <v>13</v>
      </c>
      <c r="S1011" s="32"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32">
        <f t="shared" si="315"/>
        <v>1946</v>
      </c>
      <c r="U1011" s="29"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3"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9"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9">
        <v>1038</v>
      </c>
      <c r="Y1011" s="29" t="str">
        <f t="shared" si="308"/>
        <v>['Pio XII', 'Discorso', 'Al Signor Ugo Carusi, del Dipartimento della Giustizia degli Stati Uniti, Commissario per l'Immigrazione e al Signor Howard R. Travers, Commissario per l'Immigrazione', 'pixii-dis-', '13 marzo 1946', '13/03/1946', '1946/03/13'],</v>
      </c>
      <c r="Z1011" s="29" t="str">
        <f t="shared" si="309"/>
        <v>Al Signor Ugo Carusi, del Dipartimento della Giustizia degli Stati Uniti, Commissario per l'Immigrazione e al Signor Howard R. Travers, Commissario per l'Immigrazione (16874) | Pio XII</v>
      </c>
      <c r="AA1011" s="29" t="str">
        <f t="shared" si="310"/>
        <v>Discorso Al Signor Ugo Carusi, del Dipartimento della Giustizia degli Stati Uniti, Commissario per l'Immigrazione e al Signor Howard R. Travers, Commissario per l'Immigrazione</v>
      </c>
      <c r="AB1011" s="29" t="str">
        <f t="shared" si="311"/>
        <v>Discorso Al Signor Ugo Carusi, del Dipartimento della Giustizia degli Stati Uniti, Commissario per l'Immigrazione e al Signor Howard R. Travers, Commissario per l'Immigrazione</v>
      </c>
      <c r="AC1011" s="29" t="str">
        <f t="shared" si="312"/>
        <v>Pio XII, Discorso Al Signor Ugo Carusi, del Dipartimento della Giustizia degli Stati Uniti, Commissario per l'Immigrazione e al Signor Howard R. Travers, Commissario per l'Immigrazione, 13 marzo 1946</v>
      </c>
      <c r="AD1011" s="29" t="str">
        <f t="shared" si="313"/>
        <v>1946-03-13T08:00:00.000+02:00</v>
      </c>
      <c r="AE1011" s="29" t="str">
        <f t="shared" si="317"/>
        <v>pixii-dis-</v>
      </c>
      <c r="AF1011" s="29" t="str">
        <f t="shared" si="318"/>
        <v>Pio XII - Discorso - Al Signor Ugo Carusi, del Dipartimento della Giustizia degli Stati Uniti, Commissario per l'Immigrazione e al Signor Howard R. Travers, Commissario per l'Immigrazione</v>
      </c>
    </row>
    <row r="1012" spans="2:32" x14ac:dyDescent="0.2">
      <c r="B1012" s="29">
        <v>260</v>
      </c>
      <c r="C1012" s="29" t="s">
        <v>4196</v>
      </c>
      <c r="D1012" s="29" t="s">
        <v>715</v>
      </c>
      <c r="E1012" s="29" t="s">
        <v>724</v>
      </c>
      <c r="F1012" s="29" t="s">
        <v>663</v>
      </c>
      <c r="G1012" s="29" t="s">
        <v>659</v>
      </c>
      <c r="H1012" s="29" t="str">
        <f t="shared" si="307"/>
        <v>Pio XII</v>
      </c>
      <c r="K1012" s="29" t="s">
        <v>827</v>
      </c>
      <c r="L1012" s="29" t="str">
        <f t="shared" si="316"/>
        <v>Discorso</v>
      </c>
      <c r="M1012" s="29" t="s">
        <v>566</v>
      </c>
      <c r="O1012" s="29" t="s">
        <v>4638</v>
      </c>
      <c r="Q1012" s="38">
        <v>16877</v>
      </c>
      <c r="R1012" s="32">
        <f t="shared" si="314"/>
        <v>16</v>
      </c>
      <c r="S1012" s="32"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32">
        <f t="shared" si="315"/>
        <v>1946</v>
      </c>
      <c r="U1012" s="29"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3"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9"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9">
        <v>1039</v>
      </c>
      <c r="Y1012" s="29" t="str">
        <f t="shared" si="308"/>
        <v>['Pio XII', 'Discorso', 'Ai Parroci e ai Quaresimalisti di Roma', 'pixii-dis-', '16 marzo 1946', '16/03/1946', '1946/03/16'],</v>
      </c>
      <c r="Z1012" s="29" t="str">
        <f t="shared" si="309"/>
        <v>Ai Parroci e ai Quaresimalisti di Roma (16877) | Pio XII</v>
      </c>
      <c r="AA1012" s="29" t="str">
        <f t="shared" si="310"/>
        <v>Discorso Ai Parroci e ai Quaresimalisti di Roma</v>
      </c>
      <c r="AB1012" s="29" t="str">
        <f t="shared" si="311"/>
        <v>Discorso Ai Parroci e ai Quaresimalisti di Roma</v>
      </c>
      <c r="AC1012" s="29" t="str">
        <f t="shared" si="312"/>
        <v>Pio XII, Discorso Ai Parroci e ai Quaresimalisti di Roma, 16 marzo 1946</v>
      </c>
      <c r="AD1012" s="29" t="str">
        <f t="shared" si="313"/>
        <v>1946-03-16T08:00:00.000+02:00</v>
      </c>
      <c r="AE1012" s="29" t="str">
        <f t="shared" si="317"/>
        <v>pixii-dis-</v>
      </c>
      <c r="AF1012" s="29" t="str">
        <f t="shared" si="318"/>
        <v>Pio XII - Discorso - Ai Parroci e ai Quaresimalisti di Roma</v>
      </c>
    </row>
    <row r="1013" spans="2:32" x14ac:dyDescent="0.2">
      <c r="B1013" s="29">
        <v>260</v>
      </c>
      <c r="C1013" s="29" t="s">
        <v>4197</v>
      </c>
      <c r="D1013" s="29" t="s">
        <v>715</v>
      </c>
      <c r="E1013" s="29" t="s">
        <v>724</v>
      </c>
      <c r="F1013" s="29" t="s">
        <v>663</v>
      </c>
      <c r="G1013" s="29" t="s">
        <v>659</v>
      </c>
      <c r="H1013" s="29" t="str">
        <f t="shared" si="307"/>
        <v>Pio XII</v>
      </c>
      <c r="K1013" s="29" t="s">
        <v>827</v>
      </c>
      <c r="L1013" s="29" t="str">
        <f t="shared" si="316"/>
        <v>Discorso</v>
      </c>
      <c r="M1013" s="29" t="s">
        <v>566</v>
      </c>
      <c r="O1013" s="29" t="s">
        <v>4715</v>
      </c>
      <c r="Q1013" s="38">
        <v>16896</v>
      </c>
      <c r="R1013" s="32">
        <f t="shared" si="314"/>
        <v>4</v>
      </c>
      <c r="S1013" s="32"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32">
        <f t="shared" si="315"/>
        <v>1946</v>
      </c>
      <c r="U1013" s="29"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3"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9"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9">
        <v>1040</v>
      </c>
      <c r="Y1013" s="29" t="str">
        <f t="shared" si="308"/>
        <v>['Pio XII', 'Discorso', 'Radiomessaggio in cui si esortano i popoli a collaborare per risolvere la difficile questione alimentare nel mondo', 'pixii-dis-', '04 aprile 1946', '04/04/1946', '1946/04/04'],</v>
      </c>
      <c r="Z1013" s="29" t="str">
        <f t="shared" si="309"/>
        <v>Radiomessaggio in cui si esortano i popoli a collaborare per risolvere la difficile questione alimentare nel mondo (16896) | Pio XII</v>
      </c>
      <c r="AA1013" s="29" t="str">
        <f t="shared" si="310"/>
        <v>Discorso Radiomessaggio in cui si esortano i popoli a collaborare per risolvere la difficile questione alimentare nel mondo</v>
      </c>
      <c r="AB1013" s="29" t="str">
        <f t="shared" si="311"/>
        <v>Discorso Radiomessaggio in cui si esortano i popoli a collaborare per risolvere la difficile questione alimentare nel mondo</v>
      </c>
      <c r="AC1013" s="29" t="str">
        <f t="shared" si="312"/>
        <v>Pio XII, Discorso Radiomessaggio in cui si esortano i popoli a collaborare per risolvere la difficile questione alimentare nel mondo, 04 aprile 1946</v>
      </c>
      <c r="AD1013" s="29" t="str">
        <f t="shared" si="313"/>
        <v>1946-04-04T08:00:00.000+02:00</v>
      </c>
      <c r="AE1013" s="29" t="str">
        <f t="shared" si="317"/>
        <v>pixii-dis-</v>
      </c>
      <c r="AF1013" s="29" t="str">
        <f t="shared" si="318"/>
        <v>Pio XII - Discorso - Radiomessaggio in cui si esortano i popoli a collaborare per risolvere la difficile questione alimentare nel mondo</v>
      </c>
    </row>
    <row r="1014" spans="2:32" x14ac:dyDescent="0.2">
      <c r="B1014" s="29">
        <v>260</v>
      </c>
      <c r="C1014" s="29" t="s">
        <v>4198</v>
      </c>
      <c r="D1014" s="29" t="s">
        <v>715</v>
      </c>
      <c r="E1014" s="29" t="s">
        <v>724</v>
      </c>
      <c r="F1014" s="29" t="s">
        <v>663</v>
      </c>
      <c r="G1014" s="29" t="s">
        <v>659</v>
      </c>
      <c r="H1014" s="29" t="str">
        <f t="shared" si="307"/>
        <v>Pio XII</v>
      </c>
      <c r="K1014" s="29" t="s">
        <v>827</v>
      </c>
      <c r="L1014" s="29" t="str">
        <f t="shared" si="316"/>
        <v>Discorso</v>
      </c>
      <c r="M1014" s="29" t="s">
        <v>566</v>
      </c>
      <c r="O1014" s="29" t="s">
        <v>4716</v>
      </c>
      <c r="Q1014" s="38">
        <v>16903</v>
      </c>
      <c r="R1014" s="32">
        <f t="shared" si="314"/>
        <v>11</v>
      </c>
      <c r="S1014" s="32"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32">
        <f t="shared" si="315"/>
        <v>1946</v>
      </c>
      <c r="U1014" s="29"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3"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9"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9">
        <v>1041</v>
      </c>
      <c r="Y1014" s="29" t="str">
        <f t="shared" si="308"/>
        <v>['Pio XII', 'Discorso', 'Agli esponenti della Croce Rossa Americana', 'pixii-dis-', '11 aprile 1946', '11/04/1946', '1946/04/11'],</v>
      </c>
      <c r="Z1014" s="29" t="str">
        <f t="shared" si="309"/>
        <v>Agli esponenti della Croce Rossa Americana (16903) | Pio XII</v>
      </c>
      <c r="AA1014" s="29" t="str">
        <f t="shared" si="310"/>
        <v>Discorso Agli esponenti della Croce Rossa Americana</v>
      </c>
      <c r="AB1014" s="29" t="str">
        <f t="shared" si="311"/>
        <v>Discorso Agli esponenti della Croce Rossa Americana</v>
      </c>
      <c r="AC1014" s="29" t="str">
        <f t="shared" si="312"/>
        <v>Pio XII, Discorso Agli esponenti della Croce Rossa Americana, 11 aprile 1946</v>
      </c>
      <c r="AD1014" s="29" t="str">
        <f t="shared" si="313"/>
        <v>1946-04-11T08:00:00.000+02:00</v>
      </c>
      <c r="AE1014" s="29" t="str">
        <f t="shared" si="317"/>
        <v>pixii-dis-</v>
      </c>
      <c r="AF1014" s="29" t="str">
        <f t="shared" si="318"/>
        <v>Pio XII - Discorso - Agli esponenti della Croce Rossa Americana</v>
      </c>
    </row>
    <row r="1015" spans="2:32" x14ac:dyDescent="0.2">
      <c r="B1015" s="29">
        <v>260</v>
      </c>
      <c r="C1015" s="29" t="s">
        <v>4199</v>
      </c>
      <c r="D1015" s="29" t="s">
        <v>715</v>
      </c>
      <c r="E1015" s="29" t="s">
        <v>724</v>
      </c>
      <c r="F1015" s="29" t="s">
        <v>663</v>
      </c>
      <c r="G1015" s="29" t="s">
        <v>659</v>
      </c>
      <c r="H1015" s="29" t="str">
        <f t="shared" si="307"/>
        <v>Pio XII</v>
      </c>
      <c r="K1015" s="29" t="s">
        <v>827</v>
      </c>
      <c r="L1015" s="29" t="str">
        <f t="shared" si="316"/>
        <v>Discorso</v>
      </c>
      <c r="M1015" s="29" t="s">
        <v>566</v>
      </c>
      <c r="O1015" s="29" t="s">
        <v>4717</v>
      </c>
      <c r="Q1015" s="38">
        <v>16912</v>
      </c>
      <c r="R1015" s="32">
        <f t="shared" si="314"/>
        <v>20</v>
      </c>
      <c r="S1015" s="32"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32">
        <f t="shared" si="315"/>
        <v>1946</v>
      </c>
      <c r="U1015" s="29"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3"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9"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9">
        <v>1042</v>
      </c>
      <c r="Y1015" s="29" t="str">
        <f t="shared" si="308"/>
        <v>['Pio XII', 'Discorso', 'Ai partecipanti al Convegno indetto dalla Presidenza Centrale della Gioventù Italiana di Azione Cattolica', 'pixii-dis-', '20 aprile 1946', '20/04/1946', '1946/04/20'],</v>
      </c>
      <c r="Z1015" s="29" t="str">
        <f t="shared" si="309"/>
        <v>Ai partecipanti al Convegno indetto dalla Presidenza Centrale della Gioventù Italiana di Azione Cattolica (16912) | Pio XII</v>
      </c>
      <c r="AA1015" s="29" t="str">
        <f t="shared" si="310"/>
        <v>Discorso Ai partecipanti al Convegno indetto dalla Presidenza Centrale della Gioventù Italiana di Azione Cattolica</v>
      </c>
      <c r="AB1015" s="29" t="str">
        <f t="shared" si="311"/>
        <v>Discorso Ai partecipanti al Convegno indetto dalla Presidenza Centrale della Gioventù Italiana di Azione Cattolica</v>
      </c>
      <c r="AC1015" s="29" t="str">
        <f t="shared" si="312"/>
        <v>Pio XII, Discorso Ai partecipanti al Convegno indetto dalla Presidenza Centrale della Gioventù Italiana di Azione Cattolica, 20 aprile 1946</v>
      </c>
      <c r="AD1015" s="29" t="str">
        <f t="shared" si="313"/>
        <v>1946-04-20T08:00:00.000+02:00</v>
      </c>
      <c r="AE1015" s="29" t="str">
        <f t="shared" si="317"/>
        <v>pixii-dis-</v>
      </c>
      <c r="AF1015" s="29" t="str">
        <f t="shared" si="318"/>
        <v>Pio XII - Discorso - Ai partecipanti al Convegno indetto dalla Presidenza Centrale della Gioventù Italiana di Azione Cattolica</v>
      </c>
    </row>
    <row r="1016" spans="2:32" x14ac:dyDescent="0.2">
      <c r="B1016" s="29">
        <v>260</v>
      </c>
      <c r="C1016" s="29" t="s">
        <v>4200</v>
      </c>
      <c r="D1016" s="29" t="s">
        <v>715</v>
      </c>
      <c r="E1016" s="29" t="s">
        <v>724</v>
      </c>
      <c r="F1016" s="29" t="s">
        <v>663</v>
      </c>
      <c r="G1016" s="29" t="s">
        <v>659</v>
      </c>
      <c r="H1016" s="29" t="str">
        <f t="shared" si="307"/>
        <v>Pio XII</v>
      </c>
      <c r="K1016" s="29" t="s">
        <v>827</v>
      </c>
      <c r="L1016" s="29" t="str">
        <f t="shared" si="316"/>
        <v>Discorso</v>
      </c>
      <c r="M1016" s="29" t="s">
        <v>566</v>
      </c>
      <c r="O1016" s="29" t="s">
        <v>4718</v>
      </c>
      <c r="Q1016" s="38">
        <v>16934</v>
      </c>
      <c r="R1016" s="32">
        <f t="shared" si="314"/>
        <v>12</v>
      </c>
      <c r="S1016" s="32"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32">
        <f t="shared" si="315"/>
        <v>1946</v>
      </c>
      <c r="U1016" s="29"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3"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9"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9">
        <v>1043</v>
      </c>
      <c r="Y1016" s="29" t="str">
        <f t="shared" si="308"/>
        <v>['Pio XII', 'Discorso', 'Al pellegrinaggio delle giovani romane nella Basilica Vaticana', 'pixii-dis-', '12 maggio 1946', '12/05/1946', '1946/05/12'],</v>
      </c>
      <c r="Z1016" s="29" t="str">
        <f t="shared" si="309"/>
        <v>Al pellegrinaggio delle giovani romane nella Basilica Vaticana (16934) | Pio XII</v>
      </c>
      <c r="AA1016" s="29" t="str">
        <f t="shared" si="310"/>
        <v>Discorso Al pellegrinaggio delle giovani romane nella Basilica Vaticana</v>
      </c>
      <c r="AB1016" s="29" t="str">
        <f t="shared" si="311"/>
        <v>Discorso Al pellegrinaggio delle giovani romane nella Basilica Vaticana</v>
      </c>
      <c r="AC1016" s="29" t="str">
        <f t="shared" si="312"/>
        <v>Pio XII, Discorso Al pellegrinaggio delle giovani romane nella Basilica Vaticana, 12 maggio 1946</v>
      </c>
      <c r="AD1016" s="29" t="str">
        <f t="shared" si="313"/>
        <v>1946-05-12T08:00:00.000+02:00</v>
      </c>
      <c r="AE1016" s="29" t="str">
        <f t="shared" si="317"/>
        <v>pixii-dis-</v>
      </c>
      <c r="AF1016" s="29" t="str">
        <f t="shared" si="318"/>
        <v>Pio XII - Discorso - Al pellegrinaggio delle giovani romane nella Basilica Vaticana</v>
      </c>
    </row>
    <row r="1017" spans="2:32" x14ac:dyDescent="0.2">
      <c r="B1017" s="29">
        <v>260</v>
      </c>
      <c r="C1017" s="29" t="s">
        <v>4201</v>
      </c>
      <c r="D1017" s="29" t="s">
        <v>715</v>
      </c>
      <c r="E1017" s="29" t="s">
        <v>724</v>
      </c>
      <c r="F1017" s="29" t="s">
        <v>663</v>
      </c>
      <c r="G1017" s="29" t="s">
        <v>659</v>
      </c>
      <c r="H1017" s="29" t="str">
        <f t="shared" si="307"/>
        <v>Pio XII</v>
      </c>
      <c r="K1017" s="29" t="s">
        <v>827</v>
      </c>
      <c r="L1017" s="29" t="str">
        <f t="shared" si="316"/>
        <v>Discorso</v>
      </c>
      <c r="M1017" s="29" t="s">
        <v>566</v>
      </c>
      <c r="O1017" s="29" t="s">
        <v>4719</v>
      </c>
      <c r="Q1017" s="38">
        <v>16941</v>
      </c>
      <c r="R1017" s="32">
        <f t="shared" si="314"/>
        <v>19</v>
      </c>
      <c r="S1017" s="32"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32">
        <f t="shared" si="315"/>
        <v>1946</v>
      </c>
      <c r="U1017" s="29"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3"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9"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9">
        <v>1044</v>
      </c>
      <c r="Y1017" s="29" t="str">
        <f t="shared" si="308"/>
        <v>['Pio XII', 'Discorso', 'Alle Religiose, alle alunne e alle insegnanti dell' «Istituto dell'Assunzione»', 'pixii-dis-', '19 maggio 1946', '19/05/1946', '1946/05/19'],</v>
      </c>
      <c r="Z1017" s="29" t="str">
        <f t="shared" si="309"/>
        <v>Alle Religiose, alle alunne e alle insegnanti dell' «Istituto dell'Assunzione» (16941) | Pio XII</v>
      </c>
      <c r="AA1017" s="29" t="str">
        <f t="shared" si="310"/>
        <v>Discorso Alle Religiose, alle alunne e alle insegnanti dell' «Istituto dell'Assunzione»</v>
      </c>
      <c r="AB1017" s="29" t="str">
        <f t="shared" si="311"/>
        <v>Discorso Alle Religiose, alle alunne e alle insegnanti dell' «Istituto dell'Assunzione»</v>
      </c>
      <c r="AC1017" s="29" t="str">
        <f t="shared" si="312"/>
        <v>Pio XII, Discorso Alle Religiose, alle alunne e alle insegnanti dell' «Istituto dell'Assunzione», 19 maggio 1946</v>
      </c>
      <c r="AD1017" s="29" t="str">
        <f t="shared" si="313"/>
        <v>1946-05-19T08:00:00.000+02:00</v>
      </c>
      <c r="AE1017" s="29" t="str">
        <f t="shared" si="317"/>
        <v>pixii-dis-</v>
      </c>
      <c r="AF1017" s="29" t="str">
        <f t="shared" si="318"/>
        <v>Pio XII - Discorso - Alle Religiose, alle alunne e alle insegnanti dell' «Istituto dell'Assunzione»</v>
      </c>
    </row>
    <row r="1018" spans="2:32" x14ac:dyDescent="0.2">
      <c r="B1018" s="29">
        <v>260</v>
      </c>
      <c r="C1018" s="29" t="s">
        <v>4202</v>
      </c>
      <c r="D1018" s="29" t="s">
        <v>715</v>
      </c>
      <c r="E1018" s="29" t="s">
        <v>724</v>
      </c>
      <c r="F1018" s="29" t="s">
        <v>663</v>
      </c>
      <c r="G1018" s="29" t="s">
        <v>659</v>
      </c>
      <c r="H1018" s="29" t="str">
        <f t="shared" si="307"/>
        <v>Pio XII</v>
      </c>
      <c r="K1018" s="29" t="s">
        <v>827</v>
      </c>
      <c r="L1018" s="29" t="str">
        <f t="shared" si="316"/>
        <v>Discorso</v>
      </c>
      <c r="M1018" s="29" t="s">
        <v>566</v>
      </c>
      <c r="O1018" s="29" t="s">
        <v>4720</v>
      </c>
      <c r="Q1018" s="38">
        <v>16954</v>
      </c>
      <c r="R1018" s="32">
        <f t="shared" si="314"/>
        <v>1</v>
      </c>
      <c r="S1018" s="32"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32">
        <f t="shared" si="315"/>
        <v>1946</v>
      </c>
      <c r="U1018" s="29"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3"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9"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9">
        <v>1045</v>
      </c>
      <c r="Y1018" s="29" t="str">
        <f t="shared" si="308"/>
        <v>['Pio XII', 'Discorso', 'Al Sacro Collegio nella festività di Sant'Eugenio', 'pixii-dis-', '01 giugno 1946', '01/06/1946', '1946/06/01'],</v>
      </c>
      <c r="Z1018" s="29" t="str">
        <f t="shared" si="309"/>
        <v>Al Sacro Collegio nella festività di Sant'Eugenio (16954) | Pio XII</v>
      </c>
      <c r="AA1018" s="29" t="str">
        <f t="shared" si="310"/>
        <v>Discorso Al Sacro Collegio nella festività di Sant'Eugenio</v>
      </c>
      <c r="AB1018" s="29" t="str">
        <f t="shared" si="311"/>
        <v>Discorso Al Sacro Collegio nella festività di Sant'Eugenio</v>
      </c>
      <c r="AC1018" s="29" t="str">
        <f t="shared" si="312"/>
        <v>Pio XII, Discorso Al Sacro Collegio nella festività di Sant'Eugenio, 01 giugno 1946</v>
      </c>
      <c r="AD1018" s="29" t="str">
        <f t="shared" si="313"/>
        <v>1946-06-01T08:00:00.000+02:00</v>
      </c>
      <c r="AE1018" s="29" t="str">
        <f t="shared" si="317"/>
        <v>pixii-dis-</v>
      </c>
      <c r="AF1018" s="29" t="str">
        <f t="shared" si="318"/>
        <v>Pio XII - Discorso - Al Sacro Collegio nella festività di Sant'Eugenio</v>
      </c>
    </row>
    <row r="1019" spans="2:32" x14ac:dyDescent="0.2">
      <c r="B1019" s="29">
        <v>260</v>
      </c>
      <c r="C1019" s="29" t="s">
        <v>4203</v>
      </c>
      <c r="D1019" s="29" t="s">
        <v>715</v>
      </c>
      <c r="E1019" s="29" t="s">
        <v>724</v>
      </c>
      <c r="F1019" s="29" t="s">
        <v>663</v>
      </c>
      <c r="G1019" s="29" t="s">
        <v>659</v>
      </c>
      <c r="H1019" s="29" t="str">
        <f t="shared" si="307"/>
        <v>Pio XII</v>
      </c>
      <c r="K1019" s="29" t="s">
        <v>827</v>
      </c>
      <c r="L1019" s="29" t="str">
        <f t="shared" si="316"/>
        <v>Discorso</v>
      </c>
      <c r="M1019" s="29" t="s">
        <v>566</v>
      </c>
      <c r="O1019" s="29" t="s">
        <v>4721</v>
      </c>
      <c r="Q1019" s="38">
        <v>16961</v>
      </c>
      <c r="R1019" s="32">
        <f t="shared" si="314"/>
        <v>8</v>
      </c>
      <c r="S1019" s="32"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32">
        <f t="shared" si="315"/>
        <v>1946</v>
      </c>
      <c r="U1019" s="29"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3"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9"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9">
        <v>1046</v>
      </c>
      <c r="Y1019" s="29" t="str">
        <f t="shared" si="308"/>
        <v>['Pio XII', 'Discorso', 'Al nuovo Ambasciatore del Portogallo presso la Santa Sede, S.E. il Signor Pedro de Lemos Toyar, in occasione della presentazione delle Lettere Credenziali', 'pixii-dis-', '08 giugno 1946', '08/06/1946', '1946/06/08'],</v>
      </c>
      <c r="Z1019" s="29" t="str">
        <f t="shared" si="309"/>
        <v>Al nuovo Ambasciatore del Portogallo presso la Santa Sede, S.E. il Signor Pedro de Lemos Toyar, in occasione della presentazione delle Lettere Credenziali (16961) | Pio XII</v>
      </c>
      <c r="AA1019" s="29" t="str">
        <f t="shared" si="310"/>
        <v>Discorso Al nuovo Ambasciatore del Portogallo presso la Santa Sede, S.E. il Signor Pedro de Lemos Toyar, in occasione della presentazione delle Lettere Credenziali</v>
      </c>
      <c r="AB1019" s="29" t="str">
        <f t="shared" si="311"/>
        <v>Discorso Al nuovo Ambasciatore del Portogallo presso la Santa Sede, S.E. il Signor Pedro de Lemos Toyar, in occasione della presentazione delle Lettere Credenziali</v>
      </c>
      <c r="AC1019" s="29" t="str">
        <f t="shared" si="312"/>
        <v>Pio XII, Discorso Al nuovo Ambasciatore del Portogallo presso la Santa Sede, S.E. il Signor Pedro de Lemos Toyar, in occasione della presentazione delle Lettere Credenziali, 08 giugno 1946</v>
      </c>
      <c r="AD1019" s="29" t="str">
        <f t="shared" si="313"/>
        <v>1946-06-08T08:00:00.000+02:00</v>
      </c>
      <c r="AE1019" s="29" t="str">
        <f t="shared" si="317"/>
        <v>pixii-dis-</v>
      </c>
      <c r="AF1019" s="29" t="str">
        <f t="shared" si="318"/>
        <v>Pio XII - Discorso - Al nuovo Ambasciatore del Portogallo presso la Santa Sede, S.E. il Signor Pedro de Lemos Toyar, in occasione della presentazione delle Lettere Credenziali</v>
      </c>
    </row>
    <row r="1020" spans="2:32" x14ac:dyDescent="0.2">
      <c r="B1020" s="29">
        <v>260</v>
      </c>
      <c r="C1020" s="29" t="s">
        <v>4204</v>
      </c>
      <c r="D1020" s="29" t="s">
        <v>715</v>
      </c>
      <c r="E1020" s="29" t="s">
        <v>724</v>
      </c>
      <c r="F1020" s="29" t="s">
        <v>663</v>
      </c>
      <c r="G1020" s="29" t="s">
        <v>659</v>
      </c>
      <c r="H1020" s="29" t="str">
        <f t="shared" si="307"/>
        <v>Pio XII</v>
      </c>
      <c r="K1020" s="29" t="s">
        <v>827</v>
      </c>
      <c r="L1020" s="29" t="str">
        <f t="shared" si="316"/>
        <v>Discorso</v>
      </c>
      <c r="M1020" s="29" t="s">
        <v>566</v>
      </c>
      <c r="O1020" s="29" t="s">
        <v>4722</v>
      </c>
      <c r="Q1020" s="38">
        <v>16965</v>
      </c>
      <c r="R1020" s="32">
        <f t="shared" si="314"/>
        <v>12</v>
      </c>
      <c r="S1020" s="32"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32">
        <f t="shared" si="315"/>
        <v>1946</v>
      </c>
      <c r="U1020" s="29"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3"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9"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9">
        <v>1047</v>
      </c>
      <c r="Y1020" s="29" t="str">
        <f t="shared" si="308"/>
        <v>['Pio XII', 'Discorso', 'Al primo Ambasciatore d'Irlanda, S.E. il Signor Giuseppe Patrizio Walshe, in occasione della presentazione delle Lettere Credenziali', 'pixii-dis-', '12 giugno 1946', '12/06/1946', '1946/06/12'],</v>
      </c>
      <c r="Z1020" s="29" t="str">
        <f t="shared" si="309"/>
        <v>Al primo Ambasciatore d'Irlanda, S.E. il Signor Giuseppe Patrizio Walshe, in occasione della presentazione delle Lettere Credenziali (16965) | Pio XII</v>
      </c>
      <c r="AA1020" s="29" t="str">
        <f t="shared" si="310"/>
        <v>Discorso Al primo Ambasciatore d'Irlanda, S.E. il Signor Giuseppe Patrizio Walshe, in occasione della presentazione delle Lettere Credenziali</v>
      </c>
      <c r="AB1020" s="29" t="str">
        <f t="shared" si="311"/>
        <v>Discorso Al primo Ambasciatore d'Irlanda, S.E. il Signor Giuseppe Patrizio Walshe, in occasione della presentazione delle Lettere Credenziali</v>
      </c>
      <c r="AC1020" s="29" t="str">
        <f t="shared" si="312"/>
        <v>Pio XII, Discorso Al primo Ambasciatore d'Irlanda, S.E. il Signor Giuseppe Patrizio Walshe, in occasione della presentazione delle Lettere Credenziali, 12 giugno 1946</v>
      </c>
      <c r="AD1020" s="29" t="str">
        <f t="shared" si="313"/>
        <v>1946-06-12T08:00:00.000+02:00</v>
      </c>
      <c r="AE1020" s="29" t="str">
        <f t="shared" si="317"/>
        <v>pixii-dis-</v>
      </c>
      <c r="AF1020" s="29" t="str">
        <f t="shared" si="318"/>
        <v>Pio XII - Discorso - Al primo Ambasciatore d'Irlanda, S.E. il Signor Giuseppe Patrizio Walshe, in occasione della presentazione delle Lettere Credenziali</v>
      </c>
    </row>
    <row r="1021" spans="2:32" x14ac:dyDescent="0.2">
      <c r="B1021" s="29">
        <v>260</v>
      </c>
      <c r="C1021" s="29" t="s">
        <v>4205</v>
      </c>
      <c r="D1021" s="29" t="s">
        <v>715</v>
      </c>
      <c r="E1021" s="29" t="s">
        <v>724</v>
      </c>
      <c r="F1021" s="29" t="s">
        <v>663</v>
      </c>
      <c r="G1021" s="29" t="s">
        <v>659</v>
      </c>
      <c r="H1021" s="29" t="str">
        <f t="shared" si="307"/>
        <v>Pio XII</v>
      </c>
      <c r="K1021" s="29" t="s">
        <v>827</v>
      </c>
      <c r="L1021" s="29" t="str">
        <f t="shared" si="316"/>
        <v>Discorso</v>
      </c>
      <c r="M1021" s="29" t="s">
        <v>566</v>
      </c>
      <c r="O1021" s="29" t="s">
        <v>4723</v>
      </c>
      <c r="Q1021" s="38">
        <v>16979</v>
      </c>
      <c r="R1021" s="32">
        <f t="shared" si="314"/>
        <v>26</v>
      </c>
      <c r="S1021" s="32"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32">
        <f t="shared" si="315"/>
        <v>1946</v>
      </c>
      <c r="U1021" s="29"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3"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9"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9">
        <v>1048</v>
      </c>
      <c r="Y1021" s="29" t="str">
        <f t="shared" si="308"/>
        <v>['Pio XII', 'Discorso', 'Ai partecipanti al «XXIX Giro ciclistico d'Italia»', 'pixii-dis-', '26 giugno 1946', '26/06/1946', '1946/06/26'],</v>
      </c>
      <c r="Z1021" s="29" t="str">
        <f t="shared" si="309"/>
        <v>Ai partecipanti al «XXIX Giro ciclistico d'Italia» (16979) | Pio XII</v>
      </c>
      <c r="AA1021" s="29" t="str">
        <f t="shared" si="310"/>
        <v>Discorso Ai partecipanti al «XXIX Giro ciclistico d'Italia»</v>
      </c>
      <c r="AB1021" s="29" t="str">
        <f t="shared" si="311"/>
        <v>Discorso Ai partecipanti al «XXIX Giro ciclistico d'Italia»</v>
      </c>
      <c r="AC1021" s="29" t="str">
        <f t="shared" si="312"/>
        <v>Pio XII, Discorso Ai partecipanti al «XXIX Giro ciclistico d'Italia», 26 giugno 1946</v>
      </c>
      <c r="AD1021" s="29" t="str">
        <f t="shared" si="313"/>
        <v>1946-06-26T08:00:00.000+02:00</v>
      </c>
      <c r="AE1021" s="29" t="str">
        <f t="shared" si="317"/>
        <v>pixii-dis-</v>
      </c>
      <c r="AF1021" s="29" t="str">
        <f t="shared" si="318"/>
        <v>Pio XII - Discorso - Ai partecipanti al «XXIX Giro ciclistico d'Italia»</v>
      </c>
    </row>
    <row r="1022" spans="2:32" x14ac:dyDescent="0.2">
      <c r="B1022" s="29">
        <v>260</v>
      </c>
      <c r="C1022" s="29" t="s">
        <v>4206</v>
      </c>
      <c r="D1022" s="29" t="s">
        <v>715</v>
      </c>
      <c r="E1022" s="29" t="s">
        <v>724</v>
      </c>
      <c r="F1022" s="29" t="s">
        <v>663</v>
      </c>
      <c r="G1022" s="29" t="s">
        <v>659</v>
      </c>
      <c r="H1022" s="29" t="str">
        <f t="shared" si="307"/>
        <v>Pio XII</v>
      </c>
      <c r="K1022" s="29" t="s">
        <v>827</v>
      </c>
      <c r="L1022" s="29" t="str">
        <f t="shared" si="316"/>
        <v>Discorso</v>
      </c>
      <c r="M1022" s="29" t="s">
        <v>566</v>
      </c>
      <c r="O1022" s="29" t="s">
        <v>4724</v>
      </c>
      <c r="Q1022" s="38">
        <v>16983</v>
      </c>
      <c r="R1022" s="32">
        <f t="shared" si="314"/>
        <v>30</v>
      </c>
      <c r="S1022" s="32"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32">
        <f t="shared" si="315"/>
        <v>1946</v>
      </c>
      <c r="U1022" s="29"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3"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9"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9">
        <v>1049</v>
      </c>
      <c r="Y1022" s="29" t="str">
        <f t="shared" si="308"/>
        <v>['Pio XII', 'Discorso', 'Ai lavoratori assistiti dall'O.N.A.R.M.O. - Opera Nazionale per l'Assistenza Religiosa e Morale degli Operai', 'pixii-dis-', '30 giugno 1946', '30/06/1946', '1946/06/30'],</v>
      </c>
      <c r="Z1022" s="29" t="str">
        <f t="shared" si="309"/>
        <v>Ai lavoratori assistiti dall'O.N.A.R.M.O. - Opera Nazionale per l'Assistenza Religiosa e Morale degli Operai (16983) | Pio XII</v>
      </c>
      <c r="AA1022" s="29" t="str">
        <f t="shared" si="310"/>
        <v>Discorso Ai lavoratori assistiti dall'O.N.A.R.M.O. - Opera Nazionale per l'Assistenza Religiosa e Morale degli Operai</v>
      </c>
      <c r="AB1022" s="29" t="str">
        <f t="shared" si="311"/>
        <v>Discorso Ai lavoratori assistiti dall'O.N.A.R.M.O. - Opera Nazionale per l'Assistenza Religiosa e Morale degli Operai</v>
      </c>
      <c r="AC1022" s="29" t="str">
        <f t="shared" si="312"/>
        <v>Pio XII, Discorso Ai lavoratori assistiti dall'O.N.A.R.M.O. - Opera Nazionale per l'Assistenza Religiosa e Morale degli Operai, 30 giugno 1946</v>
      </c>
      <c r="AD1022" s="29" t="str">
        <f t="shared" si="313"/>
        <v>1946-06-30T08:00:00.000+02:00</v>
      </c>
      <c r="AE1022" s="29" t="str">
        <f t="shared" si="317"/>
        <v>pixii-dis-</v>
      </c>
      <c r="AF1022" s="29" t="str">
        <f t="shared" si="318"/>
        <v>Pio XII - Discorso - Ai lavoratori assistiti dall'O.N.A.R.M.O. - Opera Nazionale per l'Assistenza Religiosa e Morale degli Operai</v>
      </c>
    </row>
    <row r="1023" spans="2:32" x14ac:dyDescent="0.2">
      <c r="B1023" s="29">
        <v>260</v>
      </c>
      <c r="C1023" s="29" t="s">
        <v>4207</v>
      </c>
      <c r="D1023" s="29" t="s">
        <v>715</v>
      </c>
      <c r="E1023" s="29" t="s">
        <v>724</v>
      </c>
      <c r="F1023" s="29" t="s">
        <v>663</v>
      </c>
      <c r="G1023" s="29" t="s">
        <v>659</v>
      </c>
      <c r="H1023" s="29" t="str">
        <f t="shared" ref="H1023:H1086" si="319">_xlfn.CONCAT(D1023 &amp; " " &amp; E1023)</f>
        <v>Pio XII</v>
      </c>
      <c r="K1023" s="29" t="s">
        <v>827</v>
      </c>
      <c r="L1023" s="29" t="str">
        <f t="shared" si="316"/>
        <v>Discorso</v>
      </c>
      <c r="M1023" s="29" t="s">
        <v>566</v>
      </c>
      <c r="O1023" s="29" t="s">
        <v>4725</v>
      </c>
      <c r="Q1023" s="38">
        <v>16992</v>
      </c>
      <c r="R1023" s="32">
        <f t="shared" si="314"/>
        <v>9</v>
      </c>
      <c r="S1023" s="32"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32">
        <f t="shared" si="315"/>
        <v>1946</v>
      </c>
      <c r="U1023" s="29"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3"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9"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9">
        <v>1050</v>
      </c>
      <c r="Y1023" s="29" t="str">
        <f t="shared" si="308"/>
        <v>['Pio XII', 'Discorso', 'Sulla figura eroica di Santa Francesca Saverio Cabrini', 'pixii-dis-', '09 luglio 1946', '09/07/1946', '1946/07/09'],</v>
      </c>
      <c r="Z1023" s="29" t="str">
        <f t="shared" si="309"/>
        <v>Sulla figura eroica di Santa Francesca Saverio Cabrini (16992) | Pio XII</v>
      </c>
      <c r="AA1023" s="29" t="str">
        <f t="shared" si="310"/>
        <v>Discorso Sulla figura eroica di Santa Francesca Saverio Cabrini</v>
      </c>
      <c r="AB1023" s="29" t="str">
        <f t="shared" si="311"/>
        <v>Discorso Sulla figura eroica di Santa Francesca Saverio Cabrini</v>
      </c>
      <c r="AC1023" s="29" t="str">
        <f t="shared" si="312"/>
        <v>Pio XII, Discorso Sulla figura eroica di Santa Francesca Saverio Cabrini, 09 luglio 1946</v>
      </c>
      <c r="AD1023" s="29" t="str">
        <f t="shared" si="313"/>
        <v>1946-07-09T08:00:00.000+02:00</v>
      </c>
      <c r="AE1023" s="29" t="str">
        <f t="shared" si="317"/>
        <v>pixii-dis-</v>
      </c>
      <c r="AF1023" s="29" t="str">
        <f t="shared" si="318"/>
        <v>Pio XII - Discorso - Sulla figura eroica di Santa Francesca Saverio Cabrini</v>
      </c>
    </row>
    <row r="1024" spans="2:32" x14ac:dyDescent="0.2">
      <c r="B1024" s="29">
        <v>260</v>
      </c>
      <c r="C1024" s="29" t="s">
        <v>4208</v>
      </c>
      <c r="D1024" s="29" t="s">
        <v>715</v>
      </c>
      <c r="E1024" s="29" t="s">
        <v>724</v>
      </c>
      <c r="F1024" s="29" t="s">
        <v>663</v>
      </c>
      <c r="G1024" s="29" t="s">
        <v>659</v>
      </c>
      <c r="H1024" s="29" t="str">
        <f t="shared" si="319"/>
        <v>Pio XII</v>
      </c>
      <c r="K1024" s="29" t="s">
        <v>827</v>
      </c>
      <c r="L1024" s="29" t="str">
        <f t="shared" si="316"/>
        <v>Discorso</v>
      </c>
      <c r="M1024" s="29" t="s">
        <v>566</v>
      </c>
      <c r="O1024" s="29" t="s">
        <v>4726</v>
      </c>
      <c r="Q1024" s="38">
        <v>17003</v>
      </c>
      <c r="R1024" s="32">
        <f t="shared" si="314"/>
        <v>20</v>
      </c>
      <c r="S1024" s="32"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32">
        <f t="shared" si="315"/>
        <v>1946</v>
      </c>
      <c r="U1024" s="29"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3"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9"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9">
        <v>1051</v>
      </c>
      <c r="Y1024" s="29" t="str">
        <f t="shared" si="308"/>
        <v>['Pio XII', 'Discorso', 'Ad alcuni esponenti politici degli Stati Uniti d'America', 'pixii-dis-', '20 luglio 1946', '20/07/1946', '1946/07/20'],</v>
      </c>
      <c r="Z1024" s="29" t="str">
        <f t="shared" si="309"/>
        <v>Ad alcuni esponenti politici degli Stati Uniti d'America (17003) | Pio XII</v>
      </c>
      <c r="AA1024" s="29" t="str">
        <f t="shared" si="310"/>
        <v>Discorso Ad alcuni esponenti politici degli Stati Uniti d'America</v>
      </c>
      <c r="AB1024" s="29" t="str">
        <f t="shared" si="311"/>
        <v>Discorso Ad alcuni esponenti politici degli Stati Uniti d'America</v>
      </c>
      <c r="AC1024" s="29" t="str">
        <f t="shared" si="312"/>
        <v>Pio XII, Discorso Ad alcuni esponenti politici degli Stati Uniti d'America, 20 luglio 1946</v>
      </c>
      <c r="AD1024" s="29" t="str">
        <f t="shared" si="313"/>
        <v>1946-07-20T08:00:00.000+02:00</v>
      </c>
      <c r="AE1024" s="29" t="str">
        <f t="shared" si="317"/>
        <v>pixii-dis-</v>
      </c>
      <c r="AF1024" s="29" t="str">
        <f t="shared" si="318"/>
        <v>Pio XII - Discorso - Ad alcuni esponenti politici degli Stati Uniti d'America</v>
      </c>
    </row>
    <row r="1025" spans="2:32" x14ac:dyDescent="0.2">
      <c r="B1025" s="29">
        <v>260</v>
      </c>
      <c r="C1025" s="29" t="s">
        <v>4209</v>
      </c>
      <c r="D1025" s="29" t="s">
        <v>715</v>
      </c>
      <c r="E1025" s="29" t="s">
        <v>724</v>
      </c>
      <c r="F1025" s="29" t="s">
        <v>663</v>
      </c>
      <c r="G1025" s="29" t="s">
        <v>659</v>
      </c>
      <c r="H1025" s="29" t="str">
        <f t="shared" si="319"/>
        <v>Pio XII</v>
      </c>
      <c r="K1025" s="29" t="s">
        <v>827</v>
      </c>
      <c r="L1025" s="29" t="str">
        <f t="shared" si="316"/>
        <v>Discorso</v>
      </c>
      <c r="M1025" s="29" t="s">
        <v>566</v>
      </c>
      <c r="O1025" s="29" t="s">
        <v>4727</v>
      </c>
      <c r="Q1025" s="38">
        <v>17003</v>
      </c>
      <c r="R1025" s="32">
        <f t="shared" si="314"/>
        <v>20</v>
      </c>
      <c r="S1025" s="32"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32">
        <f t="shared" si="315"/>
        <v>1946</v>
      </c>
      <c r="U1025" s="29"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3"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9"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9">
        <v>1052</v>
      </c>
      <c r="Y1025" s="29" t="str">
        <f t="shared" si="308"/>
        <v>['Pio XII', 'Discorso', 'Ad un gruppo di Senatori e di Rappresentanti del Congresso degli Stati Uniti d'America', 'pixii-dis-', '20 luglio 1946', '20/07/1946', '1946/07/20'],</v>
      </c>
      <c r="Z1025" s="29" t="str">
        <f t="shared" si="309"/>
        <v>Ad un gruppo di Senatori e di Rappresentanti del Congresso degli Stati Uniti d'America (17003) | Pio XII</v>
      </c>
      <c r="AA1025" s="29" t="str">
        <f t="shared" si="310"/>
        <v>Discorso Ad un gruppo di Senatori e di Rappresentanti del Congresso degli Stati Uniti d'America</v>
      </c>
      <c r="AB1025" s="29" t="str">
        <f t="shared" si="311"/>
        <v>Discorso Ad un gruppo di Senatori e di Rappresentanti del Congresso degli Stati Uniti d'America</v>
      </c>
      <c r="AC1025" s="29" t="str">
        <f t="shared" si="312"/>
        <v>Pio XII, Discorso Ad un gruppo di Senatori e di Rappresentanti del Congresso degli Stati Uniti d'America, 20 luglio 1946</v>
      </c>
      <c r="AD1025" s="29" t="str">
        <f t="shared" si="313"/>
        <v>1946-07-20T08:00:00.000+02:00</v>
      </c>
      <c r="AE1025" s="29" t="str">
        <f t="shared" si="317"/>
        <v>pixii-dis-</v>
      </c>
      <c r="AF1025" s="29" t="str">
        <f t="shared" si="318"/>
        <v>Pio XII - Discorso - Ad un gruppo di Senatori e di Rappresentanti del Congresso degli Stati Uniti d'America</v>
      </c>
    </row>
    <row r="1026" spans="2:32" x14ac:dyDescent="0.2">
      <c r="B1026" s="29">
        <v>260</v>
      </c>
      <c r="C1026" s="29" t="s">
        <v>4210</v>
      </c>
      <c r="D1026" s="29" t="s">
        <v>715</v>
      </c>
      <c r="E1026" s="29" t="s">
        <v>724</v>
      </c>
      <c r="F1026" s="29" t="s">
        <v>663</v>
      </c>
      <c r="G1026" s="29" t="s">
        <v>659</v>
      </c>
      <c r="H1026" s="29" t="str">
        <f t="shared" si="319"/>
        <v>Pio XII</v>
      </c>
      <c r="K1026" s="29" t="s">
        <v>827</v>
      </c>
      <c r="L1026" s="29" t="str">
        <f t="shared" si="316"/>
        <v>Discorso</v>
      </c>
      <c r="M1026" s="29" t="s">
        <v>566</v>
      </c>
      <c r="O1026" s="29" t="s">
        <v>4728</v>
      </c>
      <c r="Q1026" s="38">
        <v>17012</v>
      </c>
      <c r="R1026" s="32">
        <f t="shared" si="314"/>
        <v>29</v>
      </c>
      <c r="S1026" s="32"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32">
        <f t="shared" si="315"/>
        <v>1946</v>
      </c>
      <c r="U1026" s="29"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3"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9"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9">
        <v>1053</v>
      </c>
      <c r="Y1026" s="29" t="str">
        <f t="shared" ref="Y1026:Y1089" si="320">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9" t="str">
        <f t="shared" ref="Z1026:Z1089" si="321">_xlfn.CONCAT(O1026 &amp; " (" &amp; Q1026 &amp; ") | " &amp; D1026 &amp; " " &amp; E1026)</f>
        <v>Agli allievi della scuola di Polizia italiana (17012) | Pio XII</v>
      </c>
      <c r="AA1026" s="29" t="str">
        <f t="shared" ref="AA1026:AA1089" si="322">_xlfn.CONCAT(K1026 &amp; " " &amp; O1026)</f>
        <v>Discorso Agli allievi della scuola di Polizia italiana</v>
      </c>
      <c r="AB1026" s="29" t="str">
        <f t="shared" ref="AB1026:AB1089" si="323">_xlfn.CONCAT(K1026 &amp; " " &amp; O1026)</f>
        <v>Discorso Agli allievi della scuola di Polizia italiana</v>
      </c>
      <c r="AC1026" s="29" t="str">
        <f t="shared" ref="AC1026:AC1089" si="324">_xlfn.CONCAT(H1026 &amp; ", " &amp; L1026 &amp; " " &amp; O1026 &amp; ", " &amp; LEFT(U1026,2) &amp; " " &amp; TEXT(VALUE(MID(U1026,4,2))*29,"mmmm") &amp; " " &amp; RIGHT(U1026,4))</f>
        <v>Pio XII, Discorso Agli allievi della scuola di Polizia italiana, 29 luglio 1946</v>
      </c>
      <c r="AD1026" s="29" t="str">
        <f t="shared" ref="AD1026:AD1089" si="325">_xlfn.CONCAT(RIGHT(U1026,4) &amp; "-" &amp; MID(U1026,4,2) &amp; "-" &amp; LEFT(U1026,2) &amp; "T08:00:00.000+02:00")</f>
        <v>1946-07-29T08:00:00.000+02:00</v>
      </c>
      <c r="AE1026" s="29" t="str">
        <f t="shared" si="317"/>
        <v>pixii-dis-</v>
      </c>
      <c r="AF1026" s="29" t="str">
        <f t="shared" si="318"/>
        <v>Pio XII - Discorso - Agli allievi della scuola di Polizia italiana</v>
      </c>
    </row>
    <row r="1027" spans="2:32" x14ac:dyDescent="0.2">
      <c r="B1027" s="29">
        <v>260</v>
      </c>
      <c r="C1027" s="29" t="s">
        <v>4211</v>
      </c>
      <c r="D1027" s="29" t="s">
        <v>715</v>
      </c>
      <c r="E1027" s="29" t="s">
        <v>724</v>
      </c>
      <c r="F1027" s="29" t="s">
        <v>663</v>
      </c>
      <c r="G1027" s="29" t="s">
        <v>659</v>
      </c>
      <c r="H1027" s="29" t="str">
        <f t="shared" si="319"/>
        <v>Pio XII</v>
      </c>
      <c r="K1027" s="29" t="s">
        <v>827</v>
      </c>
      <c r="L1027" s="29" t="str">
        <f t="shared" si="316"/>
        <v>Discorso</v>
      </c>
      <c r="M1027" s="29" t="s">
        <v>566</v>
      </c>
      <c r="O1027" s="29" t="s">
        <v>4729</v>
      </c>
      <c r="Q1027" s="38">
        <v>17027</v>
      </c>
      <c r="R1027" s="32">
        <f t="shared" si="314"/>
        <v>13</v>
      </c>
      <c r="S1027" s="32"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32">
        <f t="shared" si="315"/>
        <v>1946</v>
      </c>
      <c r="U1027" s="29"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3"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9"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9">
        <v>1054</v>
      </c>
      <c r="Y1027" s="29" t="str">
        <f t="shared" si="320"/>
        <v>['Pio XII', 'Discorso', 'Al nuovo Ministro della Repubblica di Cecoslovacchia presso la Santa Sede, S.E. il Signor Arthur Maixner, in occasione della presentazione delle Lettere Credenziali', 'pixii-dis-', '13 agosto 1946', '13/08/1946', '1946/08/13'],</v>
      </c>
      <c r="Z1027" s="29" t="str">
        <f t="shared" si="321"/>
        <v>Al nuovo Ministro della Repubblica di Cecoslovacchia presso la Santa Sede, S.E. il Signor Arthur Maixner, in occasione della presentazione delle Lettere Credenziali (17027) | Pio XII</v>
      </c>
      <c r="AA1027" s="29" t="str">
        <f t="shared" si="322"/>
        <v>Discorso Al nuovo Ministro della Repubblica di Cecoslovacchia presso la Santa Sede, S.E. il Signor Arthur Maixner, in occasione della presentazione delle Lettere Credenziali</v>
      </c>
      <c r="AB1027" s="29" t="str">
        <f t="shared" si="323"/>
        <v>Discorso Al nuovo Ministro della Repubblica di Cecoslovacchia presso la Santa Sede, S.E. il Signor Arthur Maixner, in occasione della presentazione delle Lettere Credenziali</v>
      </c>
      <c r="AC1027" s="29" t="str">
        <f t="shared" si="324"/>
        <v>Pio XII, Discorso Al nuovo Ministro della Repubblica di Cecoslovacchia presso la Santa Sede, S.E. il Signor Arthur Maixner, in occasione della presentazione delle Lettere Credenziali, 13 agosto 1946</v>
      </c>
      <c r="AD1027" s="29" t="str">
        <f t="shared" si="325"/>
        <v>1946-08-13T08:00:00.000+02:00</v>
      </c>
      <c r="AE1027" s="29" t="str">
        <f t="shared" si="317"/>
        <v>pixii-dis-</v>
      </c>
      <c r="AF1027" s="29" t="str">
        <f t="shared" si="318"/>
        <v>Pio XII - Discorso - Al nuovo Ministro della Repubblica di Cecoslovacchia presso la Santa Sede, S.E. il Signor Arthur Maixner, in occasione della presentazione delle Lettere Credenziali</v>
      </c>
    </row>
    <row r="1028" spans="2:32" x14ac:dyDescent="0.2">
      <c r="B1028" s="29">
        <v>260</v>
      </c>
      <c r="C1028" s="29" t="s">
        <v>4212</v>
      </c>
      <c r="D1028" s="29" t="s">
        <v>715</v>
      </c>
      <c r="E1028" s="29" t="s">
        <v>724</v>
      </c>
      <c r="F1028" s="29" t="s">
        <v>663</v>
      </c>
      <c r="G1028" s="29" t="s">
        <v>659</v>
      </c>
      <c r="H1028" s="29" t="str">
        <f t="shared" si="319"/>
        <v>Pio XII</v>
      </c>
      <c r="K1028" s="29" t="s">
        <v>827</v>
      </c>
      <c r="L1028" s="29" t="str">
        <f t="shared" si="316"/>
        <v>Discorso</v>
      </c>
      <c r="M1028" s="29" t="s">
        <v>566</v>
      </c>
      <c r="O1028" s="29" t="s">
        <v>4730</v>
      </c>
      <c r="Q1028" s="38">
        <v>17031</v>
      </c>
      <c r="R1028" s="32">
        <f t="shared" si="314"/>
        <v>17</v>
      </c>
      <c r="S1028" s="32"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32">
        <f t="shared" si="315"/>
        <v>1946</v>
      </c>
      <c r="U1028" s="29"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3"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9"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9">
        <v>1055</v>
      </c>
      <c r="Y1028" s="29" t="str">
        <f t="shared" si="320"/>
        <v>['Pio XII', 'Discorso', 'Al Sottosegretario all'Agricoltura negli Stati Uniti, il Signor Norris E. Dodd', 'pixii-dis-', '17 agosto 1946', '17/08/1946', '1946/08/17'],</v>
      </c>
      <c r="Z1028" s="29" t="str">
        <f t="shared" si="321"/>
        <v>Al Sottosegretario all'Agricoltura negli Stati Uniti, il Signor Norris E. Dodd (17031) | Pio XII</v>
      </c>
      <c r="AA1028" s="29" t="str">
        <f t="shared" si="322"/>
        <v>Discorso Al Sottosegretario all'Agricoltura negli Stati Uniti, il Signor Norris E. Dodd</v>
      </c>
      <c r="AB1028" s="29" t="str">
        <f t="shared" si="323"/>
        <v>Discorso Al Sottosegretario all'Agricoltura negli Stati Uniti, il Signor Norris E. Dodd</v>
      </c>
      <c r="AC1028" s="29" t="str">
        <f t="shared" si="324"/>
        <v>Pio XII, Discorso Al Sottosegretario all'Agricoltura negli Stati Uniti, il Signor Norris E. Dodd, 17 agosto 1946</v>
      </c>
      <c r="AD1028" s="29" t="str">
        <f t="shared" si="325"/>
        <v>1946-08-17T08:00:00.000+02:00</v>
      </c>
      <c r="AE1028" s="29" t="str">
        <f t="shared" si="317"/>
        <v>pixii-dis-</v>
      </c>
      <c r="AF1028" s="29" t="str">
        <f t="shared" si="318"/>
        <v>Pio XII - Discorso - Al Sottosegretario all'Agricoltura negli Stati Uniti, il Signor Norris E. Dodd</v>
      </c>
    </row>
    <row r="1029" spans="2:32" x14ac:dyDescent="0.2">
      <c r="B1029" s="29">
        <v>260</v>
      </c>
      <c r="C1029" s="29" t="s">
        <v>4213</v>
      </c>
      <c r="D1029" s="29" t="s">
        <v>715</v>
      </c>
      <c r="E1029" s="29" t="s">
        <v>724</v>
      </c>
      <c r="F1029" s="29" t="s">
        <v>663</v>
      </c>
      <c r="G1029" s="29" t="s">
        <v>659</v>
      </c>
      <c r="H1029" s="29" t="str">
        <f t="shared" si="319"/>
        <v>Pio XII</v>
      </c>
      <c r="K1029" s="29" t="s">
        <v>827</v>
      </c>
      <c r="L1029" s="29" t="str">
        <f t="shared" si="316"/>
        <v>Discorso</v>
      </c>
      <c r="M1029" s="29" t="s">
        <v>566</v>
      </c>
      <c r="O1029" s="29" t="s">
        <v>4731</v>
      </c>
      <c r="Q1029" s="38">
        <v>17038</v>
      </c>
      <c r="R1029" s="32">
        <f t="shared" si="314"/>
        <v>24</v>
      </c>
      <c r="S1029" s="32"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32">
        <f t="shared" si="315"/>
        <v>1946</v>
      </c>
      <c r="U1029" s="29"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3"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9"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9">
        <v>1056</v>
      </c>
      <c r="Y1029" s="29" t="str">
        <f t="shared" si="320"/>
        <v>['Pio XII', 'Discorso', 'Per l'accensione della croce sul Monte Amiata', 'pixii-dis-', '24 agosto 1946', '24/08/1946', '1946/08/24'],</v>
      </c>
      <c r="Z1029" s="29" t="str">
        <f t="shared" si="321"/>
        <v>Per l'accensione della croce sul Monte Amiata (17038) | Pio XII</v>
      </c>
      <c r="AA1029" s="29" t="str">
        <f t="shared" si="322"/>
        <v>Discorso Per l'accensione della croce sul Monte Amiata</v>
      </c>
      <c r="AB1029" s="29" t="str">
        <f t="shared" si="323"/>
        <v>Discorso Per l'accensione della croce sul Monte Amiata</v>
      </c>
      <c r="AC1029" s="29" t="str">
        <f t="shared" si="324"/>
        <v>Pio XII, Discorso Per l'accensione della croce sul Monte Amiata, 24 agosto 1946</v>
      </c>
      <c r="AD1029" s="29" t="str">
        <f t="shared" si="325"/>
        <v>1946-08-24T08:00:00.000+02:00</v>
      </c>
      <c r="AE1029" s="29" t="str">
        <f t="shared" si="317"/>
        <v>pixii-dis-</v>
      </c>
      <c r="AF1029" s="29" t="str">
        <f t="shared" si="318"/>
        <v>Pio XII - Discorso - Per l'accensione della croce sul Monte Amiata</v>
      </c>
    </row>
    <row r="1030" spans="2:32" x14ac:dyDescent="0.2">
      <c r="B1030" s="29">
        <v>260</v>
      </c>
      <c r="C1030" s="29" t="s">
        <v>4214</v>
      </c>
      <c r="D1030" s="29" t="s">
        <v>715</v>
      </c>
      <c r="E1030" s="29" t="s">
        <v>724</v>
      </c>
      <c r="F1030" s="29" t="s">
        <v>663</v>
      </c>
      <c r="G1030" s="29" t="s">
        <v>659</v>
      </c>
      <c r="H1030" s="29" t="str">
        <f t="shared" si="319"/>
        <v>Pio XII</v>
      </c>
      <c r="K1030" s="29" t="s">
        <v>827</v>
      </c>
      <c r="L1030" s="29" t="str">
        <f t="shared" si="316"/>
        <v>Discorso</v>
      </c>
      <c r="M1030" s="29" t="s">
        <v>566</v>
      </c>
      <c r="O1030" s="29" t="s">
        <v>4732</v>
      </c>
      <c r="Q1030" s="38">
        <v>17053</v>
      </c>
      <c r="R1030" s="32">
        <f t="shared" si="314"/>
        <v>8</v>
      </c>
      <c r="S1030" s="32"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32">
        <f t="shared" si="315"/>
        <v>1946</v>
      </c>
      <c r="U1030" s="29"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3"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9"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9">
        <v>1057</v>
      </c>
      <c r="Y1030" s="29" t="str">
        <f t="shared" si="320"/>
        <v>['Pio XII', 'Discorso', 'Ai partecipanti al primo Congresso Nazionale dell'Associazione italiana dei Maestri Cattolici', 'pixii-dis-', '08 settembre 1946', '08/09/1946', '1946/09/08'],</v>
      </c>
      <c r="Z1030" s="29" t="str">
        <f t="shared" si="321"/>
        <v>Ai partecipanti al primo Congresso Nazionale dell'Associazione italiana dei Maestri Cattolici (17053) | Pio XII</v>
      </c>
      <c r="AA1030" s="29" t="str">
        <f t="shared" si="322"/>
        <v>Discorso Ai partecipanti al primo Congresso Nazionale dell'Associazione italiana dei Maestri Cattolici</v>
      </c>
      <c r="AB1030" s="29" t="str">
        <f t="shared" si="323"/>
        <v>Discorso Ai partecipanti al primo Congresso Nazionale dell'Associazione italiana dei Maestri Cattolici</v>
      </c>
      <c r="AC1030" s="29" t="str">
        <f t="shared" si="324"/>
        <v>Pio XII, Discorso Ai partecipanti al primo Congresso Nazionale dell'Associazione italiana dei Maestri Cattolici, 08 settembre 1946</v>
      </c>
      <c r="AD1030" s="29" t="str">
        <f t="shared" si="325"/>
        <v>1946-09-08T08:00:00.000+02:00</v>
      </c>
      <c r="AE1030" s="29" t="str">
        <f t="shared" si="317"/>
        <v>pixii-dis-</v>
      </c>
      <c r="AF1030" s="29" t="str">
        <f t="shared" si="318"/>
        <v>Pio XII - Discorso - Ai partecipanti al primo Congresso Nazionale dell'Associazione italiana dei Maestri Cattolici</v>
      </c>
    </row>
    <row r="1031" spans="2:32" x14ac:dyDescent="0.2">
      <c r="B1031" s="29">
        <v>260</v>
      </c>
      <c r="C1031" s="29" t="s">
        <v>4215</v>
      </c>
      <c r="D1031" s="29" t="s">
        <v>715</v>
      </c>
      <c r="E1031" s="29" t="s">
        <v>724</v>
      </c>
      <c r="F1031" s="29" t="s">
        <v>663</v>
      </c>
      <c r="G1031" s="29" t="s">
        <v>659</v>
      </c>
      <c r="H1031" s="29" t="str">
        <f t="shared" si="319"/>
        <v>Pio XII</v>
      </c>
      <c r="K1031" s="29" t="s">
        <v>827</v>
      </c>
      <c r="L1031" s="29" t="str">
        <f t="shared" si="316"/>
        <v>Discorso</v>
      </c>
      <c r="M1031" s="29" t="s">
        <v>566</v>
      </c>
      <c r="O1031" s="29" t="s">
        <v>4733</v>
      </c>
      <c r="Q1031" s="38">
        <v>17055</v>
      </c>
      <c r="R1031" s="32">
        <f t="shared" si="314"/>
        <v>10</v>
      </c>
      <c r="S1031" s="32"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32">
        <f t="shared" si="315"/>
        <v>1946</v>
      </c>
      <c r="U1031" s="29"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3"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9"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9">
        <v>1058</v>
      </c>
      <c r="Y1031" s="29" t="str">
        <f t="shared" si="320"/>
        <v>['Pio XII', 'Discorso', 'Ai giovani dell'Associazione Scoutistica Cattolica Italiana', 'pixii-dis-', '10 settembre 1946', '10/09/1946', '1946/09/10'],</v>
      </c>
      <c r="Z1031" s="29" t="str">
        <f t="shared" si="321"/>
        <v>Ai giovani dell'Associazione Scoutistica Cattolica Italiana (17055) | Pio XII</v>
      </c>
      <c r="AA1031" s="29" t="str">
        <f t="shared" si="322"/>
        <v>Discorso Ai giovani dell'Associazione Scoutistica Cattolica Italiana</v>
      </c>
      <c r="AB1031" s="29" t="str">
        <f t="shared" si="323"/>
        <v>Discorso Ai giovani dell'Associazione Scoutistica Cattolica Italiana</v>
      </c>
      <c r="AC1031" s="29" t="str">
        <f t="shared" si="324"/>
        <v>Pio XII, Discorso Ai giovani dell'Associazione Scoutistica Cattolica Italiana, 10 settembre 1946</v>
      </c>
      <c r="AD1031" s="29" t="str">
        <f t="shared" si="325"/>
        <v>1946-09-10T08:00:00.000+02:00</v>
      </c>
      <c r="AE1031" s="29" t="str">
        <f t="shared" si="317"/>
        <v>pixii-dis-</v>
      </c>
      <c r="AF1031" s="29" t="str">
        <f t="shared" si="318"/>
        <v>Pio XII - Discorso - Ai giovani dell'Associazione Scoutistica Cattolica Italiana</v>
      </c>
    </row>
    <row r="1032" spans="2:32" x14ac:dyDescent="0.2">
      <c r="B1032" s="29">
        <v>260</v>
      </c>
      <c r="C1032" s="29" t="s">
        <v>4216</v>
      </c>
      <c r="D1032" s="29" t="s">
        <v>715</v>
      </c>
      <c r="E1032" s="29" t="s">
        <v>724</v>
      </c>
      <c r="F1032" s="29" t="s">
        <v>663</v>
      </c>
      <c r="G1032" s="29" t="s">
        <v>659</v>
      </c>
      <c r="H1032" s="29" t="str">
        <f t="shared" si="319"/>
        <v>Pio XII</v>
      </c>
      <c r="K1032" s="29" t="s">
        <v>827</v>
      </c>
      <c r="L1032" s="29" t="str">
        <f t="shared" si="316"/>
        <v>Discorso</v>
      </c>
      <c r="M1032" s="29" t="s">
        <v>566</v>
      </c>
      <c r="O1032" s="29" t="s">
        <v>4734</v>
      </c>
      <c r="Q1032" s="38">
        <v>17074</v>
      </c>
      <c r="R1032" s="32">
        <f t="shared" si="314"/>
        <v>29</v>
      </c>
      <c r="S1032" s="32"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32">
        <f t="shared" si="315"/>
        <v>1946</v>
      </c>
      <c r="U1032" s="29"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3"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9"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9">
        <v>1059</v>
      </c>
      <c r="Y1032" s="29" t="str">
        <f t="shared" si="320"/>
        <v>['Pio XII', 'Discorso', 'Ai partecipanti al primo Congresso Nazionale delle Associazioni cristiane dei Lavoratori Italiani - A.C.L.I.', 'pixii-dis-', '29 settembre 1946', '29/09/1946', '1946/09/29'],</v>
      </c>
      <c r="Z1032" s="29" t="str">
        <f t="shared" si="321"/>
        <v>Ai partecipanti al primo Congresso Nazionale delle Associazioni cristiane dei Lavoratori Italiani - A.C.L.I. (17074) | Pio XII</v>
      </c>
      <c r="AA1032" s="29" t="str">
        <f t="shared" si="322"/>
        <v>Discorso Ai partecipanti al primo Congresso Nazionale delle Associazioni cristiane dei Lavoratori Italiani - A.C.L.I.</v>
      </c>
      <c r="AB1032" s="29" t="str">
        <f t="shared" si="323"/>
        <v>Discorso Ai partecipanti al primo Congresso Nazionale delle Associazioni cristiane dei Lavoratori Italiani - A.C.L.I.</v>
      </c>
      <c r="AC1032" s="29" t="str">
        <f t="shared" si="324"/>
        <v>Pio XII, Discorso Ai partecipanti al primo Congresso Nazionale delle Associazioni cristiane dei Lavoratori Italiani - A.C.L.I., 29 settembre 1946</v>
      </c>
      <c r="AD1032" s="29" t="str">
        <f t="shared" si="325"/>
        <v>1946-09-29T08:00:00.000+02:00</v>
      </c>
      <c r="AE1032" s="29" t="str">
        <f t="shared" si="317"/>
        <v>pixii-dis-</v>
      </c>
      <c r="AF1032" s="29" t="str">
        <f t="shared" si="318"/>
        <v>Pio XII - Discorso - Ai partecipanti al primo Congresso Nazionale delle Associazioni cristiane dei Lavoratori Italiani - A.C.L.I.</v>
      </c>
    </row>
    <row r="1033" spans="2:32" x14ac:dyDescent="0.2">
      <c r="B1033" s="29">
        <v>260</v>
      </c>
      <c r="C1033" s="29" t="s">
        <v>4217</v>
      </c>
      <c r="D1033" s="29" t="s">
        <v>715</v>
      </c>
      <c r="E1033" s="29" t="s">
        <v>724</v>
      </c>
      <c r="F1033" s="29" t="s">
        <v>663</v>
      </c>
      <c r="G1033" s="29" t="s">
        <v>659</v>
      </c>
      <c r="H1033" s="29" t="str">
        <f t="shared" si="319"/>
        <v>Pio XII</v>
      </c>
      <c r="K1033" s="29" t="s">
        <v>827</v>
      </c>
      <c r="L1033" s="29" t="str">
        <f t="shared" si="316"/>
        <v>Discorso</v>
      </c>
      <c r="M1033" s="29" t="s">
        <v>566</v>
      </c>
      <c r="O1033" s="29" t="s">
        <v>4735</v>
      </c>
      <c r="Q1033" s="38">
        <v>17081</v>
      </c>
      <c r="R1033" s="32">
        <f t="shared" si="314"/>
        <v>6</v>
      </c>
      <c r="S1033" s="32"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32">
        <f t="shared" si="315"/>
        <v>1946</v>
      </c>
      <c r="U1033" s="29"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3"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9"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9">
        <v>1060</v>
      </c>
      <c r="Y1033" s="29" t="str">
        <f t="shared" si="320"/>
        <v>['Pio XII', 'Discorso', 'Ai membri del Tribunale della Sacra Romana Rota', 'pixii-dis-', '06 ottobre 1946', '06/10/1946', '1946/10/06'],</v>
      </c>
      <c r="Z1033" s="29" t="str">
        <f t="shared" si="321"/>
        <v>Ai membri del Tribunale della Sacra Romana Rota (17081) | Pio XII</v>
      </c>
      <c r="AA1033" s="29" t="str">
        <f t="shared" si="322"/>
        <v>Discorso Ai membri del Tribunale della Sacra Romana Rota</v>
      </c>
      <c r="AB1033" s="29" t="str">
        <f t="shared" si="323"/>
        <v>Discorso Ai membri del Tribunale della Sacra Romana Rota</v>
      </c>
      <c r="AC1033" s="29" t="str">
        <f t="shared" si="324"/>
        <v>Pio XII, Discorso Ai membri del Tribunale della Sacra Romana Rota, 06 ottobre 1946</v>
      </c>
      <c r="AD1033" s="29" t="str">
        <f t="shared" si="325"/>
        <v>1946-10-06T08:00:00.000+02:00</v>
      </c>
      <c r="AE1033" s="29" t="str">
        <f t="shared" si="317"/>
        <v>pixii-dis-</v>
      </c>
      <c r="AF1033" s="29" t="str">
        <f t="shared" si="318"/>
        <v>Pio XII - Discorso - Ai membri del Tribunale della Sacra Romana Rota</v>
      </c>
    </row>
    <row r="1034" spans="2:32" x14ac:dyDescent="0.2">
      <c r="B1034" s="29">
        <v>260</v>
      </c>
      <c r="C1034" s="29" t="s">
        <v>4218</v>
      </c>
      <c r="D1034" s="29" t="s">
        <v>715</v>
      </c>
      <c r="E1034" s="29" t="s">
        <v>724</v>
      </c>
      <c r="F1034" s="29" t="s">
        <v>663</v>
      </c>
      <c r="G1034" s="29" t="s">
        <v>659</v>
      </c>
      <c r="H1034" s="29" t="str">
        <f t="shared" si="319"/>
        <v>Pio XII</v>
      </c>
      <c r="K1034" s="29" t="s">
        <v>827</v>
      </c>
      <c r="L1034" s="29" t="str">
        <f t="shared" si="316"/>
        <v>Discorso</v>
      </c>
      <c r="M1034" s="29" t="s">
        <v>566</v>
      </c>
      <c r="O1034" s="29" t="s">
        <v>4736</v>
      </c>
      <c r="Q1034" s="38">
        <v>17103</v>
      </c>
      <c r="R1034" s="32">
        <f t="shared" si="314"/>
        <v>28</v>
      </c>
      <c r="S1034" s="32"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32">
        <f t="shared" si="315"/>
        <v>1946</v>
      </c>
      <c r="U1034" s="29"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3"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9"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9">
        <v>1061</v>
      </c>
      <c r="Y1034" s="29" t="str">
        <f t="shared" si="320"/>
        <v>['Pio XII', 'Discorso', 'Ai pellegrini convenuti a Roma per la solenne beatificazione di Teresa Eustochio Verzeri, Fondatrice dell'Istituto delle Figlie del Sacro Cuore di Gesù', 'pixii-dis-', '28 ottobre 1946', '28/10/1946', '1946/10/28'],</v>
      </c>
      <c r="Z1034" s="29" t="str">
        <f t="shared" si="321"/>
        <v>Ai pellegrini convenuti a Roma per la solenne beatificazione di Teresa Eustochio Verzeri, Fondatrice dell'Istituto delle Figlie del Sacro Cuore di Gesù (17103) | Pio XII</v>
      </c>
      <c r="AA1034" s="29" t="str">
        <f t="shared" si="322"/>
        <v>Discorso Ai pellegrini convenuti a Roma per la solenne beatificazione di Teresa Eustochio Verzeri, Fondatrice dell'Istituto delle Figlie del Sacro Cuore di Gesù</v>
      </c>
      <c r="AB1034" s="29" t="str">
        <f t="shared" si="323"/>
        <v>Discorso Ai pellegrini convenuti a Roma per la solenne beatificazione di Teresa Eustochio Verzeri, Fondatrice dell'Istituto delle Figlie del Sacro Cuore di Gesù</v>
      </c>
      <c r="AC1034" s="29" t="str">
        <f t="shared" si="324"/>
        <v>Pio XII, Discorso Ai pellegrini convenuti a Roma per la solenne beatificazione di Teresa Eustochio Verzeri, Fondatrice dell'Istituto delle Figlie del Sacro Cuore di Gesù, 28 ottobre 1946</v>
      </c>
      <c r="AD1034" s="29" t="str">
        <f t="shared" si="325"/>
        <v>1946-10-28T08:00:00.000+02:00</v>
      </c>
      <c r="AE1034" s="29" t="str">
        <f t="shared" si="317"/>
        <v>pixii-dis-</v>
      </c>
      <c r="AF1034" s="29" t="str">
        <f t="shared" si="318"/>
        <v>Pio XII - Discorso - Ai pellegrini convenuti a Roma per la solenne beatificazione di Teresa Eustochio Verzeri, Fondatrice dell'Istituto delle Figlie del Sacro Cuore di Gesù</v>
      </c>
    </row>
    <row r="1035" spans="2:32" x14ac:dyDescent="0.2">
      <c r="B1035" s="29">
        <v>260</v>
      </c>
      <c r="C1035" s="29" t="s">
        <v>4219</v>
      </c>
      <c r="D1035" s="29" t="s">
        <v>715</v>
      </c>
      <c r="E1035" s="29" t="s">
        <v>724</v>
      </c>
      <c r="F1035" s="29" t="s">
        <v>663</v>
      </c>
      <c r="G1035" s="29" t="s">
        <v>659</v>
      </c>
      <c r="H1035" s="29" t="str">
        <f t="shared" si="319"/>
        <v>Pio XII</v>
      </c>
      <c r="K1035" s="29" t="s">
        <v>827</v>
      </c>
      <c r="L1035" s="29" t="str">
        <f t="shared" si="316"/>
        <v>Discorso</v>
      </c>
      <c r="M1035" s="29" t="s">
        <v>566</v>
      </c>
      <c r="O1035" s="29" t="s">
        <v>4737</v>
      </c>
      <c r="Q1035" s="38">
        <v>17106</v>
      </c>
      <c r="R1035" s="32">
        <f t="shared" si="314"/>
        <v>31</v>
      </c>
      <c r="S1035" s="32"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32">
        <f t="shared" si="315"/>
        <v>1946</v>
      </c>
      <c r="U1035" s="29"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3"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9"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9">
        <v>1062</v>
      </c>
      <c r="Y1035" s="29" t="str">
        <f t="shared" si="320"/>
        <v>['Pio XII', 'Discorso', 'In risposta a un messaggio degli Esploratori cattolici olandesi', 'pixii-dis-', '31 ottobre 1946', '31/10/1946', '1946/10/31'],</v>
      </c>
      <c r="Z1035" s="29" t="str">
        <f t="shared" si="321"/>
        <v>In risposta a un messaggio degli Esploratori cattolici olandesi (17106) | Pio XII</v>
      </c>
      <c r="AA1035" s="29" t="str">
        <f t="shared" si="322"/>
        <v>Discorso In risposta a un messaggio degli Esploratori cattolici olandesi</v>
      </c>
      <c r="AB1035" s="29" t="str">
        <f t="shared" si="323"/>
        <v>Discorso In risposta a un messaggio degli Esploratori cattolici olandesi</v>
      </c>
      <c r="AC1035" s="29" t="str">
        <f t="shared" si="324"/>
        <v>Pio XII, Discorso In risposta a un messaggio degli Esploratori cattolici olandesi, 31 ottobre 1946</v>
      </c>
      <c r="AD1035" s="29" t="str">
        <f t="shared" si="325"/>
        <v>1946-10-31T08:00:00.000+02:00</v>
      </c>
      <c r="AE1035" s="29" t="str">
        <f t="shared" si="317"/>
        <v>pixii-dis-</v>
      </c>
      <c r="AF1035" s="29" t="str">
        <f t="shared" si="318"/>
        <v>Pio XII - Discorso - In risposta a un messaggio degli Esploratori cattolici olandesi</v>
      </c>
    </row>
    <row r="1036" spans="2:32" x14ac:dyDescent="0.2">
      <c r="B1036" s="29">
        <v>260</v>
      </c>
      <c r="C1036" s="29" t="s">
        <v>4220</v>
      </c>
      <c r="D1036" s="29" t="s">
        <v>715</v>
      </c>
      <c r="E1036" s="29" t="s">
        <v>724</v>
      </c>
      <c r="F1036" s="29" t="s">
        <v>663</v>
      </c>
      <c r="G1036" s="29" t="s">
        <v>659</v>
      </c>
      <c r="H1036" s="29" t="str">
        <f t="shared" si="319"/>
        <v>Pio XII</v>
      </c>
      <c r="K1036" s="29" t="s">
        <v>827</v>
      </c>
      <c r="L1036" s="29" t="str">
        <f t="shared" si="316"/>
        <v>Discorso</v>
      </c>
      <c r="M1036" s="29" t="s">
        <v>566</v>
      </c>
      <c r="O1036" s="29" t="s">
        <v>4738</v>
      </c>
      <c r="Q1036" s="38">
        <v>17121</v>
      </c>
      <c r="R1036" s="32">
        <f t="shared" si="314"/>
        <v>15</v>
      </c>
      <c r="S1036" s="32"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32">
        <f t="shared" si="315"/>
        <v>1946</v>
      </c>
      <c r="U1036" s="29"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3"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9"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9">
        <v>1063</v>
      </c>
      <c r="Y1036" s="29" t="str">
        <f t="shared" si="320"/>
        <v>['Pio XII', 'Discorso', 'Ai partecipanti al Congresso della Confederazione Nazionale dei Coltivatori Diretti d'Italia', 'pixii-dis-', '15 novembre 1946', '15/11/1946', '1946/11/15'],</v>
      </c>
      <c r="Z1036" s="29" t="str">
        <f t="shared" si="321"/>
        <v>Ai partecipanti al Congresso della Confederazione Nazionale dei Coltivatori Diretti d'Italia (17121) | Pio XII</v>
      </c>
      <c r="AA1036" s="29" t="str">
        <f t="shared" si="322"/>
        <v>Discorso Ai partecipanti al Congresso della Confederazione Nazionale dei Coltivatori Diretti d'Italia</v>
      </c>
      <c r="AB1036" s="29" t="str">
        <f t="shared" si="323"/>
        <v>Discorso Ai partecipanti al Congresso della Confederazione Nazionale dei Coltivatori Diretti d'Italia</v>
      </c>
      <c r="AC1036" s="29" t="str">
        <f t="shared" si="324"/>
        <v>Pio XII, Discorso Ai partecipanti al Congresso della Confederazione Nazionale dei Coltivatori Diretti d'Italia, 15 novembre 1946</v>
      </c>
      <c r="AD1036" s="29" t="str">
        <f t="shared" si="325"/>
        <v>1946-11-15T08:00:00.000+02:00</v>
      </c>
      <c r="AE1036" s="29" t="str">
        <f t="shared" si="317"/>
        <v>pixii-dis-</v>
      </c>
      <c r="AF1036" s="29" t="str">
        <f t="shared" si="318"/>
        <v>Pio XII - Discorso - Ai partecipanti al Congresso della Confederazione Nazionale dei Coltivatori Diretti d'Italia</v>
      </c>
    </row>
    <row r="1037" spans="2:32" x14ac:dyDescent="0.2">
      <c r="B1037" s="29">
        <v>260</v>
      </c>
      <c r="C1037" s="29" t="s">
        <v>4221</v>
      </c>
      <c r="D1037" s="29" t="s">
        <v>715</v>
      </c>
      <c r="E1037" s="29" t="s">
        <v>724</v>
      </c>
      <c r="F1037" s="29" t="s">
        <v>663</v>
      </c>
      <c r="G1037" s="29" t="s">
        <v>659</v>
      </c>
      <c r="H1037" s="29" t="str">
        <f t="shared" si="319"/>
        <v>Pio XII</v>
      </c>
      <c r="K1037" s="29" t="s">
        <v>827</v>
      </c>
      <c r="L1037" s="29" t="str">
        <f t="shared" si="316"/>
        <v>Discorso</v>
      </c>
      <c r="M1037" s="29" t="s">
        <v>566</v>
      </c>
      <c r="O1037" s="29" t="s">
        <v>4739</v>
      </c>
      <c r="Q1037" s="38">
        <v>17126</v>
      </c>
      <c r="R1037" s="32">
        <f t="shared" si="314"/>
        <v>20</v>
      </c>
      <c r="S1037" s="32"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32">
        <f t="shared" si="315"/>
        <v>1946</v>
      </c>
      <c r="U1037" s="29"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3"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9"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9">
        <v>1064</v>
      </c>
      <c r="Y1037" s="29" t="str">
        <f t="shared" si="320"/>
        <v>['Pio XII', 'Discorso', 'Ai partecipanti al Congresso Internazionale di Filosofia', 'pixii-dis-', '20 novembre 1946', '20/11/1946', '1946/11/20'],</v>
      </c>
      <c r="Z1037" s="29" t="str">
        <f t="shared" si="321"/>
        <v>Ai partecipanti al Congresso Internazionale di Filosofia (17126) | Pio XII</v>
      </c>
      <c r="AA1037" s="29" t="str">
        <f t="shared" si="322"/>
        <v>Discorso Ai partecipanti al Congresso Internazionale di Filosofia</v>
      </c>
      <c r="AB1037" s="29" t="str">
        <f t="shared" si="323"/>
        <v>Discorso Ai partecipanti al Congresso Internazionale di Filosofia</v>
      </c>
      <c r="AC1037" s="29" t="str">
        <f t="shared" si="324"/>
        <v>Pio XII, Discorso Ai partecipanti al Congresso Internazionale di Filosofia, 20 novembre 1946</v>
      </c>
      <c r="AD1037" s="29" t="str">
        <f t="shared" si="325"/>
        <v>1946-11-20T08:00:00.000+02:00</v>
      </c>
      <c r="AE1037" s="29" t="str">
        <f t="shared" si="317"/>
        <v>pixii-dis-</v>
      </c>
      <c r="AF1037" s="29" t="str">
        <f t="shared" si="318"/>
        <v>Pio XII - Discorso - Ai partecipanti al Congresso Internazionale di Filosofia</v>
      </c>
    </row>
    <row r="1038" spans="2:32" x14ac:dyDescent="0.2">
      <c r="B1038" s="29">
        <v>260</v>
      </c>
      <c r="C1038" s="29" t="s">
        <v>4222</v>
      </c>
      <c r="D1038" s="29" t="s">
        <v>715</v>
      </c>
      <c r="E1038" s="29" t="s">
        <v>724</v>
      </c>
      <c r="F1038" s="29" t="s">
        <v>663</v>
      </c>
      <c r="G1038" s="29" t="s">
        <v>659</v>
      </c>
      <c r="H1038" s="29" t="str">
        <f t="shared" si="319"/>
        <v>Pio XII</v>
      </c>
      <c r="K1038" s="29" t="s">
        <v>827</v>
      </c>
      <c r="L1038" s="29" t="str">
        <f t="shared" si="316"/>
        <v>Discorso</v>
      </c>
      <c r="M1038" s="29" t="s">
        <v>566</v>
      </c>
      <c r="O1038" s="29" t="s">
        <v>4740</v>
      </c>
      <c r="Q1038" s="38">
        <v>17130</v>
      </c>
      <c r="R1038" s="32">
        <f t="shared" si="314"/>
        <v>24</v>
      </c>
      <c r="S1038" s="32"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32">
        <f t="shared" si="315"/>
        <v>1946</v>
      </c>
      <c r="U1038" s="29"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3"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9"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9">
        <v>1065</v>
      </c>
      <c r="Y1038" s="29" t="str">
        <f t="shared" si="320"/>
        <v>['Pio XII', 'Discorso', 'Ai pellegrini convenuti per la beatificazione dei ventinove martiri in Cina', 'pixii-dis-', '24 novembre 1946', '24/11/1946', '1946/11/24'],</v>
      </c>
      <c r="Z1038" s="29" t="str">
        <f t="shared" si="321"/>
        <v>Ai pellegrini convenuti per la beatificazione dei ventinove martiri in Cina (17130) | Pio XII</v>
      </c>
      <c r="AA1038" s="29" t="str">
        <f t="shared" si="322"/>
        <v>Discorso Ai pellegrini convenuti per la beatificazione dei ventinove martiri in Cina</v>
      </c>
      <c r="AB1038" s="29" t="str">
        <f t="shared" si="323"/>
        <v>Discorso Ai pellegrini convenuti per la beatificazione dei ventinove martiri in Cina</v>
      </c>
      <c r="AC1038" s="29" t="str">
        <f t="shared" si="324"/>
        <v>Pio XII, Discorso Ai pellegrini convenuti per la beatificazione dei ventinove martiri in Cina, 24 novembre 1946</v>
      </c>
      <c r="AD1038" s="29" t="str">
        <f t="shared" si="325"/>
        <v>1946-11-24T08:00:00.000+02:00</v>
      </c>
      <c r="AE1038" s="29" t="str">
        <f t="shared" si="317"/>
        <v>pixii-dis-</v>
      </c>
      <c r="AF1038" s="29" t="str">
        <f t="shared" si="318"/>
        <v>Pio XII - Discorso - Ai pellegrini convenuti per la beatificazione dei ventinove martiri in Cina</v>
      </c>
    </row>
    <row r="1039" spans="2:32" x14ac:dyDescent="0.2">
      <c r="B1039" s="29">
        <v>260</v>
      </c>
      <c r="C1039" s="29" t="s">
        <v>4223</v>
      </c>
      <c r="D1039" s="29" t="s">
        <v>715</v>
      </c>
      <c r="E1039" s="29" t="s">
        <v>724</v>
      </c>
      <c r="F1039" s="29" t="s">
        <v>663</v>
      </c>
      <c r="G1039" s="29" t="s">
        <v>659</v>
      </c>
      <c r="H1039" s="29" t="str">
        <f t="shared" si="319"/>
        <v>Pio XII</v>
      </c>
      <c r="K1039" s="29" t="s">
        <v>827</v>
      </c>
      <c r="L1039" s="29" t="str">
        <f t="shared" si="316"/>
        <v>Discorso</v>
      </c>
      <c r="M1039" s="29" t="s">
        <v>566</v>
      </c>
      <c r="O1039" s="29" t="s">
        <v>4741</v>
      </c>
      <c r="Q1039" s="38">
        <v>17136</v>
      </c>
      <c r="R1039" s="32">
        <f t="shared" si="314"/>
        <v>30</v>
      </c>
      <c r="S1039" s="32"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32">
        <f t="shared" si="315"/>
        <v>1946</v>
      </c>
      <c r="U1039" s="29"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3"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9"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9">
        <v>1066</v>
      </c>
      <c r="Y1039" s="29" t="str">
        <f t="shared" si="320"/>
        <v>['Pio XII', 'Discorso', 'Al nuovo Ministro di Austria presso la Santa Sede, S.E. il Signor Rodolfo Kohlruss, in occasione della presentazione delle Lettere Credenziali', 'pixii-dis-', '30 novembre 1946', '30/11/1946', '1946/11/30'],</v>
      </c>
      <c r="Z1039" s="29" t="str">
        <f t="shared" si="321"/>
        <v>Al nuovo Ministro di Austria presso la Santa Sede, S.E. il Signor Rodolfo Kohlruss, in occasione della presentazione delle Lettere Credenziali (17136) | Pio XII</v>
      </c>
      <c r="AA1039" s="29" t="str">
        <f t="shared" si="322"/>
        <v>Discorso Al nuovo Ministro di Austria presso la Santa Sede, S.E. il Signor Rodolfo Kohlruss, in occasione della presentazione delle Lettere Credenziali</v>
      </c>
      <c r="AB1039" s="29" t="str">
        <f t="shared" si="323"/>
        <v>Discorso Al nuovo Ministro di Austria presso la Santa Sede, S.E. il Signor Rodolfo Kohlruss, in occasione della presentazione delle Lettere Credenziali</v>
      </c>
      <c r="AC1039" s="29" t="str">
        <f t="shared" si="324"/>
        <v>Pio XII, Discorso Al nuovo Ministro di Austria presso la Santa Sede, S.E. il Signor Rodolfo Kohlruss, in occasione della presentazione delle Lettere Credenziali, 30 novembre 1946</v>
      </c>
      <c r="AD1039" s="29" t="str">
        <f t="shared" si="325"/>
        <v>1946-11-30T08:00:00.000+02:00</v>
      </c>
      <c r="AE1039" s="29" t="str">
        <f t="shared" si="317"/>
        <v>pixii-dis-</v>
      </c>
      <c r="AF1039" s="29" t="str">
        <f t="shared" si="318"/>
        <v>Pio XII - Discorso - Al nuovo Ministro di Austria presso la Santa Sede, S.E. il Signor Rodolfo Kohlruss, in occasione della presentazione delle Lettere Credenziali</v>
      </c>
    </row>
    <row r="1040" spans="2:32" x14ac:dyDescent="0.2">
      <c r="B1040" s="29">
        <v>260</v>
      </c>
      <c r="C1040" s="29" t="s">
        <v>4224</v>
      </c>
      <c r="D1040" s="29" t="s">
        <v>715</v>
      </c>
      <c r="E1040" s="29" t="s">
        <v>724</v>
      </c>
      <c r="F1040" s="29" t="s">
        <v>663</v>
      </c>
      <c r="G1040" s="29" t="s">
        <v>659</v>
      </c>
      <c r="H1040" s="29" t="str">
        <f t="shared" si="319"/>
        <v>Pio XII</v>
      </c>
      <c r="K1040" s="29" t="s">
        <v>827</v>
      </c>
      <c r="L1040" s="29" t="str">
        <f t="shared" si="316"/>
        <v>Discorso</v>
      </c>
      <c r="M1040" s="29" t="s">
        <v>566</v>
      </c>
      <c r="O1040" s="29" t="s">
        <v>4742</v>
      </c>
      <c r="Q1040" s="38">
        <v>17158</v>
      </c>
      <c r="R1040" s="32">
        <f t="shared" si="314"/>
        <v>22</v>
      </c>
      <c r="S1040" s="32"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32">
        <f t="shared" si="315"/>
        <v>1946</v>
      </c>
      <c r="U1040" s="29"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3"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9"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9">
        <v>1067</v>
      </c>
      <c r="Y1040" s="29" t="str">
        <f t="shared" si="320"/>
        <v>['Pio XII', 'Discorso', 'Ai fedeli', 'pixii-dis-', '22 dicembre 1946', '22/12/1946', '1946/12/22'],</v>
      </c>
      <c r="Z1040" s="29" t="str">
        <f t="shared" si="321"/>
        <v>Ai fedeli (17158) | Pio XII</v>
      </c>
      <c r="AA1040" s="29" t="str">
        <f t="shared" si="322"/>
        <v>Discorso Ai fedeli</v>
      </c>
      <c r="AB1040" s="29" t="str">
        <f t="shared" si="323"/>
        <v>Discorso Ai fedeli</v>
      </c>
      <c r="AC1040" s="29" t="str">
        <f t="shared" si="324"/>
        <v>Pio XII, Discorso Ai fedeli, 22 dicembre 1946</v>
      </c>
      <c r="AD1040" s="29" t="str">
        <f t="shared" si="325"/>
        <v>1946-12-22T08:00:00.000+02:00</v>
      </c>
      <c r="AE1040" s="29" t="str">
        <f t="shared" si="317"/>
        <v>pixii-dis-</v>
      </c>
      <c r="AF1040" s="29" t="str">
        <f t="shared" si="318"/>
        <v>Pio XII - Discorso - Ai fedeli</v>
      </c>
    </row>
    <row r="1041" spans="2:32" x14ac:dyDescent="0.2">
      <c r="B1041" s="29">
        <v>260</v>
      </c>
      <c r="C1041" s="29" t="s">
        <v>4225</v>
      </c>
      <c r="D1041" s="29" t="s">
        <v>715</v>
      </c>
      <c r="E1041" s="29" t="s">
        <v>724</v>
      </c>
      <c r="F1041" s="29" t="s">
        <v>663</v>
      </c>
      <c r="G1041" s="29" t="s">
        <v>659</v>
      </c>
      <c r="H1041" s="29" t="str">
        <f t="shared" si="319"/>
        <v>Pio XII</v>
      </c>
      <c r="K1041" s="29" t="s">
        <v>827</v>
      </c>
      <c r="L1041" s="29" t="str">
        <f t="shared" si="316"/>
        <v>Discorso</v>
      </c>
      <c r="M1041" s="29" t="s">
        <v>566</v>
      </c>
      <c r="O1041" s="29" t="s">
        <v>4633</v>
      </c>
      <c r="Q1041" s="38">
        <v>17160</v>
      </c>
      <c r="R1041" s="32">
        <f t="shared" si="314"/>
        <v>24</v>
      </c>
      <c r="S1041" s="32"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32">
        <f t="shared" si="315"/>
        <v>1946</v>
      </c>
      <c r="U1041" s="29"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3"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9"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9">
        <v>1068</v>
      </c>
      <c r="Y1041" s="29" t="str">
        <f t="shared" si="320"/>
        <v>['Pio XII', 'Discorso', 'Alla Curia Romana in occasione del Natale', 'pixii-dis-', '24 dicembre 1946', '24/12/1946', '1946/12/24'],</v>
      </c>
      <c r="Z1041" s="29" t="str">
        <f t="shared" si="321"/>
        <v>Alla Curia Romana in occasione del Natale (17160) | Pio XII</v>
      </c>
      <c r="AA1041" s="29" t="str">
        <f t="shared" si="322"/>
        <v>Discorso Alla Curia Romana in occasione del Natale</v>
      </c>
      <c r="AB1041" s="29" t="str">
        <f t="shared" si="323"/>
        <v>Discorso Alla Curia Romana in occasione del Natale</v>
      </c>
      <c r="AC1041" s="29" t="str">
        <f t="shared" si="324"/>
        <v>Pio XII, Discorso Alla Curia Romana in occasione del Natale, 24 dicembre 1946</v>
      </c>
      <c r="AD1041" s="29" t="str">
        <f t="shared" si="325"/>
        <v>1946-12-24T08:00:00.000+02:00</v>
      </c>
      <c r="AE1041" s="29" t="str">
        <f t="shared" si="317"/>
        <v>pixii-dis-</v>
      </c>
      <c r="AF1041" s="29" t="str">
        <f t="shared" si="318"/>
        <v>Pio XII - Discorso - Alla Curia Romana in occasione del Natale</v>
      </c>
    </row>
    <row r="1042" spans="2:32" x14ac:dyDescent="0.2">
      <c r="B1042" s="29">
        <v>260</v>
      </c>
      <c r="C1042" s="29" t="s">
        <v>4226</v>
      </c>
      <c r="D1042" s="29" t="s">
        <v>715</v>
      </c>
      <c r="E1042" s="29" t="s">
        <v>724</v>
      </c>
      <c r="F1042" s="29" t="s">
        <v>663</v>
      </c>
      <c r="G1042" s="29" t="s">
        <v>659</v>
      </c>
      <c r="H1042" s="29" t="str">
        <f t="shared" si="319"/>
        <v>Pio XII</v>
      </c>
      <c r="K1042" s="29" t="s">
        <v>827</v>
      </c>
      <c r="L1042" s="29" t="str">
        <f t="shared" si="316"/>
        <v>Discorso</v>
      </c>
      <c r="M1042" s="29" t="s">
        <v>566</v>
      </c>
      <c r="O1042" s="29" t="s">
        <v>4670</v>
      </c>
      <c r="Q1042" s="38">
        <v>17175</v>
      </c>
      <c r="R1042" s="32">
        <f t="shared" ref="R1042:R1105" si="326">IF(ISERROR(DAY(Q1042)),TEXT((LEFT(Q1042,2)),"00"),DAY(Q1042))</f>
        <v>8</v>
      </c>
      <c r="S1042" s="32"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32">
        <f t="shared" ref="T1042:T1105" si="327">IF(ISERROR(DAY(Q1042)),VALUE(RIGHT(Q1042,4)),YEAR(Q1042))</f>
        <v>1947</v>
      </c>
      <c r="U1042" s="29"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3"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9"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9">
        <v>1069</v>
      </c>
      <c r="Y1042" s="29" t="str">
        <f t="shared" si="320"/>
        <v>['Pio XII', 'Discorso', 'Al patriziato e alla nobiltà romana', 'pixii-dis-', '08 gennaio 1947', '08/01/1947', '1947/01/08'],</v>
      </c>
      <c r="Z1042" s="29" t="str">
        <f t="shared" si="321"/>
        <v>Al patriziato e alla nobiltà romana (17175) | Pio XII</v>
      </c>
      <c r="AA1042" s="29" t="str">
        <f t="shared" si="322"/>
        <v>Discorso Al patriziato e alla nobiltà romana</v>
      </c>
      <c r="AB1042" s="29" t="str">
        <f t="shared" si="323"/>
        <v>Discorso Al patriziato e alla nobiltà romana</v>
      </c>
      <c r="AC1042" s="29" t="str">
        <f t="shared" si="324"/>
        <v>Pio XII, Discorso Al patriziato e alla nobiltà romana, 08 gennaio 1947</v>
      </c>
      <c r="AD1042" s="29" t="str">
        <f t="shared" si="325"/>
        <v>1947-01-08T08:00:00.000+02:00</v>
      </c>
      <c r="AE1042" s="29" t="str">
        <f t="shared" si="317"/>
        <v>pixii-dis-</v>
      </c>
      <c r="AF1042" s="29" t="str">
        <f t="shared" si="318"/>
        <v>Pio XII - Discorso - Al patriziato e alla nobiltà romana</v>
      </c>
    </row>
    <row r="1043" spans="2:32" x14ac:dyDescent="0.2">
      <c r="B1043" s="29">
        <v>260</v>
      </c>
      <c r="C1043" s="29" t="s">
        <v>4227</v>
      </c>
      <c r="D1043" s="29" t="s">
        <v>715</v>
      </c>
      <c r="E1043" s="29" t="s">
        <v>724</v>
      </c>
      <c r="F1043" s="29" t="s">
        <v>663</v>
      </c>
      <c r="G1043" s="29" t="s">
        <v>659</v>
      </c>
      <c r="H1043" s="29" t="str">
        <f t="shared" si="319"/>
        <v>Pio XII</v>
      </c>
      <c r="K1043" s="29" t="s">
        <v>827</v>
      </c>
      <c r="L1043" s="29" t="str">
        <f t="shared" si="316"/>
        <v>Discorso</v>
      </c>
      <c r="M1043" s="29" t="s">
        <v>566</v>
      </c>
      <c r="O1043" s="29" t="s">
        <v>4743</v>
      </c>
      <c r="Q1043" s="38">
        <v>17179</v>
      </c>
      <c r="R1043" s="32">
        <f t="shared" si="326"/>
        <v>12</v>
      </c>
      <c r="S1043" s="32"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32">
        <f t="shared" si="327"/>
        <v>1947</v>
      </c>
      <c r="U1043" s="29"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3"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9"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9">
        <v>1070</v>
      </c>
      <c r="Y1043" s="29" t="str">
        <f t="shared" si="320"/>
        <v>['Pio XII', 'Discorso', 'All'Ambasciatore della Repubblica di Argentina presso la Santa Sede, S.E. il Signor Conrado Traverso, in occasione della presentazione delle Lettere Credenziali', 'pixii-dis-', '12 gennaio 1947', '12/01/1947', '1947/01/12'],</v>
      </c>
      <c r="Z1043" s="29" t="str">
        <f t="shared" si="321"/>
        <v>All'Ambasciatore della Repubblica di Argentina presso la Santa Sede, S.E. il Signor Conrado Traverso, in occasione della presentazione delle Lettere Credenziali (17179) | Pio XII</v>
      </c>
      <c r="AA1043" s="29" t="str">
        <f t="shared" si="322"/>
        <v>Discorso All'Ambasciatore della Repubblica di Argentina presso la Santa Sede, S.E. il Signor Conrado Traverso, in occasione della presentazione delle Lettere Credenziali</v>
      </c>
      <c r="AB1043" s="29" t="str">
        <f t="shared" si="323"/>
        <v>Discorso All'Ambasciatore della Repubblica di Argentina presso la Santa Sede, S.E. il Signor Conrado Traverso, in occasione della presentazione delle Lettere Credenziali</v>
      </c>
      <c r="AC1043" s="29" t="str">
        <f t="shared" si="324"/>
        <v>Pio XII, Discorso All'Ambasciatore della Repubblica di Argentina presso la Santa Sede, S.E. il Signor Conrado Traverso, in occasione della presentazione delle Lettere Credenziali, 12 gennaio 1947</v>
      </c>
      <c r="AD1043" s="29" t="str">
        <f t="shared" si="325"/>
        <v>1947-01-12T08:00:00.000+02:00</v>
      </c>
      <c r="AE1043" s="29" t="str">
        <f t="shared" si="317"/>
        <v>pixii-dis-</v>
      </c>
      <c r="AF1043" s="29" t="str">
        <f t="shared" si="318"/>
        <v>Pio XII - Discorso - All'Ambasciatore della Repubblica di Argentina presso la Santa Sede, S.E. il Signor Conrado Traverso, in occasione della presentazione delle Lettere Credenziali</v>
      </c>
    </row>
    <row r="1044" spans="2:32" x14ac:dyDescent="0.2">
      <c r="B1044" s="29">
        <v>260</v>
      </c>
      <c r="C1044" s="29" t="s">
        <v>4228</v>
      </c>
      <c r="D1044" s="29" t="s">
        <v>715</v>
      </c>
      <c r="E1044" s="29" t="s">
        <v>724</v>
      </c>
      <c r="F1044" s="29" t="s">
        <v>663</v>
      </c>
      <c r="G1044" s="29" t="s">
        <v>659</v>
      </c>
      <c r="H1044" s="29" t="str">
        <f t="shared" si="319"/>
        <v>Pio XII</v>
      </c>
      <c r="K1044" s="29" t="s">
        <v>827</v>
      </c>
      <c r="L1044" s="29" t="str">
        <f t="shared" si="316"/>
        <v>Discorso</v>
      </c>
      <c r="M1044" s="29" t="s">
        <v>566</v>
      </c>
      <c r="O1044" s="29" t="s">
        <v>4744</v>
      </c>
      <c r="Q1044" s="38">
        <v>17189</v>
      </c>
      <c r="R1044" s="32">
        <f t="shared" si="326"/>
        <v>22</v>
      </c>
      <c r="S1044" s="32"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32">
        <f t="shared" si="327"/>
        <v>1947</v>
      </c>
      <c r="U1044" s="29"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3"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9"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9">
        <v>1071</v>
      </c>
      <c r="Y1044" s="29" t="str">
        <f t="shared" si="320"/>
        <v>['Pio XII', 'Discorso', 'Agli aderenti ai gruppi di «Rinascita cristiana»', 'pixii-dis-', '22 gennaio 1947', '22/01/1947', '1947/01/22'],</v>
      </c>
      <c r="Z1044" s="29" t="str">
        <f t="shared" si="321"/>
        <v>Agli aderenti ai gruppi di «Rinascita cristiana» (17189) | Pio XII</v>
      </c>
      <c r="AA1044" s="29" t="str">
        <f t="shared" si="322"/>
        <v>Discorso Agli aderenti ai gruppi di «Rinascita cristiana»</v>
      </c>
      <c r="AB1044" s="29" t="str">
        <f t="shared" si="323"/>
        <v>Discorso Agli aderenti ai gruppi di «Rinascita cristiana»</v>
      </c>
      <c r="AC1044" s="29" t="str">
        <f t="shared" si="324"/>
        <v>Pio XII, Discorso Agli aderenti ai gruppi di «Rinascita cristiana», 22 gennaio 1947</v>
      </c>
      <c r="AD1044" s="29" t="str">
        <f t="shared" si="325"/>
        <v>1947-01-22T08:00:00.000+02:00</v>
      </c>
      <c r="AE1044" s="29" t="str">
        <f t="shared" si="317"/>
        <v>pixii-dis-</v>
      </c>
      <c r="AF1044" s="29" t="str">
        <f t="shared" si="318"/>
        <v>Pio XII - Discorso - Agli aderenti ai gruppi di «Rinascita cristiana»</v>
      </c>
    </row>
    <row r="1045" spans="2:32" x14ac:dyDescent="0.2">
      <c r="B1045" s="29">
        <v>260</v>
      </c>
      <c r="C1045" s="29" t="s">
        <v>4229</v>
      </c>
      <c r="D1045" s="29" t="s">
        <v>715</v>
      </c>
      <c r="E1045" s="29" t="s">
        <v>724</v>
      </c>
      <c r="F1045" s="29" t="s">
        <v>663</v>
      </c>
      <c r="G1045" s="29" t="s">
        <v>659</v>
      </c>
      <c r="H1045" s="29" t="str">
        <f t="shared" si="319"/>
        <v>Pio XII</v>
      </c>
      <c r="K1045" s="29" t="s">
        <v>827</v>
      </c>
      <c r="L1045" s="29" t="str">
        <f t="shared" si="316"/>
        <v>Discorso</v>
      </c>
      <c r="M1045" s="29" t="s">
        <v>566</v>
      </c>
      <c r="O1045" s="29" t="s">
        <v>4745</v>
      </c>
      <c r="Q1045" s="38">
        <v>17243</v>
      </c>
      <c r="R1045" s="32">
        <f t="shared" si="326"/>
        <v>17</v>
      </c>
      <c r="S1045" s="32"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32">
        <f t="shared" si="327"/>
        <v>1947</v>
      </c>
      <c r="U1045" s="29"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3"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9"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9">
        <v>1072</v>
      </c>
      <c r="Y1045" s="29" t="str">
        <f t="shared" si="320"/>
        <v>['Pio XII', 'Discorso', 'All'Ambasciatore della Repubblica del Libano presso la Santa Sede, S.E. il Signor Carlo Hélou, in occasione della presentazione delle Lettere Credenziali', 'pixii-dis-', '17 marzo 1947', '17/03/1947', '1947/03/17'],</v>
      </c>
      <c r="Z1045" s="29" t="str">
        <f t="shared" si="321"/>
        <v>All'Ambasciatore della Repubblica del Libano presso la Santa Sede, S.E. il Signor Carlo Hélou, in occasione della presentazione delle Lettere Credenziali (17243) | Pio XII</v>
      </c>
      <c r="AA1045" s="29" t="str">
        <f t="shared" si="322"/>
        <v>Discorso All'Ambasciatore della Repubblica del Libano presso la Santa Sede, S.E. il Signor Carlo Hélou, in occasione della presentazione delle Lettere Credenziali</v>
      </c>
      <c r="AB1045" s="29" t="str">
        <f t="shared" si="323"/>
        <v>Discorso All'Ambasciatore della Repubblica del Libano presso la Santa Sede, S.E. il Signor Carlo Hélou, in occasione della presentazione delle Lettere Credenziali</v>
      </c>
      <c r="AC1045" s="29" t="str">
        <f t="shared" si="324"/>
        <v>Pio XII, Discorso All'Ambasciatore della Repubblica del Libano presso la Santa Sede, S.E. il Signor Carlo Hélou, in occasione della presentazione delle Lettere Credenziali, 17 marzo 1947</v>
      </c>
      <c r="AD1045" s="29" t="str">
        <f t="shared" si="325"/>
        <v>1947-03-17T08:00:00.000+02:00</v>
      </c>
      <c r="AE1045" s="29" t="str">
        <f t="shared" si="317"/>
        <v>pixii-dis-</v>
      </c>
      <c r="AF1045" s="29" t="str">
        <f t="shared" si="318"/>
        <v>Pio XII - Discorso - All'Ambasciatore della Repubblica del Libano presso la Santa Sede, S.E. il Signor Carlo Hélou, in occasione della presentazione delle Lettere Credenziali</v>
      </c>
    </row>
    <row r="1046" spans="2:32" x14ac:dyDescent="0.2">
      <c r="B1046" s="29">
        <v>260</v>
      </c>
      <c r="C1046" s="29" t="s">
        <v>4230</v>
      </c>
      <c r="D1046" s="29" t="s">
        <v>715</v>
      </c>
      <c r="E1046" s="29" t="s">
        <v>724</v>
      </c>
      <c r="F1046" s="29" t="s">
        <v>663</v>
      </c>
      <c r="G1046" s="29" t="s">
        <v>659</v>
      </c>
      <c r="H1046" s="29" t="str">
        <f t="shared" si="319"/>
        <v>Pio XII</v>
      </c>
      <c r="K1046" s="29" t="s">
        <v>827</v>
      </c>
      <c r="L1046" s="29" t="str">
        <f t="shared" si="316"/>
        <v>Discorso</v>
      </c>
      <c r="M1046" s="29" t="s">
        <v>566</v>
      </c>
      <c r="O1046" s="29" t="s">
        <v>4746</v>
      </c>
      <c r="Q1046" s="38">
        <v>17271</v>
      </c>
      <c r="R1046" s="32">
        <f t="shared" si="326"/>
        <v>14</v>
      </c>
      <c r="S1046" s="32"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32">
        <f t="shared" si="327"/>
        <v>1947</v>
      </c>
      <c r="U1046" s="29"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3"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9"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9">
        <v>1073</v>
      </c>
      <c r="Y1046" s="29" t="str">
        <f t="shared" si="320"/>
        <v>['Pio XII', 'Discorso', 'Ai pellegrini convenuti a Roma per la beatificazione di Contardo Ferrini', 'pixii-dis-', '14 aprile 1947', '14/04/1947', '1947/04/14'],</v>
      </c>
      <c r="Z1046" s="29" t="str">
        <f t="shared" si="321"/>
        <v>Ai pellegrini convenuti a Roma per la beatificazione di Contardo Ferrini (17271) | Pio XII</v>
      </c>
      <c r="AA1046" s="29" t="str">
        <f t="shared" si="322"/>
        <v>Discorso Ai pellegrini convenuti a Roma per la beatificazione di Contardo Ferrini</v>
      </c>
      <c r="AB1046" s="29" t="str">
        <f t="shared" si="323"/>
        <v>Discorso Ai pellegrini convenuti a Roma per la beatificazione di Contardo Ferrini</v>
      </c>
      <c r="AC1046" s="29" t="str">
        <f t="shared" si="324"/>
        <v>Pio XII, Discorso Ai pellegrini convenuti a Roma per la beatificazione di Contardo Ferrini, 14 aprile 1947</v>
      </c>
      <c r="AD1046" s="29" t="str">
        <f t="shared" si="325"/>
        <v>1947-04-14T08:00:00.000+02:00</v>
      </c>
      <c r="AE1046" s="29" t="str">
        <f t="shared" si="317"/>
        <v>pixii-dis-</v>
      </c>
      <c r="AF1046" s="29" t="str">
        <f t="shared" si="318"/>
        <v>Pio XII - Discorso - Ai pellegrini convenuti a Roma per la beatificazione di Contardo Ferrini</v>
      </c>
    </row>
    <row r="1047" spans="2:32" x14ac:dyDescent="0.2">
      <c r="B1047" s="29">
        <v>260</v>
      </c>
      <c r="C1047" s="29" t="s">
        <v>4231</v>
      </c>
      <c r="D1047" s="29" t="s">
        <v>715</v>
      </c>
      <c r="E1047" s="29" t="s">
        <v>724</v>
      </c>
      <c r="F1047" s="29" t="s">
        <v>663</v>
      </c>
      <c r="G1047" s="29" t="s">
        <v>659</v>
      </c>
      <c r="H1047" s="29" t="str">
        <f t="shared" si="319"/>
        <v>Pio XII</v>
      </c>
      <c r="K1047" s="29" t="s">
        <v>827</v>
      </c>
      <c r="L1047" s="29" t="str">
        <f t="shared" si="316"/>
        <v>Discorso</v>
      </c>
      <c r="M1047" s="29" t="s">
        <v>566</v>
      </c>
      <c r="O1047" s="29" t="s">
        <v>4747</v>
      </c>
      <c r="Q1047" s="38">
        <v>17280</v>
      </c>
      <c r="R1047" s="32">
        <f t="shared" si="326"/>
        <v>23</v>
      </c>
      <c r="S1047" s="32"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32">
        <f t="shared" si="327"/>
        <v>1947</v>
      </c>
      <c r="U1047" s="29"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3"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9"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9">
        <v>1074</v>
      </c>
      <c r="Y1047" s="29" t="str">
        <f t="shared" si="320"/>
        <v>['Pio XII', 'Discorso', 'Al rappresentante diplomatico della Repubblica Orientale dell'Uruguay presso la Santa Sede, S.E. il signor Alfredo Carbonell-Debali, in occasione della presentazione delle Lettere Credenziali', 'pixii-dis-', '23 aprile 1947', '23/04/1947', '1947/04/23'],</v>
      </c>
      <c r="Z1047" s="29" t="str">
        <f t="shared" si="321"/>
        <v>Al rappresentante diplomatico della Repubblica Orientale dell'Uruguay presso la Santa Sede, S.E. il signor Alfredo Carbonell-Debali, in occasione della presentazione delle Lettere Credenziali (17280) | Pio XII</v>
      </c>
      <c r="AA1047" s="29" t="str">
        <f t="shared" si="322"/>
        <v>Discorso Al rappresentante diplomatico della Repubblica Orientale dell'Uruguay presso la Santa Sede, S.E. il signor Alfredo Carbonell-Debali, in occasione della presentazione delle Lettere Credenziali</v>
      </c>
      <c r="AB1047" s="29" t="str">
        <f t="shared" si="323"/>
        <v>Discorso Al rappresentante diplomatico della Repubblica Orientale dell'Uruguay presso la Santa Sede, S.E. il signor Alfredo Carbonell-Debali, in occasione della presentazione delle Lettere Credenziali</v>
      </c>
      <c r="AC1047" s="29" t="str">
        <f t="shared" si="324"/>
        <v>Pio XII, Discorso Al rappresentante diplomatico della Repubblica Orientale dell'Uruguay presso la Santa Sede, S.E. il signor Alfredo Carbonell-Debali, in occasione della presentazione delle Lettere Credenziali, 23 aprile 1947</v>
      </c>
      <c r="AD1047" s="29" t="str">
        <f t="shared" si="325"/>
        <v>1947-04-23T08:00:00.000+02:00</v>
      </c>
      <c r="AE1047" s="29" t="str">
        <f t="shared" si="317"/>
        <v>pixii-dis-</v>
      </c>
      <c r="AF1047" s="29" t="str">
        <f t="shared" si="318"/>
        <v>Pio XII - Discorso - Al rappresentante diplomatico della Repubblica Orientale dell'Uruguay presso la Santa Sede, S.E. il signor Alfredo Carbonell-Debali, in occasione della presentazione delle Lettere Credenziali</v>
      </c>
    </row>
    <row r="1048" spans="2:32" x14ac:dyDescent="0.2">
      <c r="B1048" s="29">
        <v>260</v>
      </c>
      <c r="C1048" s="29" t="s">
        <v>4232</v>
      </c>
      <c r="D1048" s="29" t="s">
        <v>715</v>
      </c>
      <c r="E1048" s="29" t="s">
        <v>724</v>
      </c>
      <c r="F1048" s="29" t="s">
        <v>663</v>
      </c>
      <c r="G1048" s="29" t="s">
        <v>659</v>
      </c>
      <c r="H1048" s="29" t="str">
        <f t="shared" si="319"/>
        <v>Pio XII</v>
      </c>
      <c r="K1048" s="29" t="s">
        <v>827</v>
      </c>
      <c r="L1048" s="29" t="str">
        <f t="shared" si="316"/>
        <v>Discorso</v>
      </c>
      <c r="M1048" s="29" t="s">
        <v>566</v>
      </c>
      <c r="O1048" s="29" t="s">
        <v>4748</v>
      </c>
      <c r="Q1048" s="38">
        <v>17285</v>
      </c>
      <c r="R1048" s="32">
        <f t="shared" si="326"/>
        <v>28</v>
      </c>
      <c r="S1048" s="32"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32">
        <f t="shared" si="327"/>
        <v>1947</v>
      </c>
      <c r="U1048" s="29"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3"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9"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9">
        <v>1075</v>
      </c>
      <c r="Y1048" s="29" t="str">
        <f t="shared" si="320"/>
        <v>['Pio XII', 'Discorso', 'Ai pellegrini giunti a Roma per la beatificazione di Maria Goretti', 'pixii-dis-', '28 aprile 1947', '28/04/1947', '1947/04/28'],</v>
      </c>
      <c r="Z1048" s="29" t="str">
        <f t="shared" si="321"/>
        <v>Ai pellegrini giunti a Roma per la beatificazione di Maria Goretti (17285) | Pio XII</v>
      </c>
      <c r="AA1048" s="29" t="str">
        <f t="shared" si="322"/>
        <v>Discorso Ai pellegrini giunti a Roma per la beatificazione di Maria Goretti</v>
      </c>
      <c r="AB1048" s="29" t="str">
        <f t="shared" si="323"/>
        <v>Discorso Ai pellegrini giunti a Roma per la beatificazione di Maria Goretti</v>
      </c>
      <c r="AC1048" s="29" t="str">
        <f t="shared" si="324"/>
        <v>Pio XII, Discorso Ai pellegrini giunti a Roma per la beatificazione di Maria Goretti, 28 aprile 1947</v>
      </c>
      <c r="AD1048" s="29" t="str">
        <f t="shared" si="325"/>
        <v>1947-04-28T08:00:00.000+02:00</v>
      </c>
      <c r="AE1048" s="29" t="str">
        <f t="shared" si="317"/>
        <v>pixii-dis-</v>
      </c>
      <c r="AF1048" s="29" t="str">
        <f t="shared" si="318"/>
        <v>Pio XII - Discorso - Ai pellegrini giunti a Roma per la beatificazione di Maria Goretti</v>
      </c>
    </row>
    <row r="1049" spans="2:32" x14ac:dyDescent="0.2">
      <c r="B1049" s="29">
        <v>260</v>
      </c>
      <c r="C1049" s="29" t="s">
        <v>4233</v>
      </c>
      <c r="D1049" s="29" t="s">
        <v>715</v>
      </c>
      <c r="E1049" s="29" t="s">
        <v>724</v>
      </c>
      <c r="F1049" s="29" t="s">
        <v>663</v>
      </c>
      <c r="G1049" s="29" t="s">
        <v>659</v>
      </c>
      <c r="H1049" s="29" t="str">
        <f t="shared" si="319"/>
        <v>Pio XII</v>
      </c>
      <c r="K1049" s="29" t="s">
        <v>827</v>
      </c>
      <c r="L1049" s="29" t="str">
        <f t="shared" si="316"/>
        <v>Discorso</v>
      </c>
      <c r="M1049" s="29" t="s">
        <v>566</v>
      </c>
      <c r="O1049" s="29" t="s">
        <v>4749</v>
      </c>
      <c r="Q1049" s="38">
        <v>17303</v>
      </c>
      <c r="R1049" s="32">
        <f t="shared" si="326"/>
        <v>16</v>
      </c>
      <c r="S1049" s="32"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32">
        <f t="shared" si="327"/>
        <v>1947</v>
      </c>
      <c r="U1049" s="29"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3"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9"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9">
        <v>1076</v>
      </c>
      <c r="Y1049" s="29" t="str">
        <f t="shared" si="320"/>
        <v>['Pio XII', 'Discorso', 'Ai pellegrini elvetici convenuti a Roma per la canonizzazione di San Nicolao della Flüe', 'pixii-dis-', '16 maggio 1947', '16/05/1947', '1947/05/16'],</v>
      </c>
      <c r="Z1049" s="29" t="str">
        <f t="shared" si="321"/>
        <v>Ai pellegrini elvetici convenuti a Roma per la canonizzazione di San Nicolao della Flüe (17303) | Pio XII</v>
      </c>
      <c r="AA1049" s="29" t="str">
        <f t="shared" si="322"/>
        <v>Discorso Ai pellegrini elvetici convenuti a Roma per la canonizzazione di San Nicolao della Flüe</v>
      </c>
      <c r="AB1049" s="29" t="str">
        <f t="shared" si="323"/>
        <v>Discorso Ai pellegrini elvetici convenuti a Roma per la canonizzazione di San Nicolao della Flüe</v>
      </c>
      <c r="AC1049" s="29" t="str">
        <f t="shared" si="324"/>
        <v>Pio XII, Discorso Ai pellegrini elvetici convenuti a Roma per la canonizzazione di San Nicolao della Flüe, 16 maggio 1947</v>
      </c>
      <c r="AD1049" s="29" t="str">
        <f t="shared" si="325"/>
        <v>1947-05-16T08:00:00.000+02:00</v>
      </c>
      <c r="AE1049" s="29" t="str">
        <f t="shared" si="317"/>
        <v>pixii-dis-</v>
      </c>
      <c r="AF1049" s="29" t="str">
        <f t="shared" si="318"/>
        <v>Pio XII - Discorso - Ai pellegrini elvetici convenuti a Roma per la canonizzazione di San Nicolao della Flüe</v>
      </c>
    </row>
    <row r="1050" spans="2:32" x14ac:dyDescent="0.2">
      <c r="B1050" s="29">
        <v>260</v>
      </c>
      <c r="C1050" s="29" t="s">
        <v>4234</v>
      </c>
      <c r="D1050" s="29" t="s">
        <v>715</v>
      </c>
      <c r="E1050" s="29" t="s">
        <v>724</v>
      </c>
      <c r="F1050" s="29" t="s">
        <v>663</v>
      </c>
      <c r="G1050" s="29" t="s">
        <v>659</v>
      </c>
      <c r="H1050" s="29" t="str">
        <f t="shared" si="319"/>
        <v>Pio XII</v>
      </c>
      <c r="K1050" s="29" t="s">
        <v>827</v>
      </c>
      <c r="L1050" s="29" t="str">
        <f t="shared" si="316"/>
        <v>Discorso</v>
      </c>
      <c r="M1050" s="29" t="s">
        <v>566</v>
      </c>
      <c r="O1050" s="29" t="s">
        <v>4750</v>
      </c>
      <c r="Q1050" s="38">
        <v>17320</v>
      </c>
      <c r="R1050" s="32">
        <f t="shared" si="326"/>
        <v>2</v>
      </c>
      <c r="S1050" s="32"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32">
        <f t="shared" si="327"/>
        <v>1947</v>
      </c>
      <c r="U1050" s="29"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3"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9"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9">
        <v>1077</v>
      </c>
      <c r="Y1050" s="29" t="str">
        <f t="shared" si="320"/>
        <v>['Pio XII', 'Discorso', 'Al sacro Collegio, in occasione dell'onomastico di Sua Santità', 'pixii-dis-', '02 giugno 1947', '02/06/1947', '1947/06/02'],</v>
      </c>
      <c r="Z1050" s="29" t="str">
        <f t="shared" si="321"/>
        <v>Al sacro Collegio, in occasione dell'onomastico di Sua Santità (17320) | Pio XII</v>
      </c>
      <c r="AA1050" s="29" t="str">
        <f t="shared" si="322"/>
        <v>Discorso Al sacro Collegio, in occasione dell'onomastico di Sua Santità</v>
      </c>
      <c r="AB1050" s="29" t="str">
        <f t="shared" si="323"/>
        <v>Discorso Al sacro Collegio, in occasione dell'onomastico di Sua Santità</v>
      </c>
      <c r="AC1050" s="29" t="str">
        <f t="shared" si="324"/>
        <v>Pio XII, Discorso Al sacro Collegio, in occasione dell'onomastico di Sua Santità, 02 giugno 1947</v>
      </c>
      <c r="AD1050" s="29" t="str">
        <f t="shared" si="325"/>
        <v>1947-06-02T08:00:00.000+02:00</v>
      </c>
      <c r="AE1050" s="29" t="str">
        <f t="shared" si="317"/>
        <v>pixii-dis-</v>
      </c>
      <c r="AF1050" s="29" t="str">
        <f t="shared" si="318"/>
        <v>Pio XII - Discorso - Al sacro Collegio, in occasione dell'onomastico di Sua Santità</v>
      </c>
    </row>
    <row r="1051" spans="2:32" x14ac:dyDescent="0.2">
      <c r="B1051" s="29">
        <v>260</v>
      </c>
      <c r="C1051" s="29" t="s">
        <v>4235</v>
      </c>
      <c r="D1051" s="29" t="s">
        <v>715</v>
      </c>
      <c r="E1051" s="29" t="s">
        <v>724</v>
      </c>
      <c r="F1051" s="29" t="s">
        <v>663</v>
      </c>
      <c r="G1051" s="29" t="s">
        <v>659</v>
      </c>
      <c r="H1051" s="29" t="str">
        <f t="shared" si="319"/>
        <v>Pio XII</v>
      </c>
      <c r="K1051" s="29" t="s">
        <v>827</v>
      </c>
      <c r="L1051" s="29" t="str">
        <f t="shared" si="316"/>
        <v>Discorso</v>
      </c>
      <c r="M1051" s="29" t="s">
        <v>566</v>
      </c>
      <c r="O1051" s="29" t="s">
        <v>4751</v>
      </c>
      <c r="Q1051" s="38">
        <v>17341</v>
      </c>
      <c r="R1051" s="32">
        <f t="shared" si="326"/>
        <v>23</v>
      </c>
      <c r="S1051" s="32"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32">
        <f t="shared" si="327"/>
        <v>1947</v>
      </c>
      <c r="U1051" s="29"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3"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9"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9">
        <v>1078</v>
      </c>
      <c r="Y1051" s="29" t="str">
        <f t="shared" si="320"/>
        <v>['Pio XII', 'Discorso', 'Ai molti pellegrini convenuti a Roma per la canonizzazione dei Santi Giovanni de Britto, Bernardino Realino e Giuseppe Cafasso', 'pixii-dis-', '23 giugno 1947', '23/06/1947', '1947/06/23'],</v>
      </c>
      <c r="Z1051" s="29" t="str">
        <f t="shared" si="321"/>
        <v>Ai molti pellegrini convenuti a Roma per la canonizzazione dei Santi Giovanni de Britto, Bernardino Realino e Giuseppe Cafasso (17341) | Pio XII</v>
      </c>
      <c r="AA1051" s="29" t="str">
        <f t="shared" si="322"/>
        <v>Discorso Ai molti pellegrini convenuti a Roma per la canonizzazione dei Santi Giovanni de Britto, Bernardino Realino e Giuseppe Cafasso</v>
      </c>
      <c r="AB1051" s="29" t="str">
        <f t="shared" si="323"/>
        <v>Discorso Ai molti pellegrini convenuti a Roma per la canonizzazione dei Santi Giovanni de Britto, Bernardino Realino e Giuseppe Cafasso</v>
      </c>
      <c r="AC1051" s="29" t="str">
        <f t="shared" si="324"/>
        <v>Pio XII, Discorso Ai molti pellegrini convenuti a Roma per la canonizzazione dei Santi Giovanni de Britto, Bernardino Realino e Giuseppe Cafasso, 23 giugno 1947</v>
      </c>
      <c r="AD1051" s="29" t="str">
        <f t="shared" si="325"/>
        <v>1947-06-23T08:00:00.000+02:00</v>
      </c>
      <c r="AE1051" s="29" t="str">
        <f t="shared" si="317"/>
        <v>pixii-dis-</v>
      </c>
      <c r="AF1051" s="29" t="str">
        <f t="shared" si="318"/>
        <v>Pio XII - Discorso - Ai molti pellegrini convenuti a Roma per la canonizzazione dei Santi Giovanni de Britto, Bernardino Realino e Giuseppe Cafasso</v>
      </c>
    </row>
    <row r="1052" spans="2:32" x14ac:dyDescent="0.2">
      <c r="B1052" s="29">
        <v>260</v>
      </c>
      <c r="C1052" s="29" t="s">
        <v>4236</v>
      </c>
      <c r="D1052" s="29" t="s">
        <v>715</v>
      </c>
      <c r="E1052" s="29" t="s">
        <v>724</v>
      </c>
      <c r="F1052" s="29" t="s">
        <v>663</v>
      </c>
      <c r="G1052" s="29" t="s">
        <v>659</v>
      </c>
      <c r="H1052" s="29" t="str">
        <f t="shared" si="319"/>
        <v>Pio XII</v>
      </c>
      <c r="K1052" s="29" t="s">
        <v>827</v>
      </c>
      <c r="L1052" s="29" t="str">
        <f t="shared" si="316"/>
        <v>Discorso</v>
      </c>
      <c r="M1052" s="29" t="s">
        <v>566</v>
      </c>
      <c r="O1052" s="29" t="s">
        <v>4752</v>
      </c>
      <c r="Q1052" s="38">
        <v>17348</v>
      </c>
      <c r="R1052" s="32">
        <f t="shared" si="326"/>
        <v>30</v>
      </c>
      <c r="S1052" s="32"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32">
        <f t="shared" si="327"/>
        <v>1947</v>
      </c>
      <c r="U1052" s="29"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3"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9"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9">
        <v>1079</v>
      </c>
      <c r="Y1052" s="29" t="str">
        <f t="shared" si="320"/>
        <v>['Pio XII', 'Discorso', 'Al nuovo Ministro di Gran Bretagna presso la Santa Sede, S.E. il Signor John Victor Perowne, in occasione della presentazione delle Lettere Credenziali', 'pixii-dis-', '30 giugno 1947', '30/06/1947', '1947/06/30'],</v>
      </c>
      <c r="Z1052" s="29" t="str">
        <f t="shared" si="321"/>
        <v>Al nuovo Ministro di Gran Bretagna presso la Santa Sede, S.E. il Signor John Victor Perowne, in occasione della presentazione delle Lettere Credenziali (17348) | Pio XII</v>
      </c>
      <c r="AA1052" s="29" t="str">
        <f t="shared" si="322"/>
        <v>Discorso Al nuovo Ministro di Gran Bretagna presso la Santa Sede, S.E. il Signor John Victor Perowne, in occasione della presentazione delle Lettere Credenziali</v>
      </c>
      <c r="AB1052" s="29" t="str">
        <f t="shared" si="323"/>
        <v>Discorso Al nuovo Ministro di Gran Bretagna presso la Santa Sede, S.E. il Signor John Victor Perowne, in occasione della presentazione delle Lettere Credenziali</v>
      </c>
      <c r="AC1052" s="29" t="str">
        <f t="shared" si="324"/>
        <v>Pio XII, Discorso Al nuovo Ministro di Gran Bretagna presso la Santa Sede, S.E. il Signor John Victor Perowne, in occasione della presentazione delle Lettere Credenziali, 30 giugno 1947</v>
      </c>
      <c r="AD1052" s="29" t="str">
        <f t="shared" si="325"/>
        <v>1947-06-30T08:00:00.000+02:00</v>
      </c>
      <c r="AE1052" s="29" t="str">
        <f t="shared" si="317"/>
        <v>pixii-dis-</v>
      </c>
      <c r="AF1052" s="29" t="str">
        <f t="shared" si="318"/>
        <v>Pio XII - Discorso - Al nuovo Ministro di Gran Bretagna presso la Santa Sede, S.E. il Signor John Victor Perowne, in occasione della presentazione delle Lettere Credenziali</v>
      </c>
    </row>
    <row r="1053" spans="2:32" x14ac:dyDescent="0.2">
      <c r="B1053" s="29">
        <v>260</v>
      </c>
      <c r="C1053" s="29" t="s">
        <v>4237</v>
      </c>
      <c r="D1053" s="29" t="s">
        <v>715</v>
      </c>
      <c r="E1053" s="29" t="s">
        <v>724</v>
      </c>
      <c r="F1053" s="29" t="s">
        <v>663</v>
      </c>
      <c r="G1053" s="29" t="s">
        <v>659</v>
      </c>
      <c r="H1053" s="29" t="str">
        <f t="shared" si="319"/>
        <v>Pio XII</v>
      </c>
      <c r="K1053" s="29" t="s">
        <v>827</v>
      </c>
      <c r="L1053" s="29" t="str">
        <f t="shared" si="316"/>
        <v>Discorso</v>
      </c>
      <c r="M1053" s="29" t="s">
        <v>566</v>
      </c>
      <c r="O1053" s="29" t="s">
        <v>4753</v>
      </c>
      <c r="Q1053" s="38">
        <v>17352</v>
      </c>
      <c r="R1053" s="32">
        <f t="shared" si="326"/>
        <v>4</v>
      </c>
      <c r="S1053" s="32"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32">
        <f t="shared" si="327"/>
        <v>1947</v>
      </c>
      <c r="U1053" s="29"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3"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9"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9">
        <v>1080</v>
      </c>
      <c r="Y1053" s="29" t="str">
        <f t="shared" si="320"/>
        <v>['Pio XII', 'Discorso', 'Radiomessaggio ai fedeli convenuti a Nantes per partecipare al Congresso Eucaristico Nazionale di Francia', 'pixii-dis-', '04 luglio 1947', '04/07/1947', '1947/07/04'],</v>
      </c>
      <c r="Z1053" s="29" t="str">
        <f t="shared" si="321"/>
        <v>Radiomessaggio ai fedeli convenuti a Nantes per partecipare al Congresso Eucaristico Nazionale di Francia (17352) | Pio XII</v>
      </c>
      <c r="AA1053" s="29" t="str">
        <f t="shared" si="322"/>
        <v>Discorso Radiomessaggio ai fedeli convenuti a Nantes per partecipare al Congresso Eucaristico Nazionale di Francia</v>
      </c>
      <c r="AB1053" s="29" t="str">
        <f t="shared" si="323"/>
        <v>Discorso Radiomessaggio ai fedeli convenuti a Nantes per partecipare al Congresso Eucaristico Nazionale di Francia</v>
      </c>
      <c r="AC1053" s="29" t="str">
        <f t="shared" si="324"/>
        <v>Pio XII, Discorso Radiomessaggio ai fedeli convenuti a Nantes per partecipare al Congresso Eucaristico Nazionale di Francia, 04 luglio 1947</v>
      </c>
      <c r="AD1053" s="29" t="str">
        <f t="shared" si="325"/>
        <v>1947-07-04T08:00:00.000+02:00</v>
      </c>
      <c r="AE1053" s="29" t="str">
        <f t="shared" si="317"/>
        <v>pixii-dis-</v>
      </c>
      <c r="AF1053" s="29" t="str">
        <f t="shared" si="318"/>
        <v>Pio XII - Discorso - Radiomessaggio ai fedeli convenuti a Nantes per partecipare al Congresso Eucaristico Nazionale di Francia</v>
      </c>
    </row>
    <row r="1054" spans="2:32" x14ac:dyDescent="0.2">
      <c r="B1054" s="29">
        <v>260</v>
      </c>
      <c r="C1054" s="29" t="s">
        <v>4238</v>
      </c>
      <c r="D1054" s="29" t="s">
        <v>715</v>
      </c>
      <c r="E1054" s="29" t="s">
        <v>724</v>
      </c>
      <c r="F1054" s="29" t="s">
        <v>663</v>
      </c>
      <c r="G1054" s="29" t="s">
        <v>659</v>
      </c>
      <c r="H1054" s="29" t="str">
        <f t="shared" si="319"/>
        <v>Pio XII</v>
      </c>
      <c r="K1054" s="29" t="s">
        <v>827</v>
      </c>
      <c r="L1054" s="29" t="str">
        <f t="shared" si="316"/>
        <v>Discorso</v>
      </c>
      <c r="M1054" s="29" t="s">
        <v>566</v>
      </c>
      <c r="O1054" s="29" t="s">
        <v>4754</v>
      </c>
      <c r="Q1054" s="38">
        <v>17393</v>
      </c>
      <c r="R1054" s="32">
        <f t="shared" si="326"/>
        <v>14</v>
      </c>
      <c r="S1054" s="32"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32">
        <f t="shared" si="327"/>
        <v>1947</v>
      </c>
      <c r="U1054" s="29"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3"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9"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9">
        <v>1081</v>
      </c>
      <c r="Y1054" s="29" t="str">
        <f t="shared" si="320"/>
        <v>['Pio XII', 'Discorso', 'Radiomessaggio al popolo di Messina per l'accensione della colonna in onore della Madre di Dio', 'pixii-dis-', '14 agosto 1947', '14/08/1947', '1947/08/14'],</v>
      </c>
      <c r="Z1054" s="29" t="str">
        <f t="shared" si="321"/>
        <v>Radiomessaggio al popolo di Messina per l'accensione della colonna in onore della Madre di Dio (17393) | Pio XII</v>
      </c>
      <c r="AA1054" s="29" t="str">
        <f t="shared" si="322"/>
        <v>Discorso Radiomessaggio al popolo di Messina per l'accensione della colonna in onore della Madre di Dio</v>
      </c>
      <c r="AB1054" s="29" t="str">
        <f t="shared" si="323"/>
        <v>Discorso Radiomessaggio al popolo di Messina per l'accensione della colonna in onore della Madre di Dio</v>
      </c>
      <c r="AC1054" s="29" t="str">
        <f t="shared" si="324"/>
        <v>Pio XII, Discorso Radiomessaggio al popolo di Messina per l'accensione della colonna in onore della Madre di Dio, 14 agosto 1947</v>
      </c>
      <c r="AD1054" s="29" t="str">
        <f t="shared" si="325"/>
        <v>1947-08-14T08:00:00.000+02:00</v>
      </c>
      <c r="AE1054" s="29" t="str">
        <f t="shared" si="317"/>
        <v>pixii-dis-</v>
      </c>
      <c r="AF1054" s="29" t="str">
        <f t="shared" si="318"/>
        <v>Pio XII - Discorso - Radiomessaggio al popolo di Messina per l'accensione della colonna in onore della Madre di Dio</v>
      </c>
    </row>
    <row r="1055" spans="2:32" x14ac:dyDescent="0.2">
      <c r="B1055" s="29">
        <v>260</v>
      </c>
      <c r="C1055" s="29" t="s">
        <v>4239</v>
      </c>
      <c r="D1055" s="29" t="s">
        <v>715</v>
      </c>
      <c r="E1055" s="29" t="s">
        <v>724</v>
      </c>
      <c r="F1055" s="29" t="s">
        <v>663</v>
      </c>
      <c r="G1055" s="29" t="s">
        <v>659</v>
      </c>
      <c r="H1055" s="29" t="str">
        <f t="shared" si="319"/>
        <v>Pio XII</v>
      </c>
      <c r="K1055" s="29" t="s">
        <v>827</v>
      </c>
      <c r="L1055" s="29" t="str">
        <f t="shared" si="316"/>
        <v>Discorso</v>
      </c>
      <c r="M1055" s="29" t="s">
        <v>566</v>
      </c>
      <c r="O1055" s="29" t="s">
        <v>4755</v>
      </c>
      <c r="Q1055" s="38">
        <v>17415</v>
      </c>
      <c r="R1055" s="32">
        <f t="shared" si="326"/>
        <v>5</v>
      </c>
      <c r="S1055" s="32"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32">
        <f t="shared" si="327"/>
        <v>1947</v>
      </c>
      <c r="U1055" s="29"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3"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9"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9">
        <v>1082</v>
      </c>
      <c r="Y1055" s="29" t="str">
        <f t="shared" si="320"/>
        <v>['Pio XII', 'Discorso', 'Radiomessaggio ai pellegrini convenuti a Maastricht in occasione del Congresso Nazionale Mariano dei Paesi Bassi', 'pixii-dis-', '05 settembre 1947', '05/09/1947', '1947/09/05'],</v>
      </c>
      <c r="Z1055" s="29" t="str">
        <f t="shared" si="321"/>
        <v>Radiomessaggio ai pellegrini convenuti a Maastricht in occasione del Congresso Nazionale Mariano dei Paesi Bassi (17415) | Pio XII</v>
      </c>
      <c r="AA1055" s="29" t="str">
        <f t="shared" si="322"/>
        <v>Discorso Radiomessaggio ai pellegrini convenuti a Maastricht in occasione del Congresso Nazionale Mariano dei Paesi Bassi</v>
      </c>
      <c r="AB1055" s="29" t="str">
        <f t="shared" si="323"/>
        <v>Discorso Radiomessaggio ai pellegrini convenuti a Maastricht in occasione del Congresso Nazionale Mariano dei Paesi Bassi</v>
      </c>
      <c r="AC1055" s="29" t="str">
        <f t="shared" si="324"/>
        <v>Pio XII, Discorso Radiomessaggio ai pellegrini convenuti a Maastricht in occasione del Congresso Nazionale Mariano dei Paesi Bassi, 05 settembre 1947</v>
      </c>
      <c r="AD1055" s="29" t="str">
        <f t="shared" si="325"/>
        <v>1947-09-05T08:00:00.000+02:00</v>
      </c>
      <c r="AE1055" s="29" t="str">
        <f t="shared" si="317"/>
        <v>pixii-dis-</v>
      </c>
      <c r="AF1055" s="29" t="str">
        <f t="shared" si="318"/>
        <v>Pio XII - Discorso - Radiomessaggio ai pellegrini convenuti a Maastricht in occasione del Congresso Nazionale Mariano dei Paesi Bassi</v>
      </c>
    </row>
    <row r="1056" spans="2:32" x14ac:dyDescent="0.2">
      <c r="B1056" s="29">
        <v>260</v>
      </c>
      <c r="C1056" s="29" t="s">
        <v>4240</v>
      </c>
      <c r="D1056" s="29" t="s">
        <v>715</v>
      </c>
      <c r="E1056" s="29" t="s">
        <v>724</v>
      </c>
      <c r="F1056" s="29" t="s">
        <v>663</v>
      </c>
      <c r="G1056" s="29" t="s">
        <v>659</v>
      </c>
      <c r="H1056" s="29" t="str">
        <f t="shared" si="319"/>
        <v>Pio XII</v>
      </c>
      <c r="K1056" s="29" t="s">
        <v>827</v>
      </c>
      <c r="L1056" s="29" t="str">
        <f t="shared" si="316"/>
        <v>Discorso</v>
      </c>
      <c r="M1056" s="29" t="s">
        <v>566</v>
      </c>
      <c r="O1056" s="29" t="s">
        <v>4756</v>
      </c>
      <c r="Q1056" s="38">
        <v>17417</v>
      </c>
      <c r="R1056" s="32">
        <f t="shared" si="326"/>
        <v>7</v>
      </c>
      <c r="S1056" s="32"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32">
        <f t="shared" si="327"/>
        <v>1947</v>
      </c>
      <c r="U1056" s="29"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3"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9"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9">
        <v>1083</v>
      </c>
      <c r="Y1056" s="29" t="str">
        <f t="shared" si="320"/>
        <v>['Pio XII', 'Discorso', 'Agli uomini di azione cattolica', 'pixii-dis-', '07 settembre 1947', '07/09/1947', '1947/09/07'],</v>
      </c>
      <c r="Z1056" s="29" t="str">
        <f t="shared" si="321"/>
        <v>Agli uomini di azione cattolica (17417) | Pio XII</v>
      </c>
      <c r="AA1056" s="29" t="str">
        <f t="shared" si="322"/>
        <v>Discorso Agli uomini di azione cattolica</v>
      </c>
      <c r="AB1056" s="29" t="str">
        <f t="shared" si="323"/>
        <v>Discorso Agli uomini di azione cattolica</v>
      </c>
      <c r="AC1056" s="29" t="str">
        <f t="shared" si="324"/>
        <v>Pio XII, Discorso Agli uomini di azione cattolica, 07 settembre 1947</v>
      </c>
      <c r="AD1056" s="29" t="str">
        <f t="shared" si="325"/>
        <v>1947-09-07T08:00:00.000+02:00</v>
      </c>
      <c r="AE1056" s="29" t="str">
        <f t="shared" si="317"/>
        <v>pixii-dis-</v>
      </c>
      <c r="AF1056" s="29" t="str">
        <f t="shared" si="318"/>
        <v>Pio XII - Discorso - Agli uomini di azione cattolica</v>
      </c>
    </row>
    <row r="1057" spans="2:32" x14ac:dyDescent="0.2">
      <c r="B1057" s="29">
        <v>260</v>
      </c>
      <c r="C1057" s="29" t="s">
        <v>4241</v>
      </c>
      <c r="D1057" s="29" t="s">
        <v>715</v>
      </c>
      <c r="E1057" s="29" t="s">
        <v>724</v>
      </c>
      <c r="F1057" s="29" t="s">
        <v>663</v>
      </c>
      <c r="G1057" s="29" t="s">
        <v>659</v>
      </c>
      <c r="H1057" s="29" t="str">
        <f t="shared" si="319"/>
        <v>Pio XII</v>
      </c>
      <c r="K1057" s="29" t="s">
        <v>827</v>
      </c>
      <c r="L1057" s="29" t="str">
        <f t="shared" si="316"/>
        <v>Discorso</v>
      </c>
      <c r="M1057" s="29" t="s">
        <v>566</v>
      </c>
      <c r="O1057" s="29" t="s">
        <v>4757</v>
      </c>
      <c r="Q1057" s="38">
        <v>17431</v>
      </c>
      <c r="R1057" s="32">
        <f t="shared" si="326"/>
        <v>21</v>
      </c>
      <c r="S1057" s="32"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32">
        <f t="shared" si="327"/>
        <v>1947</v>
      </c>
      <c r="U1057" s="29"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3"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9"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9">
        <v>1084</v>
      </c>
      <c r="Y1057" s="29" t="str">
        <f t="shared" si="320"/>
        <v>['Pio XII', 'Discorso', 'Alle lettrici della Rivista «Alba»', 'pixii-dis-', '21 settembre 1947', '21/09/1947', '1947/09/21'],</v>
      </c>
      <c r="Z1057" s="29" t="str">
        <f t="shared" si="321"/>
        <v>Alle lettrici della Rivista «Alba» (17431) | Pio XII</v>
      </c>
      <c r="AA1057" s="29" t="str">
        <f t="shared" si="322"/>
        <v>Discorso Alle lettrici della Rivista «Alba»</v>
      </c>
      <c r="AB1057" s="29" t="str">
        <f t="shared" si="323"/>
        <v>Discorso Alle lettrici della Rivista «Alba»</v>
      </c>
      <c r="AC1057" s="29" t="str">
        <f t="shared" si="324"/>
        <v>Pio XII, Discorso Alle lettrici della Rivista «Alba», 21 settembre 1947</v>
      </c>
      <c r="AD1057" s="29" t="str">
        <f t="shared" si="325"/>
        <v>1947-09-21T08:00:00.000+02:00</v>
      </c>
      <c r="AE1057" s="29" t="str">
        <f t="shared" si="317"/>
        <v>pixii-dis-</v>
      </c>
      <c r="AF1057" s="29" t="str">
        <f t="shared" si="318"/>
        <v>Pio XII - Discorso - Alle lettrici della Rivista «Alba»</v>
      </c>
    </row>
    <row r="1058" spans="2:32" x14ac:dyDescent="0.2">
      <c r="B1058" s="29">
        <v>260</v>
      </c>
      <c r="C1058" s="29" t="s">
        <v>4242</v>
      </c>
      <c r="D1058" s="29" t="s">
        <v>715</v>
      </c>
      <c r="E1058" s="29" t="s">
        <v>724</v>
      </c>
      <c r="F1058" s="29" t="s">
        <v>663</v>
      </c>
      <c r="G1058" s="29" t="s">
        <v>659</v>
      </c>
      <c r="H1058" s="29" t="str">
        <f t="shared" si="319"/>
        <v>Pio XII</v>
      </c>
      <c r="K1058" s="29" t="s">
        <v>827</v>
      </c>
      <c r="L1058" s="29" t="str">
        <f t="shared" si="316"/>
        <v>Discorso</v>
      </c>
      <c r="M1058" s="29" t="s">
        <v>566</v>
      </c>
      <c r="O1058" s="29" t="s">
        <v>4758</v>
      </c>
      <c r="Q1058" s="38">
        <v>17440</v>
      </c>
      <c r="R1058" s="32">
        <f t="shared" si="326"/>
        <v>30</v>
      </c>
      <c r="S1058" s="32"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32">
        <f t="shared" si="327"/>
        <v>1947</v>
      </c>
      <c r="U1058" s="29"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3"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9"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9">
        <v>1085</v>
      </c>
      <c r="Y1058" s="29" t="str">
        <f t="shared" si="320"/>
        <v>['Pio XII', 'Discorso', 'Ai partecipanti al XXXVI Congresso Nazionale della Società Oftalmologica italiana', 'pixii-dis-', '30 settembre 1947', '30/09/1947', '1947/09/30'],</v>
      </c>
      <c r="Z1058" s="29" t="str">
        <f t="shared" si="321"/>
        <v>Ai partecipanti al XXXVI Congresso Nazionale della Società Oftalmologica italiana (17440) | Pio XII</v>
      </c>
      <c r="AA1058" s="29" t="str">
        <f t="shared" si="322"/>
        <v>Discorso Ai partecipanti al XXXVI Congresso Nazionale della Società Oftalmologica italiana</v>
      </c>
      <c r="AB1058" s="29" t="str">
        <f t="shared" si="323"/>
        <v>Discorso Ai partecipanti al XXXVI Congresso Nazionale della Società Oftalmologica italiana</v>
      </c>
      <c r="AC1058" s="29" t="str">
        <f t="shared" si="324"/>
        <v>Pio XII, Discorso Ai partecipanti al XXXVI Congresso Nazionale della Società Oftalmologica italiana, 30 settembre 1947</v>
      </c>
      <c r="AD1058" s="29" t="str">
        <f t="shared" si="325"/>
        <v>1947-09-30T08:00:00.000+02:00</v>
      </c>
      <c r="AE1058" s="29" t="str">
        <f t="shared" si="317"/>
        <v>pixii-dis-</v>
      </c>
      <c r="AF1058" s="29" t="str">
        <f t="shared" si="318"/>
        <v>Pio XII - Discorso - Ai partecipanti al XXXVI Congresso Nazionale della Società Oftalmologica italiana</v>
      </c>
    </row>
    <row r="1059" spans="2:32" x14ac:dyDescent="0.2">
      <c r="B1059" s="29">
        <v>260</v>
      </c>
      <c r="C1059" s="29" t="s">
        <v>4243</v>
      </c>
      <c r="D1059" s="29" t="s">
        <v>715</v>
      </c>
      <c r="E1059" s="29" t="s">
        <v>724</v>
      </c>
      <c r="F1059" s="29" t="s">
        <v>663</v>
      </c>
      <c r="G1059" s="29" t="s">
        <v>659</v>
      </c>
      <c r="H1059" s="29" t="str">
        <f t="shared" si="319"/>
        <v>Pio XII</v>
      </c>
      <c r="K1059" s="29" t="s">
        <v>827</v>
      </c>
      <c r="L1059" s="29" t="str">
        <f t="shared" si="316"/>
        <v>Discorso</v>
      </c>
      <c r="M1059" s="29" t="s">
        <v>566</v>
      </c>
      <c r="O1059" s="29" t="s">
        <v>4759</v>
      </c>
      <c r="Q1059" s="38">
        <v>17443</v>
      </c>
      <c r="R1059" s="32">
        <f t="shared" si="326"/>
        <v>3</v>
      </c>
      <c r="S1059" s="32"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32">
        <f t="shared" si="327"/>
        <v>1947</v>
      </c>
      <c r="U1059" s="29"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3"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9"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9">
        <v>1086</v>
      </c>
      <c r="Y1059" s="29" t="str">
        <f t="shared" si="320"/>
        <v>['Pio XII', 'Discorso', 'Ai partecipanti al «Congresso Internazionale per il cinquantenario della scoperta marconiana della Radio»', 'pixii-dis-', '03 ottobre 1947', '03/10/1947', '1947/10/03'],</v>
      </c>
      <c r="Z1059" s="29" t="str">
        <f t="shared" si="321"/>
        <v>Ai partecipanti al «Congresso Internazionale per il cinquantenario della scoperta marconiana della Radio» (17443) | Pio XII</v>
      </c>
      <c r="AA1059" s="29" t="str">
        <f t="shared" si="322"/>
        <v>Discorso Ai partecipanti al «Congresso Internazionale per il cinquantenario della scoperta marconiana della Radio»</v>
      </c>
      <c r="AB1059" s="29" t="str">
        <f t="shared" si="323"/>
        <v>Discorso Ai partecipanti al «Congresso Internazionale per il cinquantenario della scoperta marconiana della Radio»</v>
      </c>
      <c r="AC1059" s="29" t="str">
        <f t="shared" si="324"/>
        <v>Pio XII, Discorso Ai partecipanti al «Congresso Internazionale per il cinquantenario della scoperta marconiana della Radio», 03 ottobre 1947</v>
      </c>
      <c r="AD1059" s="29" t="str">
        <f t="shared" si="325"/>
        <v>1947-10-03T08:00:00.000+02:00</v>
      </c>
      <c r="AE1059" s="29" t="str">
        <f t="shared" si="317"/>
        <v>pixii-dis-</v>
      </c>
      <c r="AF1059" s="29" t="str">
        <f t="shared" si="318"/>
        <v>Pio XII - Discorso - Ai partecipanti al «Congresso Internazionale per il cinquantenario della scoperta marconiana della Radio»</v>
      </c>
    </row>
    <row r="1060" spans="2:32" x14ac:dyDescent="0.2">
      <c r="B1060" s="29">
        <v>260</v>
      </c>
      <c r="C1060" s="29" t="s">
        <v>4244</v>
      </c>
      <c r="D1060" s="29" t="s">
        <v>715</v>
      </c>
      <c r="E1060" s="29" t="s">
        <v>724</v>
      </c>
      <c r="F1060" s="29" t="s">
        <v>663</v>
      </c>
      <c r="G1060" s="29" t="s">
        <v>659</v>
      </c>
      <c r="H1060" s="29" t="str">
        <f t="shared" si="319"/>
        <v>Pio XII</v>
      </c>
      <c r="K1060" s="29" t="s">
        <v>827</v>
      </c>
      <c r="L1060" s="29" t="str">
        <f t="shared" si="316"/>
        <v>Discorso</v>
      </c>
      <c r="M1060" s="29" t="s">
        <v>566</v>
      </c>
      <c r="O1060" s="29" t="s">
        <v>4760</v>
      </c>
      <c r="Q1060" s="38">
        <v>17457</v>
      </c>
      <c r="R1060" s="32">
        <f t="shared" si="326"/>
        <v>17</v>
      </c>
      <c r="S1060" s="32"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32">
        <f t="shared" si="327"/>
        <v>1947</v>
      </c>
      <c r="U1060" s="29"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3"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9"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9">
        <v>1087</v>
      </c>
      <c r="Y1060" s="29" t="str">
        <f t="shared" si="320"/>
        <v>['Pio XII', 'Discorso', 'Al primo Rappresentante diplomatico dell'Egitto presso la Santa Sede, S.E. il signor Taher Al Omari Bey, in occasione della presentazione delle Lettere Credenziali', 'pixii-dis-', '17 ottobre 1947', '17/10/1947', '1947/10/17'],</v>
      </c>
      <c r="Z1060" s="29" t="str">
        <f t="shared" si="321"/>
        <v>Al primo Rappresentante diplomatico dell'Egitto presso la Santa Sede, S.E. il signor Taher Al Omari Bey, in occasione della presentazione delle Lettere Credenziali (17457) | Pio XII</v>
      </c>
      <c r="AA1060" s="29" t="str">
        <f t="shared" si="322"/>
        <v>Discorso Al primo Rappresentante diplomatico dell'Egitto presso la Santa Sede, S.E. il signor Taher Al Omari Bey, in occasione della presentazione delle Lettere Credenziali</v>
      </c>
      <c r="AB1060" s="29" t="str">
        <f t="shared" si="323"/>
        <v>Discorso Al primo Rappresentante diplomatico dell'Egitto presso la Santa Sede, S.E. il signor Taher Al Omari Bey, in occasione della presentazione delle Lettere Credenziali</v>
      </c>
      <c r="AC1060" s="29" t="str">
        <f t="shared" si="324"/>
        <v>Pio XII, Discorso Al primo Rappresentante diplomatico dell'Egitto presso la Santa Sede, S.E. il signor Taher Al Omari Bey, in occasione della presentazione delle Lettere Credenziali, 17 ottobre 1947</v>
      </c>
      <c r="AD1060" s="29" t="str">
        <f t="shared" si="325"/>
        <v>1947-10-17T08:00:00.000+02:00</v>
      </c>
      <c r="AE1060" s="29" t="str">
        <f t="shared" si="317"/>
        <v>pixii-dis-</v>
      </c>
      <c r="AF1060" s="29" t="str">
        <f t="shared" si="318"/>
        <v>Pio XII - Discorso - Al primo Rappresentante diplomatico dell'Egitto presso la Santa Sede, S.E. il signor Taher Al Omari Bey, in occasione della presentazione delle Lettere Credenziali</v>
      </c>
    </row>
    <row r="1061" spans="2:32" x14ac:dyDescent="0.2">
      <c r="B1061" s="29">
        <v>260</v>
      </c>
      <c r="C1061" s="29" t="s">
        <v>4245</v>
      </c>
      <c r="D1061" s="29" t="s">
        <v>715</v>
      </c>
      <c r="E1061" s="29" t="s">
        <v>724</v>
      </c>
      <c r="F1061" s="29" t="s">
        <v>663</v>
      </c>
      <c r="G1061" s="29" t="s">
        <v>659</v>
      </c>
      <c r="H1061" s="29" t="str">
        <f t="shared" si="319"/>
        <v>Pio XII</v>
      </c>
      <c r="K1061" s="29" t="s">
        <v>827</v>
      </c>
      <c r="L1061" s="29" t="str">
        <f t="shared" si="316"/>
        <v>Discorso</v>
      </c>
      <c r="M1061" s="29" t="s">
        <v>566</v>
      </c>
      <c r="O1061" s="29" t="s">
        <v>4761</v>
      </c>
      <c r="Q1061" s="38">
        <v>17460</v>
      </c>
      <c r="R1061" s="32">
        <f t="shared" si="326"/>
        <v>20</v>
      </c>
      <c r="S1061" s="32"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32">
        <f t="shared" si="327"/>
        <v>1947</v>
      </c>
      <c r="U1061" s="29"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3"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9"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9">
        <v>1088</v>
      </c>
      <c r="Y1061" s="29" t="str">
        <f t="shared" si="320"/>
        <v>['Pio XII', 'Discorso', 'Ai partecipanti al primo Congresso italiano dell'Associazione Cristiana Artigiani Italiani', 'pixii-dis-', '20 ottobre 1947', '20/10/1947', '1947/10/20'],</v>
      </c>
      <c r="Z1061" s="29" t="str">
        <f t="shared" si="321"/>
        <v>Ai partecipanti al primo Congresso italiano dell'Associazione Cristiana Artigiani Italiani (17460) | Pio XII</v>
      </c>
      <c r="AA1061" s="29" t="str">
        <f t="shared" si="322"/>
        <v>Discorso Ai partecipanti al primo Congresso italiano dell'Associazione Cristiana Artigiani Italiani</v>
      </c>
      <c r="AB1061" s="29" t="str">
        <f t="shared" si="323"/>
        <v>Discorso Ai partecipanti al primo Congresso italiano dell'Associazione Cristiana Artigiani Italiani</v>
      </c>
      <c r="AC1061" s="29" t="str">
        <f t="shared" si="324"/>
        <v>Pio XII, Discorso Ai partecipanti al primo Congresso italiano dell'Associazione Cristiana Artigiani Italiani, 20 ottobre 1947</v>
      </c>
      <c r="AD1061" s="29" t="str">
        <f t="shared" si="325"/>
        <v>1947-10-20T08:00:00.000+02:00</v>
      </c>
      <c r="AE1061" s="29" t="str">
        <f t="shared" si="317"/>
        <v>pixii-dis-</v>
      </c>
      <c r="AF1061" s="29" t="str">
        <f t="shared" si="318"/>
        <v>Pio XII - Discorso - Ai partecipanti al primo Congresso italiano dell'Associazione Cristiana Artigiani Italiani</v>
      </c>
    </row>
    <row r="1062" spans="2:32" x14ac:dyDescent="0.2">
      <c r="B1062" s="29">
        <v>260</v>
      </c>
      <c r="C1062" s="29" t="s">
        <v>4246</v>
      </c>
      <c r="D1062" s="29" t="s">
        <v>715</v>
      </c>
      <c r="E1062" s="29" t="s">
        <v>724</v>
      </c>
      <c r="F1062" s="29" t="s">
        <v>663</v>
      </c>
      <c r="G1062" s="29" t="s">
        <v>659</v>
      </c>
      <c r="H1062" s="29" t="str">
        <f t="shared" si="319"/>
        <v>Pio XII</v>
      </c>
      <c r="K1062" s="29" t="s">
        <v>827</v>
      </c>
      <c r="L1062" s="29" t="str">
        <f t="shared" ref="L1062:L1125" si="328">IF(J1062&lt;&gt;"",_xlfn.CONCAT(J1062 &amp; " " &amp; K1062),K1062)</f>
        <v>Discorso</v>
      </c>
      <c r="M1062" s="29" t="s">
        <v>566</v>
      </c>
      <c r="O1062" s="29" t="s">
        <v>4762</v>
      </c>
      <c r="Q1062" s="38">
        <v>17468</v>
      </c>
      <c r="R1062" s="32">
        <f t="shared" si="326"/>
        <v>28</v>
      </c>
      <c r="S1062" s="32"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32">
        <f t="shared" si="327"/>
        <v>1947</v>
      </c>
      <c r="U1062" s="29"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3"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9"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9">
        <v>1089</v>
      </c>
      <c r="Y1062" s="29" t="str">
        <f t="shared" si="320"/>
        <v>['Pio XII', 'Discorso', 'Al rappresentante diplomatico della Repubblica di El Salvador presso la Santa Sede, S.E. il Signor Antonio Alvarez Vidaurre, in occasione della presentazione delle Lettere Credenziali', 'pixii-dis-', '28 ottobre 1947', '28/10/1947', '1947/10/28'],</v>
      </c>
      <c r="Z1062" s="29" t="str">
        <f t="shared" si="321"/>
        <v>Al rappresentante diplomatico della Repubblica di El Salvador presso la Santa Sede, S.E. il Signor Antonio Alvarez Vidaurre, in occasione della presentazione delle Lettere Credenziali (17468) | Pio XII</v>
      </c>
      <c r="AA1062" s="29" t="str">
        <f t="shared" si="322"/>
        <v>Discorso Al rappresentante diplomatico della Repubblica di El Salvador presso la Santa Sede, S.E. il Signor Antonio Alvarez Vidaurre, in occasione della presentazione delle Lettere Credenziali</v>
      </c>
      <c r="AB1062" s="29" t="str">
        <f t="shared" si="323"/>
        <v>Discorso Al rappresentante diplomatico della Repubblica di El Salvador presso la Santa Sede, S.E. il Signor Antonio Alvarez Vidaurre, in occasione della presentazione delle Lettere Credenziali</v>
      </c>
      <c r="AC1062" s="29" t="str">
        <f t="shared" si="324"/>
        <v>Pio XII, Discorso Al rappresentante diplomatico della Repubblica di El Salvador presso la Santa Sede, S.E. il Signor Antonio Alvarez Vidaurre, in occasione della presentazione delle Lettere Credenziali, 28 ottobre 1947</v>
      </c>
      <c r="AD1062" s="29" t="str">
        <f t="shared" si="325"/>
        <v>1947-10-28T08:00:00.000+02:00</v>
      </c>
      <c r="AE1062" s="29" t="str">
        <f t="shared" si="317"/>
        <v>pixii-dis-</v>
      </c>
      <c r="AF1062" s="29" t="str">
        <f t="shared" si="318"/>
        <v>Pio XII - Discorso - Al rappresentante diplomatico della Repubblica di El Salvador presso la Santa Sede, S.E. il Signor Antonio Alvarez Vidaurre, in occasione della presentazione delle Lettere Credenziali</v>
      </c>
    </row>
    <row r="1063" spans="2:32" x14ac:dyDescent="0.2">
      <c r="B1063" s="29">
        <v>260</v>
      </c>
      <c r="C1063" s="29" t="s">
        <v>4247</v>
      </c>
      <c r="D1063" s="29" t="s">
        <v>715</v>
      </c>
      <c r="E1063" s="29" t="s">
        <v>724</v>
      </c>
      <c r="F1063" s="29" t="s">
        <v>663</v>
      </c>
      <c r="G1063" s="29" t="s">
        <v>659</v>
      </c>
      <c r="H1063" s="29" t="str">
        <f t="shared" si="319"/>
        <v>Pio XII</v>
      </c>
      <c r="K1063" s="29" t="s">
        <v>827</v>
      </c>
      <c r="L1063" s="29" t="str">
        <f t="shared" si="328"/>
        <v>Discorso</v>
      </c>
      <c r="M1063" s="29" t="s">
        <v>566</v>
      </c>
      <c r="O1063" s="29" t="s">
        <v>4735</v>
      </c>
      <c r="Q1063" s="38">
        <v>17469</v>
      </c>
      <c r="R1063" s="32">
        <f t="shared" si="326"/>
        <v>29</v>
      </c>
      <c r="S1063" s="32"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32">
        <f t="shared" si="327"/>
        <v>1947</v>
      </c>
      <c r="U1063" s="29"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3"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9"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9">
        <v>1090</v>
      </c>
      <c r="Y1063" s="29" t="str">
        <f t="shared" si="320"/>
        <v>['Pio XII', 'Discorso', 'Ai membri del Tribunale della Sacra Romana Rota', 'pixii-dis-', '29 ottobre 1947', '29/10/1947', '1947/10/29'],</v>
      </c>
      <c r="Z1063" s="29" t="str">
        <f t="shared" si="321"/>
        <v>Ai membri del Tribunale della Sacra Romana Rota (17469) | Pio XII</v>
      </c>
      <c r="AA1063" s="29" t="str">
        <f t="shared" si="322"/>
        <v>Discorso Ai membri del Tribunale della Sacra Romana Rota</v>
      </c>
      <c r="AB1063" s="29" t="str">
        <f t="shared" si="323"/>
        <v>Discorso Ai membri del Tribunale della Sacra Romana Rota</v>
      </c>
      <c r="AC1063" s="29" t="str">
        <f t="shared" si="324"/>
        <v>Pio XII, Discorso Ai membri del Tribunale della Sacra Romana Rota, 29 ottobre 1947</v>
      </c>
      <c r="AD1063" s="29" t="str">
        <f t="shared" si="325"/>
        <v>1947-10-29T08:00:00.000+02:00</v>
      </c>
      <c r="AE1063" s="29" t="str">
        <f t="shared" ref="AE1063:AE1126" si="329">_xlfn.CONCAT(F1063 &amp; "-" &amp; M1063 &amp; "-" &amp; P1063)</f>
        <v>pixii-dis-</v>
      </c>
      <c r="AF1063" s="29" t="str">
        <f t="shared" ref="AF1063:AF1126" si="330">_xlfn.CONCAT(H1063 &amp; " - " &amp; L1063 &amp; " - " &amp; O1063)</f>
        <v>Pio XII - Discorso - Ai membri del Tribunale della Sacra Romana Rota</v>
      </c>
    </row>
    <row r="1064" spans="2:32" x14ac:dyDescent="0.2">
      <c r="B1064" s="29">
        <v>260</v>
      </c>
      <c r="C1064" s="29" t="s">
        <v>4248</v>
      </c>
      <c r="D1064" s="29" t="s">
        <v>715</v>
      </c>
      <c r="E1064" s="29" t="s">
        <v>724</v>
      </c>
      <c r="F1064" s="29" t="s">
        <v>663</v>
      </c>
      <c r="G1064" s="29" t="s">
        <v>659</v>
      </c>
      <c r="H1064" s="29" t="str">
        <f t="shared" si="319"/>
        <v>Pio XII</v>
      </c>
      <c r="K1064" s="29" t="s">
        <v>827</v>
      </c>
      <c r="L1064" s="29" t="str">
        <f t="shared" si="328"/>
        <v>Discorso</v>
      </c>
      <c r="M1064" s="29" t="s">
        <v>566</v>
      </c>
      <c r="O1064" s="29" t="s">
        <v>4763</v>
      </c>
      <c r="Q1064" s="38">
        <v>17472</v>
      </c>
      <c r="R1064" s="32">
        <f t="shared" si="326"/>
        <v>1</v>
      </c>
      <c r="S1064" s="32"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32">
        <f t="shared" si="327"/>
        <v>1947</v>
      </c>
      <c r="U1064" s="29"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3"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9"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9">
        <v>1091</v>
      </c>
      <c r="Y1064" s="29" t="str">
        <f t="shared" si="320"/>
        <v>['Pio XII', 'Discorso', 'Al nuovo Ambasciatore della Repubblica di Bolivia presso la Santa Sede, S. E. il Signor Néstor V. Galindo, in occasione della presentazione delle Lettere Credenziali', 'pixii-dis-', '01 novembre 1947', '01/11/1947', '1947/11/01'],</v>
      </c>
      <c r="Z1064" s="29" t="str">
        <f t="shared" si="321"/>
        <v>Al nuovo Ambasciatore della Repubblica di Bolivia presso la Santa Sede, S. E. il Signor Néstor V. Galindo, in occasione della presentazione delle Lettere Credenziali (17472) | Pio XII</v>
      </c>
      <c r="AA1064" s="29" t="str">
        <f t="shared" si="322"/>
        <v>Discorso Al nuovo Ambasciatore della Repubblica di Bolivia presso la Santa Sede, S. E. il Signor Néstor V. Galindo, in occasione della presentazione delle Lettere Credenziali</v>
      </c>
      <c r="AB1064" s="29" t="str">
        <f t="shared" si="323"/>
        <v>Discorso Al nuovo Ambasciatore della Repubblica di Bolivia presso la Santa Sede, S. E. il Signor Néstor V. Galindo, in occasione della presentazione delle Lettere Credenziali</v>
      </c>
      <c r="AC1064" s="29" t="str">
        <f t="shared" si="324"/>
        <v>Pio XII, Discorso Al nuovo Ambasciatore della Repubblica di Bolivia presso la Santa Sede, S. E. il Signor Néstor V. Galindo, in occasione della presentazione delle Lettere Credenziali, 01 novembre 1947</v>
      </c>
      <c r="AD1064" s="29" t="str">
        <f t="shared" si="325"/>
        <v>1947-11-01T08:00:00.000+02:00</v>
      </c>
      <c r="AE1064" s="29" t="str">
        <f t="shared" si="329"/>
        <v>pixii-dis-</v>
      </c>
      <c r="AF1064" s="29" t="str">
        <f t="shared" si="330"/>
        <v>Pio XII - Discorso - Al nuovo Ambasciatore della Repubblica di Bolivia presso la Santa Sede, S. E. il Signor Néstor V. Galindo, in occasione della presentazione delle Lettere Credenziali</v>
      </c>
    </row>
    <row r="1065" spans="2:32" x14ac:dyDescent="0.2">
      <c r="B1065" s="29">
        <v>260</v>
      </c>
      <c r="C1065" s="29" t="s">
        <v>4249</v>
      </c>
      <c r="D1065" s="29" t="s">
        <v>715</v>
      </c>
      <c r="E1065" s="29" t="s">
        <v>724</v>
      </c>
      <c r="F1065" s="29" t="s">
        <v>663</v>
      </c>
      <c r="G1065" s="29" t="s">
        <v>659</v>
      </c>
      <c r="H1065" s="29" t="str">
        <f t="shared" si="319"/>
        <v>Pio XII</v>
      </c>
      <c r="K1065" s="29" t="s">
        <v>827</v>
      </c>
      <c r="L1065" s="29" t="str">
        <f t="shared" si="328"/>
        <v>Discorso</v>
      </c>
      <c r="M1065" s="29" t="s">
        <v>566</v>
      </c>
      <c r="O1065" s="29" t="s">
        <v>4764</v>
      </c>
      <c r="Q1065" s="38">
        <v>17482</v>
      </c>
      <c r="R1065" s="32">
        <f t="shared" si="326"/>
        <v>11</v>
      </c>
      <c r="S1065" s="32"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32">
        <f t="shared" si="327"/>
        <v>1947</v>
      </c>
      <c r="U1065" s="29"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3"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9"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9">
        <v>1092</v>
      </c>
      <c r="Y1065" s="29" t="str">
        <f t="shared" si="320"/>
        <v>['Pio XII', 'Discorso', 'Al nuovo Ministro del Panamá presso la Santa Sede, S.E. il Signor Miguel Amado Burgos, in occasione della presentazione delle Lettere Credenziali', 'pixii-dis-', '11 novembre 1947', '11/11/1947', '1947/11/11'],</v>
      </c>
      <c r="Z1065" s="29" t="str">
        <f t="shared" si="321"/>
        <v>Al nuovo Ministro del Panamá presso la Santa Sede, S.E. il Signor Miguel Amado Burgos, in occasione della presentazione delle Lettere Credenziali (17482) | Pio XII</v>
      </c>
      <c r="AA1065" s="29" t="str">
        <f t="shared" si="322"/>
        <v>Discorso Al nuovo Ministro del Panamá presso la Santa Sede, S.E. il Signor Miguel Amado Burgos, in occasione della presentazione delle Lettere Credenziali</v>
      </c>
      <c r="AB1065" s="29" t="str">
        <f t="shared" si="323"/>
        <v>Discorso Al nuovo Ministro del Panamá presso la Santa Sede, S.E. il Signor Miguel Amado Burgos, in occasione della presentazione delle Lettere Credenziali</v>
      </c>
      <c r="AC1065" s="29" t="str">
        <f t="shared" si="324"/>
        <v>Pio XII, Discorso Al nuovo Ministro del Panamá presso la Santa Sede, S.E. il Signor Miguel Amado Burgos, in occasione della presentazione delle Lettere Credenziali, 11 novembre 1947</v>
      </c>
      <c r="AD1065" s="29" t="str">
        <f t="shared" si="325"/>
        <v>1947-11-11T08:00:00.000+02:00</v>
      </c>
      <c r="AE1065" s="29" t="str">
        <f t="shared" si="329"/>
        <v>pixii-dis-</v>
      </c>
      <c r="AF1065" s="29" t="str">
        <f t="shared" si="330"/>
        <v>Pio XII - Discorso - Al nuovo Ministro del Panamá presso la Santa Sede, S.E. il Signor Miguel Amado Burgos, in occasione della presentazione delle Lettere Credenziali</v>
      </c>
    </row>
    <row r="1066" spans="2:32" x14ac:dyDescent="0.2">
      <c r="B1066" s="29">
        <v>260</v>
      </c>
      <c r="C1066" s="29" t="s">
        <v>4250</v>
      </c>
      <c r="D1066" s="29" t="s">
        <v>715</v>
      </c>
      <c r="E1066" s="29" t="s">
        <v>724</v>
      </c>
      <c r="F1066" s="29" t="s">
        <v>663</v>
      </c>
      <c r="G1066" s="29" t="s">
        <v>659</v>
      </c>
      <c r="H1066" s="29" t="str">
        <f t="shared" si="319"/>
        <v>Pio XII</v>
      </c>
      <c r="K1066" s="29" t="s">
        <v>827</v>
      </c>
      <c r="L1066" s="29" t="str">
        <f t="shared" si="328"/>
        <v>Discorso</v>
      </c>
      <c r="M1066" s="29" t="s">
        <v>566</v>
      </c>
      <c r="O1066" s="29" t="s">
        <v>4765</v>
      </c>
      <c r="Q1066" s="38">
        <v>17486</v>
      </c>
      <c r="R1066" s="32">
        <f t="shared" si="326"/>
        <v>15</v>
      </c>
      <c r="S1066" s="32"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32">
        <f t="shared" si="327"/>
        <v>1947</v>
      </c>
      <c r="U1066" s="29"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3"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9"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9">
        <v>1093</v>
      </c>
      <c r="Y1066" s="29" t="str">
        <f t="shared" si="320"/>
        <v>['Pio XII', 'Discorso', 'Al nuovo Ministro di Haiti presso la Santa Sede, S.E. il Signor Léon R. Thébaud, in occasione della presentazione delle Lettere Credenziali', 'pixii-dis-', '15 novembre 1947', '15/11/1947', '1947/11/15'],</v>
      </c>
      <c r="Z1066" s="29" t="str">
        <f t="shared" si="321"/>
        <v>Al nuovo Ministro di Haiti presso la Santa Sede, S.E. il Signor Léon R. Thébaud, in occasione della presentazione delle Lettere Credenziali (17486) | Pio XII</v>
      </c>
      <c r="AA1066" s="29" t="str">
        <f t="shared" si="322"/>
        <v>Discorso Al nuovo Ministro di Haiti presso la Santa Sede, S.E. il Signor Léon R. Thébaud, in occasione della presentazione delle Lettere Credenziali</v>
      </c>
      <c r="AB1066" s="29" t="str">
        <f t="shared" si="323"/>
        <v>Discorso Al nuovo Ministro di Haiti presso la Santa Sede, S.E. il Signor Léon R. Thébaud, in occasione della presentazione delle Lettere Credenziali</v>
      </c>
      <c r="AC1066" s="29" t="str">
        <f t="shared" si="324"/>
        <v>Pio XII, Discorso Al nuovo Ministro di Haiti presso la Santa Sede, S.E. il Signor Léon R. Thébaud, in occasione della presentazione delle Lettere Credenziali, 15 novembre 1947</v>
      </c>
      <c r="AD1066" s="29" t="str">
        <f t="shared" si="325"/>
        <v>1947-11-15T08:00:00.000+02:00</v>
      </c>
      <c r="AE1066" s="29" t="str">
        <f t="shared" si="329"/>
        <v>pixii-dis-</v>
      </c>
      <c r="AF1066" s="29" t="str">
        <f t="shared" si="330"/>
        <v>Pio XII - Discorso - Al nuovo Ministro di Haiti presso la Santa Sede, S.E. il Signor Léon R. Thébaud, in occasione della presentazione delle Lettere Credenziali</v>
      </c>
    </row>
    <row r="1067" spans="2:32" x14ac:dyDescent="0.2">
      <c r="B1067" s="29">
        <v>260</v>
      </c>
      <c r="C1067" s="29" t="s">
        <v>4251</v>
      </c>
      <c r="D1067" s="29" t="s">
        <v>715</v>
      </c>
      <c r="E1067" s="29" t="s">
        <v>724</v>
      </c>
      <c r="F1067" s="29" t="s">
        <v>663</v>
      </c>
      <c r="G1067" s="29" t="s">
        <v>659</v>
      </c>
      <c r="H1067" s="29" t="str">
        <f t="shared" si="319"/>
        <v>Pio XII</v>
      </c>
      <c r="K1067" s="29" t="s">
        <v>827</v>
      </c>
      <c r="L1067" s="29" t="str">
        <f t="shared" si="328"/>
        <v>Discorso</v>
      </c>
      <c r="M1067" s="29" t="s">
        <v>566</v>
      </c>
      <c r="O1067" s="29" t="s">
        <v>4766</v>
      </c>
      <c r="Q1067" s="38">
        <v>17486</v>
      </c>
      <c r="R1067" s="32">
        <f t="shared" si="326"/>
        <v>15</v>
      </c>
      <c r="S1067" s="32"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32">
        <f t="shared" si="327"/>
        <v>1947</v>
      </c>
      <c r="U1067" s="29"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3"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9"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9">
        <v>1094</v>
      </c>
      <c r="Y1067" s="29" t="str">
        <f t="shared" si="320"/>
        <v>['Pio XII', 'Discorso', 'Ai partecipanti al primo Convegno nazionale italiano dei Cappellani delle carceri', 'pixii-dis-', '15 novembre 1947', '15/11/1947', '1947/11/15'],</v>
      </c>
      <c r="Z1067" s="29" t="str">
        <f t="shared" si="321"/>
        <v>Ai partecipanti al primo Convegno nazionale italiano dei Cappellani delle carceri (17486) | Pio XII</v>
      </c>
      <c r="AA1067" s="29" t="str">
        <f t="shared" si="322"/>
        <v>Discorso Ai partecipanti al primo Convegno nazionale italiano dei Cappellani delle carceri</v>
      </c>
      <c r="AB1067" s="29" t="str">
        <f t="shared" si="323"/>
        <v>Discorso Ai partecipanti al primo Convegno nazionale italiano dei Cappellani delle carceri</v>
      </c>
      <c r="AC1067" s="29" t="str">
        <f t="shared" si="324"/>
        <v>Pio XII, Discorso Ai partecipanti al primo Convegno nazionale italiano dei Cappellani delle carceri, 15 novembre 1947</v>
      </c>
      <c r="AD1067" s="29" t="str">
        <f t="shared" si="325"/>
        <v>1947-11-15T08:00:00.000+02:00</v>
      </c>
      <c r="AE1067" s="29" t="str">
        <f t="shared" si="329"/>
        <v>pixii-dis-</v>
      </c>
      <c r="AF1067" s="29" t="str">
        <f t="shared" si="330"/>
        <v>Pio XII - Discorso - Ai partecipanti al primo Convegno nazionale italiano dei Cappellani delle carceri</v>
      </c>
    </row>
    <row r="1068" spans="2:32" x14ac:dyDescent="0.2">
      <c r="B1068" s="29">
        <v>260</v>
      </c>
      <c r="C1068" s="29" t="s">
        <v>4252</v>
      </c>
      <c r="D1068" s="29" t="s">
        <v>715</v>
      </c>
      <c r="E1068" s="29" t="s">
        <v>724</v>
      </c>
      <c r="F1068" s="29" t="s">
        <v>663</v>
      </c>
      <c r="G1068" s="29" t="s">
        <v>659</v>
      </c>
      <c r="H1068" s="29" t="str">
        <f t="shared" si="319"/>
        <v>Pio XII</v>
      </c>
      <c r="K1068" s="29" t="s">
        <v>827</v>
      </c>
      <c r="L1068" s="29" t="str">
        <f t="shared" si="328"/>
        <v>Discorso</v>
      </c>
      <c r="M1068" s="29" t="s">
        <v>566</v>
      </c>
      <c r="O1068" s="29" t="s">
        <v>4767</v>
      </c>
      <c r="Q1068" s="38">
        <v>17509</v>
      </c>
      <c r="R1068" s="32">
        <f t="shared" si="326"/>
        <v>8</v>
      </c>
      <c r="S1068" s="32"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32">
        <f t="shared" si="327"/>
        <v>1947</v>
      </c>
      <c r="U1068" s="29"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3"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9"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9">
        <v>1095</v>
      </c>
      <c r="Y1068" s="29" t="str">
        <f t="shared" si="320"/>
        <v>['Pio XII', 'Discorso', 'Alla Gioventù Romana di Azione Cattolica', 'pixii-dis-', '08 dicembre 1947', '08/12/1947', '1947/12/08'],</v>
      </c>
      <c r="Z1068" s="29" t="str">
        <f t="shared" si="321"/>
        <v>Alla Gioventù Romana di Azione Cattolica (17509) | Pio XII</v>
      </c>
      <c r="AA1068" s="29" t="str">
        <f t="shared" si="322"/>
        <v>Discorso Alla Gioventù Romana di Azione Cattolica</v>
      </c>
      <c r="AB1068" s="29" t="str">
        <f t="shared" si="323"/>
        <v>Discorso Alla Gioventù Romana di Azione Cattolica</v>
      </c>
      <c r="AC1068" s="29" t="str">
        <f t="shared" si="324"/>
        <v>Pio XII, Discorso Alla Gioventù Romana di Azione Cattolica, 08 dicembre 1947</v>
      </c>
      <c r="AD1068" s="29" t="str">
        <f t="shared" si="325"/>
        <v>1947-12-08T08:00:00.000+02:00</v>
      </c>
      <c r="AE1068" s="29" t="str">
        <f t="shared" si="329"/>
        <v>pixii-dis-</v>
      </c>
      <c r="AF1068" s="29" t="str">
        <f t="shared" si="330"/>
        <v>Pio XII - Discorso - Alla Gioventù Romana di Azione Cattolica</v>
      </c>
    </row>
    <row r="1069" spans="2:32" x14ac:dyDescent="0.2">
      <c r="B1069" s="29">
        <v>260</v>
      </c>
      <c r="C1069" s="29" t="s">
        <v>4253</v>
      </c>
      <c r="D1069" s="29" t="s">
        <v>715</v>
      </c>
      <c r="E1069" s="29" t="s">
        <v>724</v>
      </c>
      <c r="F1069" s="29" t="s">
        <v>663</v>
      </c>
      <c r="G1069" s="29" t="s">
        <v>659</v>
      </c>
      <c r="H1069" s="29" t="str">
        <f t="shared" si="319"/>
        <v>Pio XII</v>
      </c>
      <c r="K1069" s="29" t="s">
        <v>827</v>
      </c>
      <c r="L1069" s="29" t="str">
        <f t="shared" si="328"/>
        <v>Discorso</v>
      </c>
      <c r="M1069" s="29" t="s">
        <v>566</v>
      </c>
      <c r="O1069" s="29" t="s">
        <v>4768</v>
      </c>
      <c r="Q1069" s="38">
        <v>17518</v>
      </c>
      <c r="R1069" s="32">
        <f t="shared" si="326"/>
        <v>17</v>
      </c>
      <c r="S1069" s="32"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32">
        <f t="shared" si="327"/>
        <v>1947</v>
      </c>
      <c r="U1069" s="29"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3"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9"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9">
        <v>1096</v>
      </c>
      <c r="Y1069" s="29" t="str">
        <f t="shared" si="320"/>
        <v>['Pio XII', 'Discorso', 'Al Sindaco di Roma, Salvatore Rebecchini, e ai componenti della Giunta Municipale', 'pixii-dis-', '17 dicembre 1947', '17/12/1947', '1947/12/17'],</v>
      </c>
      <c r="Z1069" s="29" t="str">
        <f t="shared" si="321"/>
        <v>Al Sindaco di Roma, Salvatore Rebecchini, e ai componenti della Giunta Municipale (17518) | Pio XII</v>
      </c>
      <c r="AA1069" s="29" t="str">
        <f t="shared" si="322"/>
        <v>Discorso Al Sindaco di Roma, Salvatore Rebecchini, e ai componenti della Giunta Municipale</v>
      </c>
      <c r="AB1069" s="29" t="str">
        <f t="shared" si="323"/>
        <v>Discorso Al Sindaco di Roma, Salvatore Rebecchini, e ai componenti della Giunta Municipale</v>
      </c>
      <c r="AC1069" s="29" t="str">
        <f t="shared" si="324"/>
        <v>Pio XII, Discorso Al Sindaco di Roma, Salvatore Rebecchini, e ai componenti della Giunta Municipale, 17 dicembre 1947</v>
      </c>
      <c r="AD1069" s="29" t="str">
        <f t="shared" si="325"/>
        <v>1947-12-17T08:00:00.000+02:00</v>
      </c>
      <c r="AE1069" s="29" t="str">
        <f t="shared" si="329"/>
        <v>pixii-dis-</v>
      </c>
      <c r="AF1069" s="29" t="str">
        <f t="shared" si="330"/>
        <v>Pio XII - Discorso - Al Sindaco di Roma, Salvatore Rebecchini, e ai componenti della Giunta Municipale</v>
      </c>
    </row>
    <row r="1070" spans="2:32" x14ac:dyDescent="0.2">
      <c r="B1070" s="29">
        <v>260</v>
      </c>
      <c r="C1070" s="29" t="s">
        <v>4254</v>
      </c>
      <c r="D1070" s="29" t="s">
        <v>715</v>
      </c>
      <c r="E1070" s="29" t="s">
        <v>724</v>
      </c>
      <c r="F1070" s="29" t="s">
        <v>663</v>
      </c>
      <c r="G1070" s="29" t="s">
        <v>659</v>
      </c>
      <c r="H1070" s="29" t="str">
        <f t="shared" si="319"/>
        <v>Pio XII</v>
      </c>
      <c r="K1070" s="29" t="s">
        <v>827</v>
      </c>
      <c r="L1070" s="29" t="str">
        <f t="shared" si="328"/>
        <v>Discorso</v>
      </c>
      <c r="M1070" s="29" t="s">
        <v>566</v>
      </c>
      <c r="O1070" s="29" t="s">
        <v>4769</v>
      </c>
      <c r="Q1070" s="38">
        <v>17525</v>
      </c>
      <c r="R1070" s="32">
        <f t="shared" si="326"/>
        <v>24</v>
      </c>
      <c r="S1070" s="32"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32">
        <f t="shared" si="327"/>
        <v>1947</v>
      </c>
      <c r="U1070" s="29"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3"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9"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9">
        <v>1097</v>
      </c>
      <c r="Y1070" s="29" t="str">
        <f t="shared" si="320"/>
        <v>['Pio XII', 'Discorso', 'Radiomessaggio natalizio ai popoli di tutto il mondo', 'pixii-dis-', '24 dicembre 1947', '24/12/1947', '1947/12/24'],</v>
      </c>
      <c r="Z1070" s="29" t="str">
        <f t="shared" si="321"/>
        <v>Radiomessaggio natalizio ai popoli di tutto il mondo (17525) | Pio XII</v>
      </c>
      <c r="AA1070" s="29" t="str">
        <f t="shared" si="322"/>
        <v>Discorso Radiomessaggio natalizio ai popoli di tutto il mondo</v>
      </c>
      <c r="AB1070" s="29" t="str">
        <f t="shared" si="323"/>
        <v>Discorso Radiomessaggio natalizio ai popoli di tutto il mondo</v>
      </c>
      <c r="AC1070" s="29" t="str">
        <f t="shared" si="324"/>
        <v>Pio XII, Discorso Radiomessaggio natalizio ai popoli di tutto il mondo, 24 dicembre 1947</v>
      </c>
      <c r="AD1070" s="29" t="str">
        <f t="shared" si="325"/>
        <v>1947-12-24T08:00:00.000+02:00</v>
      </c>
      <c r="AE1070" s="29" t="str">
        <f t="shared" si="329"/>
        <v>pixii-dis-</v>
      </c>
      <c r="AF1070" s="29" t="str">
        <f t="shared" si="330"/>
        <v>Pio XII - Discorso - Radiomessaggio natalizio ai popoli di tutto il mondo</v>
      </c>
    </row>
    <row r="1071" spans="2:32" x14ac:dyDescent="0.2">
      <c r="B1071" s="29">
        <v>260</v>
      </c>
      <c r="C1071" s="29" t="s">
        <v>4255</v>
      </c>
      <c r="D1071" s="29" t="s">
        <v>715</v>
      </c>
      <c r="E1071" s="29" t="s">
        <v>724</v>
      </c>
      <c r="F1071" s="29" t="s">
        <v>663</v>
      </c>
      <c r="G1071" s="29" t="s">
        <v>659</v>
      </c>
      <c r="H1071" s="29" t="str">
        <f t="shared" si="319"/>
        <v>Pio XII</v>
      </c>
      <c r="K1071" s="29" t="s">
        <v>827</v>
      </c>
      <c r="L1071" s="29" t="str">
        <f t="shared" si="328"/>
        <v>Discorso</v>
      </c>
      <c r="M1071" s="29" t="s">
        <v>566</v>
      </c>
      <c r="O1071" s="29" t="s">
        <v>4770</v>
      </c>
      <c r="Q1071" s="38">
        <v>17532</v>
      </c>
      <c r="R1071" s="32">
        <f t="shared" si="326"/>
        <v>31</v>
      </c>
      <c r="S1071" s="32"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32">
        <f t="shared" si="327"/>
        <v>1947</v>
      </c>
      <c r="U1071" s="29"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3"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9"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9">
        <v>1098</v>
      </c>
      <c r="Y1071" s="29" t="str">
        <f t="shared" si="320"/>
        <v>['Pio XII', 'Discorso', 'Al Corpo Diplomatico presso la Santa Sede', 'pixii-dis-', '31 dicembre 1947', '31/12/1947', '1947/12/31'],</v>
      </c>
      <c r="Z1071" s="29" t="str">
        <f t="shared" si="321"/>
        <v>Al Corpo Diplomatico presso la Santa Sede (17532) | Pio XII</v>
      </c>
      <c r="AA1071" s="29" t="str">
        <f t="shared" si="322"/>
        <v>Discorso Al Corpo Diplomatico presso la Santa Sede</v>
      </c>
      <c r="AB1071" s="29" t="str">
        <f t="shared" si="323"/>
        <v>Discorso Al Corpo Diplomatico presso la Santa Sede</v>
      </c>
      <c r="AC1071" s="29" t="str">
        <f t="shared" si="324"/>
        <v>Pio XII, Discorso Al Corpo Diplomatico presso la Santa Sede, 31 dicembre 1947</v>
      </c>
      <c r="AD1071" s="29" t="str">
        <f t="shared" si="325"/>
        <v>1947-12-31T08:00:00.000+02:00</v>
      </c>
      <c r="AE1071" s="29" t="str">
        <f t="shared" si="329"/>
        <v>pixii-dis-</v>
      </c>
      <c r="AF1071" s="29" t="str">
        <f t="shared" si="330"/>
        <v>Pio XII - Discorso - Al Corpo Diplomatico presso la Santa Sede</v>
      </c>
    </row>
    <row r="1072" spans="2:32" x14ac:dyDescent="0.2">
      <c r="B1072" s="29">
        <v>260</v>
      </c>
      <c r="C1072" s="29" t="s">
        <v>4256</v>
      </c>
      <c r="D1072" s="29" t="s">
        <v>715</v>
      </c>
      <c r="E1072" s="29" t="s">
        <v>724</v>
      </c>
      <c r="F1072" s="29" t="s">
        <v>663</v>
      </c>
      <c r="G1072" s="29" t="s">
        <v>659</v>
      </c>
      <c r="H1072" s="29" t="str">
        <f t="shared" si="319"/>
        <v>Pio XII</v>
      </c>
      <c r="K1072" s="29" t="s">
        <v>827</v>
      </c>
      <c r="L1072" s="29" t="str">
        <f t="shared" si="328"/>
        <v>Discorso</v>
      </c>
      <c r="M1072" s="29" t="s">
        <v>566</v>
      </c>
      <c r="O1072" s="29" t="s">
        <v>4771</v>
      </c>
      <c r="Q1072" s="38">
        <v>17536</v>
      </c>
      <c r="R1072" s="32">
        <f t="shared" si="326"/>
        <v>4</v>
      </c>
      <c r="S1072" s="32"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32">
        <f t="shared" si="327"/>
        <v>1948</v>
      </c>
      <c r="U1072" s="29"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3"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9"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9">
        <v>1099</v>
      </c>
      <c r="Y1072" s="29" t="str">
        <f t="shared" si="320"/>
        <v>['Pio XII', 'Discorso', 'Ai giovani appartenenti al «Movimento Avanguardia Cattolica Italiana»', 'pixii-dis-', '04 gennaio 1948', '04/01/1948', '1948/01/04'],</v>
      </c>
      <c r="Z1072" s="29" t="str">
        <f t="shared" si="321"/>
        <v>Ai giovani appartenenti al «Movimento Avanguardia Cattolica Italiana» (17536) | Pio XII</v>
      </c>
      <c r="AA1072" s="29" t="str">
        <f t="shared" si="322"/>
        <v>Discorso Ai giovani appartenenti al «Movimento Avanguardia Cattolica Italiana»</v>
      </c>
      <c r="AB1072" s="29" t="str">
        <f t="shared" si="323"/>
        <v>Discorso Ai giovani appartenenti al «Movimento Avanguardia Cattolica Italiana»</v>
      </c>
      <c r="AC1072" s="29" t="str">
        <f t="shared" si="324"/>
        <v>Pio XII, Discorso Ai giovani appartenenti al «Movimento Avanguardia Cattolica Italiana», 04 gennaio 1948</v>
      </c>
      <c r="AD1072" s="29" t="str">
        <f t="shared" si="325"/>
        <v>1948-01-04T08:00:00.000+02:00</v>
      </c>
      <c r="AE1072" s="29" t="str">
        <f t="shared" si="329"/>
        <v>pixii-dis-</v>
      </c>
      <c r="AF1072" s="29" t="str">
        <f t="shared" si="330"/>
        <v>Pio XII - Discorso - Ai giovani appartenenti al «Movimento Avanguardia Cattolica Italiana»</v>
      </c>
    </row>
    <row r="1073" spans="2:32" x14ac:dyDescent="0.2">
      <c r="B1073" s="29">
        <v>260</v>
      </c>
      <c r="C1073" s="29" t="s">
        <v>4257</v>
      </c>
      <c r="D1073" s="29" t="s">
        <v>715</v>
      </c>
      <c r="E1073" s="29" t="s">
        <v>724</v>
      </c>
      <c r="F1073" s="29" t="s">
        <v>663</v>
      </c>
      <c r="G1073" s="29" t="s">
        <v>659</v>
      </c>
      <c r="H1073" s="29" t="str">
        <f t="shared" si="319"/>
        <v>Pio XII</v>
      </c>
      <c r="K1073" s="29" t="s">
        <v>827</v>
      </c>
      <c r="L1073" s="29" t="str">
        <f t="shared" si="328"/>
        <v>Discorso</v>
      </c>
      <c r="M1073" s="29" t="s">
        <v>566</v>
      </c>
      <c r="O1073" s="29" t="s">
        <v>4772</v>
      </c>
      <c r="Q1073" s="38">
        <v>17540</v>
      </c>
      <c r="R1073" s="32">
        <f t="shared" si="326"/>
        <v>8</v>
      </c>
      <c r="S1073" s="32"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32">
        <f t="shared" si="327"/>
        <v>1948</v>
      </c>
      <c r="U1073" s="29"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3"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9"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9">
        <v>1100</v>
      </c>
      <c r="Y1073" s="29" t="str">
        <f t="shared" si="320"/>
        <v>['Pio XII', 'Discorso', 'Al nuovo Ambasciatore della Repubblica Dominicana presso la Santa Sede, S.E. il Signor Roberto Despradel, in occasione della presentazione delle Lettere Credenziali', 'pixii-dis-', '08 gennaio 1948', '08/01/1948', '1948/01/08'],</v>
      </c>
      <c r="Z1073" s="29" t="str">
        <f t="shared" si="321"/>
        <v>Al nuovo Ambasciatore della Repubblica Dominicana presso la Santa Sede, S.E. il Signor Roberto Despradel, in occasione della presentazione delle Lettere Credenziali (17540) | Pio XII</v>
      </c>
      <c r="AA1073" s="29" t="str">
        <f t="shared" si="322"/>
        <v>Discorso Al nuovo Ambasciatore della Repubblica Dominicana presso la Santa Sede, S.E. il Signor Roberto Despradel, in occasione della presentazione delle Lettere Credenziali</v>
      </c>
      <c r="AB1073" s="29" t="str">
        <f t="shared" si="323"/>
        <v>Discorso Al nuovo Ambasciatore della Repubblica Dominicana presso la Santa Sede, S.E. il Signor Roberto Despradel, in occasione della presentazione delle Lettere Credenziali</v>
      </c>
      <c r="AC1073" s="29" t="str">
        <f t="shared" si="324"/>
        <v>Pio XII, Discorso Al nuovo Ambasciatore della Repubblica Dominicana presso la Santa Sede, S.E. il Signor Roberto Despradel, in occasione della presentazione delle Lettere Credenziali, 08 gennaio 1948</v>
      </c>
      <c r="AD1073" s="29" t="str">
        <f t="shared" si="325"/>
        <v>1948-01-08T08:00:00.000+02:00</v>
      </c>
      <c r="AE1073" s="29" t="str">
        <f t="shared" si="329"/>
        <v>pixii-dis-</v>
      </c>
      <c r="AF1073" s="29" t="str">
        <f t="shared" si="330"/>
        <v>Pio XII - Discorso - Al nuovo Ambasciatore della Repubblica Dominicana presso la Santa Sede, S.E. il Signor Roberto Despradel, in occasione della presentazione delle Lettere Credenziali</v>
      </c>
    </row>
    <row r="1074" spans="2:32" x14ac:dyDescent="0.2">
      <c r="B1074" s="29">
        <v>260</v>
      </c>
      <c r="C1074" s="29" t="s">
        <v>4258</v>
      </c>
      <c r="D1074" s="29" t="s">
        <v>715</v>
      </c>
      <c r="E1074" s="29" t="s">
        <v>724</v>
      </c>
      <c r="F1074" s="29" t="s">
        <v>663</v>
      </c>
      <c r="G1074" s="29" t="s">
        <v>659</v>
      </c>
      <c r="H1074" s="29" t="str">
        <f t="shared" si="319"/>
        <v>Pio XII</v>
      </c>
      <c r="K1074" s="29" t="s">
        <v>827</v>
      </c>
      <c r="L1074" s="29" t="str">
        <f t="shared" si="328"/>
        <v>Discorso</v>
      </c>
      <c r="M1074" s="29" t="s">
        <v>566</v>
      </c>
      <c r="O1074" s="29" t="s">
        <v>4670</v>
      </c>
      <c r="Q1074" s="38">
        <v>17546</v>
      </c>
      <c r="R1074" s="32">
        <f t="shared" si="326"/>
        <v>14</v>
      </c>
      <c r="S1074" s="32"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32">
        <f t="shared" si="327"/>
        <v>1948</v>
      </c>
      <c r="U1074" s="29"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3"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9"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9">
        <v>1101</v>
      </c>
      <c r="Y1074" s="29" t="str">
        <f t="shared" si="320"/>
        <v>['Pio XII', 'Discorso', 'Al patriziato e alla nobiltà romana', 'pixii-dis-', '14 gennaio 1948', '14/01/1948', '1948/01/14'],</v>
      </c>
      <c r="Z1074" s="29" t="str">
        <f t="shared" si="321"/>
        <v>Al patriziato e alla nobiltà romana (17546) | Pio XII</v>
      </c>
      <c r="AA1074" s="29" t="str">
        <f t="shared" si="322"/>
        <v>Discorso Al patriziato e alla nobiltà romana</v>
      </c>
      <c r="AB1074" s="29" t="str">
        <f t="shared" si="323"/>
        <v>Discorso Al patriziato e alla nobiltà romana</v>
      </c>
      <c r="AC1074" s="29" t="str">
        <f t="shared" si="324"/>
        <v>Pio XII, Discorso Al patriziato e alla nobiltà romana, 14 gennaio 1948</v>
      </c>
      <c r="AD1074" s="29" t="str">
        <f t="shared" si="325"/>
        <v>1948-01-14T08:00:00.000+02:00</v>
      </c>
      <c r="AE1074" s="29" t="str">
        <f t="shared" si="329"/>
        <v>pixii-dis-</v>
      </c>
      <c r="AF1074" s="29" t="str">
        <f t="shared" si="330"/>
        <v>Pio XII - Discorso - Al patriziato e alla nobiltà romana</v>
      </c>
    </row>
    <row r="1075" spans="2:32" x14ac:dyDescent="0.2">
      <c r="B1075" s="29">
        <v>260</v>
      </c>
      <c r="C1075" s="29" t="s">
        <v>4259</v>
      </c>
      <c r="D1075" s="29" t="s">
        <v>715</v>
      </c>
      <c r="E1075" s="29" t="s">
        <v>724</v>
      </c>
      <c r="F1075" s="29" t="s">
        <v>663</v>
      </c>
      <c r="G1075" s="29" t="s">
        <v>659</v>
      </c>
      <c r="H1075" s="29" t="str">
        <f t="shared" si="319"/>
        <v>Pio XII</v>
      </c>
      <c r="K1075" s="29" t="s">
        <v>827</v>
      </c>
      <c r="L1075" s="29" t="str">
        <f t="shared" si="328"/>
        <v>Discorso</v>
      </c>
      <c r="M1075" s="29" t="s">
        <v>566</v>
      </c>
      <c r="O1075" s="29" t="s">
        <v>4773</v>
      </c>
      <c r="Q1075" s="38">
        <v>17571</v>
      </c>
      <c r="R1075" s="32">
        <f t="shared" si="326"/>
        <v>8</v>
      </c>
      <c r="S1075" s="32"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32">
        <f t="shared" si="327"/>
        <v>1948</v>
      </c>
      <c r="U1075" s="29"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3"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9"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9">
        <v>1102</v>
      </c>
      <c r="Y1075" s="29" t="str">
        <f t="shared" si="320"/>
        <v>['Pio XII', 'Discorso', 'In occasione dell'inaugurazione del nuovo anno della Pontificia Accademia delle Scienze', 'pixii-dis-', '08 febbraio 1948', '08/02/1948', '1948/02/08'],</v>
      </c>
      <c r="Z1075" s="29" t="str">
        <f t="shared" si="321"/>
        <v>In occasione dell'inaugurazione del nuovo anno della Pontificia Accademia delle Scienze (17571) | Pio XII</v>
      </c>
      <c r="AA1075" s="29" t="str">
        <f t="shared" si="322"/>
        <v>Discorso In occasione dell'inaugurazione del nuovo anno della Pontificia Accademia delle Scienze</v>
      </c>
      <c r="AB1075" s="29" t="str">
        <f t="shared" si="323"/>
        <v>Discorso In occasione dell'inaugurazione del nuovo anno della Pontificia Accademia delle Scienze</v>
      </c>
      <c r="AC1075" s="29" t="str">
        <f t="shared" si="324"/>
        <v>Pio XII, Discorso In occasione dell'inaugurazione del nuovo anno della Pontificia Accademia delle Scienze, 08 febbraio 1948</v>
      </c>
      <c r="AD1075" s="29" t="str">
        <f t="shared" si="325"/>
        <v>1948-02-08T08:00:00.000+02:00</v>
      </c>
      <c r="AE1075" s="29" t="str">
        <f t="shared" si="329"/>
        <v>pixii-dis-</v>
      </c>
      <c r="AF1075" s="29" t="str">
        <f t="shared" si="330"/>
        <v>Pio XII - Discorso - In occasione dell'inaugurazione del nuovo anno della Pontificia Accademia delle Scienze</v>
      </c>
    </row>
    <row r="1076" spans="2:32" x14ac:dyDescent="0.2">
      <c r="B1076" s="29">
        <v>260</v>
      </c>
      <c r="C1076" s="29" t="s">
        <v>4260</v>
      </c>
      <c r="D1076" s="29" t="s">
        <v>715</v>
      </c>
      <c r="E1076" s="29" t="s">
        <v>724</v>
      </c>
      <c r="F1076" s="29" t="s">
        <v>663</v>
      </c>
      <c r="G1076" s="29" t="s">
        <v>659</v>
      </c>
      <c r="H1076" s="29" t="str">
        <f t="shared" si="319"/>
        <v>Pio XII</v>
      </c>
      <c r="K1076" s="29" t="s">
        <v>827</v>
      </c>
      <c r="L1076" s="29" t="str">
        <f t="shared" si="328"/>
        <v>Discorso</v>
      </c>
      <c r="M1076" s="29" t="s">
        <v>566</v>
      </c>
      <c r="O1076" s="29" t="s">
        <v>4774</v>
      </c>
      <c r="Q1076" s="38">
        <v>17584</v>
      </c>
      <c r="R1076" s="32">
        <f t="shared" si="326"/>
        <v>21</v>
      </c>
      <c r="S1076" s="32"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32">
        <f t="shared" si="327"/>
        <v>1948</v>
      </c>
      <c r="U1076" s="29"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3"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9"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9">
        <v>1103</v>
      </c>
      <c r="Y1076" s="29" t="str">
        <f t="shared" si="320"/>
        <v>['Pio XII', 'Discorso', 'Ai partecipanti al Convegno dei Delegati delle Nazioni Europee alla F.A.O.', 'pixii-dis-', '21 febbraio 1948', '21/02/1948', '1948/02/21'],</v>
      </c>
      <c r="Z1076" s="29" t="str">
        <f t="shared" si="321"/>
        <v>Ai partecipanti al Convegno dei Delegati delle Nazioni Europee alla F.A.O. (17584) | Pio XII</v>
      </c>
      <c r="AA1076" s="29" t="str">
        <f t="shared" si="322"/>
        <v>Discorso Ai partecipanti al Convegno dei Delegati delle Nazioni Europee alla F.A.O.</v>
      </c>
      <c r="AB1076" s="29" t="str">
        <f t="shared" si="323"/>
        <v>Discorso Ai partecipanti al Convegno dei Delegati delle Nazioni Europee alla F.A.O.</v>
      </c>
      <c r="AC1076" s="29" t="str">
        <f t="shared" si="324"/>
        <v>Pio XII, Discorso Ai partecipanti al Convegno dei Delegati delle Nazioni Europee alla F.A.O., 21 febbraio 1948</v>
      </c>
      <c r="AD1076" s="29" t="str">
        <f t="shared" si="325"/>
        <v>1948-02-21T08:00:00.000+02:00</v>
      </c>
      <c r="AE1076" s="29" t="str">
        <f t="shared" si="329"/>
        <v>pixii-dis-</v>
      </c>
      <c r="AF1076" s="29" t="str">
        <f t="shared" si="330"/>
        <v>Pio XII - Discorso - Ai partecipanti al Convegno dei Delegati delle Nazioni Europee alla F.A.O.</v>
      </c>
    </row>
    <row r="1077" spans="2:32" x14ac:dyDescent="0.2">
      <c r="B1077" s="29">
        <v>260</v>
      </c>
      <c r="C1077" s="29" t="s">
        <v>4261</v>
      </c>
      <c r="D1077" s="29" t="s">
        <v>715</v>
      </c>
      <c r="E1077" s="29" t="s">
        <v>724</v>
      </c>
      <c r="F1077" s="29" t="s">
        <v>663</v>
      </c>
      <c r="G1077" s="29" t="s">
        <v>659</v>
      </c>
      <c r="H1077" s="29" t="str">
        <f t="shared" si="319"/>
        <v>Pio XII</v>
      </c>
      <c r="K1077" s="29" t="s">
        <v>827</v>
      </c>
      <c r="L1077" s="29" t="str">
        <f t="shared" si="328"/>
        <v>Discorso</v>
      </c>
      <c r="M1077" s="29" t="s">
        <v>566</v>
      </c>
      <c r="O1077" s="29" t="s">
        <v>4775</v>
      </c>
      <c r="Q1077" s="38">
        <v>17585</v>
      </c>
      <c r="R1077" s="32">
        <f t="shared" si="326"/>
        <v>22</v>
      </c>
      <c r="S1077" s="32"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32">
        <f t="shared" si="327"/>
        <v>1948</v>
      </c>
      <c r="U1077" s="29"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3"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9"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9">
        <v>1104</v>
      </c>
      <c r="Y1077" s="29" t="str">
        <f t="shared" si="320"/>
        <v>['Pio XII', 'Discorso', 'Ai tranvieri romani', 'pixii-dis-', '22 febbraio 1948', '22/02/1948', '1948/02/22'],</v>
      </c>
      <c r="Z1077" s="29" t="str">
        <f t="shared" si="321"/>
        <v>Ai tranvieri romani (17585) | Pio XII</v>
      </c>
      <c r="AA1077" s="29" t="str">
        <f t="shared" si="322"/>
        <v>Discorso Ai tranvieri romani</v>
      </c>
      <c r="AB1077" s="29" t="str">
        <f t="shared" si="323"/>
        <v>Discorso Ai tranvieri romani</v>
      </c>
      <c r="AC1077" s="29" t="str">
        <f t="shared" si="324"/>
        <v>Pio XII, Discorso Ai tranvieri romani, 22 febbraio 1948</v>
      </c>
      <c r="AD1077" s="29" t="str">
        <f t="shared" si="325"/>
        <v>1948-02-22T08:00:00.000+02:00</v>
      </c>
      <c r="AE1077" s="29" t="str">
        <f t="shared" si="329"/>
        <v>pixii-dis-</v>
      </c>
      <c r="AF1077" s="29" t="str">
        <f t="shared" si="330"/>
        <v>Pio XII - Discorso - Ai tranvieri romani</v>
      </c>
    </row>
    <row r="1078" spans="2:32" x14ac:dyDescent="0.2">
      <c r="B1078" s="29">
        <v>260</v>
      </c>
      <c r="C1078" s="29" t="s">
        <v>4262</v>
      </c>
      <c r="D1078" s="29" t="s">
        <v>715</v>
      </c>
      <c r="E1078" s="29" t="s">
        <v>724</v>
      </c>
      <c r="F1078" s="29" t="s">
        <v>663</v>
      </c>
      <c r="G1078" s="29" t="s">
        <v>659</v>
      </c>
      <c r="H1078" s="29" t="str">
        <f t="shared" si="319"/>
        <v>Pio XII</v>
      </c>
      <c r="K1078" s="29" t="s">
        <v>827</v>
      </c>
      <c r="L1078" s="29" t="str">
        <f t="shared" si="328"/>
        <v>Discorso</v>
      </c>
      <c r="M1078" s="29" t="s">
        <v>566</v>
      </c>
      <c r="O1078" s="29" t="s">
        <v>5100</v>
      </c>
      <c r="Q1078" s="38">
        <v>17598</v>
      </c>
      <c r="R1078" s="32">
        <f t="shared" si="326"/>
        <v>6</v>
      </c>
      <c r="S1078" s="32"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32">
        <f t="shared" si="327"/>
        <v>1948</v>
      </c>
      <c r="U1078" s="29"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3"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9"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9">
        <v>1105</v>
      </c>
      <c r="Y1078" s="29" t="str">
        <f t="shared" si="320"/>
        <v>['Pio XII', 'Discorso', 'Al nuovo Ambasciatore della Repubblica Argentina presso la Santa Sede, S.E. il Signor Nicola C. Accame', 'pixii-dis-', '06 marzo 1948', '06/03/1948', '1948/03/06'],</v>
      </c>
      <c r="Z1078" s="29" t="str">
        <f t="shared" si="321"/>
        <v>Al nuovo Ambasciatore della Repubblica Argentina presso la Santa Sede, S.E. il Signor Nicola C. Accame (17598) | Pio XII</v>
      </c>
      <c r="AA1078" s="29" t="str">
        <f t="shared" si="322"/>
        <v>Discorso Al nuovo Ambasciatore della Repubblica Argentina presso la Santa Sede, S.E. il Signor Nicola C. Accame</v>
      </c>
      <c r="AB1078" s="29" t="str">
        <f t="shared" si="323"/>
        <v>Discorso Al nuovo Ambasciatore della Repubblica Argentina presso la Santa Sede, S.E. il Signor Nicola C. Accame</v>
      </c>
      <c r="AC1078" s="29" t="str">
        <f t="shared" si="324"/>
        <v>Pio XII, Discorso Al nuovo Ambasciatore della Repubblica Argentina presso la Santa Sede, S.E. il Signor Nicola C. Accame, 06 marzo 1948</v>
      </c>
      <c r="AD1078" s="29" t="str">
        <f t="shared" si="325"/>
        <v>1948-03-06T08:00:00.000+02:00</v>
      </c>
      <c r="AE1078" s="29" t="str">
        <f t="shared" si="329"/>
        <v>pixii-dis-</v>
      </c>
      <c r="AF1078" s="29" t="str">
        <f t="shared" si="330"/>
        <v>Pio XII - Discorso - Al nuovo Ambasciatore della Repubblica Argentina presso la Santa Sede, S.E. il Signor Nicola C. Accame</v>
      </c>
    </row>
    <row r="1079" spans="2:32" x14ac:dyDescent="0.2">
      <c r="B1079" s="29">
        <v>260</v>
      </c>
      <c r="C1079" s="29" t="s">
        <v>4263</v>
      </c>
      <c r="D1079" s="29" t="s">
        <v>715</v>
      </c>
      <c r="E1079" s="29" t="s">
        <v>724</v>
      </c>
      <c r="F1079" s="29" t="s">
        <v>663</v>
      </c>
      <c r="G1079" s="29" t="s">
        <v>659</v>
      </c>
      <c r="H1079" s="29" t="str">
        <f t="shared" si="319"/>
        <v>Pio XII</v>
      </c>
      <c r="K1079" s="29" t="s">
        <v>827</v>
      </c>
      <c r="L1079" s="29" t="str">
        <f t="shared" si="328"/>
        <v>Discorso</v>
      </c>
      <c r="M1079" s="29" t="s">
        <v>566</v>
      </c>
      <c r="O1079" s="29" t="s">
        <v>4776</v>
      </c>
      <c r="Q1079" s="38">
        <v>17599</v>
      </c>
      <c r="R1079" s="32">
        <f t="shared" si="326"/>
        <v>7</v>
      </c>
      <c r="S1079" s="32"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32">
        <f t="shared" si="327"/>
        <v>1948</v>
      </c>
      <c r="U1079" s="29"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3"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9"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9">
        <v>1106</v>
      </c>
      <c r="Y1079" s="29" t="str">
        <f t="shared" si="320"/>
        <v>['Pio XII', 'Discorso', 'Ai partecipanti al Convegno di Politica degli Scambi Internazionali', 'pixii-dis-', '07 marzo 1948', '07/03/1948', '1948/03/07'],</v>
      </c>
      <c r="Z1079" s="29" t="str">
        <f t="shared" si="321"/>
        <v>Ai partecipanti al Convegno di Politica degli Scambi Internazionali (17599) | Pio XII</v>
      </c>
      <c r="AA1079" s="29" t="str">
        <f t="shared" si="322"/>
        <v>Discorso Ai partecipanti al Convegno di Politica degli Scambi Internazionali</v>
      </c>
      <c r="AB1079" s="29" t="str">
        <f t="shared" si="323"/>
        <v>Discorso Ai partecipanti al Convegno di Politica degli Scambi Internazionali</v>
      </c>
      <c r="AC1079" s="29" t="str">
        <f t="shared" si="324"/>
        <v>Pio XII, Discorso Ai partecipanti al Convegno di Politica degli Scambi Internazionali, 07 marzo 1948</v>
      </c>
      <c r="AD1079" s="29" t="str">
        <f t="shared" si="325"/>
        <v>1948-03-07T08:00:00.000+02:00</v>
      </c>
      <c r="AE1079" s="29" t="str">
        <f t="shared" si="329"/>
        <v>pixii-dis-</v>
      </c>
      <c r="AF1079" s="29" t="str">
        <f t="shared" si="330"/>
        <v>Pio XII - Discorso - Ai partecipanti al Convegno di Politica degli Scambi Internazionali</v>
      </c>
    </row>
    <row r="1080" spans="2:32" x14ac:dyDescent="0.2">
      <c r="B1080" s="29">
        <v>260</v>
      </c>
      <c r="C1080" s="29" t="s">
        <v>4264</v>
      </c>
      <c r="D1080" s="29" t="s">
        <v>715</v>
      </c>
      <c r="E1080" s="29" t="s">
        <v>724</v>
      </c>
      <c r="F1080" s="29" t="s">
        <v>663</v>
      </c>
      <c r="G1080" s="29" t="s">
        <v>659</v>
      </c>
      <c r="H1080" s="29" t="str">
        <f t="shared" si="319"/>
        <v>Pio XII</v>
      </c>
      <c r="K1080" s="29" t="s">
        <v>827</v>
      </c>
      <c r="L1080" s="29" t="str">
        <f t="shared" si="328"/>
        <v>Discorso</v>
      </c>
      <c r="M1080" s="29" t="s">
        <v>566</v>
      </c>
      <c r="O1080" s="29" t="s">
        <v>4777</v>
      </c>
      <c r="Q1080" s="38">
        <v>17602</v>
      </c>
      <c r="R1080" s="32">
        <f t="shared" si="326"/>
        <v>10</v>
      </c>
      <c r="S1080" s="32"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32">
        <f t="shared" si="327"/>
        <v>1948</v>
      </c>
      <c r="U1080" s="29"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3"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9"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9">
        <v>1107</v>
      </c>
      <c r="Y1080" s="29" t="str">
        <f t="shared" si="320"/>
        <v>['Pio XII', 'Discorso', 'Ai parroci e al clero della diocesi di Roma', 'pixii-dis-', '10 marzo 1948', '10/03/1948', '1948/03/10'],</v>
      </c>
      <c r="Z1080" s="29" t="str">
        <f t="shared" si="321"/>
        <v>Ai parroci e al clero della diocesi di Roma (17602) | Pio XII</v>
      </c>
      <c r="AA1080" s="29" t="str">
        <f t="shared" si="322"/>
        <v>Discorso Ai parroci e al clero della diocesi di Roma</v>
      </c>
      <c r="AB1080" s="29" t="str">
        <f t="shared" si="323"/>
        <v>Discorso Ai parroci e al clero della diocesi di Roma</v>
      </c>
      <c r="AC1080" s="29" t="str">
        <f t="shared" si="324"/>
        <v>Pio XII, Discorso Ai parroci e al clero della diocesi di Roma, 10 marzo 1948</v>
      </c>
      <c r="AD1080" s="29" t="str">
        <f t="shared" si="325"/>
        <v>1948-03-10T08:00:00.000+02:00</v>
      </c>
      <c r="AE1080" s="29" t="str">
        <f t="shared" si="329"/>
        <v>pixii-dis-</v>
      </c>
      <c r="AF1080" s="29" t="str">
        <f t="shared" si="330"/>
        <v>Pio XII - Discorso - Ai parroci e al clero della diocesi di Roma</v>
      </c>
    </row>
    <row r="1081" spans="2:32" x14ac:dyDescent="0.2">
      <c r="B1081" s="29">
        <v>260</v>
      </c>
      <c r="C1081" s="29" t="s">
        <v>4265</v>
      </c>
      <c r="D1081" s="29" t="s">
        <v>715</v>
      </c>
      <c r="E1081" s="29" t="s">
        <v>724</v>
      </c>
      <c r="F1081" s="29" t="s">
        <v>663</v>
      </c>
      <c r="G1081" s="29" t="s">
        <v>659</v>
      </c>
      <c r="H1081" s="29" t="str">
        <f t="shared" si="319"/>
        <v>Pio XII</v>
      </c>
      <c r="K1081" s="29" t="s">
        <v>827</v>
      </c>
      <c r="L1081" s="29" t="str">
        <f t="shared" si="328"/>
        <v>Discorso</v>
      </c>
      <c r="M1081" s="29" t="s">
        <v>566</v>
      </c>
      <c r="O1081" s="29" t="s">
        <v>4685</v>
      </c>
      <c r="Q1081" s="38">
        <v>17620</v>
      </c>
      <c r="R1081" s="32">
        <f t="shared" si="326"/>
        <v>28</v>
      </c>
      <c r="S1081" s="32"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32">
        <f t="shared" si="327"/>
        <v>1948</v>
      </c>
      <c r="U1081" s="29"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3"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9"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9">
        <v>1108</v>
      </c>
      <c r="Y1081" s="29" t="str">
        <f t="shared" si="320"/>
        <v>['Pio XII', 'Discorso', 'Al popolo romano', 'pixii-dis-', '28 marzo 1948', '28/03/1948', '1948/03/28'],</v>
      </c>
      <c r="Z1081" s="29" t="str">
        <f t="shared" si="321"/>
        <v>Al popolo romano (17620) | Pio XII</v>
      </c>
      <c r="AA1081" s="29" t="str">
        <f t="shared" si="322"/>
        <v>Discorso Al popolo romano</v>
      </c>
      <c r="AB1081" s="29" t="str">
        <f t="shared" si="323"/>
        <v>Discorso Al popolo romano</v>
      </c>
      <c r="AC1081" s="29" t="str">
        <f t="shared" si="324"/>
        <v>Pio XII, Discorso Al popolo romano, 28 marzo 1948</v>
      </c>
      <c r="AD1081" s="29" t="str">
        <f t="shared" si="325"/>
        <v>1948-03-28T08:00:00.000+02:00</v>
      </c>
      <c r="AE1081" s="29" t="str">
        <f t="shared" si="329"/>
        <v>pixii-dis-</v>
      </c>
      <c r="AF1081" s="29" t="str">
        <f t="shared" si="330"/>
        <v>Pio XII - Discorso - Al popolo romano</v>
      </c>
    </row>
    <row r="1082" spans="2:32" x14ac:dyDescent="0.2">
      <c r="B1082" s="29">
        <v>260</v>
      </c>
      <c r="C1082" s="29" t="s">
        <v>4266</v>
      </c>
      <c r="D1082" s="29" t="s">
        <v>715</v>
      </c>
      <c r="E1082" s="29" t="s">
        <v>724</v>
      </c>
      <c r="F1082" s="29" t="s">
        <v>663</v>
      </c>
      <c r="G1082" s="29" t="s">
        <v>659</v>
      </c>
      <c r="H1082" s="29" t="str">
        <f t="shared" si="319"/>
        <v>Pio XII</v>
      </c>
      <c r="K1082" s="29" t="s">
        <v>827</v>
      </c>
      <c r="L1082" s="29" t="str">
        <f t="shared" si="328"/>
        <v>Discorso</v>
      </c>
      <c r="M1082" s="29" t="s">
        <v>566</v>
      </c>
      <c r="O1082" s="29" t="s">
        <v>4778</v>
      </c>
      <c r="Q1082" s="38">
        <v>17656</v>
      </c>
      <c r="R1082" s="32">
        <f t="shared" si="326"/>
        <v>3</v>
      </c>
      <c r="S1082" s="32"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32">
        <f t="shared" si="327"/>
        <v>1948</v>
      </c>
      <c r="U1082" s="29"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3"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9"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9">
        <v>1109</v>
      </c>
      <c r="Y1082" s="29" t="str">
        <f t="shared" si="320"/>
        <v>['Pio XII', 'Discorso', 'Al nuovo Ambasciatore del Brasile presso la Santa Sede, S.E. il Signor Federico de Castello-Branco Clark, in occasione della presentazione delle Lettere Credenziali', 'pixii-dis-', '03 maggio 1948', '03/05/1948', '1948/05/03'],</v>
      </c>
      <c r="Z1082" s="29" t="str">
        <f t="shared" si="321"/>
        <v>Al nuovo Ambasciatore del Brasile presso la Santa Sede, S.E. il Signor Federico de Castello-Branco Clark, in occasione della presentazione delle Lettere Credenziali (17656) | Pio XII</v>
      </c>
      <c r="AA1082" s="29" t="str">
        <f t="shared" si="322"/>
        <v>Discorso Al nuovo Ambasciatore del Brasile presso la Santa Sede, S.E. il Signor Federico de Castello-Branco Clark, in occasione della presentazione delle Lettere Credenziali</v>
      </c>
      <c r="AB1082" s="29" t="str">
        <f t="shared" si="323"/>
        <v>Discorso Al nuovo Ambasciatore del Brasile presso la Santa Sede, S.E. il Signor Federico de Castello-Branco Clark, in occasione della presentazione delle Lettere Credenziali</v>
      </c>
      <c r="AC1082" s="29" t="str">
        <f t="shared" si="324"/>
        <v>Pio XII, Discorso Al nuovo Ambasciatore del Brasile presso la Santa Sede, S.E. il Signor Federico de Castello-Branco Clark, in occasione della presentazione delle Lettere Credenziali, 03 maggio 1948</v>
      </c>
      <c r="AD1082" s="29" t="str">
        <f t="shared" si="325"/>
        <v>1948-05-03T08:00:00.000+02:00</v>
      </c>
      <c r="AE1082" s="29" t="str">
        <f t="shared" si="329"/>
        <v>pixii-dis-</v>
      </c>
      <c r="AF1082" s="29" t="str">
        <f t="shared" si="330"/>
        <v>Pio XII - Discorso - Al nuovo Ambasciatore del Brasile presso la Santa Sede, S.E. il Signor Federico de Castello-Branco Clark, in occasione della presentazione delle Lettere Credenziali</v>
      </c>
    </row>
    <row r="1083" spans="2:32" x14ac:dyDescent="0.2">
      <c r="B1083" s="29">
        <v>260</v>
      </c>
      <c r="C1083" s="29" t="s">
        <v>4267</v>
      </c>
      <c r="D1083" s="29" t="s">
        <v>715</v>
      </c>
      <c r="E1083" s="29" t="s">
        <v>724</v>
      </c>
      <c r="F1083" s="29" t="s">
        <v>663</v>
      </c>
      <c r="G1083" s="29" t="s">
        <v>659</v>
      </c>
      <c r="H1083" s="29" t="str">
        <f t="shared" si="319"/>
        <v>Pio XII</v>
      </c>
      <c r="K1083" s="29" t="s">
        <v>827</v>
      </c>
      <c r="L1083" s="29" t="str">
        <f t="shared" si="328"/>
        <v>Discorso</v>
      </c>
      <c r="M1083" s="29" t="s">
        <v>566</v>
      </c>
      <c r="O1083" s="29" t="s">
        <v>4779</v>
      </c>
      <c r="Q1083" s="38">
        <v>17665</v>
      </c>
      <c r="R1083" s="32">
        <f t="shared" si="326"/>
        <v>12</v>
      </c>
      <c r="S1083" s="32"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32">
        <f t="shared" si="327"/>
        <v>1948</v>
      </c>
      <c r="U1083" s="29"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3"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9"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9">
        <v>1110</v>
      </c>
      <c r="Y1083" s="29" t="str">
        <f t="shared" si="320"/>
        <v>['Pio XII', 'Discorso', 'Al personale della Zecca di Roma', 'pixii-dis-', '12 maggio 1948', '12/05/1948', '1948/05/12'],</v>
      </c>
      <c r="Z1083" s="29" t="str">
        <f t="shared" si="321"/>
        <v>Al personale della Zecca di Roma (17665) | Pio XII</v>
      </c>
      <c r="AA1083" s="29" t="str">
        <f t="shared" si="322"/>
        <v>Discorso Al personale della Zecca di Roma</v>
      </c>
      <c r="AB1083" s="29" t="str">
        <f t="shared" si="323"/>
        <v>Discorso Al personale della Zecca di Roma</v>
      </c>
      <c r="AC1083" s="29" t="str">
        <f t="shared" si="324"/>
        <v>Pio XII, Discorso Al personale della Zecca di Roma, 12 maggio 1948</v>
      </c>
      <c r="AD1083" s="29" t="str">
        <f t="shared" si="325"/>
        <v>1948-05-12T08:00:00.000+02:00</v>
      </c>
      <c r="AE1083" s="29" t="str">
        <f t="shared" si="329"/>
        <v>pixii-dis-</v>
      </c>
      <c r="AF1083" s="29" t="str">
        <f t="shared" si="330"/>
        <v>Pio XII - Discorso - Al personale della Zecca di Roma</v>
      </c>
    </row>
    <row r="1084" spans="2:32" x14ac:dyDescent="0.2">
      <c r="B1084" s="29">
        <v>260</v>
      </c>
      <c r="C1084" s="29" t="s">
        <v>4268</v>
      </c>
      <c r="D1084" s="29" t="s">
        <v>715</v>
      </c>
      <c r="E1084" s="29" t="s">
        <v>724</v>
      </c>
      <c r="F1084" s="29" t="s">
        <v>663</v>
      </c>
      <c r="G1084" s="29" t="s">
        <v>659</v>
      </c>
      <c r="H1084" s="29" t="str">
        <f t="shared" si="319"/>
        <v>Pio XII</v>
      </c>
      <c r="K1084" s="29" t="s">
        <v>827</v>
      </c>
      <c r="L1084" s="29" t="str">
        <f t="shared" si="328"/>
        <v>Discorso</v>
      </c>
      <c r="M1084" s="29" t="s">
        <v>566</v>
      </c>
      <c r="O1084" s="29" t="s">
        <v>4780</v>
      </c>
      <c r="Q1084" s="38">
        <v>17673</v>
      </c>
      <c r="R1084" s="32">
        <f t="shared" si="326"/>
        <v>20</v>
      </c>
      <c r="S1084" s="32"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32">
        <f t="shared" si="327"/>
        <v>1948</v>
      </c>
      <c r="U1084" s="29"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3"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9"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9">
        <v>1111</v>
      </c>
      <c r="Y1084" s="29" t="str">
        <f t="shared" si="320"/>
        <v>['Pio XII', 'Discorso', 'Agli esponenti dell'Istituto Internazionale per l'Unificazione del Diritto Privato', 'pixii-dis-', '20 maggio 1948', '20/05/1948', '1948/05/20'],</v>
      </c>
      <c r="Z1084" s="29" t="str">
        <f t="shared" si="321"/>
        <v>Agli esponenti dell'Istituto Internazionale per l'Unificazione del Diritto Privato (17673) | Pio XII</v>
      </c>
      <c r="AA1084" s="29" t="str">
        <f t="shared" si="322"/>
        <v>Discorso Agli esponenti dell'Istituto Internazionale per l'Unificazione del Diritto Privato</v>
      </c>
      <c r="AB1084" s="29" t="str">
        <f t="shared" si="323"/>
        <v>Discorso Agli esponenti dell'Istituto Internazionale per l'Unificazione del Diritto Privato</v>
      </c>
      <c r="AC1084" s="29" t="str">
        <f t="shared" si="324"/>
        <v>Pio XII, Discorso Agli esponenti dell'Istituto Internazionale per l'Unificazione del Diritto Privato, 20 maggio 1948</v>
      </c>
      <c r="AD1084" s="29" t="str">
        <f t="shared" si="325"/>
        <v>1948-05-20T08:00:00.000+02:00</v>
      </c>
      <c r="AE1084" s="29" t="str">
        <f t="shared" si="329"/>
        <v>pixii-dis-</v>
      </c>
      <c r="AF1084" s="29" t="str">
        <f t="shared" si="330"/>
        <v>Pio XII - Discorso - Agli esponenti dell'Istituto Internazionale per l'Unificazione del Diritto Privato</v>
      </c>
    </row>
    <row r="1085" spans="2:32" x14ac:dyDescent="0.2">
      <c r="B1085" s="29">
        <v>260</v>
      </c>
      <c r="C1085" s="29" t="s">
        <v>4269</v>
      </c>
      <c r="D1085" s="29" t="s">
        <v>715</v>
      </c>
      <c r="E1085" s="29" t="s">
        <v>724</v>
      </c>
      <c r="F1085" s="29" t="s">
        <v>663</v>
      </c>
      <c r="G1085" s="29" t="s">
        <v>659</v>
      </c>
      <c r="H1085" s="29" t="str">
        <f t="shared" si="319"/>
        <v>Pio XII</v>
      </c>
      <c r="K1085" s="29" t="s">
        <v>827</v>
      </c>
      <c r="L1085" s="29" t="str">
        <f t="shared" si="328"/>
        <v>Discorso</v>
      </c>
      <c r="M1085" s="29" t="s">
        <v>566</v>
      </c>
      <c r="O1085" s="29" t="s">
        <v>4781</v>
      </c>
      <c r="Q1085" s="38">
        <v>17674</v>
      </c>
      <c r="R1085" s="32">
        <f t="shared" si="326"/>
        <v>21</v>
      </c>
      <c r="S1085" s="32"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32">
        <f t="shared" si="327"/>
        <v>1948</v>
      </c>
      <c r="U1085" s="29"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3"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9"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9">
        <v>1112</v>
      </c>
      <c r="Y1085" s="29" t="str">
        <f t="shared" si="320"/>
        <v>['Pio XII', 'Discorso', 'Ai partecipanti al VI Congresso Internazionale di Chirurgia', 'pixii-dis-', '21 maggio 1948', '21/05/1948', '1948/05/21'],</v>
      </c>
      <c r="Z1085" s="29" t="str">
        <f t="shared" si="321"/>
        <v>Ai partecipanti al VI Congresso Internazionale di Chirurgia (17674) | Pio XII</v>
      </c>
      <c r="AA1085" s="29" t="str">
        <f t="shared" si="322"/>
        <v>Discorso Ai partecipanti al VI Congresso Internazionale di Chirurgia</v>
      </c>
      <c r="AB1085" s="29" t="str">
        <f t="shared" si="323"/>
        <v>Discorso Ai partecipanti al VI Congresso Internazionale di Chirurgia</v>
      </c>
      <c r="AC1085" s="29" t="str">
        <f t="shared" si="324"/>
        <v>Pio XII, Discorso Ai partecipanti al VI Congresso Internazionale di Chirurgia, 21 maggio 1948</v>
      </c>
      <c r="AD1085" s="29" t="str">
        <f t="shared" si="325"/>
        <v>1948-05-21T08:00:00.000+02:00</v>
      </c>
      <c r="AE1085" s="29" t="str">
        <f t="shared" si="329"/>
        <v>pixii-dis-</v>
      </c>
      <c r="AF1085" s="29" t="str">
        <f t="shared" si="330"/>
        <v>Pio XII - Discorso - Ai partecipanti al VI Congresso Internazionale di Chirurgia</v>
      </c>
    </row>
    <row r="1086" spans="2:32" x14ac:dyDescent="0.2">
      <c r="B1086" s="29">
        <v>260</v>
      </c>
      <c r="C1086" s="29" t="s">
        <v>4270</v>
      </c>
      <c r="D1086" s="29" t="s">
        <v>715</v>
      </c>
      <c r="E1086" s="29" t="s">
        <v>724</v>
      </c>
      <c r="F1086" s="29" t="s">
        <v>663</v>
      </c>
      <c r="G1086" s="29" t="s">
        <v>659</v>
      </c>
      <c r="H1086" s="29" t="str">
        <f t="shared" si="319"/>
        <v>Pio XII</v>
      </c>
      <c r="K1086" s="29" t="s">
        <v>827</v>
      </c>
      <c r="L1086" s="29" t="str">
        <f t="shared" si="328"/>
        <v>Discorso</v>
      </c>
      <c r="M1086" s="29" t="s">
        <v>566</v>
      </c>
      <c r="O1086" s="29" t="s">
        <v>4782</v>
      </c>
      <c r="Q1086" s="38">
        <v>17676</v>
      </c>
      <c r="R1086" s="32">
        <f t="shared" si="326"/>
        <v>23</v>
      </c>
      <c r="S1086" s="32"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32">
        <f t="shared" si="327"/>
        <v>1948</v>
      </c>
      <c r="U1086" s="29"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3"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9"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9">
        <v>1113</v>
      </c>
      <c r="Y1086" s="29" t="str">
        <f t="shared" si="320"/>
        <v>['Pio XII', 'Discorso', 'Ai membri dell'Opera dei Ritiri di Perseveranza di Roma e di Napoli', 'pixii-dis-', '23 maggio 1948', '23/05/1948', '1948/05/23'],</v>
      </c>
      <c r="Z1086" s="29" t="str">
        <f t="shared" si="321"/>
        <v>Ai membri dell'Opera dei Ritiri di Perseveranza di Roma e di Napoli (17676) | Pio XII</v>
      </c>
      <c r="AA1086" s="29" t="str">
        <f t="shared" si="322"/>
        <v>Discorso Ai membri dell'Opera dei Ritiri di Perseveranza di Roma e di Napoli</v>
      </c>
      <c r="AB1086" s="29" t="str">
        <f t="shared" si="323"/>
        <v>Discorso Ai membri dell'Opera dei Ritiri di Perseveranza di Roma e di Napoli</v>
      </c>
      <c r="AC1086" s="29" t="str">
        <f t="shared" si="324"/>
        <v>Pio XII, Discorso Ai membri dell'Opera dei Ritiri di Perseveranza di Roma e di Napoli, 23 maggio 1948</v>
      </c>
      <c r="AD1086" s="29" t="str">
        <f t="shared" si="325"/>
        <v>1948-05-23T08:00:00.000+02:00</v>
      </c>
      <c r="AE1086" s="29" t="str">
        <f t="shared" si="329"/>
        <v>pixii-dis-</v>
      </c>
      <c r="AF1086" s="29" t="str">
        <f t="shared" si="330"/>
        <v>Pio XII - Discorso - Ai membri dell'Opera dei Ritiri di Perseveranza di Roma e di Napoli</v>
      </c>
    </row>
    <row r="1087" spans="2:32" x14ac:dyDescent="0.2">
      <c r="B1087" s="29">
        <v>260</v>
      </c>
      <c r="C1087" s="29" t="s">
        <v>4271</v>
      </c>
      <c r="D1087" s="29" t="s">
        <v>715</v>
      </c>
      <c r="E1087" s="29" t="s">
        <v>724</v>
      </c>
      <c r="F1087" s="29" t="s">
        <v>663</v>
      </c>
      <c r="G1087" s="29" t="s">
        <v>659</v>
      </c>
      <c r="H1087" s="29" t="str">
        <f t="shared" ref="H1087:H1150" si="331">_xlfn.CONCAT(D1087 &amp; " " &amp; E1087)</f>
        <v>Pio XII</v>
      </c>
      <c r="K1087" s="29" t="s">
        <v>827</v>
      </c>
      <c r="L1087" s="29" t="str">
        <f t="shared" si="328"/>
        <v>Discorso</v>
      </c>
      <c r="M1087" s="29" t="s">
        <v>566</v>
      </c>
      <c r="O1087" s="29" t="s">
        <v>4783</v>
      </c>
      <c r="Q1087" s="38">
        <v>17683</v>
      </c>
      <c r="R1087" s="32">
        <f t="shared" si="326"/>
        <v>30</v>
      </c>
      <c r="S1087" s="32"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32">
        <f t="shared" si="327"/>
        <v>1948</v>
      </c>
      <c r="U1087" s="29"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3"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9"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9">
        <v>1114</v>
      </c>
      <c r="Y1087" s="29" t="str">
        <f t="shared" si="320"/>
        <v>['Pio XII', 'Discorso', 'Radiomessaggio nel decimo anniversario del Congresso Eucaristico Internazionale di Budapest', 'pixii-dis-', '30 maggio 1948', '30/05/1948', '1948/05/30'],</v>
      </c>
      <c r="Z1087" s="29" t="str">
        <f t="shared" si="321"/>
        <v>Radiomessaggio nel decimo anniversario del Congresso Eucaristico Internazionale di Budapest (17683) | Pio XII</v>
      </c>
      <c r="AA1087" s="29" t="str">
        <f t="shared" si="322"/>
        <v>Discorso Radiomessaggio nel decimo anniversario del Congresso Eucaristico Internazionale di Budapest</v>
      </c>
      <c r="AB1087" s="29" t="str">
        <f t="shared" si="323"/>
        <v>Discorso Radiomessaggio nel decimo anniversario del Congresso Eucaristico Internazionale di Budapest</v>
      </c>
      <c r="AC1087" s="29" t="str">
        <f t="shared" si="324"/>
        <v>Pio XII, Discorso Radiomessaggio nel decimo anniversario del Congresso Eucaristico Internazionale di Budapest, 30 maggio 1948</v>
      </c>
      <c r="AD1087" s="29" t="str">
        <f t="shared" si="325"/>
        <v>1948-05-30T08:00:00.000+02:00</v>
      </c>
      <c r="AE1087" s="29" t="str">
        <f t="shared" si="329"/>
        <v>pixii-dis-</v>
      </c>
      <c r="AF1087" s="29" t="str">
        <f t="shared" si="330"/>
        <v>Pio XII - Discorso - Radiomessaggio nel decimo anniversario del Congresso Eucaristico Internazionale di Budapest</v>
      </c>
    </row>
    <row r="1088" spans="2:32" x14ac:dyDescent="0.2">
      <c r="B1088" s="29">
        <v>260</v>
      </c>
      <c r="C1088" s="29" t="s">
        <v>4272</v>
      </c>
      <c r="D1088" s="29" t="s">
        <v>715</v>
      </c>
      <c r="E1088" s="29" t="s">
        <v>724</v>
      </c>
      <c r="F1088" s="29" t="s">
        <v>663</v>
      </c>
      <c r="G1088" s="29" t="s">
        <v>659</v>
      </c>
      <c r="H1088" s="29" t="str">
        <f t="shared" si="331"/>
        <v>Pio XII</v>
      </c>
      <c r="K1088" s="29" t="s">
        <v>827</v>
      </c>
      <c r="L1088" s="29" t="str">
        <f t="shared" si="328"/>
        <v>Discorso</v>
      </c>
      <c r="M1088" s="29" t="s">
        <v>566</v>
      </c>
      <c r="O1088" s="29" t="s">
        <v>4784</v>
      </c>
      <c r="Q1088" s="38">
        <v>17686</v>
      </c>
      <c r="R1088" s="32">
        <f t="shared" si="326"/>
        <v>2</v>
      </c>
      <c r="S1088" s="32"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32">
        <f t="shared" si="327"/>
        <v>1948</v>
      </c>
      <c r="U1088" s="29"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3"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9"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9">
        <v>1115</v>
      </c>
      <c r="Y1088" s="29" t="str">
        <f t="shared" si="320"/>
        <v>['Pio XII', 'Discorso', 'Al Sacro Collegio nella festività di S. Eugenio', 'pixii-dis-', '02 giugno 1948', '02/06/1948', '1948/06/02'],</v>
      </c>
      <c r="Z1088" s="29" t="str">
        <f t="shared" si="321"/>
        <v>Al Sacro Collegio nella festività di S. Eugenio (17686) | Pio XII</v>
      </c>
      <c r="AA1088" s="29" t="str">
        <f t="shared" si="322"/>
        <v>Discorso Al Sacro Collegio nella festività di S. Eugenio</v>
      </c>
      <c r="AB1088" s="29" t="str">
        <f t="shared" si="323"/>
        <v>Discorso Al Sacro Collegio nella festività di S. Eugenio</v>
      </c>
      <c r="AC1088" s="29" t="str">
        <f t="shared" si="324"/>
        <v>Pio XII, Discorso Al Sacro Collegio nella festività di S. Eugenio, 02 giugno 1948</v>
      </c>
      <c r="AD1088" s="29" t="str">
        <f t="shared" si="325"/>
        <v>1948-06-02T08:00:00.000+02:00</v>
      </c>
      <c r="AE1088" s="29" t="str">
        <f t="shared" si="329"/>
        <v>pixii-dis-</v>
      </c>
      <c r="AF1088" s="29" t="str">
        <f t="shared" si="330"/>
        <v>Pio XII - Discorso - Al Sacro Collegio nella festività di S. Eugenio</v>
      </c>
    </row>
    <row r="1089" spans="2:32" x14ac:dyDescent="0.2">
      <c r="B1089" s="29">
        <v>260</v>
      </c>
      <c r="C1089" s="29" t="s">
        <v>4273</v>
      </c>
      <c r="D1089" s="29" t="s">
        <v>715</v>
      </c>
      <c r="E1089" s="29" t="s">
        <v>724</v>
      </c>
      <c r="F1089" s="29" t="s">
        <v>663</v>
      </c>
      <c r="G1089" s="29" t="s">
        <v>659</v>
      </c>
      <c r="H1089" s="29" t="str">
        <f t="shared" si="331"/>
        <v>Pio XII</v>
      </c>
      <c r="K1089" s="29" t="s">
        <v>827</v>
      </c>
      <c r="L1089" s="29" t="str">
        <f t="shared" si="328"/>
        <v>Discorso</v>
      </c>
      <c r="M1089" s="29" t="s">
        <v>566</v>
      </c>
      <c r="O1089" s="29" t="s">
        <v>4785</v>
      </c>
      <c r="Q1089" s="38">
        <v>17704</v>
      </c>
      <c r="R1089" s="32">
        <f t="shared" si="326"/>
        <v>20</v>
      </c>
      <c r="S1089" s="32"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32">
        <f t="shared" si="327"/>
        <v>1948</v>
      </c>
      <c r="U1089" s="29"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3"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9"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9">
        <v>1116</v>
      </c>
      <c r="Y1089" s="29" t="str">
        <f t="shared" si="320"/>
        <v>['Pio XII', 'Discorso', 'Ai membri dell'Associazione fra i Romani', 'pixii-dis-', '20 giugno 1948', '20/06/1948', '1948/06/20'],</v>
      </c>
      <c r="Z1089" s="29" t="str">
        <f t="shared" si="321"/>
        <v>Ai membri dell'Associazione fra i Romani (17704) | Pio XII</v>
      </c>
      <c r="AA1089" s="29" t="str">
        <f t="shared" si="322"/>
        <v>Discorso Ai membri dell'Associazione fra i Romani</v>
      </c>
      <c r="AB1089" s="29" t="str">
        <f t="shared" si="323"/>
        <v>Discorso Ai membri dell'Associazione fra i Romani</v>
      </c>
      <c r="AC1089" s="29" t="str">
        <f t="shared" si="324"/>
        <v>Pio XII, Discorso Ai membri dell'Associazione fra i Romani, 20 giugno 1948</v>
      </c>
      <c r="AD1089" s="29" t="str">
        <f t="shared" si="325"/>
        <v>1948-06-20T08:00:00.000+02:00</v>
      </c>
      <c r="AE1089" s="29" t="str">
        <f t="shared" si="329"/>
        <v>pixii-dis-</v>
      </c>
      <c r="AF1089" s="29" t="str">
        <f t="shared" si="330"/>
        <v>Pio XII - Discorso - Ai membri dell'Associazione fra i Romani</v>
      </c>
    </row>
    <row r="1090" spans="2:32" x14ac:dyDescent="0.2">
      <c r="B1090" s="29">
        <v>260</v>
      </c>
      <c r="C1090" s="29" t="s">
        <v>4274</v>
      </c>
      <c r="D1090" s="29" t="s">
        <v>715</v>
      </c>
      <c r="E1090" s="29" t="s">
        <v>724</v>
      </c>
      <c r="F1090" s="29" t="s">
        <v>663</v>
      </c>
      <c r="G1090" s="29" t="s">
        <v>659</v>
      </c>
      <c r="H1090" s="29" t="str">
        <f t="shared" si="331"/>
        <v>Pio XII</v>
      </c>
      <c r="K1090" s="29" t="s">
        <v>827</v>
      </c>
      <c r="L1090" s="29" t="str">
        <f t="shared" si="328"/>
        <v>Discorso</v>
      </c>
      <c r="M1090" s="29" t="s">
        <v>566</v>
      </c>
      <c r="O1090" s="29" t="s">
        <v>4786</v>
      </c>
      <c r="Q1090" s="38">
        <v>17704</v>
      </c>
      <c r="R1090" s="32">
        <f t="shared" si="326"/>
        <v>20</v>
      </c>
      <c r="S1090" s="32"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32">
        <f t="shared" si="327"/>
        <v>1948</v>
      </c>
      <c r="U1090" s="29"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3"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9"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9">
        <v>1117</v>
      </c>
      <c r="Y1090" s="29" t="str">
        <f t="shared" ref="Y1090:Y1153" si="332">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9" t="str">
        <f t="shared" ref="Z1090:Z1153" si="333">_xlfn.CONCAT(O1090 &amp; " (" &amp; Q1090 &amp; ") | " &amp; D1090 &amp; " " &amp; E1090)</f>
        <v>Ai funzionari e ai dipendenti della sede centrale del Banco di Napoli (17704) | Pio XII</v>
      </c>
      <c r="AA1090" s="29" t="str">
        <f t="shared" ref="AA1090:AA1153" si="334">_xlfn.CONCAT(K1090 &amp; " " &amp; O1090)</f>
        <v>Discorso Ai funzionari e ai dipendenti della sede centrale del Banco di Napoli</v>
      </c>
      <c r="AB1090" s="29" t="str">
        <f t="shared" ref="AB1090:AB1153" si="335">_xlfn.CONCAT(K1090 &amp; " " &amp; O1090)</f>
        <v>Discorso Ai funzionari e ai dipendenti della sede centrale del Banco di Napoli</v>
      </c>
      <c r="AC1090" s="29" t="str">
        <f t="shared" ref="AC1090:AC1153" si="336">_xlfn.CONCAT(H1090 &amp; ", " &amp; L1090 &amp; " " &amp; O1090 &amp; ", " &amp; LEFT(U1090,2) &amp; " " &amp; TEXT(VALUE(MID(U1090,4,2))*29,"mmmm") &amp; " " &amp; RIGHT(U1090,4))</f>
        <v>Pio XII, Discorso Ai funzionari e ai dipendenti della sede centrale del Banco di Napoli, 20 giugno 1948</v>
      </c>
      <c r="AD1090" s="29" t="str">
        <f t="shared" ref="AD1090:AD1153" si="337">_xlfn.CONCAT(RIGHT(U1090,4) &amp; "-" &amp; MID(U1090,4,2) &amp; "-" &amp; LEFT(U1090,2) &amp; "T08:00:00.000+02:00")</f>
        <v>1948-06-20T08:00:00.000+02:00</v>
      </c>
      <c r="AE1090" s="29" t="str">
        <f t="shared" si="329"/>
        <v>pixii-dis-</v>
      </c>
      <c r="AF1090" s="29" t="str">
        <f t="shared" si="330"/>
        <v>Pio XII - Discorso - Ai funzionari e ai dipendenti della sede centrale del Banco di Napoli</v>
      </c>
    </row>
    <row r="1091" spans="2:32" x14ac:dyDescent="0.2">
      <c r="B1091" s="29">
        <v>260</v>
      </c>
      <c r="C1091" s="29" t="s">
        <v>4275</v>
      </c>
      <c r="D1091" s="29" t="s">
        <v>715</v>
      </c>
      <c r="E1091" s="29" t="s">
        <v>724</v>
      </c>
      <c r="F1091" s="29" t="s">
        <v>663</v>
      </c>
      <c r="G1091" s="29" t="s">
        <v>659</v>
      </c>
      <c r="H1091" s="29" t="str">
        <f t="shared" si="331"/>
        <v>Pio XII</v>
      </c>
      <c r="K1091" s="29" t="s">
        <v>827</v>
      </c>
      <c r="L1091" s="29" t="str">
        <f t="shared" si="328"/>
        <v>Discorso</v>
      </c>
      <c r="M1091" s="29" t="s">
        <v>566</v>
      </c>
      <c r="O1091" s="29" t="s">
        <v>4787</v>
      </c>
      <c r="Q1091" s="38">
        <v>17713</v>
      </c>
      <c r="R1091" s="32">
        <f t="shared" si="326"/>
        <v>29</v>
      </c>
      <c r="S1091" s="32"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32">
        <f t="shared" si="327"/>
        <v>1948</v>
      </c>
      <c r="U1091" s="29"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3"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9"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9">
        <v>1118</v>
      </c>
      <c r="Y1091" s="29" t="str">
        <f t="shared" si="332"/>
        <v>['Pio XII', 'Discorso', 'A diversi gruppi di pellegrini appartenenti alle A.C.L.I.', 'pixii-dis-', '29 giugno 1948', '29/06/1948', '1948/06/29'],</v>
      </c>
      <c r="Z1091" s="29" t="str">
        <f t="shared" si="333"/>
        <v>A diversi gruppi di pellegrini appartenenti alle A.C.L.I. (17713) | Pio XII</v>
      </c>
      <c r="AA1091" s="29" t="str">
        <f t="shared" si="334"/>
        <v>Discorso A diversi gruppi di pellegrini appartenenti alle A.C.L.I.</v>
      </c>
      <c r="AB1091" s="29" t="str">
        <f t="shared" si="335"/>
        <v>Discorso A diversi gruppi di pellegrini appartenenti alle A.C.L.I.</v>
      </c>
      <c r="AC1091" s="29" t="str">
        <f t="shared" si="336"/>
        <v>Pio XII, Discorso A diversi gruppi di pellegrini appartenenti alle A.C.L.I., 29 giugno 1948</v>
      </c>
      <c r="AD1091" s="29" t="str">
        <f t="shared" si="337"/>
        <v>1948-06-29T08:00:00.000+02:00</v>
      </c>
      <c r="AE1091" s="29" t="str">
        <f t="shared" si="329"/>
        <v>pixii-dis-</v>
      </c>
      <c r="AF1091" s="29" t="str">
        <f t="shared" si="330"/>
        <v>Pio XII - Discorso - A diversi gruppi di pellegrini appartenenti alle A.C.L.I.</v>
      </c>
    </row>
    <row r="1092" spans="2:32" x14ac:dyDescent="0.2">
      <c r="B1092" s="29">
        <v>260</v>
      </c>
      <c r="C1092" s="29" t="s">
        <v>4276</v>
      </c>
      <c r="D1092" s="29" t="s">
        <v>715</v>
      </c>
      <c r="E1092" s="29" t="s">
        <v>724</v>
      </c>
      <c r="F1092" s="29" t="s">
        <v>663</v>
      </c>
      <c r="G1092" s="29" t="s">
        <v>659</v>
      </c>
      <c r="H1092" s="29" t="str">
        <f t="shared" si="331"/>
        <v>Pio XII</v>
      </c>
      <c r="K1092" s="29" t="s">
        <v>827</v>
      </c>
      <c r="L1092" s="29" t="str">
        <f t="shared" si="328"/>
        <v>Discorso</v>
      </c>
      <c r="M1092" s="29" t="s">
        <v>566</v>
      </c>
      <c r="O1092" s="29" t="s">
        <v>4788</v>
      </c>
      <c r="Q1092" s="38">
        <v>17725</v>
      </c>
      <c r="R1092" s="32">
        <f t="shared" si="326"/>
        <v>11</v>
      </c>
      <c r="S1092" s="32"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32">
        <f t="shared" si="327"/>
        <v>1948</v>
      </c>
      <c r="U1092" s="29"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3"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9"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9">
        <v>1119</v>
      </c>
      <c r="Y1092" s="29" t="str">
        <f t="shared" si="332"/>
        <v>['Pio XII', 'Discorso', 'Ad un gruppo di bambini mutilati di guerra', 'pixii-dis-', '11 luglio 1948', '11/07/1948', '1948/07/11'],</v>
      </c>
      <c r="Z1092" s="29" t="str">
        <f t="shared" si="333"/>
        <v>Ad un gruppo di bambini mutilati di guerra (17725) | Pio XII</v>
      </c>
      <c r="AA1092" s="29" t="str">
        <f t="shared" si="334"/>
        <v>Discorso Ad un gruppo di bambini mutilati di guerra</v>
      </c>
      <c r="AB1092" s="29" t="str">
        <f t="shared" si="335"/>
        <v>Discorso Ad un gruppo di bambini mutilati di guerra</v>
      </c>
      <c r="AC1092" s="29" t="str">
        <f t="shared" si="336"/>
        <v>Pio XII, Discorso Ad un gruppo di bambini mutilati di guerra, 11 luglio 1948</v>
      </c>
      <c r="AD1092" s="29" t="str">
        <f t="shared" si="337"/>
        <v>1948-07-11T08:00:00.000+02:00</v>
      </c>
      <c r="AE1092" s="29" t="str">
        <f t="shared" si="329"/>
        <v>pixii-dis-</v>
      </c>
      <c r="AF1092" s="29" t="str">
        <f t="shared" si="330"/>
        <v>Pio XII - Discorso - Ad un gruppo di bambini mutilati di guerra</v>
      </c>
    </row>
    <row r="1093" spans="2:32" x14ac:dyDescent="0.2">
      <c r="B1093" s="29">
        <v>260</v>
      </c>
      <c r="C1093" s="29" t="s">
        <v>4277</v>
      </c>
      <c r="D1093" s="29" t="s">
        <v>715</v>
      </c>
      <c r="E1093" s="29" t="s">
        <v>724</v>
      </c>
      <c r="F1093" s="29" t="s">
        <v>663</v>
      </c>
      <c r="G1093" s="29" t="s">
        <v>659</v>
      </c>
      <c r="H1093" s="29" t="str">
        <f t="shared" si="331"/>
        <v>Pio XII</v>
      </c>
      <c r="K1093" s="29" t="s">
        <v>827</v>
      </c>
      <c r="L1093" s="29" t="str">
        <f t="shared" si="328"/>
        <v>Discorso</v>
      </c>
      <c r="M1093" s="29" t="s">
        <v>566</v>
      </c>
      <c r="O1093" s="29" t="s">
        <v>4789</v>
      </c>
      <c r="Q1093" s="38">
        <v>17727</v>
      </c>
      <c r="R1093" s="32">
        <f t="shared" si="326"/>
        <v>13</v>
      </c>
      <c r="S1093" s="32"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32">
        <f t="shared" si="327"/>
        <v>1948</v>
      </c>
      <c r="U1093" s="29"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3"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9"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9">
        <v>1120</v>
      </c>
      <c r="Y1093" s="29" t="str">
        <f t="shared" si="332"/>
        <v>['Pio XII', 'Discorso', 'Al nuovo Ambasciatore della Repubblica dell'Ecuador presso la Santa Sede, S.E. il Signor D. Manuel Larrea Ribadeneira, in occasione della presentazione delle Lettere Credenziali', 'pixii-dis-', '13 luglio 1948', '13/07/1948', '1948/07/13'],</v>
      </c>
      <c r="Z1093" s="29" t="str">
        <f t="shared" si="333"/>
        <v>Al nuovo Ambasciatore della Repubblica dell'Ecuador presso la Santa Sede, S.E. il Signor D. Manuel Larrea Ribadeneira, in occasione della presentazione delle Lettere Credenziali (17727) | Pio XII</v>
      </c>
      <c r="AA1093" s="29" t="str">
        <f t="shared" si="334"/>
        <v>Discorso Al nuovo Ambasciatore della Repubblica dell'Ecuador presso la Santa Sede, S.E. il Signor D. Manuel Larrea Ribadeneira, in occasione della presentazione delle Lettere Credenziali</v>
      </c>
      <c r="AB1093" s="29" t="str">
        <f t="shared" si="335"/>
        <v>Discorso Al nuovo Ambasciatore della Repubblica dell'Ecuador presso la Santa Sede, S.E. il Signor D. Manuel Larrea Ribadeneira, in occasione della presentazione delle Lettere Credenziali</v>
      </c>
      <c r="AC1093" s="29" t="str">
        <f t="shared" si="336"/>
        <v>Pio XII, Discorso Al nuovo Ambasciatore della Repubblica dell'Ecuador presso la Santa Sede, S.E. il Signor D. Manuel Larrea Ribadeneira, in occasione della presentazione delle Lettere Credenziali, 13 luglio 1948</v>
      </c>
      <c r="AD1093" s="29" t="str">
        <f t="shared" si="337"/>
        <v>1948-07-13T08:00:00.000+02:00</v>
      </c>
      <c r="AE1093" s="29" t="str">
        <f t="shared" si="329"/>
        <v>pixii-dis-</v>
      </c>
      <c r="AF1093" s="29" t="str">
        <f t="shared" si="330"/>
        <v>Pio XII - Discorso - Al nuovo Ambasciatore della Repubblica dell'Ecuador presso la Santa Sede, S.E. il Signor D. Manuel Larrea Ribadeneira, in occasione della presentazione delle Lettere Credenziali</v>
      </c>
    </row>
    <row r="1094" spans="2:32" x14ac:dyDescent="0.2">
      <c r="B1094" s="29">
        <v>260</v>
      </c>
      <c r="C1094" s="29" t="s">
        <v>4278</v>
      </c>
      <c r="D1094" s="29" t="s">
        <v>715</v>
      </c>
      <c r="E1094" s="29" t="s">
        <v>724</v>
      </c>
      <c r="F1094" s="29" t="s">
        <v>663</v>
      </c>
      <c r="G1094" s="29" t="s">
        <v>659</v>
      </c>
      <c r="H1094" s="29" t="str">
        <f t="shared" si="331"/>
        <v>Pio XII</v>
      </c>
      <c r="K1094" s="29" t="s">
        <v>827</v>
      </c>
      <c r="L1094" s="29" t="str">
        <f t="shared" si="328"/>
        <v>Discorso</v>
      </c>
      <c r="M1094" s="29" t="s">
        <v>566</v>
      </c>
      <c r="O1094" s="29" t="s">
        <v>4790</v>
      </c>
      <c r="Q1094" s="38">
        <v>17728</v>
      </c>
      <c r="R1094" s="32">
        <f t="shared" si="326"/>
        <v>14</v>
      </c>
      <c r="S1094" s="32"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32">
        <f t="shared" si="327"/>
        <v>1948</v>
      </c>
      <c r="U1094" s="29"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3"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9"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9">
        <v>1121</v>
      </c>
      <c r="Y1094" s="29" t="str">
        <f t="shared" si="332"/>
        <v>['Pio XII', 'Discorso', 'Ad un folto gruppo di militari della Guardia di Finanza', 'pixii-dis-', '14 luglio 1948', '14/07/1948', '1948/07/14'],</v>
      </c>
      <c r="Z1094" s="29" t="str">
        <f t="shared" si="333"/>
        <v>Ad un folto gruppo di militari della Guardia di Finanza (17728) | Pio XII</v>
      </c>
      <c r="AA1094" s="29" t="str">
        <f t="shared" si="334"/>
        <v>Discorso Ad un folto gruppo di militari della Guardia di Finanza</v>
      </c>
      <c r="AB1094" s="29" t="str">
        <f t="shared" si="335"/>
        <v>Discorso Ad un folto gruppo di militari della Guardia di Finanza</v>
      </c>
      <c r="AC1094" s="29" t="str">
        <f t="shared" si="336"/>
        <v>Pio XII, Discorso Ad un folto gruppo di militari della Guardia di Finanza, 14 luglio 1948</v>
      </c>
      <c r="AD1094" s="29" t="str">
        <f t="shared" si="337"/>
        <v>1948-07-14T08:00:00.000+02:00</v>
      </c>
      <c r="AE1094" s="29" t="str">
        <f t="shared" si="329"/>
        <v>pixii-dis-</v>
      </c>
      <c r="AF1094" s="29" t="str">
        <f t="shared" si="330"/>
        <v>Pio XII - Discorso - Ad un folto gruppo di militari della Guardia di Finanza</v>
      </c>
    </row>
    <row r="1095" spans="2:32" x14ac:dyDescent="0.2">
      <c r="B1095" s="29">
        <v>260</v>
      </c>
      <c r="C1095" s="29" t="s">
        <v>4279</v>
      </c>
      <c r="D1095" s="29" t="s">
        <v>715</v>
      </c>
      <c r="E1095" s="29" t="s">
        <v>724</v>
      </c>
      <c r="F1095" s="29" t="s">
        <v>663</v>
      </c>
      <c r="G1095" s="29" t="s">
        <v>659</v>
      </c>
      <c r="H1095" s="29" t="str">
        <f t="shared" si="331"/>
        <v>Pio XII</v>
      </c>
      <c r="K1095" s="29" t="s">
        <v>827</v>
      </c>
      <c r="L1095" s="29" t="str">
        <f t="shared" si="328"/>
        <v>Discorso</v>
      </c>
      <c r="M1095" s="29" t="s">
        <v>566</v>
      </c>
      <c r="O1095" s="29" t="s">
        <v>4791</v>
      </c>
      <c r="Q1095" s="38">
        <v>17781</v>
      </c>
      <c r="R1095" s="32">
        <f t="shared" si="326"/>
        <v>5</v>
      </c>
      <c r="S1095" s="32"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32">
        <f t="shared" si="327"/>
        <v>1948</v>
      </c>
      <c r="U1095" s="29"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3"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9"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9">
        <v>1122</v>
      </c>
      <c r="Y1095" s="29" t="str">
        <f t="shared" si="332"/>
        <v>['Pio XII', 'Discorso', 'Nel 30 della Gioventù femminile italiana di Azione Cattolica', 'pixii-dis-', '05 settembre 1948', '05/09/1948', '1948/09/05'],</v>
      </c>
      <c r="Z1095" s="29" t="str">
        <f t="shared" si="333"/>
        <v>Nel 30 della Gioventù femminile italiana di Azione Cattolica (17781) | Pio XII</v>
      </c>
      <c r="AA1095" s="29" t="str">
        <f t="shared" si="334"/>
        <v>Discorso Nel 30 della Gioventù femminile italiana di Azione Cattolica</v>
      </c>
      <c r="AB1095" s="29" t="str">
        <f t="shared" si="335"/>
        <v>Discorso Nel 30 della Gioventù femminile italiana di Azione Cattolica</v>
      </c>
      <c r="AC1095" s="29" t="str">
        <f t="shared" si="336"/>
        <v>Pio XII, Discorso Nel 30 della Gioventù femminile italiana di Azione Cattolica, 05 settembre 1948</v>
      </c>
      <c r="AD1095" s="29" t="str">
        <f t="shared" si="337"/>
        <v>1948-09-05T08:00:00.000+02:00</v>
      </c>
      <c r="AE1095" s="29" t="str">
        <f t="shared" si="329"/>
        <v>pixii-dis-</v>
      </c>
      <c r="AF1095" s="29" t="str">
        <f t="shared" si="330"/>
        <v>Pio XII - Discorso - Nel 30 della Gioventù femminile italiana di Azione Cattolica</v>
      </c>
    </row>
    <row r="1096" spans="2:32" x14ac:dyDescent="0.2">
      <c r="B1096" s="29">
        <v>260</v>
      </c>
      <c r="C1096" s="29" t="s">
        <v>4280</v>
      </c>
      <c r="D1096" s="29" t="s">
        <v>715</v>
      </c>
      <c r="E1096" s="29" t="s">
        <v>724</v>
      </c>
      <c r="F1096" s="29" t="s">
        <v>663</v>
      </c>
      <c r="G1096" s="29" t="s">
        <v>659</v>
      </c>
      <c r="H1096" s="29" t="str">
        <f t="shared" si="331"/>
        <v>Pio XII</v>
      </c>
      <c r="K1096" s="29" t="s">
        <v>827</v>
      </c>
      <c r="L1096" s="29" t="str">
        <f t="shared" si="328"/>
        <v>Discorso</v>
      </c>
      <c r="M1096" s="29" t="s">
        <v>566</v>
      </c>
      <c r="O1096" s="29" t="s">
        <v>4792</v>
      </c>
      <c r="Q1096" s="38">
        <v>17785</v>
      </c>
      <c r="R1096" s="32">
        <f t="shared" si="326"/>
        <v>9</v>
      </c>
      <c r="S1096" s="32"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32">
        <f t="shared" si="327"/>
        <v>1948</v>
      </c>
      <c r="U1096" s="29"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3"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9"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9">
        <v>1123</v>
      </c>
      <c r="Y1096" s="29" t="str">
        <f t="shared" si="332"/>
        <v>['Pio XII', 'Discorso', 'Ai componenti delle varie Delegazioni della 37ª Conferenza della Unione Interparlamentare', 'pixii-dis-', '09 settembre 1948', '09/09/1948', '1948/09/09'],</v>
      </c>
      <c r="Z1096" s="29" t="str">
        <f t="shared" si="333"/>
        <v>Ai componenti delle varie Delegazioni della 37ª Conferenza della Unione Interparlamentare (17785) | Pio XII</v>
      </c>
      <c r="AA1096" s="29" t="str">
        <f t="shared" si="334"/>
        <v>Discorso Ai componenti delle varie Delegazioni della 37ª Conferenza della Unione Interparlamentare</v>
      </c>
      <c r="AB1096" s="29" t="str">
        <f t="shared" si="335"/>
        <v>Discorso Ai componenti delle varie Delegazioni della 37ª Conferenza della Unione Interparlamentare</v>
      </c>
      <c r="AC1096" s="29" t="str">
        <f t="shared" si="336"/>
        <v>Pio XII, Discorso Ai componenti delle varie Delegazioni della 37ª Conferenza della Unione Interparlamentare, 09 settembre 1948</v>
      </c>
      <c r="AD1096" s="29" t="str">
        <f t="shared" si="337"/>
        <v>1948-09-09T08:00:00.000+02:00</v>
      </c>
      <c r="AE1096" s="29" t="str">
        <f t="shared" si="329"/>
        <v>pixii-dis-</v>
      </c>
      <c r="AF1096" s="29" t="str">
        <f t="shared" si="330"/>
        <v>Pio XII - Discorso - Ai componenti delle varie Delegazioni della 37ª Conferenza della Unione Interparlamentare</v>
      </c>
    </row>
    <row r="1097" spans="2:32" x14ac:dyDescent="0.2">
      <c r="B1097" s="29">
        <v>260</v>
      </c>
      <c r="C1097" s="29" t="s">
        <v>4281</v>
      </c>
      <c r="D1097" s="29" t="s">
        <v>715</v>
      </c>
      <c r="E1097" s="29" t="s">
        <v>724</v>
      </c>
      <c r="F1097" s="29" t="s">
        <v>663</v>
      </c>
      <c r="G1097" s="29" t="s">
        <v>659</v>
      </c>
      <c r="H1097" s="29" t="str">
        <f t="shared" si="331"/>
        <v>Pio XII</v>
      </c>
      <c r="K1097" s="29" t="s">
        <v>827</v>
      </c>
      <c r="L1097" s="29" t="str">
        <f t="shared" si="328"/>
        <v>Discorso</v>
      </c>
      <c r="M1097" s="29" t="s">
        <v>566</v>
      </c>
      <c r="O1097" s="29" t="s">
        <v>4793</v>
      </c>
      <c r="Q1097" s="38">
        <v>17786</v>
      </c>
      <c r="R1097" s="32">
        <f t="shared" si="326"/>
        <v>10</v>
      </c>
      <c r="S1097" s="32"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32">
        <f t="shared" si="327"/>
        <v>1948</v>
      </c>
      <c r="U1097" s="29"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3"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9"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9">
        <v>1124</v>
      </c>
      <c r="Y1097" s="29" t="str">
        <f t="shared" si="332"/>
        <v>['Pio XII', 'Discorso', 'Ai delegati e ai partecipanti al Congresso Nazionale dell'Associazione Italiana Maestri Cattolici', 'pixii-dis-', '10 settembre 1948', '10/09/1948', '1948/09/10'],</v>
      </c>
      <c r="Z1097" s="29" t="str">
        <f t="shared" si="333"/>
        <v>Ai delegati e ai partecipanti al Congresso Nazionale dell'Associazione Italiana Maestri Cattolici (17786) | Pio XII</v>
      </c>
      <c r="AA1097" s="29" t="str">
        <f t="shared" si="334"/>
        <v>Discorso Ai delegati e ai partecipanti al Congresso Nazionale dell'Associazione Italiana Maestri Cattolici</v>
      </c>
      <c r="AB1097" s="29" t="str">
        <f t="shared" si="335"/>
        <v>Discorso Ai delegati e ai partecipanti al Congresso Nazionale dell'Associazione Italiana Maestri Cattolici</v>
      </c>
      <c r="AC1097" s="29" t="str">
        <f t="shared" si="336"/>
        <v>Pio XII, Discorso Ai delegati e ai partecipanti al Congresso Nazionale dell'Associazione Italiana Maestri Cattolici, 10 settembre 1948</v>
      </c>
      <c r="AD1097" s="29" t="str">
        <f t="shared" si="337"/>
        <v>1948-09-10T08:00:00.000+02:00</v>
      </c>
      <c r="AE1097" s="29" t="str">
        <f t="shared" si="329"/>
        <v>pixii-dis-</v>
      </c>
      <c r="AF1097" s="29" t="str">
        <f t="shared" si="330"/>
        <v>Pio XII - Discorso - Ai delegati e ai partecipanti al Congresso Nazionale dell'Associazione Italiana Maestri Cattolici</v>
      </c>
    </row>
    <row r="1098" spans="2:32" x14ac:dyDescent="0.2">
      <c r="B1098" s="29">
        <v>260</v>
      </c>
      <c r="C1098" s="29" t="s">
        <v>4282</v>
      </c>
      <c r="D1098" s="29" t="s">
        <v>715</v>
      </c>
      <c r="E1098" s="29" t="s">
        <v>724</v>
      </c>
      <c r="F1098" s="29" t="s">
        <v>663</v>
      </c>
      <c r="G1098" s="29" t="s">
        <v>659</v>
      </c>
      <c r="H1098" s="29" t="str">
        <f t="shared" si="331"/>
        <v>Pio XII</v>
      </c>
      <c r="K1098" s="29" t="s">
        <v>827</v>
      </c>
      <c r="L1098" s="29" t="str">
        <f t="shared" si="328"/>
        <v>Discorso</v>
      </c>
      <c r="M1098" s="29" t="s">
        <v>566</v>
      </c>
      <c r="O1098" s="29" t="s">
        <v>4794</v>
      </c>
      <c r="Q1098" s="38">
        <v>17788</v>
      </c>
      <c r="R1098" s="32">
        <f t="shared" si="326"/>
        <v>12</v>
      </c>
      <c r="S1098" s="32"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32">
        <f t="shared" si="327"/>
        <v>1948</v>
      </c>
      <c r="U1098" s="29"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3"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9"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9">
        <v>1125</v>
      </c>
      <c r="Y1098" s="29" t="str">
        <f t="shared" si="332"/>
        <v>['Pio XII', 'Discorso', 'Nell'80 della Gioventù italiana di Azione Cattolica', 'pixii-dis-', '12 settembre 1948', '12/09/1948', '1948/09/12'],</v>
      </c>
      <c r="Z1098" s="29" t="str">
        <f t="shared" si="333"/>
        <v>Nell'80 della Gioventù italiana di Azione Cattolica (17788) | Pio XII</v>
      </c>
      <c r="AA1098" s="29" t="str">
        <f t="shared" si="334"/>
        <v>Discorso Nell'80 della Gioventù italiana di Azione Cattolica</v>
      </c>
      <c r="AB1098" s="29" t="str">
        <f t="shared" si="335"/>
        <v>Discorso Nell'80 della Gioventù italiana di Azione Cattolica</v>
      </c>
      <c r="AC1098" s="29" t="str">
        <f t="shared" si="336"/>
        <v>Pio XII, Discorso Nell'80 della Gioventù italiana di Azione Cattolica, 12 settembre 1948</v>
      </c>
      <c r="AD1098" s="29" t="str">
        <f t="shared" si="337"/>
        <v>1948-09-12T08:00:00.000+02:00</v>
      </c>
      <c r="AE1098" s="29" t="str">
        <f t="shared" si="329"/>
        <v>pixii-dis-</v>
      </c>
      <c r="AF1098" s="29" t="str">
        <f t="shared" si="330"/>
        <v>Pio XII - Discorso - Nell'80 della Gioventù italiana di Azione Cattolica</v>
      </c>
    </row>
    <row r="1099" spans="2:32" x14ac:dyDescent="0.2">
      <c r="B1099" s="29">
        <v>260</v>
      </c>
      <c r="C1099" s="29" t="s">
        <v>4283</v>
      </c>
      <c r="D1099" s="29" t="s">
        <v>715</v>
      </c>
      <c r="E1099" s="29" t="s">
        <v>724</v>
      </c>
      <c r="F1099" s="29" t="s">
        <v>663</v>
      </c>
      <c r="G1099" s="29" t="s">
        <v>659</v>
      </c>
      <c r="H1099" s="29" t="str">
        <f t="shared" si="331"/>
        <v>Pio XII</v>
      </c>
      <c r="K1099" s="29" t="s">
        <v>827</v>
      </c>
      <c r="L1099" s="29" t="str">
        <f t="shared" si="328"/>
        <v>Discorso</v>
      </c>
      <c r="M1099" s="29" t="s">
        <v>566</v>
      </c>
      <c r="O1099" s="29" t="s">
        <v>4795</v>
      </c>
      <c r="Q1099" s="38">
        <v>17805</v>
      </c>
      <c r="R1099" s="32">
        <f t="shared" si="326"/>
        <v>29</v>
      </c>
      <c r="S1099" s="32"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32">
        <f t="shared" si="327"/>
        <v>1948</v>
      </c>
      <c r="U1099" s="29"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3"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9"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9">
        <v>1126</v>
      </c>
      <c r="Y1099" s="29" t="str">
        <f t="shared" si="332"/>
        <v>['Pio XII', 'Discorso', 'Al nuovo Ambasciatore di Francia presso la Santa Sede, S.E. il Signor Vladimiro d'Ormesson, in occasione della presentazione delle Lettere Credenziali', 'pixii-dis-', '29 settembre 1948', '29/09/1948', '1948/09/29'],</v>
      </c>
      <c r="Z1099" s="29" t="str">
        <f t="shared" si="333"/>
        <v>Al nuovo Ambasciatore di Francia presso la Santa Sede, S.E. il Signor Vladimiro d'Ormesson, in occasione della presentazione delle Lettere Credenziali (17805) | Pio XII</v>
      </c>
      <c r="AA1099" s="29" t="str">
        <f t="shared" si="334"/>
        <v>Discorso Al nuovo Ambasciatore di Francia presso la Santa Sede, S.E. il Signor Vladimiro d'Ormesson, in occasione della presentazione delle Lettere Credenziali</v>
      </c>
      <c r="AB1099" s="29" t="str">
        <f t="shared" si="335"/>
        <v>Discorso Al nuovo Ambasciatore di Francia presso la Santa Sede, S.E. il Signor Vladimiro d'Ormesson, in occasione della presentazione delle Lettere Credenziali</v>
      </c>
      <c r="AC1099" s="29" t="str">
        <f t="shared" si="336"/>
        <v>Pio XII, Discorso Al nuovo Ambasciatore di Francia presso la Santa Sede, S.E. il Signor Vladimiro d'Ormesson, in occasione della presentazione delle Lettere Credenziali, 29 settembre 1948</v>
      </c>
      <c r="AD1099" s="29" t="str">
        <f t="shared" si="337"/>
        <v>1948-09-29T08:00:00.000+02:00</v>
      </c>
      <c r="AE1099" s="29" t="str">
        <f t="shared" si="329"/>
        <v>pixii-dis-</v>
      </c>
      <c r="AF1099" s="29" t="str">
        <f t="shared" si="330"/>
        <v>Pio XII - Discorso - Al nuovo Ambasciatore di Francia presso la Santa Sede, S.E. il Signor Vladimiro d'Ormesson, in occasione della presentazione delle Lettere Credenziali</v>
      </c>
    </row>
    <row r="1100" spans="2:32" x14ac:dyDescent="0.2">
      <c r="B1100" s="29">
        <v>260</v>
      </c>
      <c r="C1100" s="29" t="s">
        <v>4284</v>
      </c>
      <c r="D1100" s="29" t="s">
        <v>715</v>
      </c>
      <c r="E1100" s="29" t="s">
        <v>724</v>
      </c>
      <c r="F1100" s="29" t="s">
        <v>663</v>
      </c>
      <c r="G1100" s="29" t="s">
        <v>659</v>
      </c>
      <c r="H1100" s="29" t="str">
        <f t="shared" si="331"/>
        <v>Pio XII</v>
      </c>
      <c r="K1100" s="29" t="s">
        <v>827</v>
      </c>
      <c r="L1100" s="29" t="str">
        <f t="shared" si="328"/>
        <v>Discorso</v>
      </c>
      <c r="M1100" s="29" t="s">
        <v>566</v>
      </c>
      <c r="O1100" s="29" t="s">
        <v>4796</v>
      </c>
      <c r="Q1100" s="38">
        <v>17808</v>
      </c>
      <c r="R1100" s="32">
        <f t="shared" si="326"/>
        <v>2</v>
      </c>
      <c r="S1100" s="32"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32">
        <f t="shared" si="327"/>
        <v>1948</v>
      </c>
      <c r="U1100" s="29"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3"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9"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9">
        <v>1127</v>
      </c>
      <c r="Y1100" s="29" t="str">
        <f t="shared" si="332"/>
        <v>['Pio XII', 'Discorso', 'Ai partecipanti al Congresso dell'Istituto Internazionale delle Finanze Pubbliche', 'pixii-dis-', '02 ottobre 1948', '02/10/1948', '1948/10/02'],</v>
      </c>
      <c r="Z1100" s="29" t="str">
        <f t="shared" si="333"/>
        <v>Ai partecipanti al Congresso dell'Istituto Internazionale delle Finanze Pubbliche (17808) | Pio XII</v>
      </c>
      <c r="AA1100" s="29" t="str">
        <f t="shared" si="334"/>
        <v>Discorso Ai partecipanti al Congresso dell'Istituto Internazionale delle Finanze Pubbliche</v>
      </c>
      <c r="AB1100" s="29" t="str">
        <f t="shared" si="335"/>
        <v>Discorso Ai partecipanti al Congresso dell'Istituto Internazionale delle Finanze Pubbliche</v>
      </c>
      <c r="AC1100" s="29" t="str">
        <f t="shared" si="336"/>
        <v>Pio XII, Discorso Ai partecipanti al Congresso dell'Istituto Internazionale delle Finanze Pubbliche, 02 ottobre 1948</v>
      </c>
      <c r="AD1100" s="29" t="str">
        <f t="shared" si="337"/>
        <v>1948-10-02T08:00:00.000+02:00</v>
      </c>
      <c r="AE1100" s="29" t="str">
        <f t="shared" si="329"/>
        <v>pixii-dis-</v>
      </c>
      <c r="AF1100" s="29" t="str">
        <f t="shared" si="330"/>
        <v>Pio XII - Discorso - Ai partecipanti al Congresso dell'Istituto Internazionale delle Finanze Pubbliche</v>
      </c>
    </row>
    <row r="1101" spans="2:32" x14ac:dyDescent="0.2">
      <c r="B1101" s="29">
        <v>260</v>
      </c>
      <c r="C1101" s="29" t="s">
        <v>4285</v>
      </c>
      <c r="D1101" s="29" t="s">
        <v>715</v>
      </c>
      <c r="E1101" s="29" t="s">
        <v>724</v>
      </c>
      <c r="F1101" s="29" t="s">
        <v>663</v>
      </c>
      <c r="G1101" s="29" t="s">
        <v>659</v>
      </c>
      <c r="H1101" s="29" t="str">
        <f t="shared" si="331"/>
        <v>Pio XII</v>
      </c>
      <c r="K1101" s="29" t="s">
        <v>827</v>
      </c>
      <c r="L1101" s="29" t="str">
        <f t="shared" si="328"/>
        <v>Discorso</v>
      </c>
      <c r="M1101" s="29" t="s">
        <v>566</v>
      </c>
      <c r="O1101" s="29" t="s">
        <v>4797</v>
      </c>
      <c r="Q1101" s="38">
        <v>17815</v>
      </c>
      <c r="R1101" s="32">
        <f t="shared" si="326"/>
        <v>9</v>
      </c>
      <c r="S1101" s="32"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32">
        <f t="shared" si="327"/>
        <v>1948</v>
      </c>
      <c r="U1101" s="29"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3"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9"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9">
        <v>1128</v>
      </c>
      <c r="Y1101" s="29" t="str">
        <f t="shared" si="332"/>
        <v>['Pio XII', 'Discorso', 'Ai partecipanti al X Congresso Nazionale dell' «Associazione Volontari Italiani del Sangue»', 'pixii-dis-', '09 ottobre 1948', '09/10/1948', '1948/10/09'],</v>
      </c>
      <c r="Z1101" s="29" t="str">
        <f t="shared" si="333"/>
        <v>Ai partecipanti al X Congresso Nazionale dell' «Associazione Volontari Italiani del Sangue» (17815) | Pio XII</v>
      </c>
      <c r="AA1101" s="29" t="str">
        <f t="shared" si="334"/>
        <v>Discorso Ai partecipanti al X Congresso Nazionale dell' «Associazione Volontari Italiani del Sangue»</v>
      </c>
      <c r="AB1101" s="29" t="str">
        <f t="shared" si="335"/>
        <v>Discorso Ai partecipanti al X Congresso Nazionale dell' «Associazione Volontari Italiani del Sangue»</v>
      </c>
      <c r="AC1101" s="29" t="str">
        <f t="shared" si="336"/>
        <v>Pio XII, Discorso Ai partecipanti al X Congresso Nazionale dell' «Associazione Volontari Italiani del Sangue», 09 ottobre 1948</v>
      </c>
      <c r="AD1101" s="29" t="str">
        <f t="shared" si="337"/>
        <v>1948-10-09T08:00:00.000+02:00</v>
      </c>
      <c r="AE1101" s="29" t="str">
        <f t="shared" si="329"/>
        <v>pixii-dis-</v>
      </c>
      <c r="AF1101" s="29" t="str">
        <f t="shared" si="330"/>
        <v>Pio XII - Discorso - Ai partecipanti al X Congresso Nazionale dell' «Associazione Volontari Italiani del Sangue»</v>
      </c>
    </row>
    <row r="1102" spans="2:32" x14ac:dyDescent="0.2">
      <c r="B1102" s="29">
        <v>260</v>
      </c>
      <c r="C1102" s="29" t="s">
        <v>4286</v>
      </c>
      <c r="D1102" s="29" t="s">
        <v>715</v>
      </c>
      <c r="E1102" s="29" t="s">
        <v>724</v>
      </c>
      <c r="F1102" s="29" t="s">
        <v>663</v>
      </c>
      <c r="G1102" s="29" t="s">
        <v>659</v>
      </c>
      <c r="H1102" s="29" t="str">
        <f t="shared" si="331"/>
        <v>Pio XII</v>
      </c>
      <c r="K1102" s="29" t="s">
        <v>827</v>
      </c>
      <c r="L1102" s="29" t="str">
        <f t="shared" si="328"/>
        <v>Discorso</v>
      </c>
      <c r="M1102" s="29" t="s">
        <v>566</v>
      </c>
      <c r="O1102" s="29" t="s">
        <v>4798</v>
      </c>
      <c r="Q1102" s="38">
        <v>17819</v>
      </c>
      <c r="R1102" s="32">
        <f t="shared" si="326"/>
        <v>13</v>
      </c>
      <c r="S1102" s="32"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32">
        <f t="shared" si="327"/>
        <v>1948</v>
      </c>
      <c r="U1102" s="29"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3"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9"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9">
        <v>1129</v>
      </c>
      <c r="Y1102" s="29" t="str">
        <f t="shared" si="332"/>
        <v>['Pio XII', 'Discorso', 'Per l'accensione della lampada votiva destinata alla Patrona dei ciclisti, la Vergine del Santuario del Ghisallo', 'pixii-dis-', '13 ottobre 1948', '13/10/1948', '1948/10/13'],</v>
      </c>
      <c r="Z1102" s="29" t="str">
        <f t="shared" si="333"/>
        <v>Per l'accensione della lampada votiva destinata alla Patrona dei ciclisti, la Vergine del Santuario del Ghisallo (17819) | Pio XII</v>
      </c>
      <c r="AA1102" s="29" t="str">
        <f t="shared" si="334"/>
        <v>Discorso Per l'accensione della lampada votiva destinata alla Patrona dei ciclisti, la Vergine del Santuario del Ghisallo</v>
      </c>
      <c r="AB1102" s="29" t="str">
        <f t="shared" si="335"/>
        <v>Discorso Per l'accensione della lampada votiva destinata alla Patrona dei ciclisti, la Vergine del Santuario del Ghisallo</v>
      </c>
      <c r="AC1102" s="29" t="str">
        <f t="shared" si="336"/>
        <v>Pio XII, Discorso Per l'accensione della lampada votiva destinata alla Patrona dei ciclisti, la Vergine del Santuario del Ghisallo, 13 ottobre 1948</v>
      </c>
      <c r="AD1102" s="29" t="str">
        <f t="shared" si="337"/>
        <v>1948-10-13T08:00:00.000+02:00</v>
      </c>
      <c r="AE1102" s="29" t="str">
        <f t="shared" si="329"/>
        <v>pixii-dis-</v>
      </c>
      <c r="AF1102" s="29" t="str">
        <f t="shared" si="330"/>
        <v>Pio XII - Discorso - Per l'accensione della lampada votiva destinata alla Patrona dei ciclisti, la Vergine del Santuario del Ghisallo</v>
      </c>
    </row>
    <row r="1103" spans="2:32" x14ac:dyDescent="0.2">
      <c r="B1103" s="29">
        <v>260</v>
      </c>
      <c r="C1103" s="29" t="s">
        <v>4287</v>
      </c>
      <c r="D1103" s="29" t="s">
        <v>715</v>
      </c>
      <c r="E1103" s="29" t="s">
        <v>724</v>
      </c>
      <c r="F1103" s="29" t="s">
        <v>663</v>
      </c>
      <c r="G1103" s="29" t="s">
        <v>659</v>
      </c>
      <c r="H1103" s="29" t="str">
        <f t="shared" si="331"/>
        <v>Pio XII</v>
      </c>
      <c r="K1103" s="29" t="s">
        <v>827</v>
      </c>
      <c r="L1103" s="29" t="str">
        <f t="shared" si="328"/>
        <v>Discorso</v>
      </c>
      <c r="M1103" s="29" t="s">
        <v>566</v>
      </c>
      <c r="O1103" s="29" t="s">
        <v>4799</v>
      </c>
      <c r="Q1103" s="38">
        <v>17837</v>
      </c>
      <c r="R1103" s="32">
        <f t="shared" si="326"/>
        <v>31</v>
      </c>
      <c r="S1103" s="32"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32">
        <f t="shared" si="327"/>
        <v>1948</v>
      </c>
      <c r="U1103" s="29"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3"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9"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9">
        <v>1130</v>
      </c>
      <c r="Y1103" s="29" t="str">
        <f t="shared" si="332"/>
        <v>['Pio XII', 'Discorso', 'Ai lavoratori degli Stabilimenti FIAT di Torino', 'pixii-dis-', '31 ottobre 1948', '31/10/1948', '1948/10/31'],</v>
      </c>
      <c r="Z1103" s="29" t="str">
        <f t="shared" si="333"/>
        <v>Ai lavoratori degli Stabilimenti FIAT di Torino (17837) | Pio XII</v>
      </c>
      <c r="AA1103" s="29" t="str">
        <f t="shared" si="334"/>
        <v>Discorso Ai lavoratori degli Stabilimenti FIAT di Torino</v>
      </c>
      <c r="AB1103" s="29" t="str">
        <f t="shared" si="335"/>
        <v>Discorso Ai lavoratori degli Stabilimenti FIAT di Torino</v>
      </c>
      <c r="AC1103" s="29" t="str">
        <f t="shared" si="336"/>
        <v>Pio XII, Discorso Ai lavoratori degli Stabilimenti FIAT di Torino, 31 ottobre 1948</v>
      </c>
      <c r="AD1103" s="29" t="str">
        <f t="shared" si="337"/>
        <v>1948-10-31T08:00:00.000+02:00</v>
      </c>
      <c r="AE1103" s="29" t="str">
        <f t="shared" si="329"/>
        <v>pixii-dis-</v>
      </c>
      <c r="AF1103" s="29" t="str">
        <f t="shared" si="330"/>
        <v>Pio XII - Discorso - Ai lavoratori degli Stabilimenti FIAT di Torino</v>
      </c>
    </row>
    <row r="1104" spans="2:32" x14ac:dyDescent="0.2">
      <c r="B1104" s="29">
        <v>260</v>
      </c>
      <c r="C1104" s="29" t="s">
        <v>4288</v>
      </c>
      <c r="D1104" s="29" t="s">
        <v>715</v>
      </c>
      <c r="E1104" s="29" t="s">
        <v>724</v>
      </c>
      <c r="F1104" s="29" t="s">
        <v>663</v>
      </c>
      <c r="G1104" s="29" t="s">
        <v>659</v>
      </c>
      <c r="H1104" s="29" t="str">
        <f t="shared" si="331"/>
        <v>Pio XII</v>
      </c>
      <c r="K1104" s="29" t="s">
        <v>827</v>
      </c>
      <c r="L1104" s="29" t="str">
        <f t="shared" si="328"/>
        <v>Discorso</v>
      </c>
      <c r="M1104" s="29" t="s">
        <v>566</v>
      </c>
      <c r="O1104" s="29" t="s">
        <v>4800</v>
      </c>
      <c r="Q1104" s="38">
        <v>17848</v>
      </c>
      <c r="R1104" s="32">
        <f t="shared" si="326"/>
        <v>11</v>
      </c>
      <c r="S1104" s="32"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32">
        <f t="shared" si="327"/>
        <v>1948</v>
      </c>
      <c r="U1104" s="29"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3"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9"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9">
        <v>1131</v>
      </c>
      <c r="Y1104" s="29" t="str">
        <f t="shared" si="332"/>
        <v>['Pio XII', 'Discorso', 'In occasione del secondo Congresso Internazionale per dar vita all’Unione Federale Europea', 'pixii-dis-', '11 novembre 1948', '11/11/1948', '1948/11/11'],</v>
      </c>
      <c r="Z1104" s="29" t="str">
        <f t="shared" si="333"/>
        <v>In occasione del secondo Congresso Internazionale per dar vita all’Unione Federale Europea (17848) | Pio XII</v>
      </c>
      <c r="AA1104" s="29" t="str">
        <f t="shared" si="334"/>
        <v>Discorso In occasione del secondo Congresso Internazionale per dar vita all’Unione Federale Europea</v>
      </c>
      <c r="AB1104" s="29" t="str">
        <f t="shared" si="335"/>
        <v>Discorso In occasione del secondo Congresso Internazionale per dar vita all’Unione Federale Europea</v>
      </c>
      <c r="AC1104" s="29" t="str">
        <f t="shared" si="336"/>
        <v>Pio XII, Discorso In occasione del secondo Congresso Internazionale per dar vita all’Unione Federale Europea, 11 novembre 1948</v>
      </c>
      <c r="AD1104" s="29" t="str">
        <f t="shared" si="337"/>
        <v>1948-11-11T08:00:00.000+02:00</v>
      </c>
      <c r="AE1104" s="29" t="str">
        <f t="shared" si="329"/>
        <v>pixii-dis-</v>
      </c>
      <c r="AF1104" s="29" t="str">
        <f t="shared" si="330"/>
        <v>Pio XII - Discorso - In occasione del secondo Congresso Internazionale per dar vita all’Unione Federale Europea</v>
      </c>
    </row>
    <row r="1105" spans="2:32" x14ac:dyDescent="0.2">
      <c r="B1105" s="29">
        <v>260</v>
      </c>
      <c r="C1105" s="29" t="s">
        <v>4289</v>
      </c>
      <c r="D1105" s="29" t="s">
        <v>715</v>
      </c>
      <c r="E1105" s="29" t="s">
        <v>724</v>
      </c>
      <c r="F1105" s="29" t="s">
        <v>663</v>
      </c>
      <c r="G1105" s="29" t="s">
        <v>659</v>
      </c>
      <c r="H1105" s="29" t="str">
        <f t="shared" si="331"/>
        <v>Pio XII</v>
      </c>
      <c r="K1105" s="29" t="s">
        <v>827</v>
      </c>
      <c r="L1105" s="29" t="str">
        <f t="shared" si="328"/>
        <v>Discorso</v>
      </c>
      <c r="M1105" s="29" t="s">
        <v>566</v>
      </c>
      <c r="O1105" s="29" t="s">
        <v>4801</v>
      </c>
      <c r="Q1105" s="38">
        <v>17859</v>
      </c>
      <c r="R1105" s="32">
        <f t="shared" si="326"/>
        <v>22</v>
      </c>
      <c r="S1105" s="32"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32">
        <f t="shared" si="327"/>
        <v>1948</v>
      </c>
      <c r="U1105" s="29"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3"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9"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9">
        <v>1132</v>
      </c>
      <c r="Y1105" s="29" t="str">
        <f t="shared" si="332"/>
        <v>['Pio XII', 'Discorso', 'Ai partecipanti alle celebrazioni svoltesi al Collegio Nazareno e a San Pantaleo, per il III centenario della beatificazione di San Giuseppe Calasanzio', 'pixii-dis-', '22 novembre 1948', '22/11/1948', '1948/11/22'],</v>
      </c>
      <c r="Z1105" s="29" t="str">
        <f t="shared" si="333"/>
        <v>Ai partecipanti alle celebrazioni svoltesi al Collegio Nazareno e a San Pantaleo, per il III centenario della beatificazione di San Giuseppe Calasanzio (17859) | Pio XII</v>
      </c>
      <c r="AA1105" s="29" t="str">
        <f t="shared" si="334"/>
        <v>Discorso Ai partecipanti alle celebrazioni svoltesi al Collegio Nazareno e a San Pantaleo, per il III centenario della beatificazione di San Giuseppe Calasanzio</v>
      </c>
      <c r="AB1105" s="29" t="str">
        <f t="shared" si="335"/>
        <v>Discorso Ai partecipanti alle celebrazioni svoltesi al Collegio Nazareno e a San Pantaleo, per il III centenario della beatificazione di San Giuseppe Calasanzio</v>
      </c>
      <c r="AC1105" s="29" t="str">
        <f t="shared" si="336"/>
        <v>Pio XII, Discorso Ai partecipanti alle celebrazioni svoltesi al Collegio Nazareno e a San Pantaleo, per il III centenario della beatificazione di San Giuseppe Calasanzio, 22 novembre 1948</v>
      </c>
      <c r="AD1105" s="29" t="str">
        <f t="shared" si="337"/>
        <v>1948-11-22T08:00:00.000+02:00</v>
      </c>
      <c r="AE1105" s="29" t="str">
        <f t="shared" si="329"/>
        <v>pixii-dis-</v>
      </c>
      <c r="AF1105" s="29" t="str">
        <f t="shared" si="330"/>
        <v>Pio XII - Discorso - Ai partecipanti alle celebrazioni svoltesi al Collegio Nazareno e a San Pantaleo, per il III centenario della beatificazione di San Giuseppe Calasanzio</v>
      </c>
    </row>
    <row r="1106" spans="2:32" x14ac:dyDescent="0.2">
      <c r="B1106" s="29">
        <v>260</v>
      </c>
      <c r="C1106" s="29" t="s">
        <v>4290</v>
      </c>
      <c r="D1106" s="29" t="s">
        <v>715</v>
      </c>
      <c r="E1106" s="29" t="s">
        <v>724</v>
      </c>
      <c r="F1106" s="29" t="s">
        <v>663</v>
      </c>
      <c r="G1106" s="29" t="s">
        <v>659</v>
      </c>
      <c r="H1106" s="29" t="str">
        <f t="shared" si="331"/>
        <v>Pio XII</v>
      </c>
      <c r="K1106" s="29" t="s">
        <v>827</v>
      </c>
      <c r="L1106" s="29" t="str">
        <f t="shared" si="328"/>
        <v>Discorso</v>
      </c>
      <c r="M1106" s="29" t="s">
        <v>566</v>
      </c>
      <c r="O1106" s="29" t="s">
        <v>4802</v>
      </c>
      <c r="Q1106" s="38">
        <v>17871</v>
      </c>
      <c r="R1106" s="32">
        <f t="shared" ref="R1106:R1169" si="338">IF(ISERROR(DAY(Q1106)),TEXT((LEFT(Q1106,2)),"00"),DAY(Q1106))</f>
        <v>4</v>
      </c>
      <c r="S1106" s="32"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32">
        <f t="shared" ref="T1106:T1169" si="339">IF(ISERROR(DAY(Q1106)),VALUE(RIGHT(Q1106,4)),YEAR(Q1106))</f>
        <v>1948</v>
      </c>
      <c r="U1106" s="29"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3"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9"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9">
        <v>1133</v>
      </c>
      <c r="Y1106" s="29" t="str">
        <f t="shared" si="332"/>
        <v>['Pio XII', 'Discorso', 'Al nuovo Ambasciatore del Belgio presso la Santa Sede, S.E. il Signor Alessandro Paternotte de La Vallee, in occasione della presentazione delle Lettere Credenziali', 'pixii-dis-', '04 dicembre 1948', '04/12/1948', '1948/12/04'],</v>
      </c>
      <c r="Z1106" s="29" t="str">
        <f t="shared" si="333"/>
        <v>Al nuovo Ambasciatore del Belgio presso la Santa Sede, S.E. il Signor Alessandro Paternotte de La Vallee, in occasione della presentazione delle Lettere Credenziali (17871) | Pio XII</v>
      </c>
      <c r="AA1106" s="29" t="str">
        <f t="shared" si="334"/>
        <v>Discorso Al nuovo Ambasciatore del Belgio presso la Santa Sede, S.E. il Signor Alessandro Paternotte de La Vallee, in occasione della presentazione delle Lettere Credenziali</v>
      </c>
      <c r="AB1106" s="29" t="str">
        <f t="shared" si="335"/>
        <v>Discorso Al nuovo Ambasciatore del Belgio presso la Santa Sede, S.E. il Signor Alessandro Paternotte de La Vallee, in occasione della presentazione delle Lettere Credenziali</v>
      </c>
      <c r="AC1106" s="29" t="str">
        <f t="shared" si="336"/>
        <v>Pio XII, Discorso Al nuovo Ambasciatore del Belgio presso la Santa Sede, S.E. il Signor Alessandro Paternotte de La Vallee, in occasione della presentazione delle Lettere Credenziali, 04 dicembre 1948</v>
      </c>
      <c r="AD1106" s="29" t="str">
        <f t="shared" si="337"/>
        <v>1948-12-04T08:00:00.000+02:00</v>
      </c>
      <c r="AE1106" s="29" t="str">
        <f t="shared" si="329"/>
        <v>pixii-dis-</v>
      </c>
      <c r="AF1106" s="29" t="str">
        <f t="shared" si="330"/>
        <v>Pio XII - Discorso - Al nuovo Ambasciatore del Belgio presso la Santa Sede, S.E. il Signor Alessandro Paternotte de La Vallee, in occasione della presentazione delle Lettere Credenziali</v>
      </c>
    </row>
    <row r="1107" spans="2:32" x14ac:dyDescent="0.2">
      <c r="B1107" s="29">
        <v>260</v>
      </c>
      <c r="C1107" s="29" t="s">
        <v>4291</v>
      </c>
      <c r="D1107" s="29" t="s">
        <v>715</v>
      </c>
      <c r="E1107" s="29" t="s">
        <v>724</v>
      </c>
      <c r="F1107" s="29" t="s">
        <v>663</v>
      </c>
      <c r="G1107" s="29" t="s">
        <v>659</v>
      </c>
      <c r="H1107" s="29" t="str">
        <f t="shared" si="331"/>
        <v>Pio XII</v>
      </c>
      <c r="K1107" s="29" t="s">
        <v>827</v>
      </c>
      <c r="L1107" s="29" t="str">
        <f t="shared" si="328"/>
        <v>Discorso</v>
      </c>
      <c r="M1107" s="29" t="s">
        <v>566</v>
      </c>
      <c r="O1107" s="29" t="s">
        <v>4803</v>
      </c>
      <c r="Q1107" s="38">
        <v>17879</v>
      </c>
      <c r="R1107" s="32">
        <f t="shared" si="338"/>
        <v>12</v>
      </c>
      <c r="S1107" s="32"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32">
        <f t="shared" si="339"/>
        <v>1948</v>
      </c>
      <c r="U1107" s="29"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3"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9"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9">
        <v>1134</v>
      </c>
      <c r="Y1107" s="29" t="str">
        <f t="shared" si="332"/>
        <v>['Pio XII', 'Discorso', 'Al nuovo Ambasciatore di Spagna presso la Santa Sede, S.E. il signor Joaquín Ruiz-Giménez Cortés, in occasione della presentazione delle Lettere Credenziali', 'pixii-dis-', '12 dicembre 1948', '12/12/1948', '1948/12/12'],</v>
      </c>
      <c r="Z1107" s="29" t="str">
        <f t="shared" si="333"/>
        <v>Al nuovo Ambasciatore di Spagna presso la Santa Sede, S.E. il signor Joaquín Ruiz-Giménez Cortés, in occasione della presentazione delle Lettere Credenziali (17879) | Pio XII</v>
      </c>
      <c r="AA1107" s="29" t="str">
        <f t="shared" si="334"/>
        <v>Discorso Al nuovo Ambasciatore di Spagna presso la Santa Sede, S.E. il signor Joaquín Ruiz-Giménez Cortés, in occasione della presentazione delle Lettere Credenziali</v>
      </c>
      <c r="AB1107" s="29" t="str">
        <f t="shared" si="335"/>
        <v>Discorso Al nuovo Ambasciatore di Spagna presso la Santa Sede, S.E. il signor Joaquín Ruiz-Giménez Cortés, in occasione della presentazione delle Lettere Credenziali</v>
      </c>
      <c r="AC1107" s="29" t="str">
        <f t="shared" si="336"/>
        <v>Pio XII, Discorso Al nuovo Ambasciatore di Spagna presso la Santa Sede, S.E. il signor Joaquín Ruiz-Giménez Cortés, in occasione della presentazione delle Lettere Credenziali, 12 dicembre 1948</v>
      </c>
      <c r="AD1107" s="29" t="str">
        <f t="shared" si="337"/>
        <v>1948-12-12T08:00:00.000+02:00</v>
      </c>
      <c r="AE1107" s="29" t="str">
        <f t="shared" si="329"/>
        <v>pixii-dis-</v>
      </c>
      <c r="AF1107" s="29" t="str">
        <f t="shared" si="330"/>
        <v>Pio XII - Discorso - Al nuovo Ambasciatore di Spagna presso la Santa Sede, S.E. il signor Joaquín Ruiz-Giménez Cortés, in occasione della presentazione delle Lettere Credenziali</v>
      </c>
    </row>
    <row r="1108" spans="2:32" x14ac:dyDescent="0.2">
      <c r="B1108" s="29">
        <v>260</v>
      </c>
      <c r="C1108" s="29" t="s">
        <v>4292</v>
      </c>
      <c r="D1108" s="29" t="s">
        <v>715</v>
      </c>
      <c r="E1108" s="29" t="s">
        <v>724</v>
      </c>
      <c r="F1108" s="29" t="s">
        <v>663</v>
      </c>
      <c r="G1108" s="29" t="s">
        <v>659</v>
      </c>
      <c r="H1108" s="29" t="str">
        <f t="shared" si="331"/>
        <v>Pio XII</v>
      </c>
      <c r="K1108" s="29" t="s">
        <v>827</v>
      </c>
      <c r="L1108" s="29" t="str">
        <f t="shared" si="328"/>
        <v>Discorso</v>
      </c>
      <c r="M1108" s="29" t="s">
        <v>566</v>
      </c>
      <c r="O1108" s="29" t="s">
        <v>4804</v>
      </c>
      <c r="Q1108" s="38">
        <v>17882</v>
      </c>
      <c r="R1108" s="32">
        <f t="shared" si="338"/>
        <v>15</v>
      </c>
      <c r="S1108" s="32"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32">
        <f t="shared" si="339"/>
        <v>1948</v>
      </c>
      <c r="U1108" s="29"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3"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9"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9">
        <v>1135</v>
      </c>
      <c r="Y1108" s="29" t="str">
        <f t="shared" si="332"/>
        <v>['Pio XII', 'Discorso', 'All'On. Luigi Einaudi, Presidente della Repubblica Italiana', 'pixii-dis-', '15 dicembre 1948', '15/12/1948', '1948/12/15'],</v>
      </c>
      <c r="Z1108" s="29" t="str">
        <f t="shared" si="333"/>
        <v>All'On. Luigi Einaudi, Presidente della Repubblica Italiana (17882) | Pio XII</v>
      </c>
      <c r="AA1108" s="29" t="str">
        <f t="shared" si="334"/>
        <v>Discorso All'On. Luigi Einaudi, Presidente della Repubblica Italiana</v>
      </c>
      <c r="AB1108" s="29" t="str">
        <f t="shared" si="335"/>
        <v>Discorso All'On. Luigi Einaudi, Presidente della Repubblica Italiana</v>
      </c>
      <c r="AC1108" s="29" t="str">
        <f t="shared" si="336"/>
        <v>Pio XII, Discorso All'On. Luigi Einaudi, Presidente della Repubblica Italiana, 15 dicembre 1948</v>
      </c>
      <c r="AD1108" s="29" t="str">
        <f t="shared" si="337"/>
        <v>1948-12-15T08:00:00.000+02:00</v>
      </c>
      <c r="AE1108" s="29" t="str">
        <f t="shared" si="329"/>
        <v>pixii-dis-</v>
      </c>
      <c r="AF1108" s="29" t="str">
        <f t="shared" si="330"/>
        <v>Pio XII - Discorso - All'On. Luigi Einaudi, Presidente della Repubblica Italiana</v>
      </c>
    </row>
    <row r="1109" spans="2:32" x14ac:dyDescent="0.2">
      <c r="B1109" s="29">
        <v>260</v>
      </c>
      <c r="C1109" s="29" t="s">
        <v>4293</v>
      </c>
      <c r="D1109" s="29" t="s">
        <v>715</v>
      </c>
      <c r="E1109" s="29" t="s">
        <v>724</v>
      </c>
      <c r="F1109" s="29" t="s">
        <v>663</v>
      </c>
      <c r="G1109" s="29" t="s">
        <v>659</v>
      </c>
      <c r="H1109" s="29" t="str">
        <f t="shared" si="331"/>
        <v>Pio XII</v>
      </c>
      <c r="K1109" s="29" t="s">
        <v>827</v>
      </c>
      <c r="L1109" s="29" t="str">
        <f t="shared" si="328"/>
        <v>Discorso</v>
      </c>
      <c r="M1109" s="29" t="s">
        <v>566</v>
      </c>
      <c r="O1109" s="29" t="s">
        <v>4805</v>
      </c>
      <c r="Q1109" s="38">
        <v>17891</v>
      </c>
      <c r="R1109" s="32">
        <f t="shared" si="338"/>
        <v>24</v>
      </c>
      <c r="S1109" s="32"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32">
        <f t="shared" si="339"/>
        <v>1948</v>
      </c>
      <c r="U1109" s="29"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3"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9"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9">
        <v>1136</v>
      </c>
      <c r="Y1109" s="29" t="str">
        <f t="shared" si="332"/>
        <v>['Pio XII', 'Discorso', 'Radiomessaggio a tutti i fedeli in occasione del Natale', 'pixii-dis-', '24 dicembre 1948', '24/12/1948', '1948/12/24'],</v>
      </c>
      <c r="Z1109" s="29" t="str">
        <f t="shared" si="333"/>
        <v>Radiomessaggio a tutti i fedeli in occasione del Natale (17891) | Pio XII</v>
      </c>
      <c r="AA1109" s="29" t="str">
        <f t="shared" si="334"/>
        <v>Discorso Radiomessaggio a tutti i fedeli in occasione del Natale</v>
      </c>
      <c r="AB1109" s="29" t="str">
        <f t="shared" si="335"/>
        <v>Discorso Radiomessaggio a tutti i fedeli in occasione del Natale</v>
      </c>
      <c r="AC1109" s="29" t="str">
        <f t="shared" si="336"/>
        <v>Pio XII, Discorso Radiomessaggio a tutti i fedeli in occasione del Natale, 24 dicembre 1948</v>
      </c>
      <c r="AD1109" s="29" t="str">
        <f t="shared" si="337"/>
        <v>1948-12-24T08:00:00.000+02:00</v>
      </c>
      <c r="AE1109" s="29" t="str">
        <f t="shared" si="329"/>
        <v>pixii-dis-</v>
      </c>
      <c r="AF1109" s="29" t="str">
        <f t="shared" si="330"/>
        <v>Pio XII - Discorso - Radiomessaggio a tutti i fedeli in occasione del Natale</v>
      </c>
    </row>
    <row r="1110" spans="2:32" x14ac:dyDescent="0.2">
      <c r="B1110" s="29">
        <v>260</v>
      </c>
      <c r="C1110" s="29" t="s">
        <v>4294</v>
      </c>
      <c r="D1110" s="29" t="s">
        <v>715</v>
      </c>
      <c r="E1110" s="29" t="s">
        <v>724</v>
      </c>
      <c r="F1110" s="29" t="s">
        <v>663</v>
      </c>
      <c r="G1110" s="29" t="s">
        <v>659</v>
      </c>
      <c r="H1110" s="29" t="str">
        <f t="shared" si="331"/>
        <v>Pio XII</v>
      </c>
      <c r="K1110" s="29" t="s">
        <v>827</v>
      </c>
      <c r="L1110" s="29" t="str">
        <f t="shared" si="328"/>
        <v>Discorso</v>
      </c>
      <c r="M1110" s="29" t="s">
        <v>566</v>
      </c>
      <c r="O1110" s="29" t="s">
        <v>4806</v>
      </c>
      <c r="Q1110" s="38">
        <v>17892</v>
      </c>
      <c r="R1110" s="32">
        <f t="shared" si="338"/>
        <v>25</v>
      </c>
      <c r="S1110" s="32"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32">
        <f t="shared" si="339"/>
        <v>1948</v>
      </c>
      <c r="U1110" s="29"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3"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9"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9">
        <v>1137</v>
      </c>
      <c r="Y1110" s="29" t="str">
        <f t="shared" si="332"/>
        <v>['Pio XII', 'Discorso', 'dell'Anno Santo', 'pixii-dis-', '25 dicembre 1948', '25/12/1948', '1948/12/25'],</v>
      </c>
      <c r="Z1110" s="29" t="str">
        <f t="shared" si="333"/>
        <v>dell'Anno Santo (17892) | Pio XII</v>
      </c>
      <c r="AA1110" s="29" t="str">
        <f t="shared" si="334"/>
        <v>Discorso dell'Anno Santo</v>
      </c>
      <c r="AB1110" s="29" t="str">
        <f t="shared" si="335"/>
        <v>Discorso dell'Anno Santo</v>
      </c>
      <c r="AC1110" s="29" t="str">
        <f t="shared" si="336"/>
        <v>Pio XII, Discorso dell'Anno Santo, 25 dicembre 1948</v>
      </c>
      <c r="AD1110" s="29" t="str">
        <f t="shared" si="337"/>
        <v>1948-12-25T08:00:00.000+02:00</v>
      </c>
      <c r="AE1110" s="29" t="str">
        <f t="shared" si="329"/>
        <v>pixii-dis-</v>
      </c>
      <c r="AF1110" s="29" t="str">
        <f t="shared" si="330"/>
        <v>Pio XII - Discorso - dell'Anno Santo</v>
      </c>
    </row>
    <row r="1111" spans="2:32" x14ac:dyDescent="0.2">
      <c r="B1111" s="29">
        <v>260</v>
      </c>
      <c r="C1111" s="29" t="s">
        <v>4295</v>
      </c>
      <c r="D1111" s="29" t="s">
        <v>715</v>
      </c>
      <c r="E1111" s="29" t="s">
        <v>724</v>
      </c>
      <c r="F1111" s="29" t="s">
        <v>663</v>
      </c>
      <c r="G1111" s="29" t="s">
        <v>659</v>
      </c>
      <c r="H1111" s="29" t="str">
        <f t="shared" si="331"/>
        <v>Pio XII</v>
      </c>
      <c r="K1111" s="29" t="s">
        <v>827</v>
      </c>
      <c r="L1111" s="29" t="str">
        <f t="shared" si="328"/>
        <v>Discorso</v>
      </c>
      <c r="M1111" s="29" t="s">
        <v>566</v>
      </c>
      <c r="O1111" s="29" t="s">
        <v>4807</v>
      </c>
      <c r="Q1111" s="38">
        <v>17899</v>
      </c>
      <c r="R1111" s="32">
        <f t="shared" si="338"/>
        <v>1</v>
      </c>
      <c r="S1111" s="32"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32">
        <f t="shared" si="339"/>
        <v>1949</v>
      </c>
      <c r="U1111" s="29"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3"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9"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9">
        <v>1138</v>
      </c>
      <c r="Y1111" s="29" t="str">
        <f t="shared" si="332"/>
        <v>['Pio XII', 'Discorso', 'Al Sindaco di Roma, l'On. Salvatore Rebecchini', 'pixii-dis-', '01 gennaio 1949', '01/01/1949', '1949/01/01'],</v>
      </c>
      <c r="Z1111" s="29" t="str">
        <f t="shared" si="333"/>
        <v>Al Sindaco di Roma, l'On. Salvatore Rebecchini (17899) | Pio XII</v>
      </c>
      <c r="AA1111" s="29" t="str">
        <f t="shared" si="334"/>
        <v>Discorso Al Sindaco di Roma, l'On. Salvatore Rebecchini</v>
      </c>
      <c r="AB1111" s="29" t="str">
        <f t="shared" si="335"/>
        <v>Discorso Al Sindaco di Roma, l'On. Salvatore Rebecchini</v>
      </c>
      <c r="AC1111" s="29" t="str">
        <f t="shared" si="336"/>
        <v>Pio XII, Discorso Al Sindaco di Roma, l'On. Salvatore Rebecchini, 01 gennaio 1949</v>
      </c>
      <c r="AD1111" s="29" t="str">
        <f t="shared" si="337"/>
        <v>1949-01-01T08:00:00.000+02:00</v>
      </c>
      <c r="AE1111" s="29" t="str">
        <f t="shared" si="329"/>
        <v>pixii-dis-</v>
      </c>
      <c r="AF1111" s="29" t="str">
        <f t="shared" si="330"/>
        <v>Pio XII - Discorso - Al Sindaco di Roma, l'On. Salvatore Rebecchini</v>
      </c>
    </row>
    <row r="1112" spans="2:32" x14ac:dyDescent="0.2">
      <c r="B1112" s="29">
        <v>260</v>
      </c>
      <c r="C1112" s="29" t="s">
        <v>4296</v>
      </c>
      <c r="D1112" s="29" t="s">
        <v>715</v>
      </c>
      <c r="E1112" s="29" t="s">
        <v>724</v>
      </c>
      <c r="F1112" s="29" t="s">
        <v>663</v>
      </c>
      <c r="G1112" s="29" t="s">
        <v>659</v>
      </c>
      <c r="H1112" s="29" t="str">
        <f t="shared" si="331"/>
        <v>Pio XII</v>
      </c>
      <c r="K1112" s="29" t="s">
        <v>827</v>
      </c>
      <c r="L1112" s="29" t="str">
        <f t="shared" si="328"/>
        <v>Discorso</v>
      </c>
      <c r="M1112" s="29" t="s">
        <v>566</v>
      </c>
      <c r="O1112" s="29" t="s">
        <v>4808</v>
      </c>
      <c r="Q1112" s="38">
        <v>17913</v>
      </c>
      <c r="R1112" s="32">
        <f t="shared" si="338"/>
        <v>15</v>
      </c>
      <c r="S1112" s="32"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32">
        <f t="shared" si="339"/>
        <v>1949</v>
      </c>
      <c r="U1112" s="29"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3"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9"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9">
        <v>1139</v>
      </c>
      <c r="Y1112" s="29" t="str">
        <f t="shared" si="332"/>
        <v>['Pio XII', 'Discorso', 'Ai membri del Patriziato e della Nobiltà romana', 'pixii-dis-', '15 gennaio 1949', '15/01/1949', '1949/01/15'],</v>
      </c>
      <c r="Z1112" s="29" t="str">
        <f t="shared" si="333"/>
        <v>Ai membri del Patriziato e della Nobiltà romana (17913) | Pio XII</v>
      </c>
      <c r="AA1112" s="29" t="str">
        <f t="shared" si="334"/>
        <v>Discorso Ai membri del Patriziato e della Nobiltà romana</v>
      </c>
      <c r="AB1112" s="29" t="str">
        <f t="shared" si="335"/>
        <v>Discorso Ai membri del Patriziato e della Nobiltà romana</v>
      </c>
      <c r="AC1112" s="29" t="str">
        <f t="shared" si="336"/>
        <v>Pio XII, Discorso Ai membri del Patriziato e della Nobiltà romana, 15 gennaio 1949</v>
      </c>
      <c r="AD1112" s="29" t="str">
        <f t="shared" si="337"/>
        <v>1949-01-15T08:00:00.000+02:00</v>
      </c>
      <c r="AE1112" s="29" t="str">
        <f t="shared" si="329"/>
        <v>pixii-dis-</v>
      </c>
      <c r="AF1112" s="29" t="str">
        <f t="shared" si="330"/>
        <v>Pio XII - Discorso - Ai membri del Patriziato e della Nobiltà romana</v>
      </c>
    </row>
    <row r="1113" spans="2:32" x14ac:dyDescent="0.2">
      <c r="B1113" s="29">
        <v>260</v>
      </c>
      <c r="C1113" s="29" t="s">
        <v>4297</v>
      </c>
      <c r="D1113" s="29" t="s">
        <v>715</v>
      </c>
      <c r="E1113" s="29" t="s">
        <v>724</v>
      </c>
      <c r="F1113" s="29" t="s">
        <v>663</v>
      </c>
      <c r="G1113" s="29" t="s">
        <v>659</v>
      </c>
      <c r="H1113" s="29" t="str">
        <f t="shared" si="331"/>
        <v>Pio XII</v>
      </c>
      <c r="K1113" s="29" t="s">
        <v>827</v>
      </c>
      <c r="L1113" s="29" t="str">
        <f t="shared" si="328"/>
        <v>Discorso</v>
      </c>
      <c r="M1113" s="29" t="s">
        <v>566</v>
      </c>
      <c r="O1113" s="29" t="s">
        <v>4809</v>
      </c>
      <c r="Q1113" s="38">
        <v>17928</v>
      </c>
      <c r="R1113" s="32">
        <f t="shared" si="338"/>
        <v>30</v>
      </c>
      <c r="S1113" s="32"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32">
        <f t="shared" si="339"/>
        <v>1949</v>
      </c>
      <c r="U1113" s="29"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3"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9"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9">
        <v>1140</v>
      </c>
      <c r="Y1113" s="29" t="str">
        <f t="shared" si="332"/>
        <v>['Pio XII', 'Discorso', 'Alle rappresentanze dei gruppi degli Istituti Medi Superiori di Roma', 'pixii-dis-', '30 gennaio 1949', '30/01/1949', '1949/01/30'],</v>
      </c>
      <c r="Z1113" s="29" t="str">
        <f t="shared" si="333"/>
        <v>Alle rappresentanze dei gruppi degli Istituti Medi Superiori di Roma (17928) | Pio XII</v>
      </c>
      <c r="AA1113" s="29" t="str">
        <f t="shared" si="334"/>
        <v>Discorso Alle rappresentanze dei gruppi degli Istituti Medi Superiori di Roma</v>
      </c>
      <c r="AB1113" s="29" t="str">
        <f t="shared" si="335"/>
        <v>Discorso Alle rappresentanze dei gruppi degli Istituti Medi Superiori di Roma</v>
      </c>
      <c r="AC1113" s="29" t="str">
        <f t="shared" si="336"/>
        <v>Pio XII, Discorso Alle rappresentanze dei gruppi degli Istituti Medi Superiori di Roma, 30 gennaio 1949</v>
      </c>
      <c r="AD1113" s="29" t="str">
        <f t="shared" si="337"/>
        <v>1949-01-30T08:00:00.000+02:00</v>
      </c>
      <c r="AE1113" s="29" t="str">
        <f t="shared" si="329"/>
        <v>pixii-dis-</v>
      </c>
      <c r="AF1113" s="29" t="str">
        <f t="shared" si="330"/>
        <v>Pio XII - Discorso - Alle rappresentanze dei gruppi degli Istituti Medi Superiori di Roma</v>
      </c>
    </row>
    <row r="1114" spans="2:32" x14ac:dyDescent="0.2">
      <c r="B1114" s="29">
        <v>260</v>
      </c>
      <c r="C1114" s="29" t="s">
        <v>4298</v>
      </c>
      <c r="D1114" s="29" t="s">
        <v>715</v>
      </c>
      <c r="E1114" s="29" t="s">
        <v>724</v>
      </c>
      <c r="F1114" s="29" t="s">
        <v>663</v>
      </c>
      <c r="G1114" s="29" t="s">
        <v>659</v>
      </c>
      <c r="H1114" s="29" t="str">
        <f t="shared" si="331"/>
        <v>Pio XII</v>
      </c>
      <c r="K1114" s="29" t="s">
        <v>827</v>
      </c>
      <c r="L1114" s="29" t="str">
        <f t="shared" si="328"/>
        <v>Discorso</v>
      </c>
      <c r="M1114" s="29" t="s">
        <v>566</v>
      </c>
      <c r="O1114" s="29" t="s">
        <v>4810</v>
      </c>
      <c r="Q1114" s="38">
        <v>17937</v>
      </c>
      <c r="R1114" s="32">
        <f t="shared" si="338"/>
        <v>8</v>
      </c>
      <c r="S1114" s="32"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32">
        <f t="shared" si="339"/>
        <v>1949</v>
      </c>
      <c r="U1114" s="29"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3"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9"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9">
        <v>1141</v>
      </c>
      <c r="Y1114" s="29" t="str">
        <f t="shared" si="332"/>
        <v>['Pio XII', 'Discorso', 'Ad una folta rappresentanza dell'«Arciassociazione dell'Adorazione perpetua e di soccorso delle chiese povere»', 'pixii-dis-', '08 febbraio 1949', '08/02/1949', '1949/02/08'],</v>
      </c>
      <c r="Z1114" s="29" t="str">
        <f t="shared" si="333"/>
        <v>Ad una folta rappresentanza dell'«Arciassociazione dell'Adorazione perpetua e di soccorso delle chiese povere» (17937) | Pio XII</v>
      </c>
      <c r="AA1114" s="29" t="str">
        <f t="shared" si="334"/>
        <v>Discorso Ad una folta rappresentanza dell'«Arciassociazione dell'Adorazione perpetua e di soccorso delle chiese povere»</v>
      </c>
      <c r="AB1114" s="29" t="str">
        <f t="shared" si="335"/>
        <v>Discorso Ad una folta rappresentanza dell'«Arciassociazione dell'Adorazione perpetua e di soccorso delle chiese povere»</v>
      </c>
      <c r="AC1114" s="29" t="str">
        <f t="shared" si="336"/>
        <v>Pio XII, Discorso Ad una folta rappresentanza dell'«Arciassociazione dell'Adorazione perpetua e di soccorso delle chiese povere», 08 febbraio 1949</v>
      </c>
      <c r="AD1114" s="29" t="str">
        <f t="shared" si="337"/>
        <v>1949-02-08T08:00:00.000+02:00</v>
      </c>
      <c r="AE1114" s="29" t="str">
        <f t="shared" si="329"/>
        <v>pixii-dis-</v>
      </c>
      <c r="AF1114" s="29" t="str">
        <f t="shared" si="330"/>
        <v>Pio XII - Discorso - Ad una folta rappresentanza dell'«Arciassociazione dell'Adorazione perpetua e di soccorso delle chiese povere»</v>
      </c>
    </row>
    <row r="1115" spans="2:32" x14ac:dyDescent="0.2">
      <c r="B1115" s="29">
        <v>260</v>
      </c>
      <c r="C1115" s="29" t="s">
        <v>4299</v>
      </c>
      <c r="D1115" s="29" t="s">
        <v>715</v>
      </c>
      <c r="E1115" s="29" t="s">
        <v>724</v>
      </c>
      <c r="F1115" s="29" t="s">
        <v>663</v>
      </c>
      <c r="G1115" s="29" t="s">
        <v>659</v>
      </c>
      <c r="H1115" s="29" t="str">
        <f t="shared" si="331"/>
        <v>Pio XII</v>
      </c>
      <c r="K1115" s="29" t="s">
        <v>827</v>
      </c>
      <c r="L1115" s="29" t="str">
        <f t="shared" si="328"/>
        <v>Discorso</v>
      </c>
      <c r="M1115" s="29" t="s">
        <v>566</v>
      </c>
      <c r="O1115" s="29" t="s">
        <v>4811</v>
      </c>
      <c r="Q1115" s="38">
        <v>17940</v>
      </c>
      <c r="R1115" s="32">
        <f t="shared" si="338"/>
        <v>11</v>
      </c>
      <c r="S1115" s="32"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32">
        <f t="shared" si="339"/>
        <v>1949</v>
      </c>
      <c r="U1115" s="29"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3"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9"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9">
        <v>1142</v>
      </c>
      <c r="Y1115" s="29" t="str">
        <f t="shared" si="332"/>
        <v>['Pio XII', 'Discorso', 'Al Presidente del Consiglio della Repubblica Italiana', 'pixii-dis-', '11 febbraio 1949', '11/02/1949', '1949/02/11'],</v>
      </c>
      <c r="Z1115" s="29" t="str">
        <f t="shared" si="333"/>
        <v>Al Presidente del Consiglio della Repubblica Italiana (17940) | Pio XII</v>
      </c>
      <c r="AA1115" s="29" t="str">
        <f t="shared" si="334"/>
        <v>Discorso Al Presidente del Consiglio della Repubblica Italiana</v>
      </c>
      <c r="AB1115" s="29" t="str">
        <f t="shared" si="335"/>
        <v>Discorso Al Presidente del Consiglio della Repubblica Italiana</v>
      </c>
      <c r="AC1115" s="29" t="str">
        <f t="shared" si="336"/>
        <v>Pio XII, Discorso Al Presidente del Consiglio della Repubblica Italiana, 11 febbraio 1949</v>
      </c>
      <c r="AD1115" s="29" t="str">
        <f t="shared" si="337"/>
        <v>1949-02-11T08:00:00.000+02:00</v>
      </c>
      <c r="AE1115" s="29" t="str">
        <f t="shared" si="329"/>
        <v>pixii-dis-</v>
      </c>
      <c r="AF1115" s="29" t="str">
        <f t="shared" si="330"/>
        <v>Pio XII - Discorso - Al Presidente del Consiglio della Repubblica Italiana</v>
      </c>
    </row>
    <row r="1116" spans="2:32" x14ac:dyDescent="0.2">
      <c r="B1116" s="29">
        <v>260</v>
      </c>
      <c r="C1116" s="29" t="s">
        <v>4300</v>
      </c>
      <c r="D1116" s="29" t="s">
        <v>715</v>
      </c>
      <c r="E1116" s="29" t="s">
        <v>724</v>
      </c>
      <c r="F1116" s="29" t="s">
        <v>663</v>
      </c>
      <c r="G1116" s="29" t="s">
        <v>659</v>
      </c>
      <c r="H1116" s="29" t="str">
        <f t="shared" si="331"/>
        <v>Pio XII</v>
      </c>
      <c r="K1116" s="29" t="s">
        <v>827</v>
      </c>
      <c r="L1116" s="29" t="str">
        <f t="shared" si="328"/>
        <v>Discorso</v>
      </c>
      <c r="M1116" s="29" t="s">
        <v>566</v>
      </c>
      <c r="O1116" s="29" t="s">
        <v>4812</v>
      </c>
      <c r="Q1116" s="38">
        <v>17943</v>
      </c>
      <c r="R1116" s="32">
        <f t="shared" si="338"/>
        <v>14</v>
      </c>
      <c r="S1116" s="32"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32">
        <f t="shared" si="339"/>
        <v>1949</v>
      </c>
      <c r="U1116" s="29"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3"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9"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9">
        <v>1143</v>
      </c>
      <c r="Y1116" s="29" t="str">
        <f t="shared" si="332"/>
        <v>['Pio XII', 'Discorso', 'Al Sacro Collegio dei Cardinali riuniti in Concistoro segreto nel Palazzo Apostolico Vaticano', 'pixii-dis-', '14 febbraio 1949', '14/02/1949', '1949/02/14'],</v>
      </c>
      <c r="Z1116" s="29" t="str">
        <f t="shared" si="333"/>
        <v>Al Sacro Collegio dei Cardinali riuniti in Concistoro segreto nel Palazzo Apostolico Vaticano (17943) | Pio XII</v>
      </c>
      <c r="AA1116" s="29" t="str">
        <f t="shared" si="334"/>
        <v>Discorso Al Sacro Collegio dei Cardinali riuniti in Concistoro segreto nel Palazzo Apostolico Vaticano</v>
      </c>
      <c r="AB1116" s="29" t="str">
        <f t="shared" si="335"/>
        <v>Discorso Al Sacro Collegio dei Cardinali riuniti in Concistoro segreto nel Palazzo Apostolico Vaticano</v>
      </c>
      <c r="AC1116" s="29" t="str">
        <f t="shared" si="336"/>
        <v>Pio XII, Discorso Al Sacro Collegio dei Cardinali riuniti in Concistoro segreto nel Palazzo Apostolico Vaticano, 14 febbraio 1949</v>
      </c>
      <c r="AD1116" s="29" t="str">
        <f t="shared" si="337"/>
        <v>1949-02-14T08:00:00.000+02:00</v>
      </c>
      <c r="AE1116" s="29" t="str">
        <f t="shared" si="329"/>
        <v>pixii-dis-</v>
      </c>
      <c r="AF1116" s="29" t="str">
        <f t="shared" si="330"/>
        <v>Pio XII - Discorso - Al Sacro Collegio dei Cardinali riuniti in Concistoro segreto nel Palazzo Apostolico Vaticano</v>
      </c>
    </row>
    <row r="1117" spans="2:32" x14ac:dyDescent="0.2">
      <c r="B1117" s="29">
        <v>260</v>
      </c>
      <c r="C1117" s="29" t="s">
        <v>4301</v>
      </c>
      <c r="D1117" s="29" t="s">
        <v>715</v>
      </c>
      <c r="E1117" s="29" t="s">
        <v>724</v>
      </c>
      <c r="F1117" s="29" t="s">
        <v>663</v>
      </c>
      <c r="G1117" s="29" t="s">
        <v>659</v>
      </c>
      <c r="H1117" s="29" t="str">
        <f t="shared" si="331"/>
        <v>Pio XII</v>
      </c>
      <c r="K1117" s="29" t="s">
        <v>827</v>
      </c>
      <c r="L1117" s="29" t="str">
        <f t="shared" si="328"/>
        <v>Discorso</v>
      </c>
      <c r="M1117" s="29" t="s">
        <v>566</v>
      </c>
      <c r="O1117" s="29" t="s">
        <v>4813</v>
      </c>
      <c r="Q1117" s="38">
        <v>17945</v>
      </c>
      <c r="R1117" s="32">
        <f t="shared" si="338"/>
        <v>16</v>
      </c>
      <c r="S1117" s="32"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32">
        <f t="shared" si="339"/>
        <v>1949</v>
      </c>
      <c r="U1117" s="29"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3"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9"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9">
        <v>1144</v>
      </c>
      <c r="Y1117" s="29" t="str">
        <f t="shared" si="332"/>
        <v>['Pio XII', 'Discorso', 'Ai rappresentanti del Corpo Diplomatico accreditato presso la Santa Sede', 'pixii-dis-', '16 febbraio 1949', '16/02/1949', '1949/02/16'],</v>
      </c>
      <c r="Z1117" s="29" t="str">
        <f t="shared" si="333"/>
        <v>Ai rappresentanti del Corpo Diplomatico accreditato presso la Santa Sede (17945) | Pio XII</v>
      </c>
      <c r="AA1117" s="29" t="str">
        <f t="shared" si="334"/>
        <v>Discorso Ai rappresentanti del Corpo Diplomatico accreditato presso la Santa Sede</v>
      </c>
      <c r="AB1117" s="29" t="str">
        <f t="shared" si="335"/>
        <v>Discorso Ai rappresentanti del Corpo Diplomatico accreditato presso la Santa Sede</v>
      </c>
      <c r="AC1117" s="29" t="str">
        <f t="shared" si="336"/>
        <v>Pio XII, Discorso Ai rappresentanti del Corpo Diplomatico accreditato presso la Santa Sede, 16 febbraio 1949</v>
      </c>
      <c r="AD1117" s="29" t="str">
        <f t="shared" si="337"/>
        <v>1949-02-16T08:00:00.000+02:00</v>
      </c>
      <c r="AE1117" s="29" t="str">
        <f t="shared" si="329"/>
        <v>pixii-dis-</v>
      </c>
      <c r="AF1117" s="29" t="str">
        <f t="shared" si="330"/>
        <v>Pio XII - Discorso - Ai rappresentanti del Corpo Diplomatico accreditato presso la Santa Sede</v>
      </c>
    </row>
    <row r="1118" spans="2:32" x14ac:dyDescent="0.2">
      <c r="B1118" s="29">
        <v>260</v>
      </c>
      <c r="C1118" s="29" t="s">
        <v>4302</v>
      </c>
      <c r="D1118" s="29" t="s">
        <v>715</v>
      </c>
      <c r="E1118" s="29" t="s">
        <v>724</v>
      </c>
      <c r="F1118" s="29" t="s">
        <v>663</v>
      </c>
      <c r="G1118" s="29" t="s">
        <v>659</v>
      </c>
      <c r="H1118" s="29" t="str">
        <f t="shared" si="331"/>
        <v>Pio XII</v>
      </c>
      <c r="K1118" s="29" t="s">
        <v>827</v>
      </c>
      <c r="L1118" s="29" t="str">
        <f t="shared" si="328"/>
        <v>Discorso</v>
      </c>
      <c r="M1118" s="29" t="s">
        <v>566</v>
      </c>
      <c r="O1118" s="29" t="s">
        <v>4742</v>
      </c>
      <c r="Q1118" s="38">
        <v>17949</v>
      </c>
      <c r="R1118" s="32">
        <f t="shared" si="338"/>
        <v>20</v>
      </c>
      <c r="S1118" s="32"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32">
        <f t="shared" si="339"/>
        <v>1949</v>
      </c>
      <c r="U1118" s="29"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3"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9"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9">
        <v>1145</v>
      </c>
      <c r="Y1118" s="29" t="str">
        <f t="shared" si="332"/>
        <v>['Pio XII', 'Discorso', 'Ai fedeli', 'pixii-dis-', '20 febbraio 1949', '20/02/1949', '1949/02/20'],</v>
      </c>
      <c r="Z1118" s="29" t="str">
        <f t="shared" si="333"/>
        <v>Ai fedeli (17949) | Pio XII</v>
      </c>
      <c r="AA1118" s="29" t="str">
        <f t="shared" si="334"/>
        <v>Discorso Ai fedeli</v>
      </c>
      <c r="AB1118" s="29" t="str">
        <f t="shared" si="335"/>
        <v>Discorso Ai fedeli</v>
      </c>
      <c r="AC1118" s="29" t="str">
        <f t="shared" si="336"/>
        <v>Pio XII, Discorso Ai fedeli, 20 febbraio 1949</v>
      </c>
      <c r="AD1118" s="29" t="str">
        <f t="shared" si="337"/>
        <v>1949-02-20T08:00:00.000+02:00</v>
      </c>
      <c r="AE1118" s="29" t="str">
        <f t="shared" si="329"/>
        <v>pixii-dis-</v>
      </c>
      <c r="AF1118" s="29" t="str">
        <f t="shared" si="330"/>
        <v>Pio XII - Discorso - Ai fedeli</v>
      </c>
    </row>
    <row r="1119" spans="2:32" x14ac:dyDescent="0.2">
      <c r="B1119" s="29">
        <v>260</v>
      </c>
      <c r="C1119" s="29" t="s">
        <v>4303</v>
      </c>
      <c r="D1119" s="29" t="s">
        <v>715</v>
      </c>
      <c r="E1119" s="29" t="s">
        <v>724</v>
      </c>
      <c r="F1119" s="29" t="s">
        <v>663</v>
      </c>
      <c r="G1119" s="29" t="s">
        <v>659</v>
      </c>
      <c r="H1119" s="29" t="str">
        <f t="shared" si="331"/>
        <v>Pio XII</v>
      </c>
      <c r="K1119" s="29" t="s">
        <v>827</v>
      </c>
      <c r="L1119" s="29" t="str">
        <f t="shared" si="328"/>
        <v>Discorso</v>
      </c>
      <c r="M1119" s="29" t="s">
        <v>566</v>
      </c>
      <c r="O1119" s="29" t="s">
        <v>3127</v>
      </c>
      <c r="Q1119" s="38">
        <v>17980</v>
      </c>
      <c r="R1119" s="32">
        <f t="shared" si="338"/>
        <v>23</v>
      </c>
      <c r="S1119" s="32"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32">
        <f t="shared" si="339"/>
        <v>1949</v>
      </c>
      <c r="U1119" s="29"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3"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9"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9">
        <v>1146</v>
      </c>
      <c r="Y1119" s="29" t="str">
        <f t="shared" si="332"/>
        <v>['Pio XII', 'Discorso', 'Ai parroci e ai predicatori quaresimalisti di Roma', 'pixii-dis-', '23 marzo 1949', '23/03/1949', '1949/03/23'],</v>
      </c>
      <c r="Z1119" s="29" t="str">
        <f t="shared" si="333"/>
        <v>Ai parroci e ai predicatori quaresimalisti di Roma (17980) | Pio XII</v>
      </c>
      <c r="AA1119" s="29" t="str">
        <f t="shared" si="334"/>
        <v>Discorso Ai parroci e ai predicatori quaresimalisti di Roma</v>
      </c>
      <c r="AB1119" s="29" t="str">
        <f t="shared" si="335"/>
        <v>Discorso Ai parroci e ai predicatori quaresimalisti di Roma</v>
      </c>
      <c r="AC1119" s="29" t="str">
        <f t="shared" si="336"/>
        <v>Pio XII, Discorso Ai parroci e ai predicatori quaresimalisti di Roma, 23 marzo 1949</v>
      </c>
      <c r="AD1119" s="29" t="str">
        <f t="shared" si="337"/>
        <v>1949-03-23T08:00:00.000+02:00</v>
      </c>
      <c r="AE1119" s="29" t="str">
        <f t="shared" si="329"/>
        <v>pixii-dis-</v>
      </c>
      <c r="AF1119" s="29" t="str">
        <f t="shared" si="330"/>
        <v>Pio XII - Discorso - Ai parroci e ai predicatori quaresimalisti di Roma</v>
      </c>
    </row>
    <row r="1120" spans="2:32" x14ac:dyDescent="0.2">
      <c r="B1120" s="29">
        <v>260</v>
      </c>
      <c r="C1120" s="29" t="s">
        <v>4304</v>
      </c>
      <c r="D1120" s="29" t="s">
        <v>715</v>
      </c>
      <c r="E1120" s="29" t="s">
        <v>724</v>
      </c>
      <c r="F1120" s="29" t="s">
        <v>663</v>
      </c>
      <c r="G1120" s="29" t="s">
        <v>659</v>
      </c>
      <c r="H1120" s="29" t="str">
        <f t="shared" si="331"/>
        <v>Pio XII</v>
      </c>
      <c r="K1120" s="29" t="s">
        <v>827</v>
      </c>
      <c r="L1120" s="29" t="str">
        <f t="shared" si="328"/>
        <v>Discorso</v>
      </c>
      <c r="M1120" s="29" t="s">
        <v>566</v>
      </c>
      <c r="O1120" s="29" t="s">
        <v>4814</v>
      </c>
      <c r="Q1120" s="38">
        <v>17984</v>
      </c>
      <c r="R1120" s="32">
        <f t="shared" si="338"/>
        <v>27</v>
      </c>
      <c r="S1120" s="32"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32">
        <f t="shared" si="339"/>
        <v>1949</v>
      </c>
      <c r="U1120" s="29"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3"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9"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9">
        <v>1147</v>
      </c>
      <c r="Y1120" s="29" t="str">
        <f t="shared" si="332"/>
        <v>['Pio XII', 'Discorso', 'Ad un gruppo di operai e operaie di Civita Castellana', 'pixii-dis-', '27 marzo 1949', '27/03/1949', '1949/03/27'],</v>
      </c>
      <c r="Z1120" s="29" t="str">
        <f t="shared" si="333"/>
        <v>Ad un gruppo di operai e operaie di Civita Castellana (17984) | Pio XII</v>
      </c>
      <c r="AA1120" s="29" t="str">
        <f t="shared" si="334"/>
        <v>Discorso Ad un gruppo di operai e operaie di Civita Castellana</v>
      </c>
      <c r="AB1120" s="29" t="str">
        <f t="shared" si="335"/>
        <v>Discorso Ad un gruppo di operai e operaie di Civita Castellana</v>
      </c>
      <c r="AC1120" s="29" t="str">
        <f t="shared" si="336"/>
        <v>Pio XII, Discorso Ad un gruppo di operai e operaie di Civita Castellana, 27 marzo 1949</v>
      </c>
      <c r="AD1120" s="29" t="str">
        <f t="shared" si="337"/>
        <v>1949-03-27T08:00:00.000+02:00</v>
      </c>
      <c r="AE1120" s="29" t="str">
        <f t="shared" si="329"/>
        <v>pixii-dis-</v>
      </c>
      <c r="AF1120" s="29" t="str">
        <f t="shared" si="330"/>
        <v>Pio XII - Discorso - Ad un gruppo di operai e operaie di Civita Castellana</v>
      </c>
    </row>
    <row r="1121" spans="2:32" x14ac:dyDescent="0.2">
      <c r="B1121" s="29">
        <v>260</v>
      </c>
      <c r="C1121" s="29" t="s">
        <v>4305</v>
      </c>
      <c r="D1121" s="29" t="s">
        <v>715</v>
      </c>
      <c r="E1121" s="29" t="s">
        <v>724</v>
      </c>
      <c r="F1121" s="29" t="s">
        <v>663</v>
      </c>
      <c r="G1121" s="29" t="s">
        <v>659</v>
      </c>
      <c r="H1121" s="29" t="str">
        <f t="shared" si="331"/>
        <v>Pio XII</v>
      </c>
      <c r="K1121" s="29" t="s">
        <v>827</v>
      </c>
      <c r="L1121" s="29" t="str">
        <f t="shared" si="328"/>
        <v>Discorso</v>
      </c>
      <c r="M1121" s="29" t="s">
        <v>566</v>
      </c>
      <c r="O1121" s="29" t="s">
        <v>4815</v>
      </c>
      <c r="Q1121" s="38">
        <v>17990</v>
      </c>
      <c r="R1121" s="32">
        <f t="shared" si="338"/>
        <v>2</v>
      </c>
      <c r="S1121" s="32"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32">
        <f t="shared" si="339"/>
        <v>1949</v>
      </c>
      <c r="U1121" s="29"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3"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9"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9">
        <v>1148</v>
      </c>
      <c r="Y1121" s="29" t="str">
        <f t="shared" si="332"/>
        <v>['Pio XII', 'Discorso', 'Ai bambini delle Scuole Elementari di Roma', 'pixii-dis-', '02 aprile 1949', '02/04/1949', '1949/04/02'],</v>
      </c>
      <c r="Z1121" s="29" t="str">
        <f t="shared" si="333"/>
        <v>Ai bambini delle Scuole Elementari di Roma (17990) | Pio XII</v>
      </c>
      <c r="AA1121" s="29" t="str">
        <f t="shared" si="334"/>
        <v>Discorso Ai bambini delle Scuole Elementari di Roma</v>
      </c>
      <c r="AB1121" s="29" t="str">
        <f t="shared" si="335"/>
        <v>Discorso Ai bambini delle Scuole Elementari di Roma</v>
      </c>
      <c r="AC1121" s="29" t="str">
        <f t="shared" si="336"/>
        <v>Pio XII, Discorso Ai bambini delle Scuole Elementari di Roma, 02 aprile 1949</v>
      </c>
      <c r="AD1121" s="29" t="str">
        <f t="shared" si="337"/>
        <v>1949-04-02T08:00:00.000+02:00</v>
      </c>
      <c r="AE1121" s="29" t="str">
        <f t="shared" si="329"/>
        <v>pixii-dis-</v>
      </c>
      <c r="AF1121" s="29" t="str">
        <f t="shared" si="330"/>
        <v>Pio XII - Discorso - Ai bambini delle Scuole Elementari di Roma</v>
      </c>
    </row>
    <row r="1122" spans="2:32" x14ac:dyDescent="0.2">
      <c r="B1122" s="29">
        <v>260</v>
      </c>
      <c r="C1122" s="29" t="s">
        <v>4306</v>
      </c>
      <c r="D1122" s="29" t="s">
        <v>715</v>
      </c>
      <c r="E1122" s="29" t="s">
        <v>724</v>
      </c>
      <c r="F1122" s="29" t="s">
        <v>663</v>
      </c>
      <c r="G1122" s="29" t="s">
        <v>659</v>
      </c>
      <c r="H1122" s="29" t="str">
        <f t="shared" si="331"/>
        <v>Pio XII</v>
      </c>
      <c r="K1122" s="29" t="s">
        <v>827</v>
      </c>
      <c r="L1122" s="29" t="str">
        <f t="shared" si="328"/>
        <v>Discorso</v>
      </c>
      <c r="M1122" s="29" t="s">
        <v>566</v>
      </c>
      <c r="O1122" s="29" t="s">
        <v>4816</v>
      </c>
      <c r="Q1122" s="38">
        <v>18017</v>
      </c>
      <c r="R1122" s="32">
        <f t="shared" si="338"/>
        <v>29</v>
      </c>
      <c r="S1122" s="32"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32">
        <f t="shared" si="339"/>
        <v>1949</v>
      </c>
      <c r="U1122" s="29"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3"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9"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9">
        <v>1149</v>
      </c>
      <c r="Y1122" s="29" t="str">
        <f t="shared" si="332"/>
        <v>['Pio XII', 'Discorso', 'Ad un gruppo di ex-alunni, Professori e studenti del Pontificio Collego Leoniano di Anagni', 'pixii-dis-', '29 aprile 1949', '29/04/1949', '1949/04/29'],</v>
      </c>
      <c r="Z1122" s="29" t="str">
        <f t="shared" si="333"/>
        <v>Ad un gruppo di ex-alunni, Professori e studenti del Pontificio Collego Leoniano di Anagni (18017) | Pio XII</v>
      </c>
      <c r="AA1122" s="29" t="str">
        <f t="shared" si="334"/>
        <v>Discorso Ad un gruppo di ex-alunni, Professori e studenti del Pontificio Collego Leoniano di Anagni</v>
      </c>
      <c r="AB1122" s="29" t="str">
        <f t="shared" si="335"/>
        <v>Discorso Ad un gruppo di ex-alunni, Professori e studenti del Pontificio Collego Leoniano di Anagni</v>
      </c>
      <c r="AC1122" s="29" t="str">
        <f t="shared" si="336"/>
        <v>Pio XII, Discorso Ad un gruppo di ex-alunni, Professori e studenti del Pontificio Collego Leoniano di Anagni, 29 aprile 1949</v>
      </c>
      <c r="AD1122" s="29" t="str">
        <f t="shared" si="337"/>
        <v>1949-04-29T08:00:00.000+02:00</v>
      </c>
      <c r="AE1122" s="29" t="str">
        <f t="shared" si="329"/>
        <v>pixii-dis-</v>
      </c>
      <c r="AF1122" s="29" t="str">
        <f t="shared" si="330"/>
        <v>Pio XII - Discorso - Ad un gruppo di ex-alunni, Professori e studenti del Pontificio Collego Leoniano di Anagni</v>
      </c>
    </row>
    <row r="1123" spans="2:32" x14ac:dyDescent="0.2">
      <c r="B1123" s="29">
        <v>260</v>
      </c>
      <c r="C1123" s="29" t="s">
        <v>4307</v>
      </c>
      <c r="D1123" s="29" t="s">
        <v>715</v>
      </c>
      <c r="E1123" s="29" t="s">
        <v>724</v>
      </c>
      <c r="F1123" s="29" t="s">
        <v>663</v>
      </c>
      <c r="G1123" s="29" t="s">
        <v>659</v>
      </c>
      <c r="H1123" s="29" t="str">
        <f t="shared" si="331"/>
        <v>Pio XII</v>
      </c>
      <c r="K1123" s="29" t="s">
        <v>827</v>
      </c>
      <c r="L1123" s="29" t="str">
        <f t="shared" si="328"/>
        <v>Discorso</v>
      </c>
      <c r="M1123" s="29" t="s">
        <v>566</v>
      </c>
      <c r="O1123" s="29" t="s">
        <v>4817</v>
      </c>
      <c r="Q1123" s="38">
        <v>18044</v>
      </c>
      <c r="R1123" s="32">
        <f t="shared" si="338"/>
        <v>26</v>
      </c>
      <c r="S1123" s="32"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32">
        <f t="shared" si="339"/>
        <v>1949</v>
      </c>
      <c r="U1123" s="29"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3"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9"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9">
        <v>1150</v>
      </c>
      <c r="Y1123" s="29" t="str">
        <f t="shared" si="332"/>
        <v>['Pio XII', 'Discorso', 'In occasione della promulgazione dell'Anno Santo 1950', 'pixii-dis-', '26 maggio 1949', '26/05/1949', '1949/05/26'],</v>
      </c>
      <c r="Z1123" s="29" t="str">
        <f t="shared" si="333"/>
        <v>In occasione della promulgazione dell'Anno Santo 1950 (18044) | Pio XII</v>
      </c>
      <c r="AA1123" s="29" t="str">
        <f t="shared" si="334"/>
        <v>Discorso In occasione della promulgazione dell'Anno Santo 1950</v>
      </c>
      <c r="AB1123" s="29" t="str">
        <f t="shared" si="335"/>
        <v>Discorso In occasione della promulgazione dell'Anno Santo 1950</v>
      </c>
      <c r="AC1123" s="29" t="str">
        <f t="shared" si="336"/>
        <v>Pio XII, Discorso In occasione della promulgazione dell'Anno Santo 1950, 26 maggio 1949</v>
      </c>
      <c r="AD1123" s="29" t="str">
        <f t="shared" si="337"/>
        <v>1949-05-26T08:00:00.000+02:00</v>
      </c>
      <c r="AE1123" s="29" t="str">
        <f t="shared" si="329"/>
        <v>pixii-dis-</v>
      </c>
      <c r="AF1123" s="29" t="str">
        <f t="shared" si="330"/>
        <v>Pio XII - Discorso - In occasione della promulgazione dell'Anno Santo 1950</v>
      </c>
    </row>
    <row r="1124" spans="2:32" x14ac:dyDescent="0.2">
      <c r="B1124" s="29">
        <v>260</v>
      </c>
      <c r="C1124" s="29" t="s">
        <v>4308</v>
      </c>
      <c r="D1124" s="29" t="s">
        <v>715</v>
      </c>
      <c r="E1124" s="29" t="s">
        <v>724</v>
      </c>
      <c r="F1124" s="29" t="s">
        <v>663</v>
      </c>
      <c r="G1124" s="29" t="s">
        <v>659</v>
      </c>
      <c r="H1124" s="29" t="str">
        <f t="shared" si="331"/>
        <v>Pio XII</v>
      </c>
      <c r="K1124" s="29" t="s">
        <v>827</v>
      </c>
      <c r="L1124" s="29" t="str">
        <f t="shared" si="328"/>
        <v>Discorso</v>
      </c>
      <c r="M1124" s="29" t="s">
        <v>566</v>
      </c>
      <c r="O1124" s="29" t="s">
        <v>4818</v>
      </c>
      <c r="Q1124" s="38">
        <v>18063</v>
      </c>
      <c r="R1124" s="32">
        <f t="shared" si="338"/>
        <v>14</v>
      </c>
      <c r="S1124" s="32"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32">
        <f t="shared" si="339"/>
        <v>1949</v>
      </c>
      <c r="U1124" s="29"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3"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9"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9">
        <v>1151</v>
      </c>
      <c r="Y1124" s="29" t="str">
        <f t="shared" si="332"/>
        <v>['Pio XII', 'Discorso', 'Ai pellegrini giunti a Roma per la canonizzazione di Santa Maria Giuseppa Rossello', 'pixii-dis-', '14 giugno 1949', '14/06/1949', '1949/06/14'],</v>
      </c>
      <c r="Z1124" s="29" t="str">
        <f t="shared" si="333"/>
        <v>Ai pellegrini giunti a Roma per la canonizzazione di Santa Maria Giuseppa Rossello (18063) | Pio XII</v>
      </c>
      <c r="AA1124" s="29" t="str">
        <f t="shared" si="334"/>
        <v>Discorso Ai pellegrini giunti a Roma per la canonizzazione di Santa Maria Giuseppa Rossello</v>
      </c>
      <c r="AB1124" s="29" t="str">
        <f t="shared" si="335"/>
        <v>Discorso Ai pellegrini giunti a Roma per la canonizzazione di Santa Maria Giuseppa Rossello</v>
      </c>
      <c r="AC1124" s="29" t="str">
        <f t="shared" si="336"/>
        <v>Pio XII, Discorso Ai pellegrini giunti a Roma per la canonizzazione di Santa Maria Giuseppa Rossello, 14 giugno 1949</v>
      </c>
      <c r="AD1124" s="29" t="str">
        <f t="shared" si="337"/>
        <v>1949-06-14T08:00:00.000+02:00</v>
      </c>
      <c r="AE1124" s="29" t="str">
        <f t="shared" si="329"/>
        <v>pixii-dis-</v>
      </c>
      <c r="AF1124" s="29" t="str">
        <f t="shared" si="330"/>
        <v>Pio XII - Discorso - Ai pellegrini giunti a Roma per la canonizzazione di Santa Maria Giuseppa Rossello</v>
      </c>
    </row>
    <row r="1125" spans="2:32" x14ac:dyDescent="0.2">
      <c r="B1125" s="29">
        <v>260</v>
      </c>
      <c r="C1125" s="29" t="s">
        <v>4309</v>
      </c>
      <c r="D1125" s="29" t="s">
        <v>715</v>
      </c>
      <c r="E1125" s="29" t="s">
        <v>724</v>
      </c>
      <c r="F1125" s="29" t="s">
        <v>663</v>
      </c>
      <c r="G1125" s="29" t="s">
        <v>659</v>
      </c>
      <c r="H1125" s="29" t="str">
        <f t="shared" si="331"/>
        <v>Pio XII</v>
      </c>
      <c r="K1125" s="29" t="s">
        <v>827</v>
      </c>
      <c r="L1125" s="29" t="str">
        <f t="shared" si="328"/>
        <v>Discorso</v>
      </c>
      <c r="M1125" s="29" t="s">
        <v>566</v>
      </c>
      <c r="O1125" s="29" t="s">
        <v>4819</v>
      </c>
      <c r="Q1125" s="38">
        <v>18103</v>
      </c>
      <c r="R1125" s="32">
        <f t="shared" si="338"/>
        <v>24</v>
      </c>
      <c r="S1125" s="32"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32">
        <f t="shared" si="339"/>
        <v>1949</v>
      </c>
      <c r="U1125" s="29"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3"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9"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9">
        <v>1152</v>
      </c>
      <c r="Y1125" s="29" t="str">
        <f t="shared" si="332"/>
        <v>['Pio XII', 'Discorso', 'Alle donne dell'Azione Cattolica Italiana nel quarantennio del loro sodalizio', 'pixii-dis-', '24 luglio 1949', '24/07/1949', '1949/07/24'],</v>
      </c>
      <c r="Z1125" s="29" t="str">
        <f t="shared" si="333"/>
        <v>Alle donne dell'Azione Cattolica Italiana nel quarantennio del loro sodalizio (18103) | Pio XII</v>
      </c>
      <c r="AA1125" s="29" t="str">
        <f t="shared" si="334"/>
        <v>Discorso Alle donne dell'Azione Cattolica Italiana nel quarantennio del loro sodalizio</v>
      </c>
      <c r="AB1125" s="29" t="str">
        <f t="shared" si="335"/>
        <v>Discorso Alle donne dell'Azione Cattolica Italiana nel quarantennio del loro sodalizio</v>
      </c>
      <c r="AC1125" s="29" t="str">
        <f t="shared" si="336"/>
        <v>Pio XII, Discorso Alle donne dell'Azione Cattolica Italiana nel quarantennio del loro sodalizio, 24 luglio 1949</v>
      </c>
      <c r="AD1125" s="29" t="str">
        <f t="shared" si="337"/>
        <v>1949-07-24T08:00:00.000+02:00</v>
      </c>
      <c r="AE1125" s="29" t="str">
        <f t="shared" si="329"/>
        <v>pixii-dis-</v>
      </c>
      <c r="AF1125" s="29" t="str">
        <f t="shared" si="330"/>
        <v>Pio XII - Discorso - Alle donne dell'Azione Cattolica Italiana nel quarantennio del loro sodalizio</v>
      </c>
    </row>
    <row r="1126" spans="2:32" x14ac:dyDescent="0.2">
      <c r="B1126" s="29">
        <v>260</v>
      </c>
      <c r="C1126" s="29" t="s">
        <v>4310</v>
      </c>
      <c r="D1126" s="29" t="s">
        <v>715</v>
      </c>
      <c r="E1126" s="29" t="s">
        <v>724</v>
      </c>
      <c r="F1126" s="29" t="s">
        <v>663</v>
      </c>
      <c r="G1126" s="29" t="s">
        <v>659</v>
      </c>
      <c r="H1126" s="29" t="str">
        <f t="shared" si="331"/>
        <v>Pio XII</v>
      </c>
      <c r="K1126" s="29" t="s">
        <v>827</v>
      </c>
      <c r="L1126" s="29" t="str">
        <f t="shared" ref="L1126:L1189" si="340">IF(J1126&lt;&gt;"",_xlfn.CONCAT(J1126 &amp; " " &amp; K1126),K1126)</f>
        <v>Discorso</v>
      </c>
      <c r="M1126" s="29" t="s">
        <v>566</v>
      </c>
      <c r="O1126" s="29" t="s">
        <v>4820</v>
      </c>
      <c r="Q1126" s="38">
        <v>18113</v>
      </c>
      <c r="R1126" s="32">
        <f t="shared" si="338"/>
        <v>3</v>
      </c>
      <c r="S1126" s="32"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32">
        <f t="shared" si="339"/>
        <v>1949</v>
      </c>
      <c r="U1126" s="29"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3"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9"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9">
        <v>1153</v>
      </c>
      <c r="Y1126" s="29" t="str">
        <f t="shared" si="332"/>
        <v>['Pio XII', 'Discorso', 'Alle «Missionarie della Regalità di Cristo»', 'pixii-dis-', '03 agosto 1949', '03/08/1949', '1949/08/03'],</v>
      </c>
      <c r="Z1126" s="29" t="str">
        <f t="shared" si="333"/>
        <v>Alle «Missionarie della Regalità di Cristo» (18113) | Pio XII</v>
      </c>
      <c r="AA1126" s="29" t="str">
        <f t="shared" si="334"/>
        <v>Discorso Alle «Missionarie della Regalità di Cristo»</v>
      </c>
      <c r="AB1126" s="29" t="str">
        <f t="shared" si="335"/>
        <v>Discorso Alle «Missionarie della Regalità di Cristo»</v>
      </c>
      <c r="AC1126" s="29" t="str">
        <f t="shared" si="336"/>
        <v>Pio XII, Discorso Alle «Missionarie della Regalità di Cristo», 03 agosto 1949</v>
      </c>
      <c r="AD1126" s="29" t="str">
        <f t="shared" si="337"/>
        <v>1949-08-03T08:00:00.000+02:00</v>
      </c>
      <c r="AE1126" s="29" t="str">
        <f t="shared" si="329"/>
        <v>pixii-dis-</v>
      </c>
      <c r="AF1126" s="29" t="str">
        <f t="shared" si="330"/>
        <v>Pio XII - Discorso - Alle «Missionarie della Regalità di Cristo»</v>
      </c>
    </row>
    <row r="1127" spans="2:32" x14ac:dyDescent="0.2">
      <c r="B1127" s="29">
        <v>260</v>
      </c>
      <c r="C1127" s="29" t="s">
        <v>4311</v>
      </c>
      <c r="D1127" s="29" t="s">
        <v>715</v>
      </c>
      <c r="E1127" s="29" t="s">
        <v>724</v>
      </c>
      <c r="F1127" s="29" t="s">
        <v>663</v>
      </c>
      <c r="G1127" s="29" t="s">
        <v>659</v>
      </c>
      <c r="H1127" s="29" t="str">
        <f t="shared" si="331"/>
        <v>Pio XII</v>
      </c>
      <c r="K1127" s="29" t="s">
        <v>827</v>
      </c>
      <c r="L1127" s="29" t="str">
        <f t="shared" si="340"/>
        <v>Discorso</v>
      </c>
      <c r="M1127" s="29" t="s">
        <v>566</v>
      </c>
      <c r="O1127" s="29" t="s">
        <v>4821</v>
      </c>
      <c r="Q1127" s="38">
        <v>18145</v>
      </c>
      <c r="R1127" s="32">
        <f t="shared" si="338"/>
        <v>4</v>
      </c>
      <c r="S1127" s="32"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32">
        <f t="shared" si="339"/>
        <v>1949</v>
      </c>
      <c r="U1127" s="29"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3"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9"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9">
        <v>1154</v>
      </c>
      <c r="Y1127" s="29" t="str">
        <f t="shared" si="332"/>
        <v>['Pio XII', 'Discorso', 'Ai partecipanti al II Congresso Nazionale della Unione Cattolica Italiana Insegnanti Medi', 'pixii-dis-', '04 settembre 1949', '04/09/1949', '1949/09/04'],</v>
      </c>
      <c r="Z1127" s="29" t="str">
        <f t="shared" si="333"/>
        <v>Ai partecipanti al II Congresso Nazionale della Unione Cattolica Italiana Insegnanti Medi (18145) | Pio XII</v>
      </c>
      <c r="AA1127" s="29" t="str">
        <f t="shared" si="334"/>
        <v>Discorso Ai partecipanti al II Congresso Nazionale della Unione Cattolica Italiana Insegnanti Medi</v>
      </c>
      <c r="AB1127" s="29" t="str">
        <f t="shared" si="335"/>
        <v>Discorso Ai partecipanti al II Congresso Nazionale della Unione Cattolica Italiana Insegnanti Medi</v>
      </c>
      <c r="AC1127" s="29" t="str">
        <f t="shared" si="336"/>
        <v>Pio XII, Discorso Ai partecipanti al II Congresso Nazionale della Unione Cattolica Italiana Insegnanti Medi, 04 settembre 1949</v>
      </c>
      <c r="AD1127" s="29" t="str">
        <f t="shared" si="337"/>
        <v>1949-09-04T08:00:00.000+02:00</v>
      </c>
      <c r="AE1127" s="29" t="str">
        <f t="shared" ref="AE1127:AE1190" si="341">_xlfn.CONCAT(F1127 &amp; "-" &amp; M1127 &amp; "-" &amp; P1127)</f>
        <v>pixii-dis-</v>
      </c>
      <c r="AF1127" s="29" t="str">
        <f t="shared" ref="AF1127:AF1190" si="342">_xlfn.CONCAT(H1127 &amp; " - " &amp; L1127 &amp; " - " &amp; O1127)</f>
        <v>Pio XII - Discorso - Ai partecipanti al II Congresso Nazionale della Unione Cattolica Italiana Insegnanti Medi</v>
      </c>
    </row>
    <row r="1128" spans="2:32" x14ac:dyDescent="0.2">
      <c r="B1128" s="29">
        <v>260</v>
      </c>
      <c r="C1128" s="29" t="s">
        <v>4312</v>
      </c>
      <c r="D1128" s="29" t="s">
        <v>715</v>
      </c>
      <c r="E1128" s="29" t="s">
        <v>724</v>
      </c>
      <c r="F1128" s="29" t="s">
        <v>663</v>
      </c>
      <c r="G1128" s="29" t="s">
        <v>659</v>
      </c>
      <c r="H1128" s="29" t="str">
        <f t="shared" si="331"/>
        <v>Pio XII</v>
      </c>
      <c r="K1128" s="29" t="s">
        <v>827</v>
      </c>
      <c r="L1128" s="29" t="str">
        <f t="shared" si="340"/>
        <v>Discorso</v>
      </c>
      <c r="M1128" s="29" t="s">
        <v>566</v>
      </c>
      <c r="O1128" s="29" t="s">
        <v>4822</v>
      </c>
      <c r="Q1128" s="38">
        <v>18166</v>
      </c>
      <c r="R1128" s="32">
        <f t="shared" si="338"/>
        <v>25</v>
      </c>
      <c r="S1128" s="32"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32">
        <f t="shared" si="339"/>
        <v>1949</v>
      </c>
      <c r="U1128" s="29"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3"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9"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9">
        <v>1155</v>
      </c>
      <c r="Y1128" s="29" t="str">
        <f t="shared" si="332"/>
        <v>['Pio XII', 'Discorso', 'In occasione del Congresso internazionale di Studi umanistici', 'pixii-dis-', '25 settembre 1949', '25/09/1949', '1949/09/25'],</v>
      </c>
      <c r="Z1128" s="29" t="str">
        <f t="shared" si="333"/>
        <v>In occasione del Congresso internazionale di Studi umanistici (18166) | Pio XII</v>
      </c>
      <c r="AA1128" s="29" t="str">
        <f t="shared" si="334"/>
        <v>Discorso In occasione del Congresso internazionale di Studi umanistici</v>
      </c>
      <c r="AB1128" s="29" t="str">
        <f t="shared" si="335"/>
        <v>Discorso In occasione del Congresso internazionale di Studi umanistici</v>
      </c>
      <c r="AC1128" s="29" t="str">
        <f t="shared" si="336"/>
        <v>Pio XII, Discorso In occasione del Congresso internazionale di Studi umanistici, 25 settembre 1949</v>
      </c>
      <c r="AD1128" s="29" t="str">
        <f t="shared" si="337"/>
        <v>1949-09-25T08:00:00.000+02:00</v>
      </c>
      <c r="AE1128" s="29" t="str">
        <f t="shared" si="341"/>
        <v>pixii-dis-</v>
      </c>
      <c r="AF1128" s="29" t="str">
        <f t="shared" si="342"/>
        <v>Pio XII - Discorso - In occasione del Congresso internazionale di Studi umanistici</v>
      </c>
    </row>
    <row r="1129" spans="2:32" x14ac:dyDescent="0.2">
      <c r="B1129" s="29">
        <v>260</v>
      </c>
      <c r="C1129" s="29" t="s">
        <v>4313</v>
      </c>
      <c r="D1129" s="29" t="s">
        <v>715</v>
      </c>
      <c r="E1129" s="29" t="s">
        <v>724</v>
      </c>
      <c r="F1129" s="29" t="s">
        <v>663</v>
      </c>
      <c r="G1129" s="29" t="s">
        <v>659</v>
      </c>
      <c r="H1129" s="29" t="str">
        <f t="shared" si="331"/>
        <v>Pio XII</v>
      </c>
      <c r="K1129" s="29" t="s">
        <v>827</v>
      </c>
      <c r="L1129" s="29" t="str">
        <f t="shared" si="340"/>
        <v>Discorso</v>
      </c>
      <c r="M1129" s="29" t="s">
        <v>566</v>
      </c>
      <c r="O1129" s="29" t="s">
        <v>4823</v>
      </c>
      <c r="Q1129" s="38">
        <v>18170</v>
      </c>
      <c r="R1129" s="32">
        <f t="shared" si="338"/>
        <v>29</v>
      </c>
      <c r="S1129" s="32"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32">
        <f t="shared" si="339"/>
        <v>1949</v>
      </c>
      <c r="U1129" s="29"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3"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9"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9">
        <v>1156</v>
      </c>
      <c r="Y1129" s="29" t="str">
        <f t="shared" si="332"/>
        <v>['Pio XII', 'Discorso', 'Ai partecipanti al quarto Congresso Internazionale dei Medici Cattolici', 'pixii-dis-', '29 settembre 1949', '29/09/1949', '1949/09/29'],</v>
      </c>
      <c r="Z1129" s="29" t="str">
        <f t="shared" si="333"/>
        <v>Ai partecipanti al quarto Congresso Internazionale dei Medici Cattolici (18170) | Pio XII</v>
      </c>
      <c r="AA1129" s="29" t="str">
        <f t="shared" si="334"/>
        <v>Discorso Ai partecipanti al quarto Congresso Internazionale dei Medici Cattolici</v>
      </c>
      <c r="AB1129" s="29" t="str">
        <f t="shared" si="335"/>
        <v>Discorso Ai partecipanti al quarto Congresso Internazionale dei Medici Cattolici</v>
      </c>
      <c r="AC1129" s="29" t="str">
        <f t="shared" si="336"/>
        <v>Pio XII, Discorso Ai partecipanti al quarto Congresso Internazionale dei Medici Cattolici, 29 settembre 1949</v>
      </c>
      <c r="AD1129" s="29" t="str">
        <f t="shared" si="337"/>
        <v>1949-09-29T08:00:00.000+02:00</v>
      </c>
      <c r="AE1129" s="29" t="str">
        <f t="shared" si="341"/>
        <v>pixii-dis-</v>
      </c>
      <c r="AF1129" s="29" t="str">
        <f t="shared" si="342"/>
        <v>Pio XII - Discorso - Ai partecipanti al quarto Congresso Internazionale dei Medici Cattolici</v>
      </c>
    </row>
    <row r="1130" spans="2:32" x14ac:dyDescent="0.2">
      <c r="B1130" s="29">
        <v>260</v>
      </c>
      <c r="C1130" s="29" t="s">
        <v>4314</v>
      </c>
      <c r="D1130" s="29" t="s">
        <v>715</v>
      </c>
      <c r="E1130" s="29" t="s">
        <v>724</v>
      </c>
      <c r="F1130" s="29" t="s">
        <v>663</v>
      </c>
      <c r="G1130" s="29" t="s">
        <v>659</v>
      </c>
      <c r="H1130" s="29" t="str">
        <f t="shared" si="331"/>
        <v>Pio XII</v>
      </c>
      <c r="K1130" s="29" t="s">
        <v>827</v>
      </c>
      <c r="L1130" s="29" t="str">
        <f t="shared" si="340"/>
        <v>Discorso</v>
      </c>
      <c r="M1130" s="29" t="s">
        <v>566</v>
      </c>
      <c r="O1130" s="29" t="s">
        <v>4824</v>
      </c>
      <c r="Q1130" s="38">
        <v>18187</v>
      </c>
      <c r="R1130" s="32">
        <f t="shared" si="338"/>
        <v>16</v>
      </c>
      <c r="S1130" s="32"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32">
        <f t="shared" si="339"/>
        <v>1949</v>
      </c>
      <c r="U1130" s="29"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3"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9"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9">
        <v>1157</v>
      </c>
      <c r="Y1130" s="29" t="str">
        <f t="shared" si="332"/>
        <v>['Pio XII', 'Discorso', 'Agli amici dell'Opera della Divina Provvidenza «Madonnina del Grappa»', 'pixii-dis-', '16 ottobre 1949', '16/10/1949', '1949/10/16'],</v>
      </c>
      <c r="Z1130" s="29" t="str">
        <f t="shared" si="333"/>
        <v>Agli amici dell'Opera della Divina Provvidenza «Madonnina del Grappa» (18187) | Pio XII</v>
      </c>
      <c r="AA1130" s="29" t="str">
        <f t="shared" si="334"/>
        <v>Discorso Agli amici dell'Opera della Divina Provvidenza «Madonnina del Grappa»</v>
      </c>
      <c r="AB1130" s="29" t="str">
        <f t="shared" si="335"/>
        <v>Discorso Agli amici dell'Opera della Divina Provvidenza «Madonnina del Grappa»</v>
      </c>
      <c r="AC1130" s="29" t="str">
        <f t="shared" si="336"/>
        <v>Pio XII, Discorso Agli amici dell'Opera della Divina Provvidenza «Madonnina del Grappa», 16 ottobre 1949</v>
      </c>
      <c r="AD1130" s="29" t="str">
        <f t="shared" si="337"/>
        <v>1949-10-16T08:00:00.000+02:00</v>
      </c>
      <c r="AE1130" s="29" t="str">
        <f t="shared" si="341"/>
        <v>pixii-dis-</v>
      </c>
      <c r="AF1130" s="29" t="str">
        <f t="shared" si="342"/>
        <v>Pio XII - Discorso - Agli amici dell'Opera della Divina Provvidenza «Madonnina del Grappa»</v>
      </c>
    </row>
    <row r="1131" spans="2:32" x14ac:dyDescent="0.2">
      <c r="B1131" s="29">
        <v>260</v>
      </c>
      <c r="C1131" s="29" t="s">
        <v>4315</v>
      </c>
      <c r="D1131" s="29" t="s">
        <v>715</v>
      </c>
      <c r="E1131" s="29" t="s">
        <v>724</v>
      </c>
      <c r="F1131" s="29" t="s">
        <v>663</v>
      </c>
      <c r="G1131" s="29" t="s">
        <v>659</v>
      </c>
      <c r="H1131" s="29" t="str">
        <f t="shared" si="331"/>
        <v>Pio XII</v>
      </c>
      <c r="K1131" s="29" t="s">
        <v>827</v>
      </c>
      <c r="L1131" s="29" t="str">
        <f t="shared" si="340"/>
        <v>Discorso</v>
      </c>
      <c r="M1131" s="29" t="s">
        <v>566</v>
      </c>
      <c r="O1131" s="29" t="s">
        <v>4825</v>
      </c>
      <c r="Q1131" s="38">
        <v>18201</v>
      </c>
      <c r="R1131" s="32">
        <f t="shared" si="338"/>
        <v>30</v>
      </c>
      <c r="S1131" s="32"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32">
        <f t="shared" si="339"/>
        <v>1949</v>
      </c>
      <c r="U1131" s="29"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3"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9"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9">
        <v>1158</v>
      </c>
      <c r="Y1131" s="29" t="str">
        <f t="shared" si="332"/>
        <v>['Pio XII', 'Discorso', 'Ai giovani del Pontificio Oratorio di San Pietro', 'pixii-dis-', '30 ottobre 1949', '30/10/1949', '1949/10/30'],</v>
      </c>
      <c r="Z1131" s="29" t="str">
        <f t="shared" si="333"/>
        <v>Ai giovani del Pontificio Oratorio di San Pietro (18201) | Pio XII</v>
      </c>
      <c r="AA1131" s="29" t="str">
        <f t="shared" si="334"/>
        <v>Discorso Ai giovani del Pontificio Oratorio di San Pietro</v>
      </c>
      <c r="AB1131" s="29" t="str">
        <f t="shared" si="335"/>
        <v>Discorso Ai giovani del Pontificio Oratorio di San Pietro</v>
      </c>
      <c r="AC1131" s="29" t="str">
        <f t="shared" si="336"/>
        <v>Pio XII, Discorso Ai giovani del Pontificio Oratorio di San Pietro, 30 ottobre 1949</v>
      </c>
      <c r="AD1131" s="29" t="str">
        <f t="shared" si="337"/>
        <v>1949-10-30T08:00:00.000+02:00</v>
      </c>
      <c r="AE1131" s="29" t="str">
        <f t="shared" si="341"/>
        <v>pixii-dis-</v>
      </c>
      <c r="AF1131" s="29" t="str">
        <f t="shared" si="342"/>
        <v>Pio XII - Discorso - Ai giovani del Pontificio Oratorio di San Pietro</v>
      </c>
    </row>
    <row r="1132" spans="2:32" x14ac:dyDescent="0.2">
      <c r="B1132" s="29">
        <v>260</v>
      </c>
      <c r="C1132" s="29" t="s">
        <v>4316</v>
      </c>
      <c r="D1132" s="29" t="s">
        <v>715</v>
      </c>
      <c r="E1132" s="29" t="s">
        <v>724</v>
      </c>
      <c r="F1132" s="29" t="s">
        <v>663</v>
      </c>
      <c r="G1132" s="29" t="s">
        <v>659</v>
      </c>
      <c r="H1132" s="29" t="str">
        <f t="shared" si="331"/>
        <v>Pio XII</v>
      </c>
      <c r="K1132" s="29" t="s">
        <v>827</v>
      </c>
      <c r="L1132" s="29" t="str">
        <f t="shared" si="340"/>
        <v>Discorso</v>
      </c>
      <c r="M1132" s="29" t="s">
        <v>566</v>
      </c>
      <c r="O1132" s="29" t="s">
        <v>4826</v>
      </c>
      <c r="Q1132" s="38">
        <v>18208</v>
      </c>
      <c r="R1132" s="32">
        <f t="shared" si="338"/>
        <v>6</v>
      </c>
      <c r="S1132" s="32"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32">
        <f t="shared" si="339"/>
        <v>1949</v>
      </c>
      <c r="U1132" s="29"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3"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9"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9">
        <v>1159</v>
      </c>
      <c r="Y1132" s="29" t="str">
        <f t="shared" si="332"/>
        <v>['Pio XII', 'Discorso', 'Ai partecipanti al I Congresso nazionale dell'Unione Giuristi cattolici Italiani', 'pixii-dis-', '06 novembre 1949', '06/11/1949', '1949/11/06'],</v>
      </c>
      <c r="Z1132" s="29" t="str">
        <f t="shared" si="333"/>
        <v>Ai partecipanti al I Congresso nazionale dell'Unione Giuristi cattolici Italiani (18208) | Pio XII</v>
      </c>
      <c r="AA1132" s="29" t="str">
        <f t="shared" si="334"/>
        <v>Discorso Ai partecipanti al I Congresso nazionale dell'Unione Giuristi cattolici Italiani</v>
      </c>
      <c r="AB1132" s="29" t="str">
        <f t="shared" si="335"/>
        <v>Discorso Ai partecipanti al I Congresso nazionale dell'Unione Giuristi cattolici Italiani</v>
      </c>
      <c r="AC1132" s="29" t="str">
        <f t="shared" si="336"/>
        <v>Pio XII, Discorso Ai partecipanti al I Congresso nazionale dell'Unione Giuristi cattolici Italiani, 06 novembre 1949</v>
      </c>
      <c r="AD1132" s="29" t="str">
        <f t="shared" si="337"/>
        <v>1949-11-06T08:00:00.000+02:00</v>
      </c>
      <c r="AE1132" s="29" t="str">
        <f t="shared" si="341"/>
        <v>pixii-dis-</v>
      </c>
      <c r="AF1132" s="29" t="str">
        <f t="shared" si="342"/>
        <v>Pio XII - Discorso - Ai partecipanti al I Congresso nazionale dell'Unione Giuristi cattolici Italiani</v>
      </c>
    </row>
    <row r="1133" spans="2:32" x14ac:dyDescent="0.2">
      <c r="B1133" s="29">
        <v>260</v>
      </c>
      <c r="C1133" s="29" t="s">
        <v>4317</v>
      </c>
      <c r="D1133" s="29" t="s">
        <v>715</v>
      </c>
      <c r="E1133" s="29" t="s">
        <v>724</v>
      </c>
      <c r="F1133" s="29" t="s">
        <v>663</v>
      </c>
      <c r="G1133" s="29" t="s">
        <v>659</v>
      </c>
      <c r="H1133" s="29" t="str">
        <f t="shared" si="331"/>
        <v>Pio XII</v>
      </c>
      <c r="K1133" s="29" t="s">
        <v>827</v>
      </c>
      <c r="L1133" s="29" t="str">
        <f t="shared" si="340"/>
        <v>Discorso</v>
      </c>
      <c r="M1133" s="29" t="s">
        <v>566</v>
      </c>
      <c r="O1133" s="29" t="s">
        <v>4827</v>
      </c>
      <c r="Q1133" s="38">
        <v>18215</v>
      </c>
      <c r="R1133" s="32">
        <f t="shared" si="338"/>
        <v>13</v>
      </c>
      <c r="S1133" s="32"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32">
        <f t="shared" si="339"/>
        <v>1949</v>
      </c>
      <c r="U1133" s="29"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3"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9"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9">
        <v>1160</v>
      </c>
      <c r="Y1133" s="29" t="str">
        <f t="shared" si="332"/>
        <v>['Pio XII', 'Discorso', 'alla venerata immagine della «Madonna del Divino Amore»', 'pixii-dis-', '13 novembre 1949', '13/11/1949', '1949/11/13'],</v>
      </c>
      <c r="Z1133" s="29" t="str">
        <f t="shared" si="333"/>
        <v>alla venerata immagine della «Madonna del Divino Amore» (18215) | Pio XII</v>
      </c>
      <c r="AA1133" s="29" t="str">
        <f t="shared" si="334"/>
        <v>Discorso alla venerata immagine della «Madonna del Divino Amore»</v>
      </c>
      <c r="AB1133" s="29" t="str">
        <f t="shared" si="335"/>
        <v>Discorso alla venerata immagine della «Madonna del Divino Amore»</v>
      </c>
      <c r="AC1133" s="29" t="str">
        <f t="shared" si="336"/>
        <v>Pio XII, Discorso alla venerata immagine della «Madonna del Divino Amore», 13 novembre 1949</v>
      </c>
      <c r="AD1133" s="29" t="str">
        <f t="shared" si="337"/>
        <v>1949-11-13T08:00:00.000+02:00</v>
      </c>
      <c r="AE1133" s="29" t="str">
        <f t="shared" si="341"/>
        <v>pixii-dis-</v>
      </c>
      <c r="AF1133" s="29" t="str">
        <f t="shared" si="342"/>
        <v>Pio XII - Discorso - alla venerata immagine della «Madonna del Divino Amore»</v>
      </c>
    </row>
    <row r="1134" spans="2:32" x14ac:dyDescent="0.2">
      <c r="B1134" s="29">
        <v>260</v>
      </c>
      <c r="C1134" s="29" t="s">
        <v>4318</v>
      </c>
      <c r="D1134" s="29" t="s">
        <v>715</v>
      </c>
      <c r="E1134" s="29" t="s">
        <v>724</v>
      </c>
      <c r="F1134" s="29" t="s">
        <v>663</v>
      </c>
      <c r="G1134" s="29" t="s">
        <v>659</v>
      </c>
      <c r="H1134" s="29" t="str">
        <f t="shared" si="331"/>
        <v>Pio XII</v>
      </c>
      <c r="K1134" s="29" t="s">
        <v>827</v>
      </c>
      <c r="L1134" s="29" t="str">
        <f t="shared" si="340"/>
        <v>Discorso</v>
      </c>
      <c r="M1134" s="29" t="s">
        <v>566</v>
      </c>
      <c r="O1134" s="29" t="s">
        <v>4645</v>
      </c>
      <c r="Q1134" s="38">
        <v>18215</v>
      </c>
      <c r="R1134" s="32">
        <f t="shared" si="338"/>
        <v>13</v>
      </c>
      <c r="S1134" s="32"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32">
        <f t="shared" si="339"/>
        <v>1949</v>
      </c>
      <c r="U1134" s="29"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3"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9"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9">
        <v>1161</v>
      </c>
      <c r="Y1134" s="29" t="str">
        <f t="shared" si="332"/>
        <v>['Pio XII', 'Discorso', 'Al Tribunale della Sacra Romana Rota', 'pixii-dis-', '13 novembre 1949', '13/11/1949', '1949/11/13'],</v>
      </c>
      <c r="Z1134" s="29" t="str">
        <f t="shared" si="333"/>
        <v>Al Tribunale della Sacra Romana Rota (18215) | Pio XII</v>
      </c>
      <c r="AA1134" s="29" t="str">
        <f t="shared" si="334"/>
        <v>Discorso Al Tribunale della Sacra Romana Rota</v>
      </c>
      <c r="AB1134" s="29" t="str">
        <f t="shared" si="335"/>
        <v>Discorso Al Tribunale della Sacra Romana Rota</v>
      </c>
      <c r="AC1134" s="29" t="str">
        <f t="shared" si="336"/>
        <v>Pio XII, Discorso Al Tribunale della Sacra Romana Rota, 13 novembre 1949</v>
      </c>
      <c r="AD1134" s="29" t="str">
        <f t="shared" si="337"/>
        <v>1949-11-13T08:00:00.000+02:00</v>
      </c>
      <c r="AE1134" s="29" t="str">
        <f t="shared" si="341"/>
        <v>pixii-dis-</v>
      </c>
      <c r="AF1134" s="29" t="str">
        <f t="shared" si="342"/>
        <v>Pio XII - Discorso - Al Tribunale della Sacra Romana Rota</v>
      </c>
    </row>
    <row r="1135" spans="2:32" x14ac:dyDescent="0.2">
      <c r="B1135" s="29">
        <v>260</v>
      </c>
      <c r="C1135" s="29" t="s">
        <v>4319</v>
      </c>
      <c r="D1135" s="29" t="s">
        <v>715</v>
      </c>
      <c r="E1135" s="29" t="s">
        <v>724</v>
      </c>
      <c r="F1135" s="29" t="s">
        <v>663</v>
      </c>
      <c r="G1135" s="29" t="s">
        <v>659</v>
      </c>
      <c r="H1135" s="29" t="str">
        <f t="shared" si="331"/>
        <v>Pio XII</v>
      </c>
      <c r="K1135" s="29" t="s">
        <v>827</v>
      </c>
      <c r="L1135" s="29" t="str">
        <f t="shared" si="340"/>
        <v>Discorso</v>
      </c>
      <c r="M1135" s="29" t="s">
        <v>566</v>
      </c>
      <c r="O1135" s="29" t="s">
        <v>4828</v>
      </c>
      <c r="Q1135" s="38">
        <v>18223</v>
      </c>
      <c r="R1135" s="32">
        <f t="shared" si="338"/>
        <v>21</v>
      </c>
      <c r="S1135" s="32"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32">
        <f t="shared" si="339"/>
        <v>1949</v>
      </c>
      <c r="U1135" s="29"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3"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9"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9">
        <v>1162</v>
      </c>
      <c r="Y1135" s="29" t="str">
        <f t="shared" si="332"/>
        <v>['Pio XII', 'Discorso', 'Radiomessaggio ai malati di tutto il mondo', 'pixii-dis-', '21 novembre 1949', '21/11/1949', '1949/11/21'],</v>
      </c>
      <c r="Z1135" s="29" t="str">
        <f t="shared" si="333"/>
        <v>Radiomessaggio ai malati di tutto il mondo (18223) | Pio XII</v>
      </c>
      <c r="AA1135" s="29" t="str">
        <f t="shared" si="334"/>
        <v>Discorso Radiomessaggio ai malati di tutto il mondo</v>
      </c>
      <c r="AB1135" s="29" t="str">
        <f t="shared" si="335"/>
        <v>Discorso Radiomessaggio ai malati di tutto il mondo</v>
      </c>
      <c r="AC1135" s="29" t="str">
        <f t="shared" si="336"/>
        <v>Pio XII, Discorso Radiomessaggio ai malati di tutto il mondo, 21 novembre 1949</v>
      </c>
      <c r="AD1135" s="29" t="str">
        <f t="shared" si="337"/>
        <v>1949-11-21T08:00:00.000+02:00</v>
      </c>
      <c r="AE1135" s="29" t="str">
        <f t="shared" si="341"/>
        <v>pixii-dis-</v>
      </c>
      <c r="AF1135" s="29" t="str">
        <f t="shared" si="342"/>
        <v>Pio XII - Discorso - Radiomessaggio ai malati di tutto il mondo</v>
      </c>
    </row>
    <row r="1136" spans="2:32" x14ac:dyDescent="0.2">
      <c r="B1136" s="29">
        <v>260</v>
      </c>
      <c r="C1136" s="29" t="s">
        <v>4320</v>
      </c>
      <c r="D1136" s="29" t="s">
        <v>715</v>
      </c>
      <c r="E1136" s="29" t="s">
        <v>724</v>
      </c>
      <c r="F1136" s="29" t="s">
        <v>663</v>
      </c>
      <c r="G1136" s="29" t="s">
        <v>659</v>
      </c>
      <c r="H1136" s="29" t="str">
        <f t="shared" si="331"/>
        <v>Pio XII</v>
      </c>
      <c r="K1136" s="29" t="s">
        <v>827</v>
      </c>
      <c r="L1136" s="29" t="str">
        <f t="shared" si="340"/>
        <v>Discorso</v>
      </c>
      <c r="M1136" s="29" t="s">
        <v>566</v>
      </c>
      <c r="O1136" s="29" t="s">
        <v>4829</v>
      </c>
      <c r="Q1136" s="38">
        <v>18250</v>
      </c>
      <c r="R1136" s="32">
        <f t="shared" si="338"/>
        <v>18</v>
      </c>
      <c r="S1136" s="32"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32">
        <f t="shared" si="339"/>
        <v>1949</v>
      </c>
      <c r="U1136" s="29"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3"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9"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9">
        <v>1163</v>
      </c>
      <c r="Y1136" s="29" t="str">
        <f t="shared" si="332"/>
        <v>['Pio XII', 'Discorso', 'Per l'inaugurazione del monumento al Sommo Pontefice Pio XI, nella Basilica Vaticana', 'pixii-dis-', '18 dicembre 1949', '18/12/1949', '1949/12/18'],</v>
      </c>
      <c r="Z1136" s="29" t="str">
        <f t="shared" si="333"/>
        <v>Per l'inaugurazione del monumento al Sommo Pontefice Pio XI, nella Basilica Vaticana (18250) | Pio XII</v>
      </c>
      <c r="AA1136" s="29" t="str">
        <f t="shared" si="334"/>
        <v>Discorso Per l'inaugurazione del monumento al Sommo Pontefice Pio XI, nella Basilica Vaticana</v>
      </c>
      <c r="AB1136" s="29" t="str">
        <f t="shared" si="335"/>
        <v>Discorso Per l'inaugurazione del monumento al Sommo Pontefice Pio XI, nella Basilica Vaticana</v>
      </c>
      <c r="AC1136" s="29" t="str">
        <f t="shared" si="336"/>
        <v>Pio XII, Discorso Per l'inaugurazione del monumento al Sommo Pontefice Pio XI, nella Basilica Vaticana, 18 dicembre 1949</v>
      </c>
      <c r="AD1136" s="29" t="str">
        <f t="shared" si="337"/>
        <v>1949-12-18T08:00:00.000+02:00</v>
      </c>
      <c r="AE1136" s="29" t="str">
        <f t="shared" si="341"/>
        <v>pixii-dis-</v>
      </c>
      <c r="AF1136" s="29" t="str">
        <f t="shared" si="342"/>
        <v>Pio XII - Discorso - Per l'inaugurazione del monumento al Sommo Pontefice Pio XI, nella Basilica Vaticana</v>
      </c>
    </row>
    <row r="1137" spans="2:32" x14ac:dyDescent="0.2">
      <c r="B1137" s="29">
        <v>260</v>
      </c>
      <c r="C1137" s="29" t="s">
        <v>4321</v>
      </c>
      <c r="D1137" s="29" t="s">
        <v>715</v>
      </c>
      <c r="E1137" s="29" t="s">
        <v>724</v>
      </c>
      <c r="F1137" s="29" t="s">
        <v>663</v>
      </c>
      <c r="G1137" s="29" t="s">
        <v>659</v>
      </c>
      <c r="H1137" s="29" t="str">
        <f t="shared" si="331"/>
        <v>Pio XII</v>
      </c>
      <c r="K1137" s="29" t="s">
        <v>827</v>
      </c>
      <c r="L1137" s="29" t="str">
        <f t="shared" si="340"/>
        <v>Discorso</v>
      </c>
      <c r="M1137" s="29" t="s">
        <v>566</v>
      </c>
      <c r="O1137" s="29" t="s">
        <v>4830</v>
      </c>
      <c r="Q1137" s="38">
        <v>18256</v>
      </c>
      <c r="R1137" s="32">
        <f t="shared" si="338"/>
        <v>24</v>
      </c>
      <c r="S1137" s="32"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32">
        <f t="shared" si="339"/>
        <v>1949</v>
      </c>
      <c r="U1137" s="29"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3"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9"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9">
        <v>1164</v>
      </c>
      <c r="Y1137" s="29" t="str">
        <f t="shared" si="332"/>
        <v>['Pio XII', 'Discorso', 'Ai rappresentanti delle Arciconfraternite e Confraternite dell'Urbe', 'pixii-dis-', '24 dicembre 1949', '24/12/1949', '1949/12/24'],</v>
      </c>
      <c r="Z1137" s="29" t="str">
        <f t="shared" si="333"/>
        <v>Ai rappresentanti delle Arciconfraternite e Confraternite dell'Urbe (18256) | Pio XII</v>
      </c>
      <c r="AA1137" s="29" t="str">
        <f t="shared" si="334"/>
        <v>Discorso Ai rappresentanti delle Arciconfraternite e Confraternite dell'Urbe</v>
      </c>
      <c r="AB1137" s="29" t="str">
        <f t="shared" si="335"/>
        <v>Discorso Ai rappresentanti delle Arciconfraternite e Confraternite dell'Urbe</v>
      </c>
      <c r="AC1137" s="29" t="str">
        <f t="shared" si="336"/>
        <v>Pio XII, Discorso Ai rappresentanti delle Arciconfraternite e Confraternite dell'Urbe, 24 dicembre 1949</v>
      </c>
      <c r="AD1137" s="29" t="str">
        <f t="shared" si="337"/>
        <v>1949-12-24T08:00:00.000+02:00</v>
      </c>
      <c r="AE1137" s="29" t="str">
        <f t="shared" si="341"/>
        <v>pixii-dis-</v>
      </c>
      <c r="AF1137" s="29" t="str">
        <f t="shared" si="342"/>
        <v>Pio XII - Discorso - Ai rappresentanti delle Arciconfraternite e Confraternite dell'Urbe</v>
      </c>
    </row>
    <row r="1138" spans="2:32" x14ac:dyDescent="0.2">
      <c r="B1138" s="29">
        <v>260</v>
      </c>
      <c r="C1138" s="29" t="s">
        <v>4322</v>
      </c>
      <c r="D1138" s="29" t="s">
        <v>715</v>
      </c>
      <c r="E1138" s="29" t="s">
        <v>724</v>
      </c>
      <c r="F1138" s="29" t="s">
        <v>663</v>
      </c>
      <c r="G1138" s="29" t="s">
        <v>659</v>
      </c>
      <c r="H1138" s="29" t="str">
        <f t="shared" si="331"/>
        <v>Pio XII</v>
      </c>
      <c r="K1138" s="29" t="s">
        <v>827</v>
      </c>
      <c r="L1138" s="29" t="str">
        <f t="shared" si="340"/>
        <v>Discorso</v>
      </c>
      <c r="M1138" s="29" t="s">
        <v>566</v>
      </c>
      <c r="O1138" s="29" t="s">
        <v>4831</v>
      </c>
      <c r="Q1138" s="38">
        <v>18256</v>
      </c>
      <c r="R1138" s="32">
        <f t="shared" si="338"/>
        <v>24</v>
      </c>
      <c r="S1138" s="32"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32">
        <f t="shared" si="339"/>
        <v>1949</v>
      </c>
      <c r="U1138" s="29"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3"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9"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9">
        <v>1165</v>
      </c>
      <c r="Y1138" s="29" t="str">
        <f t="shared" si="332"/>
        <v>['Pio XII', 'Discorso', 'Radiomessaggio natalizio al mondo', 'pixii-dis-', '24 dicembre 1949', '24/12/1949', '1949/12/24'],</v>
      </c>
      <c r="Z1138" s="29" t="str">
        <f t="shared" si="333"/>
        <v>Radiomessaggio natalizio al mondo (18256) | Pio XII</v>
      </c>
      <c r="AA1138" s="29" t="str">
        <f t="shared" si="334"/>
        <v>Discorso Radiomessaggio natalizio al mondo</v>
      </c>
      <c r="AB1138" s="29" t="str">
        <f t="shared" si="335"/>
        <v>Discorso Radiomessaggio natalizio al mondo</v>
      </c>
      <c r="AC1138" s="29" t="str">
        <f t="shared" si="336"/>
        <v>Pio XII, Discorso Radiomessaggio natalizio al mondo, 24 dicembre 1949</v>
      </c>
      <c r="AD1138" s="29" t="str">
        <f t="shared" si="337"/>
        <v>1949-12-24T08:00:00.000+02:00</v>
      </c>
      <c r="AE1138" s="29" t="str">
        <f t="shared" si="341"/>
        <v>pixii-dis-</v>
      </c>
      <c r="AF1138" s="29" t="str">
        <f t="shared" si="342"/>
        <v>Pio XII - Discorso - Radiomessaggio natalizio al mondo</v>
      </c>
    </row>
    <row r="1139" spans="2:32" x14ac:dyDescent="0.2">
      <c r="B1139" s="29">
        <v>260</v>
      </c>
      <c r="C1139" s="29" t="s">
        <v>4323</v>
      </c>
      <c r="D1139" s="29" t="s">
        <v>715</v>
      </c>
      <c r="E1139" s="29" t="s">
        <v>724</v>
      </c>
      <c r="F1139" s="29" t="s">
        <v>663</v>
      </c>
      <c r="G1139" s="29" t="s">
        <v>659</v>
      </c>
      <c r="H1139" s="29" t="str">
        <f t="shared" si="331"/>
        <v>Pio XII</v>
      </c>
      <c r="K1139" s="29" t="s">
        <v>827</v>
      </c>
      <c r="L1139" s="29" t="str">
        <f t="shared" si="340"/>
        <v>Discorso</v>
      </c>
      <c r="M1139" s="29" t="s">
        <v>566</v>
      </c>
      <c r="O1139" s="29" t="s">
        <v>4832</v>
      </c>
      <c r="Q1139" s="38">
        <v>18268</v>
      </c>
      <c r="R1139" s="32">
        <f t="shared" si="338"/>
        <v>5</v>
      </c>
      <c r="S1139" s="32"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32">
        <f t="shared" si="339"/>
        <v>1950</v>
      </c>
      <c r="U1139" s="29"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3"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9"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9">
        <v>1166</v>
      </c>
      <c r="Y1139" s="29" t="str">
        <f t="shared" si="332"/>
        <v>['Pio XII', 'Discorso', 'Alle giovani dell'«Associazione Guide Italiane»', 'pixii-dis-', '05 gennaio 1950', '05/01/1950', '1950/01/05'],</v>
      </c>
      <c r="Z1139" s="29" t="str">
        <f t="shared" si="333"/>
        <v>Alle giovani dell'«Associazione Guide Italiane» (18268) | Pio XII</v>
      </c>
      <c r="AA1139" s="29" t="str">
        <f t="shared" si="334"/>
        <v>Discorso Alle giovani dell'«Associazione Guide Italiane»</v>
      </c>
      <c r="AB1139" s="29" t="str">
        <f t="shared" si="335"/>
        <v>Discorso Alle giovani dell'«Associazione Guide Italiane»</v>
      </c>
      <c r="AC1139" s="29" t="str">
        <f t="shared" si="336"/>
        <v>Pio XII, Discorso Alle giovani dell'«Associazione Guide Italiane», 05 gennaio 1950</v>
      </c>
      <c r="AD1139" s="29" t="str">
        <f t="shared" si="337"/>
        <v>1950-01-05T08:00:00.000+02:00</v>
      </c>
      <c r="AE1139" s="29" t="str">
        <f t="shared" si="341"/>
        <v>pixii-dis-</v>
      </c>
      <c r="AF1139" s="29" t="str">
        <f t="shared" si="342"/>
        <v>Pio XII - Discorso - Alle giovani dell'«Associazione Guide Italiane»</v>
      </c>
    </row>
    <row r="1140" spans="2:32" x14ac:dyDescent="0.2">
      <c r="B1140" s="29">
        <v>260</v>
      </c>
      <c r="C1140" s="29" t="s">
        <v>4324</v>
      </c>
      <c r="D1140" s="29" t="s">
        <v>715</v>
      </c>
      <c r="E1140" s="29" t="s">
        <v>724</v>
      </c>
      <c r="F1140" s="29" t="s">
        <v>663</v>
      </c>
      <c r="G1140" s="29" t="s">
        <v>659</v>
      </c>
      <c r="H1140" s="29" t="str">
        <f t="shared" si="331"/>
        <v>Pio XII</v>
      </c>
      <c r="K1140" s="29" t="s">
        <v>827</v>
      </c>
      <c r="L1140" s="29" t="str">
        <f t="shared" si="340"/>
        <v>Discorso</v>
      </c>
      <c r="M1140" s="29" t="s">
        <v>566</v>
      </c>
      <c r="O1140" s="29" t="s">
        <v>4670</v>
      </c>
      <c r="Q1140" s="38">
        <v>18275</v>
      </c>
      <c r="R1140" s="32">
        <f t="shared" si="338"/>
        <v>12</v>
      </c>
      <c r="S1140" s="32"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32">
        <f t="shared" si="339"/>
        <v>1950</v>
      </c>
      <c r="U1140" s="29"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3"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9"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9">
        <v>1167</v>
      </c>
      <c r="Y1140" s="29" t="str">
        <f t="shared" si="332"/>
        <v>['Pio XII', 'Discorso', 'Al patriziato e alla nobiltà romana', 'pixii-dis-', '12 gennaio 1950', '12/01/1950', '1950/01/12'],</v>
      </c>
      <c r="Z1140" s="29" t="str">
        <f t="shared" si="333"/>
        <v>Al patriziato e alla nobiltà romana (18275) | Pio XII</v>
      </c>
      <c r="AA1140" s="29" t="str">
        <f t="shared" si="334"/>
        <v>Discorso Al patriziato e alla nobiltà romana</v>
      </c>
      <c r="AB1140" s="29" t="str">
        <f t="shared" si="335"/>
        <v>Discorso Al patriziato e alla nobiltà romana</v>
      </c>
      <c r="AC1140" s="29" t="str">
        <f t="shared" si="336"/>
        <v>Pio XII, Discorso Al patriziato e alla nobiltà romana, 12 gennaio 1950</v>
      </c>
      <c r="AD1140" s="29" t="str">
        <f t="shared" si="337"/>
        <v>1950-01-12T08:00:00.000+02:00</v>
      </c>
      <c r="AE1140" s="29" t="str">
        <f t="shared" si="341"/>
        <v>pixii-dis-</v>
      </c>
      <c r="AF1140" s="29" t="str">
        <f t="shared" si="342"/>
        <v>Pio XII - Discorso - Al patriziato e alla nobiltà romana</v>
      </c>
    </row>
    <row r="1141" spans="2:32" x14ac:dyDescent="0.2">
      <c r="B1141" s="29">
        <v>260</v>
      </c>
      <c r="C1141" s="29" t="s">
        <v>4325</v>
      </c>
      <c r="D1141" s="29" t="s">
        <v>715</v>
      </c>
      <c r="E1141" s="29" t="s">
        <v>724</v>
      </c>
      <c r="F1141" s="29" t="s">
        <v>663</v>
      </c>
      <c r="G1141" s="29" t="s">
        <v>659</v>
      </c>
      <c r="H1141" s="29" t="str">
        <f t="shared" si="331"/>
        <v>Pio XII</v>
      </c>
      <c r="K1141" s="29" t="s">
        <v>827</v>
      </c>
      <c r="L1141" s="29" t="str">
        <f t="shared" si="340"/>
        <v>Discorso</v>
      </c>
      <c r="M1141" s="29" t="s">
        <v>566</v>
      </c>
      <c r="O1141" s="29" t="s">
        <v>4833</v>
      </c>
      <c r="Q1141" s="38">
        <v>18311</v>
      </c>
      <c r="R1141" s="32">
        <f t="shared" si="338"/>
        <v>17</v>
      </c>
      <c r="S1141" s="32"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32">
        <f t="shared" si="339"/>
        <v>1950</v>
      </c>
      <c r="U1141" s="29"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3"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9"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9">
        <v>1168</v>
      </c>
      <c r="Y1141" s="29" t="str">
        <f t="shared" si="332"/>
        <v>['Pio XII', 'Discorso', 'Ai giornalisti cattolici convenuti a Roma per il loro III Congresso Internazionale', 'pixii-dis-', '17 febbraio 1950', '17/02/1950', '1950/02/17'],</v>
      </c>
      <c r="Z1141" s="29" t="str">
        <f t="shared" si="333"/>
        <v>Ai giornalisti cattolici convenuti a Roma per il loro III Congresso Internazionale (18311) | Pio XII</v>
      </c>
      <c r="AA1141" s="29" t="str">
        <f t="shared" si="334"/>
        <v>Discorso Ai giornalisti cattolici convenuti a Roma per il loro III Congresso Internazionale</v>
      </c>
      <c r="AB1141" s="29" t="str">
        <f t="shared" si="335"/>
        <v>Discorso Ai giornalisti cattolici convenuti a Roma per il loro III Congresso Internazionale</v>
      </c>
      <c r="AC1141" s="29" t="str">
        <f t="shared" si="336"/>
        <v>Pio XII, Discorso Ai giornalisti cattolici convenuti a Roma per il loro III Congresso Internazionale, 17 febbraio 1950</v>
      </c>
      <c r="AD1141" s="29" t="str">
        <f t="shared" si="337"/>
        <v>1950-02-17T08:00:00.000+02:00</v>
      </c>
      <c r="AE1141" s="29" t="str">
        <f t="shared" si="341"/>
        <v>pixii-dis-</v>
      </c>
      <c r="AF1141" s="29" t="str">
        <f t="shared" si="342"/>
        <v>Pio XII - Discorso - Ai giornalisti cattolici convenuti a Roma per il loro III Congresso Internazionale</v>
      </c>
    </row>
    <row r="1142" spans="2:32" x14ac:dyDescent="0.2">
      <c r="B1142" s="29">
        <v>260</v>
      </c>
      <c r="C1142" s="29" t="s">
        <v>4326</v>
      </c>
      <c r="D1142" s="29" t="s">
        <v>715</v>
      </c>
      <c r="E1142" s="29" t="s">
        <v>724</v>
      </c>
      <c r="F1142" s="29" t="s">
        <v>663</v>
      </c>
      <c r="G1142" s="29" t="s">
        <v>659</v>
      </c>
      <c r="H1142" s="29" t="str">
        <f t="shared" si="331"/>
        <v>Pio XII</v>
      </c>
      <c r="K1142" s="29" t="s">
        <v>827</v>
      </c>
      <c r="L1142" s="29" t="str">
        <f t="shared" si="340"/>
        <v>Discorso</v>
      </c>
      <c r="M1142" s="29" t="s">
        <v>566</v>
      </c>
      <c r="O1142" s="29" t="s">
        <v>4834</v>
      </c>
      <c r="Q1142" s="38">
        <v>18324</v>
      </c>
      <c r="R1142" s="32">
        <f t="shared" si="338"/>
        <v>2</v>
      </c>
      <c r="S1142" s="32"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32">
        <f t="shared" si="339"/>
        <v>1950</v>
      </c>
      <c r="U1142" s="29"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3"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9"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9">
        <v>1169</v>
      </c>
      <c r="Y1142" s="29" t="str">
        <f t="shared" si="332"/>
        <v>['Pio XII', 'Discorso', 'Ai parroci e ai quaresimalisti di Roma', 'pixii-dis-', '02 marzo 1950', '02/03/1950', '1950/03/02'],</v>
      </c>
      <c r="Z1142" s="29" t="str">
        <f t="shared" si="333"/>
        <v>Ai parroci e ai quaresimalisti di Roma (18324) | Pio XII</v>
      </c>
      <c r="AA1142" s="29" t="str">
        <f t="shared" si="334"/>
        <v>Discorso Ai parroci e ai quaresimalisti di Roma</v>
      </c>
      <c r="AB1142" s="29" t="str">
        <f t="shared" si="335"/>
        <v>Discorso Ai parroci e ai quaresimalisti di Roma</v>
      </c>
      <c r="AC1142" s="29" t="str">
        <f t="shared" si="336"/>
        <v>Pio XII, Discorso Ai parroci e ai quaresimalisti di Roma, 02 marzo 1950</v>
      </c>
      <c r="AD1142" s="29" t="str">
        <f t="shared" si="337"/>
        <v>1950-03-02T08:00:00.000+02:00</v>
      </c>
      <c r="AE1142" s="29" t="str">
        <f t="shared" si="341"/>
        <v>pixii-dis-</v>
      </c>
      <c r="AF1142" s="29" t="str">
        <f t="shared" si="342"/>
        <v>Pio XII - Discorso - Ai parroci e ai quaresimalisti di Roma</v>
      </c>
    </row>
    <row r="1143" spans="2:32" x14ac:dyDescent="0.2">
      <c r="B1143" s="29">
        <v>260</v>
      </c>
      <c r="C1143" s="29" t="s">
        <v>4327</v>
      </c>
      <c r="D1143" s="29" t="s">
        <v>715</v>
      </c>
      <c r="E1143" s="29" t="s">
        <v>724</v>
      </c>
      <c r="F1143" s="29" t="s">
        <v>663</v>
      </c>
      <c r="G1143" s="29" t="s">
        <v>659</v>
      </c>
      <c r="H1143" s="29" t="str">
        <f t="shared" si="331"/>
        <v>Pio XII</v>
      </c>
      <c r="K1143" s="29" t="s">
        <v>827</v>
      </c>
      <c r="L1143" s="29" t="str">
        <f t="shared" si="340"/>
        <v>Discorso</v>
      </c>
      <c r="M1143" s="29" t="s">
        <v>566</v>
      </c>
      <c r="O1143" s="29" t="s">
        <v>4835</v>
      </c>
      <c r="Q1143" s="38">
        <v>18378</v>
      </c>
      <c r="R1143" s="32">
        <f t="shared" si="338"/>
        <v>25</v>
      </c>
      <c r="S1143" s="32"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32">
        <f t="shared" si="339"/>
        <v>1950</v>
      </c>
      <c r="U1143" s="29"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3"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9"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9">
        <v>1170</v>
      </c>
      <c r="Y1143" s="29" t="str">
        <f t="shared" si="332"/>
        <v>['Pio XII', 'Discorso', 'Ad un gruppo di direttori e impiegati della Banca d'Italia', 'pixii-dis-', '25 aprile 1950', '25/04/1950', '1950/04/25'],</v>
      </c>
      <c r="Z1143" s="29" t="str">
        <f t="shared" si="333"/>
        <v>Ad un gruppo di direttori e impiegati della Banca d'Italia (18378) | Pio XII</v>
      </c>
      <c r="AA1143" s="29" t="str">
        <f t="shared" si="334"/>
        <v>Discorso Ad un gruppo di direttori e impiegati della Banca d'Italia</v>
      </c>
      <c r="AB1143" s="29" t="str">
        <f t="shared" si="335"/>
        <v>Discorso Ad un gruppo di direttori e impiegati della Banca d'Italia</v>
      </c>
      <c r="AC1143" s="29" t="str">
        <f t="shared" si="336"/>
        <v>Pio XII, Discorso Ad un gruppo di direttori e impiegati della Banca d'Italia, 25 aprile 1950</v>
      </c>
      <c r="AD1143" s="29" t="str">
        <f t="shared" si="337"/>
        <v>1950-04-25T08:00:00.000+02:00</v>
      </c>
      <c r="AE1143" s="29" t="str">
        <f t="shared" si="341"/>
        <v>pixii-dis-</v>
      </c>
      <c r="AF1143" s="29" t="str">
        <f t="shared" si="342"/>
        <v>Pio XII - Discorso - Ad un gruppo di direttori e impiegati della Banca d'Italia</v>
      </c>
    </row>
    <row r="1144" spans="2:32" x14ac:dyDescent="0.2">
      <c r="B1144" s="29">
        <v>260</v>
      </c>
      <c r="C1144" s="29" t="s">
        <v>4328</v>
      </c>
      <c r="D1144" s="29" t="s">
        <v>715</v>
      </c>
      <c r="E1144" s="29" t="s">
        <v>724</v>
      </c>
      <c r="F1144" s="29" t="s">
        <v>663</v>
      </c>
      <c r="G1144" s="29" t="s">
        <v>659</v>
      </c>
      <c r="H1144" s="29" t="str">
        <f t="shared" si="331"/>
        <v>Pio XII</v>
      </c>
      <c r="K1144" s="29" t="s">
        <v>827</v>
      </c>
      <c r="L1144" s="29" t="str">
        <f t="shared" si="340"/>
        <v>Discorso</v>
      </c>
      <c r="M1144" s="29" t="s">
        <v>566</v>
      </c>
      <c r="O1144" s="29" t="s">
        <v>4836</v>
      </c>
      <c r="Q1144" s="38">
        <v>18432</v>
      </c>
      <c r="R1144" s="32">
        <f t="shared" si="338"/>
        <v>18</v>
      </c>
      <c r="S1144" s="32"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32">
        <f t="shared" si="339"/>
        <v>1950</v>
      </c>
      <c r="U1144" s="29"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3"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9"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9">
        <v>1171</v>
      </c>
      <c r="Y1144" s="29" t="str">
        <f t="shared" si="332"/>
        <v>['Pio XII', 'Discorso', 'Ai dirigenti e al personale del Banco di Roma', 'pixii-dis-', '18 giugno 1950', '18/06/1950', '1950/06/18'],</v>
      </c>
      <c r="Z1144" s="29" t="str">
        <f t="shared" si="333"/>
        <v>Ai dirigenti e al personale del Banco di Roma (18432) | Pio XII</v>
      </c>
      <c r="AA1144" s="29" t="str">
        <f t="shared" si="334"/>
        <v>Discorso Ai dirigenti e al personale del Banco di Roma</v>
      </c>
      <c r="AB1144" s="29" t="str">
        <f t="shared" si="335"/>
        <v>Discorso Ai dirigenti e al personale del Banco di Roma</v>
      </c>
      <c r="AC1144" s="29" t="str">
        <f t="shared" si="336"/>
        <v>Pio XII, Discorso Ai dirigenti e al personale del Banco di Roma, 18 giugno 1950</v>
      </c>
      <c r="AD1144" s="29" t="str">
        <f t="shared" si="337"/>
        <v>1950-06-18T08:00:00.000+02:00</v>
      </c>
      <c r="AE1144" s="29" t="str">
        <f t="shared" si="341"/>
        <v>pixii-dis-</v>
      </c>
      <c r="AF1144" s="29" t="str">
        <f t="shared" si="342"/>
        <v>Pio XII - Discorso - Ai dirigenti e al personale del Banco di Roma</v>
      </c>
    </row>
    <row r="1145" spans="2:32" x14ac:dyDescent="0.2">
      <c r="B1145" s="29">
        <v>260</v>
      </c>
      <c r="C1145" s="29" t="s">
        <v>4329</v>
      </c>
      <c r="D1145" s="29" t="s">
        <v>715</v>
      </c>
      <c r="E1145" s="29" t="s">
        <v>724</v>
      </c>
      <c r="F1145" s="29" t="s">
        <v>663</v>
      </c>
      <c r="G1145" s="29" t="s">
        <v>659</v>
      </c>
      <c r="H1145" s="29" t="str">
        <f t="shared" si="331"/>
        <v>Pio XII</v>
      </c>
      <c r="K1145" s="29" t="s">
        <v>827</v>
      </c>
      <c r="L1145" s="29" t="str">
        <f t="shared" si="340"/>
        <v>Discorso</v>
      </c>
      <c r="M1145" s="29" t="s">
        <v>566</v>
      </c>
      <c r="O1145" s="29" t="s">
        <v>4837</v>
      </c>
      <c r="Q1145" s="38">
        <v>18438</v>
      </c>
      <c r="R1145" s="32">
        <f t="shared" si="338"/>
        <v>24</v>
      </c>
      <c r="S1145" s="32"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32">
        <f t="shared" si="339"/>
        <v>1950</v>
      </c>
      <c r="U1145" s="29"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3"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9"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9">
        <v>1172</v>
      </c>
      <c r="Y1145" s="29" t="str">
        <f t="shared" si="332"/>
        <v>['Pio XII', 'Discorso', 'Ai fedeli convenuti a Roma per la canonizzazione di Santa Maria Goretti', 'pixii-dis-', '24 giugno 1950', '24/06/1950', '1950/06/24'],</v>
      </c>
      <c r="Z1145" s="29" t="str">
        <f t="shared" si="333"/>
        <v>Ai fedeli convenuti a Roma per la canonizzazione di Santa Maria Goretti (18438) | Pio XII</v>
      </c>
      <c r="AA1145" s="29" t="str">
        <f t="shared" si="334"/>
        <v>Discorso Ai fedeli convenuti a Roma per la canonizzazione di Santa Maria Goretti</v>
      </c>
      <c r="AB1145" s="29" t="str">
        <f t="shared" si="335"/>
        <v>Discorso Ai fedeli convenuti a Roma per la canonizzazione di Santa Maria Goretti</v>
      </c>
      <c r="AC1145" s="29" t="str">
        <f t="shared" si="336"/>
        <v>Pio XII, Discorso Ai fedeli convenuti a Roma per la canonizzazione di Santa Maria Goretti, 24 giugno 1950</v>
      </c>
      <c r="AD1145" s="29" t="str">
        <f t="shared" si="337"/>
        <v>1950-06-24T08:00:00.000+02:00</v>
      </c>
      <c r="AE1145" s="29" t="str">
        <f t="shared" si="341"/>
        <v>pixii-dis-</v>
      </c>
      <c r="AF1145" s="29" t="str">
        <f t="shared" si="342"/>
        <v>Pio XII - Discorso - Ai fedeli convenuti a Roma per la canonizzazione di Santa Maria Goretti</v>
      </c>
    </row>
    <row r="1146" spans="2:32" x14ac:dyDescent="0.2">
      <c r="B1146" s="29">
        <v>260</v>
      </c>
      <c r="C1146" s="29" t="s">
        <v>4330</v>
      </c>
      <c r="D1146" s="29" t="s">
        <v>715</v>
      </c>
      <c r="E1146" s="29" t="s">
        <v>724</v>
      </c>
      <c r="F1146" s="29" t="s">
        <v>663</v>
      </c>
      <c r="G1146" s="29" t="s">
        <v>659</v>
      </c>
      <c r="H1146" s="29" t="str">
        <f t="shared" si="331"/>
        <v>Pio XII</v>
      </c>
      <c r="K1146" s="29" t="s">
        <v>827</v>
      </c>
      <c r="L1146" s="29" t="str">
        <f t="shared" si="340"/>
        <v>Discorso</v>
      </c>
      <c r="M1146" s="29" t="s">
        <v>566</v>
      </c>
      <c r="O1146" s="29" t="s">
        <v>4838</v>
      </c>
      <c r="Q1146" s="38">
        <v>18445</v>
      </c>
      <c r="R1146" s="32">
        <f t="shared" si="338"/>
        <v>1</v>
      </c>
      <c r="S1146" s="32"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32">
        <f t="shared" si="339"/>
        <v>1950</v>
      </c>
      <c r="U1146" s="29"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3"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9"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9">
        <v>1173</v>
      </c>
      <c r="Y1146" s="29" t="str">
        <f t="shared" si="332"/>
        <v>['Pio XII', 'Discorso', 'Nel primo centenario della Guardia Palatina d'onore', 'pixii-dis-', '01 luglio 1950', '01/07/1950', '1950/07/01'],</v>
      </c>
      <c r="Z1146" s="29" t="str">
        <f t="shared" si="333"/>
        <v>Nel primo centenario della Guardia Palatina d'onore (18445) | Pio XII</v>
      </c>
      <c r="AA1146" s="29" t="str">
        <f t="shared" si="334"/>
        <v>Discorso Nel primo centenario della Guardia Palatina d'onore</v>
      </c>
      <c r="AB1146" s="29" t="str">
        <f t="shared" si="335"/>
        <v>Discorso Nel primo centenario della Guardia Palatina d'onore</v>
      </c>
      <c r="AC1146" s="29" t="str">
        <f t="shared" si="336"/>
        <v>Pio XII, Discorso Nel primo centenario della Guardia Palatina d'onore, 01 luglio 1950</v>
      </c>
      <c r="AD1146" s="29" t="str">
        <f t="shared" si="337"/>
        <v>1950-07-01T08:00:00.000+02:00</v>
      </c>
      <c r="AE1146" s="29" t="str">
        <f t="shared" si="341"/>
        <v>pixii-dis-</v>
      </c>
      <c r="AF1146" s="29" t="str">
        <f t="shared" si="342"/>
        <v>Pio XII - Discorso - Nel primo centenario della Guardia Palatina d'onore</v>
      </c>
    </row>
    <row r="1147" spans="2:32" x14ac:dyDescent="0.2">
      <c r="B1147" s="29">
        <v>260</v>
      </c>
      <c r="C1147" s="29" t="s">
        <v>4331</v>
      </c>
      <c r="D1147" s="29" t="s">
        <v>715</v>
      </c>
      <c r="E1147" s="29" t="s">
        <v>724</v>
      </c>
      <c r="F1147" s="29" t="s">
        <v>663</v>
      </c>
      <c r="G1147" s="29" t="s">
        <v>659</v>
      </c>
      <c r="H1147" s="29" t="str">
        <f t="shared" si="331"/>
        <v>Pio XII</v>
      </c>
      <c r="K1147" s="29" t="s">
        <v>827</v>
      </c>
      <c r="L1147" s="29" t="str">
        <f t="shared" si="340"/>
        <v>Discorso</v>
      </c>
      <c r="M1147" s="29" t="s">
        <v>566</v>
      </c>
      <c r="O1147" s="29" t="s">
        <v>4839</v>
      </c>
      <c r="Q1147" s="38">
        <v>18446</v>
      </c>
      <c r="R1147" s="32">
        <f t="shared" si="338"/>
        <v>2</v>
      </c>
      <c r="S1147" s="32"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32">
        <f t="shared" si="339"/>
        <v>1950</v>
      </c>
      <c r="U1147" s="29"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3"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9"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9">
        <v>1174</v>
      </c>
      <c r="Y1147" s="29" t="str">
        <f t="shared" si="332"/>
        <v>['Pio XII', 'Discorso', 'Ai lavoratori della Società Romana di elettricità', 'pixii-dis-', '02 luglio 1950', '02/07/1950', '1950/07/02'],</v>
      </c>
      <c r="Z1147" s="29" t="str">
        <f t="shared" si="333"/>
        <v>Ai lavoratori della Società Romana di elettricità (18446) | Pio XII</v>
      </c>
      <c r="AA1147" s="29" t="str">
        <f t="shared" si="334"/>
        <v>Discorso Ai lavoratori della Società Romana di elettricità</v>
      </c>
      <c r="AB1147" s="29" t="str">
        <f t="shared" si="335"/>
        <v>Discorso Ai lavoratori della Società Romana di elettricità</v>
      </c>
      <c r="AC1147" s="29" t="str">
        <f t="shared" si="336"/>
        <v>Pio XII, Discorso Ai lavoratori della Società Romana di elettricità, 02 luglio 1950</v>
      </c>
      <c r="AD1147" s="29" t="str">
        <f t="shared" si="337"/>
        <v>1950-07-02T08:00:00.000+02:00</v>
      </c>
      <c r="AE1147" s="29" t="str">
        <f t="shared" si="341"/>
        <v>pixii-dis-</v>
      </c>
      <c r="AF1147" s="29" t="str">
        <f t="shared" si="342"/>
        <v>Pio XII - Discorso - Ai lavoratori della Società Romana di elettricità</v>
      </c>
    </row>
    <row r="1148" spans="2:32" x14ac:dyDescent="0.2">
      <c r="B1148" s="29">
        <v>260</v>
      </c>
      <c r="C1148" s="29" t="s">
        <v>4332</v>
      </c>
      <c r="D1148" s="29" t="s">
        <v>715</v>
      </c>
      <c r="E1148" s="29" t="s">
        <v>724</v>
      </c>
      <c r="F1148" s="29" t="s">
        <v>663</v>
      </c>
      <c r="G1148" s="29" t="s">
        <v>659</v>
      </c>
      <c r="H1148" s="29" t="str">
        <f t="shared" si="331"/>
        <v>Pio XII</v>
      </c>
      <c r="K1148" s="29" t="s">
        <v>827</v>
      </c>
      <c r="L1148" s="29" t="str">
        <f t="shared" si="340"/>
        <v>Discorso</v>
      </c>
      <c r="M1148" s="29" t="s">
        <v>566</v>
      </c>
      <c r="O1148" s="29" t="s">
        <v>4840</v>
      </c>
      <c r="Q1148" s="38">
        <v>18505</v>
      </c>
      <c r="R1148" s="32">
        <f t="shared" si="338"/>
        <v>30</v>
      </c>
      <c r="S1148" s="32"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32">
        <f t="shared" si="339"/>
        <v>1950</v>
      </c>
      <c r="U1148" s="29"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3"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9"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9">
        <v>1175</v>
      </c>
      <c r="Y1148" s="29" t="str">
        <f t="shared" si="332"/>
        <v>['Pio XII', 'Discorso', 'Al pellegrinaggio regionale della Sicilia e ai rappresentanti di Pax Romana', 'pixii-dis-', '30 agosto 1950', '30/08/1950', '1950/08/30'],</v>
      </c>
      <c r="Z1148" s="29" t="str">
        <f t="shared" si="333"/>
        <v>Al pellegrinaggio regionale della Sicilia e ai rappresentanti di Pax Romana (18505) | Pio XII</v>
      </c>
      <c r="AA1148" s="29" t="str">
        <f t="shared" si="334"/>
        <v>Discorso Al pellegrinaggio regionale della Sicilia e ai rappresentanti di Pax Romana</v>
      </c>
      <c r="AB1148" s="29" t="str">
        <f t="shared" si="335"/>
        <v>Discorso Al pellegrinaggio regionale della Sicilia e ai rappresentanti di Pax Romana</v>
      </c>
      <c r="AC1148" s="29" t="str">
        <f t="shared" si="336"/>
        <v>Pio XII, Discorso Al pellegrinaggio regionale della Sicilia e ai rappresentanti di Pax Romana, 30 agosto 1950</v>
      </c>
      <c r="AD1148" s="29" t="str">
        <f t="shared" si="337"/>
        <v>1950-08-30T08:00:00.000+02:00</v>
      </c>
      <c r="AE1148" s="29" t="str">
        <f t="shared" si="341"/>
        <v>pixii-dis-</v>
      </c>
      <c r="AF1148" s="29" t="str">
        <f t="shared" si="342"/>
        <v>Pio XII - Discorso - Al pellegrinaggio regionale della Sicilia e ai rappresentanti di Pax Romana</v>
      </c>
    </row>
    <row r="1149" spans="2:32" x14ac:dyDescent="0.2">
      <c r="B1149" s="29">
        <v>260</v>
      </c>
      <c r="C1149" s="29" t="s">
        <v>4333</v>
      </c>
      <c r="D1149" s="29" t="s">
        <v>715</v>
      </c>
      <c r="E1149" s="29" t="s">
        <v>724</v>
      </c>
      <c r="F1149" s="29" t="s">
        <v>663</v>
      </c>
      <c r="G1149" s="29" t="s">
        <v>659</v>
      </c>
      <c r="H1149" s="29" t="str">
        <f t="shared" si="331"/>
        <v>Pio XII</v>
      </c>
      <c r="K1149" s="29" t="s">
        <v>827</v>
      </c>
      <c r="L1149" s="29" t="str">
        <f t="shared" si="340"/>
        <v>Discorso</v>
      </c>
      <c r="M1149" s="29" t="s">
        <v>566</v>
      </c>
      <c r="O1149" s="29" t="s">
        <v>4841</v>
      </c>
      <c r="Q1149" s="38">
        <v>18512</v>
      </c>
      <c r="R1149" s="32">
        <f t="shared" si="338"/>
        <v>6</v>
      </c>
      <c r="S1149" s="32"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32">
        <f t="shared" si="339"/>
        <v>1950</v>
      </c>
      <c r="U1149" s="29"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3"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9"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9">
        <v>1176</v>
      </c>
      <c r="Y1149" s="29" t="str">
        <f t="shared" si="332"/>
        <v>['Pio XII', 'Discorso', 'Ai maestri cattolici italiani e al pellegrinaggio internazionale delle Associazioni Cattoliche delle infermiere', 'pixii-dis-', '06 settembre 1950', '06/09/1950', '1950/09/06'],</v>
      </c>
      <c r="Z1149" s="29" t="str">
        <f t="shared" si="333"/>
        <v>Ai maestri cattolici italiani e al pellegrinaggio internazionale delle Associazioni Cattoliche delle infermiere (18512) | Pio XII</v>
      </c>
      <c r="AA1149" s="29" t="str">
        <f t="shared" si="334"/>
        <v>Discorso Ai maestri cattolici italiani e al pellegrinaggio internazionale delle Associazioni Cattoliche delle infermiere</v>
      </c>
      <c r="AB1149" s="29" t="str">
        <f t="shared" si="335"/>
        <v>Discorso Ai maestri cattolici italiani e al pellegrinaggio internazionale delle Associazioni Cattoliche delle infermiere</v>
      </c>
      <c r="AC1149" s="29" t="str">
        <f t="shared" si="336"/>
        <v>Pio XII, Discorso Ai maestri cattolici italiani e al pellegrinaggio internazionale delle Associazioni Cattoliche delle infermiere, 06 settembre 1950</v>
      </c>
      <c r="AD1149" s="29" t="str">
        <f t="shared" si="337"/>
        <v>1950-09-06T08:00:00.000+02:00</v>
      </c>
      <c r="AE1149" s="29" t="str">
        <f t="shared" si="341"/>
        <v>pixii-dis-</v>
      </c>
      <c r="AF1149" s="29" t="str">
        <f t="shared" si="342"/>
        <v>Pio XII - Discorso - Ai maestri cattolici italiani e al pellegrinaggio internazionale delle Associazioni Cattoliche delle infermiere</v>
      </c>
    </row>
    <row r="1150" spans="2:32" x14ac:dyDescent="0.2">
      <c r="B1150" s="29">
        <v>260</v>
      </c>
      <c r="C1150" s="29" t="s">
        <v>4334</v>
      </c>
      <c r="D1150" s="29" t="s">
        <v>715</v>
      </c>
      <c r="E1150" s="29" t="s">
        <v>724</v>
      </c>
      <c r="F1150" s="29" t="s">
        <v>663</v>
      </c>
      <c r="G1150" s="29" t="s">
        <v>659</v>
      </c>
      <c r="H1150" s="29" t="str">
        <f t="shared" si="331"/>
        <v>Pio XII</v>
      </c>
      <c r="K1150" s="29" t="s">
        <v>827</v>
      </c>
      <c r="L1150" s="29" t="str">
        <f t="shared" si="340"/>
        <v>Discorso</v>
      </c>
      <c r="M1150" s="29" t="s">
        <v>566</v>
      </c>
      <c r="O1150" s="29" t="s">
        <v>4842</v>
      </c>
      <c r="Q1150" s="38">
        <v>18524</v>
      </c>
      <c r="R1150" s="32">
        <f t="shared" si="338"/>
        <v>18</v>
      </c>
      <c r="S1150" s="32"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32">
        <f t="shared" si="339"/>
        <v>1950</v>
      </c>
      <c r="U1150" s="29"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3"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9"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9">
        <v>1177</v>
      </c>
      <c r="Y1150" s="29" t="str">
        <f t="shared" si="332"/>
        <v>['Pio XII', 'Discorso', 'Ai medici condotti', 'pixii-dis-', '18 settembre 1950', '18/09/1950', '1950/09/18'],</v>
      </c>
      <c r="Z1150" s="29" t="str">
        <f t="shared" si="333"/>
        <v>Ai medici condotti (18524) | Pio XII</v>
      </c>
      <c r="AA1150" s="29" t="str">
        <f t="shared" si="334"/>
        <v>Discorso Ai medici condotti</v>
      </c>
      <c r="AB1150" s="29" t="str">
        <f t="shared" si="335"/>
        <v>Discorso Ai medici condotti</v>
      </c>
      <c r="AC1150" s="29" t="str">
        <f t="shared" si="336"/>
        <v>Pio XII, Discorso Ai medici condotti, 18 settembre 1950</v>
      </c>
      <c r="AD1150" s="29" t="str">
        <f t="shared" si="337"/>
        <v>1950-09-18T08:00:00.000+02:00</v>
      </c>
      <c r="AE1150" s="29" t="str">
        <f t="shared" si="341"/>
        <v>pixii-dis-</v>
      </c>
      <c r="AF1150" s="29" t="str">
        <f t="shared" si="342"/>
        <v>Pio XII - Discorso - Ai medici condotti</v>
      </c>
    </row>
    <row r="1151" spans="2:32" x14ac:dyDescent="0.2">
      <c r="B1151" s="29">
        <v>260</v>
      </c>
      <c r="C1151" s="29" t="s">
        <v>4335</v>
      </c>
      <c r="D1151" s="29" t="s">
        <v>715</v>
      </c>
      <c r="E1151" s="29" t="s">
        <v>724</v>
      </c>
      <c r="F1151" s="29" t="s">
        <v>663</v>
      </c>
      <c r="G1151" s="29" t="s">
        <v>659</v>
      </c>
      <c r="H1151" s="29" t="str">
        <f t="shared" ref="H1151:H1214" si="343">_xlfn.CONCAT(D1151 &amp; " " &amp; E1151)</f>
        <v>Pio XII</v>
      </c>
      <c r="K1151" s="29" t="s">
        <v>827</v>
      </c>
      <c r="L1151" s="29" t="str">
        <f t="shared" si="340"/>
        <v>Discorso</v>
      </c>
      <c r="M1151" s="29" t="s">
        <v>566</v>
      </c>
      <c r="O1151" s="29" t="s">
        <v>4843</v>
      </c>
      <c r="Q1151" s="38">
        <v>18551</v>
      </c>
      <c r="R1151" s="32">
        <f t="shared" si="338"/>
        <v>15</v>
      </c>
      <c r="S1151" s="32"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32">
        <f t="shared" si="339"/>
        <v>1950</v>
      </c>
      <c r="U1151" s="29"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3"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9"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9">
        <v>1178</v>
      </c>
      <c r="Y1151" s="29" t="str">
        <f t="shared" si="332"/>
        <v>['Pio XII', 'Discorso', 'Ai Congressisti della Società Italiana di Otologia, Rinologia e Laringologia', 'pixii-dis-', '15 ottobre 1950', '15/10/1950', '1950/10/15'],</v>
      </c>
      <c r="Z1151" s="29" t="str">
        <f t="shared" si="333"/>
        <v>Ai Congressisti della Società Italiana di Otologia, Rinologia e Laringologia (18551) | Pio XII</v>
      </c>
      <c r="AA1151" s="29" t="str">
        <f t="shared" si="334"/>
        <v>Discorso Ai Congressisti della Società Italiana di Otologia, Rinologia e Laringologia</v>
      </c>
      <c r="AB1151" s="29" t="str">
        <f t="shared" si="335"/>
        <v>Discorso Ai Congressisti della Società Italiana di Otologia, Rinologia e Laringologia</v>
      </c>
      <c r="AC1151" s="29" t="str">
        <f t="shared" si="336"/>
        <v>Pio XII, Discorso Ai Congressisti della Società Italiana di Otologia, Rinologia e Laringologia, 15 ottobre 1950</v>
      </c>
      <c r="AD1151" s="29" t="str">
        <f t="shared" si="337"/>
        <v>1950-10-15T08:00:00.000+02:00</v>
      </c>
      <c r="AE1151" s="29" t="str">
        <f t="shared" si="341"/>
        <v>pixii-dis-</v>
      </c>
      <c r="AF1151" s="29" t="str">
        <f t="shared" si="342"/>
        <v>Pio XII - Discorso - Ai Congressisti della Società Italiana di Otologia, Rinologia e Laringologia</v>
      </c>
    </row>
    <row r="1152" spans="2:32" x14ac:dyDescent="0.2">
      <c r="B1152" s="29">
        <v>260</v>
      </c>
      <c r="C1152" s="29" t="s">
        <v>4336</v>
      </c>
      <c r="D1152" s="29" t="s">
        <v>715</v>
      </c>
      <c r="E1152" s="29" t="s">
        <v>724</v>
      </c>
      <c r="F1152" s="29" t="s">
        <v>663</v>
      </c>
      <c r="G1152" s="29" t="s">
        <v>659</v>
      </c>
      <c r="H1152" s="29" t="str">
        <f t="shared" si="343"/>
        <v>Pio XII</v>
      </c>
      <c r="K1152" s="29" t="s">
        <v>827</v>
      </c>
      <c r="L1152" s="29" t="str">
        <f t="shared" si="340"/>
        <v>Discorso</v>
      </c>
      <c r="M1152" s="29" t="s">
        <v>566</v>
      </c>
      <c r="O1152" s="29" t="s">
        <v>4844</v>
      </c>
      <c r="Q1152" s="38">
        <v>18559</v>
      </c>
      <c r="R1152" s="32">
        <f t="shared" si="338"/>
        <v>23</v>
      </c>
      <c r="S1152" s="32"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32">
        <f t="shared" si="339"/>
        <v>1950</v>
      </c>
      <c r="U1152" s="29"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3"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9"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9">
        <v>1179</v>
      </c>
      <c r="Y1152" s="29" t="str">
        <f t="shared" si="332"/>
        <v>['Pio XII', 'Discorso', 'Agli Amministratori dei Comuni d'Italia', 'pixii-dis-', '23 ottobre 1950', '23/10/1950', '1950/10/23'],</v>
      </c>
      <c r="Z1152" s="29" t="str">
        <f t="shared" si="333"/>
        <v>Agli Amministratori dei Comuni d'Italia (18559) | Pio XII</v>
      </c>
      <c r="AA1152" s="29" t="str">
        <f t="shared" si="334"/>
        <v>Discorso Agli Amministratori dei Comuni d'Italia</v>
      </c>
      <c r="AB1152" s="29" t="str">
        <f t="shared" si="335"/>
        <v>Discorso Agli Amministratori dei Comuni d'Italia</v>
      </c>
      <c r="AC1152" s="29" t="str">
        <f t="shared" si="336"/>
        <v>Pio XII, Discorso Agli Amministratori dei Comuni d'Italia, 23 ottobre 1950</v>
      </c>
      <c r="AD1152" s="29" t="str">
        <f t="shared" si="337"/>
        <v>1950-10-23T08:00:00.000+02:00</v>
      </c>
      <c r="AE1152" s="29" t="str">
        <f t="shared" si="341"/>
        <v>pixii-dis-</v>
      </c>
      <c r="AF1152" s="29" t="str">
        <f t="shared" si="342"/>
        <v>Pio XII - Discorso - Agli Amministratori dei Comuni d'Italia</v>
      </c>
    </row>
    <row r="1153" spans="2:32" x14ac:dyDescent="0.2">
      <c r="B1153" s="29">
        <v>260</v>
      </c>
      <c r="C1153" s="29" t="s">
        <v>4337</v>
      </c>
      <c r="D1153" s="29" t="s">
        <v>715</v>
      </c>
      <c r="E1153" s="29" t="s">
        <v>724</v>
      </c>
      <c r="F1153" s="29" t="s">
        <v>663</v>
      </c>
      <c r="G1153" s="29" t="s">
        <v>659</v>
      </c>
      <c r="H1153" s="29" t="str">
        <f t="shared" si="343"/>
        <v>Pio XII</v>
      </c>
      <c r="K1153" s="29" t="s">
        <v>827</v>
      </c>
      <c r="L1153" s="29" t="str">
        <f t="shared" si="340"/>
        <v>Discorso</v>
      </c>
      <c r="M1153" s="29" t="s">
        <v>566</v>
      </c>
      <c r="O1153" s="29" t="s">
        <v>4845</v>
      </c>
      <c r="Q1153" s="38">
        <v>18568</v>
      </c>
      <c r="R1153" s="32">
        <f t="shared" si="338"/>
        <v>1</v>
      </c>
      <c r="S1153" s="32"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32">
        <f t="shared" si="339"/>
        <v>1950</v>
      </c>
      <c r="U1153" s="29"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3"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9"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9">
        <v>1180</v>
      </c>
      <c r="Y1153" s="29" t="str">
        <f t="shared" si="332"/>
        <v>['Pio XII', 'Discorso', 'Ai fedeli dopo la proclamazione, come dogma di fede, dell'assunzione della Beatissima Vergine, in anima e in corpo al cielo', 'pixii-dis-', '01 novembre 1950', '01/11/1950', '1950/11/01'],</v>
      </c>
      <c r="Z1153" s="29" t="str">
        <f t="shared" si="333"/>
        <v>Ai fedeli dopo la proclamazione, come dogma di fede, dell'assunzione della Beatissima Vergine, in anima e in corpo al cielo (18568) | Pio XII</v>
      </c>
      <c r="AA1153" s="29" t="str">
        <f t="shared" si="334"/>
        <v>Discorso Ai fedeli dopo la proclamazione, come dogma di fede, dell'assunzione della Beatissima Vergine, in anima e in corpo al cielo</v>
      </c>
      <c r="AB1153" s="29" t="str">
        <f t="shared" si="335"/>
        <v>Discorso Ai fedeli dopo la proclamazione, come dogma di fede, dell'assunzione della Beatissima Vergine, in anima e in corpo al cielo</v>
      </c>
      <c r="AC1153" s="29" t="str">
        <f t="shared" si="336"/>
        <v>Pio XII, Discorso Ai fedeli dopo la proclamazione, come dogma di fede, dell'assunzione della Beatissima Vergine, in anima e in corpo al cielo, 01 novembre 1950</v>
      </c>
      <c r="AD1153" s="29" t="str">
        <f t="shared" si="337"/>
        <v>1950-11-01T08:00:00.000+02:00</v>
      </c>
      <c r="AE1153" s="29" t="str">
        <f t="shared" si="341"/>
        <v>pixii-dis-</v>
      </c>
      <c r="AF1153" s="29" t="str">
        <f t="shared" si="342"/>
        <v>Pio XII - Discorso - Ai fedeli dopo la proclamazione, come dogma di fede, dell'assunzione della Beatissima Vergine, in anima e in corpo al cielo</v>
      </c>
    </row>
    <row r="1154" spans="2:32" x14ac:dyDescent="0.2">
      <c r="B1154" s="29">
        <v>260</v>
      </c>
      <c r="C1154" s="29" t="s">
        <v>4338</v>
      </c>
      <c r="D1154" s="29" t="s">
        <v>715</v>
      </c>
      <c r="E1154" s="29" t="s">
        <v>724</v>
      </c>
      <c r="F1154" s="29" t="s">
        <v>663</v>
      </c>
      <c r="G1154" s="29" t="s">
        <v>659</v>
      </c>
      <c r="H1154" s="29" t="str">
        <f t="shared" si="343"/>
        <v>Pio XII</v>
      </c>
      <c r="K1154" s="29" t="s">
        <v>827</v>
      </c>
      <c r="L1154" s="29" t="str">
        <f t="shared" si="340"/>
        <v>Discorso</v>
      </c>
      <c r="M1154" s="29" t="s">
        <v>566</v>
      </c>
      <c r="O1154" s="29" t="s">
        <v>4846</v>
      </c>
      <c r="Q1154" s="38">
        <v>18571</v>
      </c>
      <c r="R1154" s="32">
        <f t="shared" si="338"/>
        <v>4</v>
      </c>
      <c r="S1154" s="32"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32">
        <f t="shared" si="339"/>
        <v>1950</v>
      </c>
      <c r="U1154" s="29"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3"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9"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9">
        <v>1181</v>
      </c>
      <c r="Y1154" s="29" t="str">
        <f t="shared" ref="Y1154:Y1217" si="344">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9" t="str">
        <f t="shared" ref="Z1154:Z1217" si="345">_xlfn.CONCAT(O1154 &amp; " (" &amp; Q1154 &amp; ") | " &amp; D1154 &amp; " " &amp; E1154)</f>
        <v>Ai professori e agli alunni delle Scuole Medie giunti da ogni parte d'Italia (18571) | Pio XII</v>
      </c>
      <c r="AA1154" s="29" t="str">
        <f t="shared" ref="AA1154:AA1217" si="346">_xlfn.CONCAT(K1154 &amp; " " &amp; O1154)</f>
        <v>Discorso Ai professori e agli alunni delle Scuole Medie giunti da ogni parte d'Italia</v>
      </c>
      <c r="AB1154" s="29" t="str">
        <f t="shared" ref="AB1154:AB1217" si="347">_xlfn.CONCAT(K1154 &amp; " " &amp; O1154)</f>
        <v>Discorso Ai professori e agli alunni delle Scuole Medie giunti da ogni parte d'Italia</v>
      </c>
      <c r="AC1154" s="29" t="str">
        <f t="shared" ref="AC1154:AC1217" si="348">_xlfn.CONCAT(H1154 &amp; ", " &amp; L1154 &amp; " " &amp; O1154 &amp; ", " &amp; LEFT(U1154,2) &amp; " " &amp; TEXT(VALUE(MID(U1154,4,2))*29,"mmmm") &amp; " " &amp; RIGHT(U1154,4))</f>
        <v>Pio XII, Discorso Ai professori e agli alunni delle Scuole Medie giunti da ogni parte d'Italia, 04 novembre 1950</v>
      </c>
      <c r="AD1154" s="29" t="str">
        <f t="shared" ref="AD1154:AD1217" si="349">_xlfn.CONCAT(RIGHT(U1154,4) &amp; "-" &amp; MID(U1154,4,2) &amp; "-" &amp; LEFT(U1154,2) &amp; "T08:00:00.000+02:00")</f>
        <v>1950-11-04T08:00:00.000+02:00</v>
      </c>
      <c r="AE1154" s="29" t="str">
        <f t="shared" si="341"/>
        <v>pixii-dis-</v>
      </c>
      <c r="AF1154" s="29" t="str">
        <f t="shared" si="342"/>
        <v>Pio XII - Discorso - Ai professori e agli alunni delle Scuole Medie giunti da ogni parte d'Italia</v>
      </c>
    </row>
    <row r="1155" spans="2:32" x14ac:dyDescent="0.2">
      <c r="B1155" s="29">
        <v>260</v>
      </c>
      <c r="C1155" s="29" t="s">
        <v>4339</v>
      </c>
      <c r="D1155" s="29" t="s">
        <v>715</v>
      </c>
      <c r="E1155" s="29" t="s">
        <v>724</v>
      </c>
      <c r="F1155" s="29" t="s">
        <v>663</v>
      </c>
      <c r="G1155" s="29" t="s">
        <v>659</v>
      </c>
      <c r="H1155" s="29" t="str">
        <f t="shared" si="343"/>
        <v>Pio XII</v>
      </c>
      <c r="K1155" s="29" t="s">
        <v>827</v>
      </c>
      <c r="L1155" s="29" t="str">
        <f t="shared" si="340"/>
        <v>Discorso</v>
      </c>
      <c r="M1155" s="29" t="s">
        <v>566</v>
      </c>
      <c r="O1155" s="29" t="s">
        <v>4847</v>
      </c>
      <c r="Q1155" s="38">
        <v>18579</v>
      </c>
      <c r="R1155" s="32">
        <f t="shared" si="338"/>
        <v>12</v>
      </c>
      <c r="S1155" s="32"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32">
        <f t="shared" si="339"/>
        <v>1950</v>
      </c>
      <c r="U1155" s="29"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3"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9"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9">
        <v>1182</v>
      </c>
      <c r="Y1155" s="29" t="str">
        <f t="shared" si="344"/>
        <v>['Pio XII', 'Discorso', 'In risposta ad un messaggio delle famiglie dei caduti dell'Aereonautica', 'pixii-dis-', '12 novembre 1950', '12/11/1950', '1950/11/12'],</v>
      </c>
      <c r="Z1155" s="29" t="str">
        <f t="shared" si="345"/>
        <v>In risposta ad un messaggio delle famiglie dei caduti dell'Aereonautica (18579) | Pio XII</v>
      </c>
      <c r="AA1155" s="29" t="str">
        <f t="shared" si="346"/>
        <v>Discorso In risposta ad un messaggio delle famiglie dei caduti dell'Aereonautica</v>
      </c>
      <c r="AB1155" s="29" t="str">
        <f t="shared" si="347"/>
        <v>Discorso In risposta ad un messaggio delle famiglie dei caduti dell'Aereonautica</v>
      </c>
      <c r="AC1155" s="29" t="str">
        <f t="shared" si="348"/>
        <v>Pio XII, Discorso In risposta ad un messaggio delle famiglie dei caduti dell'Aereonautica, 12 novembre 1950</v>
      </c>
      <c r="AD1155" s="29" t="str">
        <f t="shared" si="349"/>
        <v>1950-11-12T08:00:00.000+02:00</v>
      </c>
      <c r="AE1155" s="29" t="str">
        <f t="shared" si="341"/>
        <v>pixii-dis-</v>
      </c>
      <c r="AF1155" s="29" t="str">
        <f t="shared" si="342"/>
        <v>Pio XII - Discorso - In risposta ad un messaggio delle famiglie dei caduti dell'Aereonautica</v>
      </c>
    </row>
    <row r="1156" spans="2:32" x14ac:dyDescent="0.2">
      <c r="B1156" s="29">
        <v>260</v>
      </c>
      <c r="C1156" s="29" t="s">
        <v>4340</v>
      </c>
      <c r="D1156" s="29" t="s">
        <v>715</v>
      </c>
      <c r="E1156" s="29" t="s">
        <v>724</v>
      </c>
      <c r="F1156" s="29" t="s">
        <v>663</v>
      </c>
      <c r="G1156" s="29" t="s">
        <v>659</v>
      </c>
      <c r="H1156" s="29" t="str">
        <f t="shared" si="343"/>
        <v>Pio XII</v>
      </c>
      <c r="K1156" s="29" t="s">
        <v>827</v>
      </c>
      <c r="L1156" s="29" t="str">
        <f t="shared" si="340"/>
        <v>Discorso</v>
      </c>
      <c r="M1156" s="29" t="s">
        <v>566</v>
      </c>
      <c r="O1156" s="29" t="s">
        <v>4775</v>
      </c>
      <c r="Q1156" s="38">
        <v>18586</v>
      </c>
      <c r="R1156" s="32">
        <f t="shared" si="338"/>
        <v>19</v>
      </c>
      <c r="S1156" s="32"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32">
        <f t="shared" si="339"/>
        <v>1950</v>
      </c>
      <c r="U1156" s="29"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3"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9"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9">
        <v>1183</v>
      </c>
      <c r="Y1156" s="29" t="str">
        <f t="shared" si="344"/>
        <v>['Pio XII', 'Discorso', 'Ai tranvieri romani', 'pixii-dis-', '19 novembre 1950', '19/11/1950', '1950/11/19'],</v>
      </c>
      <c r="Z1156" s="29" t="str">
        <f t="shared" si="345"/>
        <v>Ai tranvieri romani (18586) | Pio XII</v>
      </c>
      <c r="AA1156" s="29" t="str">
        <f t="shared" si="346"/>
        <v>Discorso Ai tranvieri romani</v>
      </c>
      <c r="AB1156" s="29" t="str">
        <f t="shared" si="347"/>
        <v>Discorso Ai tranvieri romani</v>
      </c>
      <c r="AC1156" s="29" t="str">
        <f t="shared" si="348"/>
        <v>Pio XII, Discorso Ai tranvieri romani, 19 novembre 1950</v>
      </c>
      <c r="AD1156" s="29" t="str">
        <f t="shared" si="349"/>
        <v>1950-11-19T08:00:00.000+02:00</v>
      </c>
      <c r="AE1156" s="29" t="str">
        <f t="shared" si="341"/>
        <v>pixii-dis-</v>
      </c>
      <c r="AF1156" s="29" t="str">
        <f t="shared" si="342"/>
        <v>Pio XII - Discorso - Ai tranvieri romani</v>
      </c>
    </row>
    <row r="1157" spans="2:32" x14ac:dyDescent="0.2">
      <c r="B1157" s="29">
        <v>260</v>
      </c>
      <c r="C1157" s="29" t="s">
        <v>4341</v>
      </c>
      <c r="D1157" s="29" t="s">
        <v>715</v>
      </c>
      <c r="E1157" s="29" t="s">
        <v>724</v>
      </c>
      <c r="F1157" s="29" t="s">
        <v>663</v>
      </c>
      <c r="G1157" s="29" t="s">
        <v>659</v>
      </c>
      <c r="H1157" s="29" t="str">
        <f t="shared" si="343"/>
        <v>Pio XII</v>
      </c>
      <c r="K1157" s="29" t="s">
        <v>827</v>
      </c>
      <c r="L1157" s="29" t="str">
        <f t="shared" si="340"/>
        <v>Discorso</v>
      </c>
      <c r="M1157" s="29" t="s">
        <v>566</v>
      </c>
      <c r="O1157" s="29" t="s">
        <v>4848</v>
      </c>
      <c r="Q1157" s="38">
        <v>18600</v>
      </c>
      <c r="R1157" s="32">
        <f t="shared" si="338"/>
        <v>3</v>
      </c>
      <c r="S1157" s="32"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32">
        <f t="shared" si="339"/>
        <v>1950</v>
      </c>
      <c r="U1157" s="29"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3"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9"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9">
        <v>1184</v>
      </c>
      <c r="Y1157" s="29" t="str">
        <f t="shared" si="344"/>
        <v>['Pio XII', 'Discorso', 'Ai dipendenti della Cassa di Risparmio di Roma', 'pixii-dis-', '03 dicembre 1950', '03/12/1950', '1950/12/03'],</v>
      </c>
      <c r="Z1157" s="29" t="str">
        <f t="shared" si="345"/>
        <v>Ai dipendenti della Cassa di Risparmio di Roma (18600) | Pio XII</v>
      </c>
      <c r="AA1157" s="29" t="str">
        <f t="shared" si="346"/>
        <v>Discorso Ai dipendenti della Cassa di Risparmio di Roma</v>
      </c>
      <c r="AB1157" s="29" t="str">
        <f t="shared" si="347"/>
        <v>Discorso Ai dipendenti della Cassa di Risparmio di Roma</v>
      </c>
      <c r="AC1157" s="29" t="str">
        <f t="shared" si="348"/>
        <v>Pio XII, Discorso Ai dipendenti della Cassa di Risparmio di Roma, 03 dicembre 1950</v>
      </c>
      <c r="AD1157" s="29" t="str">
        <f t="shared" si="349"/>
        <v>1950-12-03T08:00:00.000+02:00</v>
      </c>
      <c r="AE1157" s="29" t="str">
        <f t="shared" si="341"/>
        <v>pixii-dis-</v>
      </c>
      <c r="AF1157" s="29" t="str">
        <f t="shared" si="342"/>
        <v>Pio XII - Discorso - Ai dipendenti della Cassa di Risparmio di Roma</v>
      </c>
    </row>
    <row r="1158" spans="2:32" x14ac:dyDescent="0.2">
      <c r="B1158" s="29">
        <v>260</v>
      </c>
      <c r="C1158" s="29" t="s">
        <v>4342</v>
      </c>
      <c r="D1158" s="29" t="s">
        <v>715</v>
      </c>
      <c r="E1158" s="29" t="s">
        <v>724</v>
      </c>
      <c r="F1158" s="29" t="s">
        <v>663</v>
      </c>
      <c r="G1158" s="29" t="s">
        <v>659</v>
      </c>
      <c r="H1158" s="29" t="str">
        <f t="shared" si="343"/>
        <v>Pio XII</v>
      </c>
      <c r="K1158" s="29" t="s">
        <v>827</v>
      </c>
      <c r="L1158" s="29" t="str">
        <f t="shared" si="340"/>
        <v>Discorso</v>
      </c>
      <c r="M1158" s="29" t="s">
        <v>566</v>
      </c>
      <c r="O1158" s="29" t="s">
        <v>4849</v>
      </c>
      <c r="Q1158" s="38">
        <v>18603</v>
      </c>
      <c r="R1158" s="32">
        <f t="shared" si="338"/>
        <v>6</v>
      </c>
      <c r="S1158" s="32"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32">
        <f t="shared" si="339"/>
        <v>1950</v>
      </c>
      <c r="U1158" s="29"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3"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9"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9">
        <v>1185</v>
      </c>
      <c r="Y1158" s="29" t="str">
        <f t="shared" si="344"/>
        <v>['Pio XII', 'Discorso', 'Agli allievi dell'Accademia Aeronautica Italiana', 'pixii-dis-', '06 dicembre 1950', '06/12/1950', '1950/12/06'],</v>
      </c>
      <c r="Z1158" s="29" t="str">
        <f t="shared" si="345"/>
        <v>Agli allievi dell'Accademia Aeronautica Italiana (18603) | Pio XII</v>
      </c>
      <c r="AA1158" s="29" t="str">
        <f t="shared" si="346"/>
        <v>Discorso Agli allievi dell'Accademia Aeronautica Italiana</v>
      </c>
      <c r="AB1158" s="29" t="str">
        <f t="shared" si="347"/>
        <v>Discorso Agli allievi dell'Accademia Aeronautica Italiana</v>
      </c>
      <c r="AC1158" s="29" t="str">
        <f t="shared" si="348"/>
        <v>Pio XII, Discorso Agli allievi dell'Accademia Aeronautica Italiana, 06 dicembre 1950</v>
      </c>
      <c r="AD1158" s="29" t="str">
        <f t="shared" si="349"/>
        <v>1950-12-06T08:00:00.000+02:00</v>
      </c>
      <c r="AE1158" s="29" t="str">
        <f t="shared" si="341"/>
        <v>pixii-dis-</v>
      </c>
      <c r="AF1158" s="29" t="str">
        <f t="shared" si="342"/>
        <v>Pio XII - Discorso - Agli allievi dell'Accademia Aeronautica Italiana</v>
      </c>
    </row>
    <row r="1159" spans="2:32" x14ac:dyDescent="0.2">
      <c r="B1159" s="29">
        <v>260</v>
      </c>
      <c r="C1159" s="29" t="s">
        <v>4343</v>
      </c>
      <c r="D1159" s="29" t="s">
        <v>715</v>
      </c>
      <c r="E1159" s="29" t="s">
        <v>724</v>
      </c>
      <c r="F1159" s="29" t="s">
        <v>663</v>
      </c>
      <c r="G1159" s="29" t="s">
        <v>659</v>
      </c>
      <c r="H1159" s="29" t="str">
        <f t="shared" si="343"/>
        <v>Pio XII</v>
      </c>
      <c r="K1159" s="29" t="s">
        <v>827</v>
      </c>
      <c r="L1159" s="29" t="str">
        <f t="shared" si="340"/>
        <v>Discorso</v>
      </c>
      <c r="M1159" s="29" t="s">
        <v>566</v>
      </c>
      <c r="O1159" s="29" t="s">
        <v>4850</v>
      </c>
      <c r="Q1159" s="38">
        <v>18607</v>
      </c>
      <c r="R1159" s="32">
        <f t="shared" si="338"/>
        <v>10</v>
      </c>
      <c r="S1159" s="32"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32">
        <f t="shared" si="339"/>
        <v>1950</v>
      </c>
      <c r="U1159" s="29"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3"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9"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9">
        <v>1186</v>
      </c>
      <c r="Y1159" s="29" t="str">
        <f t="shared" si="344"/>
        <v>['Pio XII', 'Discorso', 'Ai partecipanti al Convegno Internazionale degli Editori di Libri e Riviste', 'pixii-dis-', '10 dicembre 1950', '10/12/1950', '1950/12/10'],</v>
      </c>
      <c r="Z1159" s="29" t="str">
        <f t="shared" si="345"/>
        <v>Ai partecipanti al Convegno Internazionale degli Editori di Libri e Riviste (18607) | Pio XII</v>
      </c>
      <c r="AA1159" s="29" t="str">
        <f t="shared" si="346"/>
        <v>Discorso Ai partecipanti al Convegno Internazionale degli Editori di Libri e Riviste</v>
      </c>
      <c r="AB1159" s="29" t="str">
        <f t="shared" si="347"/>
        <v>Discorso Ai partecipanti al Convegno Internazionale degli Editori di Libri e Riviste</v>
      </c>
      <c r="AC1159" s="29" t="str">
        <f t="shared" si="348"/>
        <v>Pio XII, Discorso Ai partecipanti al Convegno Internazionale degli Editori di Libri e Riviste, 10 dicembre 1950</v>
      </c>
      <c r="AD1159" s="29" t="str">
        <f t="shared" si="349"/>
        <v>1950-12-10T08:00:00.000+02:00</v>
      </c>
      <c r="AE1159" s="29" t="str">
        <f t="shared" si="341"/>
        <v>pixii-dis-</v>
      </c>
      <c r="AF1159" s="29" t="str">
        <f t="shared" si="342"/>
        <v>Pio XII - Discorso - Ai partecipanti al Convegno Internazionale degli Editori di Libri e Riviste</v>
      </c>
    </row>
    <row r="1160" spans="2:32" x14ac:dyDescent="0.2">
      <c r="B1160" s="29">
        <v>260</v>
      </c>
      <c r="C1160" s="29" t="s">
        <v>4344</v>
      </c>
      <c r="D1160" s="29" t="s">
        <v>715</v>
      </c>
      <c r="E1160" s="29" t="s">
        <v>724</v>
      </c>
      <c r="F1160" s="29" t="s">
        <v>663</v>
      </c>
      <c r="G1160" s="29" t="s">
        <v>659</v>
      </c>
      <c r="H1160" s="29" t="str">
        <f t="shared" si="343"/>
        <v>Pio XII</v>
      </c>
      <c r="K1160" s="29" t="s">
        <v>827</v>
      </c>
      <c r="L1160" s="29" t="str">
        <f t="shared" si="340"/>
        <v>Discorso</v>
      </c>
      <c r="M1160" s="29" t="s">
        <v>566</v>
      </c>
      <c r="O1160" s="29" t="s">
        <v>4851</v>
      </c>
      <c r="Q1160" s="38">
        <v>18610</v>
      </c>
      <c r="R1160" s="32">
        <f t="shared" si="338"/>
        <v>13</v>
      </c>
      <c r="S1160" s="32"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32">
        <f t="shared" si="339"/>
        <v>1950</v>
      </c>
      <c r="U1160" s="29"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3"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9"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9">
        <v>1187</v>
      </c>
      <c r="Y1160" s="29" t="str">
        <f t="shared" si="344"/>
        <v>['Pio XII', 'Discorso', 'Ad un gruppo di parlamentari italiani', 'pixii-dis-', '13 dicembre 1950', '13/12/1950', '1950/12/13'],</v>
      </c>
      <c r="Z1160" s="29" t="str">
        <f t="shared" si="345"/>
        <v>Ad un gruppo di parlamentari italiani (18610) | Pio XII</v>
      </c>
      <c r="AA1160" s="29" t="str">
        <f t="shared" si="346"/>
        <v>Discorso Ad un gruppo di parlamentari italiani</v>
      </c>
      <c r="AB1160" s="29" t="str">
        <f t="shared" si="347"/>
        <v>Discorso Ad un gruppo di parlamentari italiani</v>
      </c>
      <c r="AC1160" s="29" t="str">
        <f t="shared" si="348"/>
        <v>Pio XII, Discorso Ad un gruppo di parlamentari italiani, 13 dicembre 1950</v>
      </c>
      <c r="AD1160" s="29" t="str">
        <f t="shared" si="349"/>
        <v>1950-12-13T08:00:00.000+02:00</v>
      </c>
      <c r="AE1160" s="29" t="str">
        <f t="shared" si="341"/>
        <v>pixii-dis-</v>
      </c>
      <c r="AF1160" s="29" t="str">
        <f t="shared" si="342"/>
        <v>Pio XII - Discorso - Ad un gruppo di parlamentari italiani</v>
      </c>
    </row>
    <row r="1161" spans="2:32" x14ac:dyDescent="0.2">
      <c r="B1161" s="29">
        <v>260</v>
      </c>
      <c r="C1161" s="29" t="s">
        <v>4345</v>
      </c>
      <c r="D1161" s="29" t="s">
        <v>715</v>
      </c>
      <c r="E1161" s="29" t="s">
        <v>724</v>
      </c>
      <c r="F1161" s="29" t="s">
        <v>663</v>
      </c>
      <c r="G1161" s="29" t="s">
        <v>659</v>
      </c>
      <c r="H1161" s="29" t="str">
        <f t="shared" si="343"/>
        <v>Pio XII</v>
      </c>
      <c r="K1161" s="29" t="s">
        <v>827</v>
      </c>
      <c r="L1161" s="29" t="str">
        <f t="shared" si="340"/>
        <v>Discorso</v>
      </c>
      <c r="M1161" s="29" t="s">
        <v>566</v>
      </c>
      <c r="O1161" s="29" t="s">
        <v>4852</v>
      </c>
      <c r="Q1161" s="38">
        <v>18620</v>
      </c>
      <c r="R1161" s="32">
        <f t="shared" si="338"/>
        <v>23</v>
      </c>
      <c r="S1161" s="32"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32">
        <f t="shared" si="339"/>
        <v>1950</v>
      </c>
      <c r="U1161" s="29"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3"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9"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9">
        <v>1188</v>
      </c>
      <c r="Y1161" s="29" t="str">
        <f t="shared" si="344"/>
        <v>['Pio XII', 'Discorso', 'Radiomessaggio per celebrare il Natale dell'Anno Santo', 'pixii-dis-', '23 dicembre 1950', '23/12/1950', '1950/12/23'],</v>
      </c>
      <c r="Z1161" s="29" t="str">
        <f t="shared" si="345"/>
        <v>Radiomessaggio per celebrare il Natale dell'Anno Santo (18620) | Pio XII</v>
      </c>
      <c r="AA1161" s="29" t="str">
        <f t="shared" si="346"/>
        <v>Discorso Radiomessaggio per celebrare il Natale dell'Anno Santo</v>
      </c>
      <c r="AB1161" s="29" t="str">
        <f t="shared" si="347"/>
        <v>Discorso Radiomessaggio per celebrare il Natale dell'Anno Santo</v>
      </c>
      <c r="AC1161" s="29" t="str">
        <f t="shared" si="348"/>
        <v>Pio XII, Discorso Radiomessaggio per celebrare il Natale dell'Anno Santo, 23 dicembre 1950</v>
      </c>
      <c r="AD1161" s="29" t="str">
        <f t="shared" si="349"/>
        <v>1950-12-23T08:00:00.000+02:00</v>
      </c>
      <c r="AE1161" s="29" t="str">
        <f t="shared" si="341"/>
        <v>pixii-dis-</v>
      </c>
      <c r="AF1161" s="29" t="str">
        <f t="shared" si="342"/>
        <v>Pio XII - Discorso - Radiomessaggio per celebrare il Natale dell'Anno Santo</v>
      </c>
    </row>
    <row r="1162" spans="2:32" x14ac:dyDescent="0.2">
      <c r="B1162" s="29">
        <v>260</v>
      </c>
      <c r="C1162" s="29" t="s">
        <v>4346</v>
      </c>
      <c r="D1162" s="29" t="s">
        <v>715</v>
      </c>
      <c r="E1162" s="29" t="s">
        <v>724</v>
      </c>
      <c r="F1162" s="29" t="s">
        <v>663</v>
      </c>
      <c r="G1162" s="29" t="s">
        <v>659</v>
      </c>
      <c r="H1162" s="29" t="str">
        <f t="shared" si="343"/>
        <v>Pio XII</v>
      </c>
      <c r="K1162" s="29" t="s">
        <v>827</v>
      </c>
      <c r="L1162" s="29" t="str">
        <f t="shared" si="340"/>
        <v>Discorso</v>
      </c>
      <c r="M1162" s="29" t="s">
        <v>566</v>
      </c>
      <c r="O1162" s="29" t="s">
        <v>4853</v>
      </c>
      <c r="Q1162" s="38">
        <v>18638</v>
      </c>
      <c r="R1162" s="32">
        <f t="shared" si="338"/>
        <v>10</v>
      </c>
      <c r="S1162" s="32"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32">
        <f t="shared" si="339"/>
        <v>1951</v>
      </c>
      <c r="U1162" s="29"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3"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9"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9">
        <v>1189</v>
      </c>
      <c r="Y1162" s="29" t="str">
        <f t="shared" si="344"/>
        <v>['Pio XII', 'Discorso', 'Ai componenti del Comitato Centrale dell'Anno Santo', 'pixii-dis-', '10 gennaio 1951', '10/01/1951', '1951/01/10'],</v>
      </c>
      <c r="Z1162" s="29" t="str">
        <f t="shared" si="345"/>
        <v>Ai componenti del Comitato Centrale dell'Anno Santo (18638) | Pio XII</v>
      </c>
      <c r="AA1162" s="29" t="str">
        <f t="shared" si="346"/>
        <v>Discorso Ai componenti del Comitato Centrale dell'Anno Santo</v>
      </c>
      <c r="AB1162" s="29" t="str">
        <f t="shared" si="347"/>
        <v>Discorso Ai componenti del Comitato Centrale dell'Anno Santo</v>
      </c>
      <c r="AC1162" s="29" t="str">
        <f t="shared" si="348"/>
        <v>Pio XII, Discorso Ai componenti del Comitato Centrale dell'Anno Santo, 10 gennaio 1951</v>
      </c>
      <c r="AD1162" s="29" t="str">
        <f t="shared" si="349"/>
        <v>1951-01-10T08:00:00.000+02:00</v>
      </c>
      <c r="AE1162" s="29" t="str">
        <f t="shared" si="341"/>
        <v>pixii-dis-</v>
      </c>
      <c r="AF1162" s="29" t="str">
        <f t="shared" si="342"/>
        <v>Pio XII - Discorso - Ai componenti del Comitato Centrale dell'Anno Santo</v>
      </c>
    </row>
    <row r="1163" spans="2:32" x14ac:dyDescent="0.2">
      <c r="B1163" s="29">
        <v>260</v>
      </c>
      <c r="C1163" s="29" t="s">
        <v>4347</v>
      </c>
      <c r="D1163" s="29" t="s">
        <v>715</v>
      </c>
      <c r="E1163" s="29" t="s">
        <v>724</v>
      </c>
      <c r="F1163" s="29" t="s">
        <v>663</v>
      </c>
      <c r="G1163" s="29" t="s">
        <v>659</v>
      </c>
      <c r="H1163" s="29" t="str">
        <f t="shared" si="343"/>
        <v>Pio XII</v>
      </c>
      <c r="K1163" s="29" t="s">
        <v>827</v>
      </c>
      <c r="L1163" s="29" t="str">
        <f t="shared" si="340"/>
        <v>Discorso</v>
      </c>
      <c r="M1163" s="29" t="s">
        <v>566</v>
      </c>
      <c r="O1163" s="29" t="s">
        <v>4670</v>
      </c>
      <c r="Q1163" s="38">
        <v>18639</v>
      </c>
      <c r="R1163" s="32">
        <f t="shared" si="338"/>
        <v>11</v>
      </c>
      <c r="S1163" s="32"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32">
        <f t="shared" si="339"/>
        <v>1951</v>
      </c>
      <c r="U1163" s="29"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3"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9"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9">
        <v>1190</v>
      </c>
      <c r="Y1163" s="29" t="str">
        <f t="shared" si="344"/>
        <v>['Pio XII', 'Discorso', 'Al patriziato e alla nobiltà romana', 'pixii-dis-', '11 gennaio 1951', '11/01/1951', '1951/01/11'],</v>
      </c>
      <c r="Z1163" s="29" t="str">
        <f t="shared" si="345"/>
        <v>Al patriziato e alla nobiltà romana (18639) | Pio XII</v>
      </c>
      <c r="AA1163" s="29" t="str">
        <f t="shared" si="346"/>
        <v>Discorso Al patriziato e alla nobiltà romana</v>
      </c>
      <c r="AB1163" s="29" t="str">
        <f t="shared" si="347"/>
        <v>Discorso Al patriziato e alla nobiltà romana</v>
      </c>
      <c r="AC1163" s="29" t="str">
        <f t="shared" si="348"/>
        <v>Pio XII, Discorso Al patriziato e alla nobiltà romana, 11 gennaio 1951</v>
      </c>
      <c r="AD1163" s="29" t="str">
        <f t="shared" si="349"/>
        <v>1951-01-11T08:00:00.000+02:00</v>
      </c>
      <c r="AE1163" s="29" t="str">
        <f t="shared" si="341"/>
        <v>pixii-dis-</v>
      </c>
      <c r="AF1163" s="29" t="str">
        <f t="shared" si="342"/>
        <v>Pio XII - Discorso - Al patriziato e alla nobiltà romana</v>
      </c>
    </row>
    <row r="1164" spans="2:32" x14ac:dyDescent="0.2">
      <c r="B1164" s="29">
        <v>260</v>
      </c>
      <c r="C1164" s="29" t="s">
        <v>4348</v>
      </c>
      <c r="D1164" s="29" t="s">
        <v>715</v>
      </c>
      <c r="E1164" s="29" t="s">
        <v>724</v>
      </c>
      <c r="F1164" s="29" t="s">
        <v>663</v>
      </c>
      <c r="G1164" s="29" t="s">
        <v>659</v>
      </c>
      <c r="H1164" s="29" t="str">
        <f t="shared" si="343"/>
        <v>Pio XII</v>
      </c>
      <c r="K1164" s="29" t="s">
        <v>827</v>
      </c>
      <c r="L1164" s="29" t="str">
        <f t="shared" si="340"/>
        <v>Discorso</v>
      </c>
      <c r="M1164" s="29" t="s">
        <v>566</v>
      </c>
      <c r="O1164" s="29" t="s">
        <v>4854</v>
      </c>
      <c r="Q1164" s="38">
        <v>18665</v>
      </c>
      <c r="R1164" s="32">
        <f t="shared" si="338"/>
        <v>6</v>
      </c>
      <c r="S1164" s="32"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32">
        <f t="shared" si="339"/>
        <v>1951</v>
      </c>
      <c r="U1164" s="29"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3"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9"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9">
        <v>1191</v>
      </c>
      <c r="Y1164" s="29" t="str">
        <f t="shared" si="344"/>
        <v>['Pio XII', 'Discorso', 'Ai Parroci e ai Predicatori Quaresimalisti di Roma', 'pixii-dis-', '06 febbraio 1951', '06/02/1951', '1951/02/06'],</v>
      </c>
      <c r="Z1164" s="29" t="str">
        <f t="shared" si="345"/>
        <v>Ai Parroci e ai Predicatori Quaresimalisti di Roma (18665) | Pio XII</v>
      </c>
      <c r="AA1164" s="29" t="str">
        <f t="shared" si="346"/>
        <v>Discorso Ai Parroci e ai Predicatori Quaresimalisti di Roma</v>
      </c>
      <c r="AB1164" s="29" t="str">
        <f t="shared" si="347"/>
        <v>Discorso Ai Parroci e ai Predicatori Quaresimalisti di Roma</v>
      </c>
      <c r="AC1164" s="29" t="str">
        <f t="shared" si="348"/>
        <v>Pio XII, Discorso Ai Parroci e ai Predicatori Quaresimalisti di Roma, 06 febbraio 1951</v>
      </c>
      <c r="AD1164" s="29" t="str">
        <f t="shared" si="349"/>
        <v>1951-02-06T08:00:00.000+02:00</v>
      </c>
      <c r="AE1164" s="29" t="str">
        <f t="shared" si="341"/>
        <v>pixii-dis-</v>
      </c>
      <c r="AF1164" s="29" t="str">
        <f t="shared" si="342"/>
        <v>Pio XII - Discorso - Ai Parroci e ai Predicatori Quaresimalisti di Roma</v>
      </c>
    </row>
    <row r="1165" spans="2:32" x14ac:dyDescent="0.2">
      <c r="B1165" s="29">
        <v>260</v>
      </c>
      <c r="C1165" s="29" t="s">
        <v>4349</v>
      </c>
      <c r="D1165" s="29" t="s">
        <v>715</v>
      </c>
      <c r="E1165" s="29" t="s">
        <v>724</v>
      </c>
      <c r="F1165" s="29" t="s">
        <v>663</v>
      </c>
      <c r="G1165" s="29" t="s">
        <v>659</v>
      </c>
      <c r="H1165" s="29" t="str">
        <f t="shared" si="343"/>
        <v>Pio XII</v>
      </c>
      <c r="K1165" s="29" t="s">
        <v>827</v>
      </c>
      <c r="L1165" s="29" t="str">
        <f t="shared" si="340"/>
        <v>Discorso</v>
      </c>
      <c r="M1165" s="29" t="s">
        <v>566</v>
      </c>
      <c r="O1165" s="29" t="s">
        <v>4855</v>
      </c>
      <c r="Q1165" s="38">
        <v>18678</v>
      </c>
      <c r="R1165" s="32">
        <f t="shared" si="338"/>
        <v>19</v>
      </c>
      <c r="S1165" s="32"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32">
        <f t="shared" si="339"/>
        <v>1951</v>
      </c>
      <c r="U1165" s="29"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3"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9"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9">
        <v>1192</v>
      </c>
      <c r="Y1165" s="29" t="str">
        <f t="shared" si="344"/>
        <v>['Pio XII', 'Discorso', 'Ai pellegrini convenuti a Roma per la beatificazione del Martire Alberico Crescitelli', 'pixii-dis-', '19 febbraio 1951', '19/02/1951', '1951/02/19'],</v>
      </c>
      <c r="Z1165" s="29" t="str">
        <f t="shared" si="345"/>
        <v>Ai pellegrini convenuti a Roma per la beatificazione del Martire Alberico Crescitelli (18678) | Pio XII</v>
      </c>
      <c r="AA1165" s="29" t="str">
        <f t="shared" si="346"/>
        <v>Discorso Ai pellegrini convenuti a Roma per la beatificazione del Martire Alberico Crescitelli</v>
      </c>
      <c r="AB1165" s="29" t="str">
        <f t="shared" si="347"/>
        <v>Discorso Ai pellegrini convenuti a Roma per la beatificazione del Martire Alberico Crescitelli</v>
      </c>
      <c r="AC1165" s="29" t="str">
        <f t="shared" si="348"/>
        <v>Pio XII, Discorso Ai pellegrini convenuti a Roma per la beatificazione del Martire Alberico Crescitelli, 19 febbraio 1951</v>
      </c>
      <c r="AD1165" s="29" t="str">
        <f t="shared" si="349"/>
        <v>1951-02-19T08:00:00.000+02:00</v>
      </c>
      <c r="AE1165" s="29" t="str">
        <f t="shared" si="341"/>
        <v>pixii-dis-</v>
      </c>
      <c r="AF1165" s="29" t="str">
        <f t="shared" si="342"/>
        <v>Pio XII - Discorso - Ai pellegrini convenuti a Roma per la beatificazione del Martire Alberico Crescitelli</v>
      </c>
    </row>
    <row r="1166" spans="2:32" x14ac:dyDescent="0.2">
      <c r="B1166" s="29">
        <v>260</v>
      </c>
      <c r="C1166" s="29" t="s">
        <v>4350</v>
      </c>
      <c r="D1166" s="29" t="s">
        <v>715</v>
      </c>
      <c r="E1166" s="29" t="s">
        <v>724</v>
      </c>
      <c r="F1166" s="29" t="s">
        <v>663</v>
      </c>
      <c r="G1166" s="29" t="s">
        <v>659</v>
      </c>
      <c r="H1166" s="29" t="str">
        <f t="shared" si="343"/>
        <v>Pio XII</v>
      </c>
      <c r="K1166" s="29" t="s">
        <v>827</v>
      </c>
      <c r="L1166" s="29" t="str">
        <f t="shared" si="340"/>
        <v>Discorso</v>
      </c>
      <c r="M1166" s="29" t="s">
        <v>566</v>
      </c>
      <c r="O1166" s="29" t="s">
        <v>4856</v>
      </c>
      <c r="Q1166" s="38">
        <v>18683</v>
      </c>
      <c r="R1166" s="32">
        <f t="shared" si="338"/>
        <v>24</v>
      </c>
      <c r="S1166" s="32"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32">
        <f t="shared" si="339"/>
        <v>1951</v>
      </c>
      <c r="U1166" s="29"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3"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9"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9">
        <v>1193</v>
      </c>
      <c r="Y1166" s="29" t="str">
        <f t="shared" si="344"/>
        <v>['Pio XII', 'Discorso', 'Nel quarto centenario del Collegio Romano', 'pixii-dis-', '24 febbraio 1951', '24/02/1951', '1951/02/24'],</v>
      </c>
      <c r="Z1166" s="29" t="str">
        <f t="shared" si="345"/>
        <v>Nel quarto centenario del Collegio Romano (18683) | Pio XII</v>
      </c>
      <c r="AA1166" s="29" t="str">
        <f t="shared" si="346"/>
        <v>Discorso Nel quarto centenario del Collegio Romano</v>
      </c>
      <c r="AB1166" s="29" t="str">
        <f t="shared" si="347"/>
        <v>Discorso Nel quarto centenario del Collegio Romano</v>
      </c>
      <c r="AC1166" s="29" t="str">
        <f t="shared" si="348"/>
        <v>Pio XII, Discorso Nel quarto centenario del Collegio Romano, 24 febbraio 1951</v>
      </c>
      <c r="AD1166" s="29" t="str">
        <f t="shared" si="349"/>
        <v>1951-02-24T08:00:00.000+02:00</v>
      </c>
      <c r="AE1166" s="29" t="str">
        <f t="shared" si="341"/>
        <v>pixii-dis-</v>
      </c>
      <c r="AF1166" s="29" t="str">
        <f t="shared" si="342"/>
        <v>Pio XII - Discorso - Nel quarto centenario del Collegio Romano</v>
      </c>
    </row>
    <row r="1167" spans="2:32" x14ac:dyDescent="0.2">
      <c r="B1167" s="29">
        <v>260</v>
      </c>
      <c r="C1167" s="29" t="s">
        <v>4351</v>
      </c>
      <c r="D1167" s="29" t="s">
        <v>715</v>
      </c>
      <c r="E1167" s="29" t="s">
        <v>724</v>
      </c>
      <c r="F1167" s="29" t="s">
        <v>663</v>
      </c>
      <c r="G1167" s="29" t="s">
        <v>659</v>
      </c>
      <c r="H1167" s="29" t="str">
        <f t="shared" si="343"/>
        <v>Pio XII</v>
      </c>
      <c r="K1167" s="29" t="s">
        <v>827</v>
      </c>
      <c r="L1167" s="29" t="str">
        <f t="shared" si="340"/>
        <v>Discorso</v>
      </c>
      <c r="M1167" s="29" t="s">
        <v>566</v>
      </c>
      <c r="O1167" s="29" t="s">
        <v>4857</v>
      </c>
      <c r="Q1167" s="38">
        <v>18705</v>
      </c>
      <c r="R1167" s="32">
        <f t="shared" si="338"/>
        <v>18</v>
      </c>
      <c r="S1167" s="32"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32">
        <f t="shared" si="339"/>
        <v>1951</v>
      </c>
      <c r="U1167" s="29"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3"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9"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9">
        <v>1194</v>
      </c>
      <c r="Y1167" s="29" t="str">
        <f t="shared" si="344"/>
        <v>['Pio XII', 'Discorso', 'Ad un gruppo della Banca Nazionale del Lavoro', 'pixii-dis-', '18 marzo 1951', '18/03/1951', '1951/03/18'],</v>
      </c>
      <c r="Z1167" s="29" t="str">
        <f t="shared" si="345"/>
        <v>Ad un gruppo della Banca Nazionale del Lavoro (18705) | Pio XII</v>
      </c>
      <c r="AA1167" s="29" t="str">
        <f t="shared" si="346"/>
        <v>Discorso Ad un gruppo della Banca Nazionale del Lavoro</v>
      </c>
      <c r="AB1167" s="29" t="str">
        <f t="shared" si="347"/>
        <v>Discorso Ad un gruppo della Banca Nazionale del Lavoro</v>
      </c>
      <c r="AC1167" s="29" t="str">
        <f t="shared" si="348"/>
        <v>Pio XII, Discorso Ad un gruppo della Banca Nazionale del Lavoro, 18 marzo 1951</v>
      </c>
      <c r="AD1167" s="29" t="str">
        <f t="shared" si="349"/>
        <v>1951-03-18T08:00:00.000+02:00</v>
      </c>
      <c r="AE1167" s="29" t="str">
        <f t="shared" si="341"/>
        <v>pixii-dis-</v>
      </c>
      <c r="AF1167" s="29" t="str">
        <f t="shared" si="342"/>
        <v>Pio XII - Discorso - Ad un gruppo della Banca Nazionale del Lavoro</v>
      </c>
    </row>
    <row r="1168" spans="2:32" x14ac:dyDescent="0.2">
      <c r="B1168" s="29">
        <v>260</v>
      </c>
      <c r="C1168" s="29" t="s">
        <v>4352</v>
      </c>
      <c r="D1168" s="29" t="s">
        <v>715</v>
      </c>
      <c r="E1168" s="29" t="s">
        <v>724</v>
      </c>
      <c r="F1168" s="29" t="s">
        <v>663</v>
      </c>
      <c r="G1168" s="29" t="s">
        <v>659</v>
      </c>
      <c r="H1168" s="29" t="str">
        <f t="shared" si="343"/>
        <v>Pio XII</v>
      </c>
      <c r="K1168" s="29" t="s">
        <v>827</v>
      </c>
      <c r="L1168" s="29" t="str">
        <f t="shared" si="340"/>
        <v>Discorso</v>
      </c>
      <c r="M1168" s="29" t="s">
        <v>566</v>
      </c>
      <c r="O1168" s="29" t="s">
        <v>4742</v>
      </c>
      <c r="Q1168" s="38">
        <v>18712</v>
      </c>
      <c r="R1168" s="32">
        <f t="shared" si="338"/>
        <v>25</v>
      </c>
      <c r="S1168" s="32"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32">
        <f t="shared" si="339"/>
        <v>1951</v>
      </c>
      <c r="U1168" s="29"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3"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9"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9">
        <v>1195</v>
      </c>
      <c r="Y1168" s="29" t="str">
        <f t="shared" si="344"/>
        <v>['Pio XII', 'Discorso', 'Ai fedeli', 'pixii-dis-', '25 marzo 1951', '25/03/1951', '1951/03/25'],</v>
      </c>
      <c r="Z1168" s="29" t="str">
        <f t="shared" si="345"/>
        <v>Ai fedeli (18712) | Pio XII</v>
      </c>
      <c r="AA1168" s="29" t="str">
        <f t="shared" si="346"/>
        <v>Discorso Ai fedeli</v>
      </c>
      <c r="AB1168" s="29" t="str">
        <f t="shared" si="347"/>
        <v>Discorso Ai fedeli</v>
      </c>
      <c r="AC1168" s="29" t="str">
        <f t="shared" si="348"/>
        <v>Pio XII, Discorso Ai fedeli, 25 marzo 1951</v>
      </c>
      <c r="AD1168" s="29" t="str">
        <f t="shared" si="349"/>
        <v>1951-03-25T08:00:00.000+02:00</v>
      </c>
      <c r="AE1168" s="29" t="str">
        <f t="shared" si="341"/>
        <v>pixii-dis-</v>
      </c>
      <c r="AF1168" s="29" t="str">
        <f t="shared" si="342"/>
        <v>Pio XII - Discorso - Ai fedeli</v>
      </c>
    </row>
    <row r="1169" spans="2:32" x14ac:dyDescent="0.2">
      <c r="B1169" s="29">
        <v>260</v>
      </c>
      <c r="C1169" s="29" t="s">
        <v>4353</v>
      </c>
      <c r="D1169" s="29" t="s">
        <v>715</v>
      </c>
      <c r="E1169" s="29" t="s">
        <v>724</v>
      </c>
      <c r="F1169" s="29" t="s">
        <v>663</v>
      </c>
      <c r="G1169" s="29" t="s">
        <v>659</v>
      </c>
      <c r="H1169" s="29" t="str">
        <f t="shared" si="343"/>
        <v>Pio XII</v>
      </c>
      <c r="K1169" s="29" t="s">
        <v>827</v>
      </c>
      <c r="L1169" s="29" t="str">
        <f t="shared" si="340"/>
        <v>Discorso</v>
      </c>
      <c r="M1169" s="29" t="s">
        <v>566</v>
      </c>
      <c r="O1169" s="29" t="s">
        <v>4858</v>
      </c>
      <c r="Q1169" s="38">
        <v>18726</v>
      </c>
      <c r="R1169" s="32">
        <f t="shared" si="338"/>
        <v>8</v>
      </c>
      <c r="S1169" s="32"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32">
        <f t="shared" si="339"/>
        <v>1951</v>
      </c>
      <c r="U1169" s="29"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3"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9"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9">
        <v>1196</v>
      </c>
      <c r="Y1169" s="29" t="str">
        <f t="shared" si="344"/>
        <v>['Pio XII', 'Discorso', 'Ad un gruppo dell'Istituto Poligrafico dello Stato', 'pixii-dis-', '08 aprile 1951', '08/04/1951', '1951/04/08'],</v>
      </c>
      <c r="Z1169" s="29" t="str">
        <f t="shared" si="345"/>
        <v>Ad un gruppo dell'Istituto Poligrafico dello Stato (18726) | Pio XII</v>
      </c>
      <c r="AA1169" s="29" t="str">
        <f t="shared" si="346"/>
        <v>Discorso Ad un gruppo dell'Istituto Poligrafico dello Stato</v>
      </c>
      <c r="AB1169" s="29" t="str">
        <f t="shared" si="347"/>
        <v>Discorso Ad un gruppo dell'Istituto Poligrafico dello Stato</v>
      </c>
      <c r="AC1169" s="29" t="str">
        <f t="shared" si="348"/>
        <v>Pio XII, Discorso Ad un gruppo dell'Istituto Poligrafico dello Stato, 08 aprile 1951</v>
      </c>
      <c r="AD1169" s="29" t="str">
        <f t="shared" si="349"/>
        <v>1951-04-08T08:00:00.000+02:00</v>
      </c>
      <c r="AE1169" s="29" t="str">
        <f t="shared" si="341"/>
        <v>pixii-dis-</v>
      </c>
      <c r="AF1169" s="29" t="str">
        <f t="shared" si="342"/>
        <v>Pio XII - Discorso - Ad un gruppo dell'Istituto Poligrafico dello Stato</v>
      </c>
    </row>
    <row r="1170" spans="2:32" x14ac:dyDescent="0.2">
      <c r="B1170" s="29">
        <v>260</v>
      </c>
      <c r="C1170" s="29" t="s">
        <v>4354</v>
      </c>
      <c r="D1170" s="29" t="s">
        <v>715</v>
      </c>
      <c r="E1170" s="29" t="s">
        <v>724</v>
      </c>
      <c r="F1170" s="29" t="s">
        <v>663</v>
      </c>
      <c r="G1170" s="29" t="s">
        <v>659</v>
      </c>
      <c r="H1170" s="29" t="str">
        <f t="shared" si="343"/>
        <v>Pio XII</v>
      </c>
      <c r="K1170" s="29" t="s">
        <v>827</v>
      </c>
      <c r="L1170" s="29" t="str">
        <f t="shared" si="340"/>
        <v>Discorso</v>
      </c>
      <c r="M1170" s="29" t="s">
        <v>566</v>
      </c>
      <c r="O1170" s="29" t="s">
        <v>4859</v>
      </c>
      <c r="Q1170" s="38">
        <v>18736</v>
      </c>
      <c r="R1170" s="32">
        <f t="shared" ref="R1170:R1233" si="350">IF(ISERROR(DAY(Q1170)),TEXT((LEFT(Q1170,2)),"00"),DAY(Q1170))</f>
        <v>18</v>
      </c>
      <c r="S1170" s="32"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32">
        <f t="shared" ref="T1170:T1233" si="351">IF(ISERROR(DAY(Q1170)),VALUE(RIGHT(Q1170,4)),YEAR(Q1170))</f>
        <v>1951</v>
      </c>
      <c r="U1170" s="29"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3"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9"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9">
        <v>1197</v>
      </c>
      <c r="Y1170" s="29" t="str">
        <f t="shared" si="344"/>
        <v>['Pio XII', 'Discorso', 'Ai fedeli giunti a Roma per la beatificazione di Francesco Antonio Fasani', 'pixii-dis-', '18 aprile 1951', '18/04/1951', '1951/04/18'],</v>
      </c>
      <c r="Z1170" s="29" t="str">
        <f t="shared" si="345"/>
        <v>Ai fedeli giunti a Roma per la beatificazione di Francesco Antonio Fasani (18736) | Pio XII</v>
      </c>
      <c r="AA1170" s="29" t="str">
        <f t="shared" si="346"/>
        <v>Discorso Ai fedeli giunti a Roma per la beatificazione di Francesco Antonio Fasani</v>
      </c>
      <c r="AB1170" s="29" t="str">
        <f t="shared" si="347"/>
        <v>Discorso Ai fedeli giunti a Roma per la beatificazione di Francesco Antonio Fasani</v>
      </c>
      <c r="AC1170" s="29" t="str">
        <f t="shared" si="348"/>
        <v>Pio XII, Discorso Ai fedeli giunti a Roma per la beatificazione di Francesco Antonio Fasani, 18 aprile 1951</v>
      </c>
      <c r="AD1170" s="29" t="str">
        <f t="shared" si="349"/>
        <v>1951-04-18T08:00:00.000+02:00</v>
      </c>
      <c r="AE1170" s="29" t="str">
        <f t="shared" si="341"/>
        <v>pixii-dis-</v>
      </c>
      <c r="AF1170" s="29" t="str">
        <f t="shared" si="342"/>
        <v>Pio XII - Discorso - Ai fedeli giunti a Roma per la beatificazione di Francesco Antonio Fasani</v>
      </c>
    </row>
    <row r="1171" spans="2:32" x14ac:dyDescent="0.2">
      <c r="B1171" s="29">
        <v>260</v>
      </c>
      <c r="C1171" s="29" t="s">
        <v>4355</v>
      </c>
      <c r="D1171" s="29" t="s">
        <v>715</v>
      </c>
      <c r="E1171" s="29" t="s">
        <v>724</v>
      </c>
      <c r="F1171" s="29" t="s">
        <v>663</v>
      </c>
      <c r="G1171" s="29" t="s">
        <v>659</v>
      </c>
      <c r="H1171" s="29" t="str">
        <f t="shared" si="343"/>
        <v>Pio XII</v>
      </c>
      <c r="K1171" s="29" t="s">
        <v>827</v>
      </c>
      <c r="L1171" s="29" t="str">
        <f t="shared" si="340"/>
        <v>Discorso</v>
      </c>
      <c r="M1171" s="29" t="s">
        <v>566</v>
      </c>
      <c r="O1171" s="29" t="s">
        <v>4860</v>
      </c>
      <c r="Q1171" s="38">
        <v>18750</v>
      </c>
      <c r="R1171" s="32">
        <f t="shared" si="350"/>
        <v>2</v>
      </c>
      <c r="S1171" s="32"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32">
        <f t="shared" si="351"/>
        <v>1951</v>
      </c>
      <c r="U1171" s="29"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3"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9"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9">
        <v>1198</v>
      </c>
      <c r="Y1171" s="29" t="str">
        <f t="shared" si="344"/>
        <v>['Pio XII', 'Discorso', 'Ai fedeli giunti a Roma per assistere alla beatificazione dei Martiri Domenicani nel Vietnam', 'pixii-dis-', '02 maggio 1951', '02/05/1951', '1951/05/02'],</v>
      </c>
      <c r="Z1171" s="29" t="str">
        <f t="shared" si="345"/>
        <v>Ai fedeli giunti a Roma per assistere alla beatificazione dei Martiri Domenicani nel Vietnam (18750) | Pio XII</v>
      </c>
      <c r="AA1171" s="29" t="str">
        <f t="shared" si="346"/>
        <v>Discorso Ai fedeli giunti a Roma per assistere alla beatificazione dei Martiri Domenicani nel Vietnam</v>
      </c>
      <c r="AB1171" s="29" t="str">
        <f t="shared" si="347"/>
        <v>Discorso Ai fedeli giunti a Roma per assistere alla beatificazione dei Martiri Domenicani nel Vietnam</v>
      </c>
      <c r="AC1171" s="29" t="str">
        <f t="shared" si="348"/>
        <v>Pio XII, Discorso Ai fedeli giunti a Roma per assistere alla beatificazione dei Martiri Domenicani nel Vietnam, 02 maggio 1951</v>
      </c>
      <c r="AD1171" s="29" t="str">
        <f t="shared" si="349"/>
        <v>1951-05-02T08:00:00.000+02:00</v>
      </c>
      <c r="AE1171" s="29" t="str">
        <f t="shared" si="341"/>
        <v>pixii-dis-</v>
      </c>
      <c r="AF1171" s="29" t="str">
        <f t="shared" si="342"/>
        <v>Pio XII - Discorso - Ai fedeli giunti a Roma per assistere alla beatificazione dei Martiri Domenicani nel Vietnam</v>
      </c>
    </row>
    <row r="1172" spans="2:32" x14ac:dyDescent="0.2">
      <c r="B1172" s="29">
        <v>260</v>
      </c>
      <c r="C1172" s="29" t="s">
        <v>4356</v>
      </c>
      <c r="D1172" s="29" t="s">
        <v>715</v>
      </c>
      <c r="E1172" s="29" t="s">
        <v>724</v>
      </c>
      <c r="F1172" s="29" t="s">
        <v>663</v>
      </c>
      <c r="G1172" s="29" t="s">
        <v>659</v>
      </c>
      <c r="H1172" s="29" t="str">
        <f t="shared" si="343"/>
        <v>Pio XII</v>
      </c>
      <c r="K1172" s="29" t="s">
        <v>827</v>
      </c>
      <c r="L1172" s="29" t="str">
        <f t="shared" si="340"/>
        <v>Discorso</v>
      </c>
      <c r="M1172" s="29" t="s">
        <v>566</v>
      </c>
      <c r="O1172" s="29" t="s">
        <v>4861</v>
      </c>
      <c r="Q1172" s="38">
        <v>18751</v>
      </c>
      <c r="R1172" s="32">
        <f t="shared" si="350"/>
        <v>3</v>
      </c>
      <c r="S1172" s="32"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32">
        <f t="shared" si="351"/>
        <v>1951</v>
      </c>
      <c r="U1172" s="29"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3"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9"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9">
        <v>1199</v>
      </c>
      <c r="Y1172" s="29" t="str">
        <f t="shared" si="344"/>
        <v>['Pio XII', 'Discorso', 'Ai dirigenti dell'Azione Cattolica Italiana', 'pixii-dis-', '03 maggio 1951', '03/05/1951', '1951/05/03'],</v>
      </c>
      <c r="Z1172" s="29" t="str">
        <f t="shared" si="345"/>
        <v>Ai dirigenti dell'Azione Cattolica Italiana (18751) | Pio XII</v>
      </c>
      <c r="AA1172" s="29" t="str">
        <f t="shared" si="346"/>
        <v>Discorso Ai dirigenti dell'Azione Cattolica Italiana</v>
      </c>
      <c r="AB1172" s="29" t="str">
        <f t="shared" si="347"/>
        <v>Discorso Ai dirigenti dell'Azione Cattolica Italiana</v>
      </c>
      <c r="AC1172" s="29" t="str">
        <f t="shared" si="348"/>
        <v>Pio XII, Discorso Ai dirigenti dell'Azione Cattolica Italiana, 03 maggio 1951</v>
      </c>
      <c r="AD1172" s="29" t="str">
        <f t="shared" si="349"/>
        <v>1951-05-03T08:00:00.000+02:00</v>
      </c>
      <c r="AE1172" s="29" t="str">
        <f t="shared" si="341"/>
        <v>pixii-dis-</v>
      </c>
      <c r="AF1172" s="29" t="str">
        <f t="shared" si="342"/>
        <v>Pio XII - Discorso - Ai dirigenti dell'Azione Cattolica Italiana</v>
      </c>
    </row>
    <row r="1173" spans="2:32" x14ac:dyDescent="0.2">
      <c r="B1173" s="29">
        <v>260</v>
      </c>
      <c r="C1173" s="29" t="s">
        <v>4357</v>
      </c>
      <c r="D1173" s="29" t="s">
        <v>715</v>
      </c>
      <c r="E1173" s="29" t="s">
        <v>724</v>
      </c>
      <c r="F1173" s="29" t="s">
        <v>663</v>
      </c>
      <c r="G1173" s="29" t="s">
        <v>659</v>
      </c>
      <c r="H1173" s="29" t="str">
        <f t="shared" si="343"/>
        <v>Pio XII</v>
      </c>
      <c r="K1173" s="29" t="s">
        <v>827</v>
      </c>
      <c r="L1173" s="29" t="str">
        <f t="shared" si="340"/>
        <v>Discorso</v>
      </c>
      <c r="M1173" s="29" t="s">
        <v>566</v>
      </c>
      <c r="O1173" s="29" t="s">
        <v>4862</v>
      </c>
      <c r="Q1173" s="38">
        <v>18754</v>
      </c>
      <c r="R1173" s="32">
        <f t="shared" si="350"/>
        <v>6</v>
      </c>
      <c r="S1173" s="32"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32">
        <f t="shared" si="351"/>
        <v>1951</v>
      </c>
      <c r="U1173" s="29"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3"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9"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9">
        <v>1200</v>
      </c>
      <c r="Y1173" s="29" t="str">
        <f t="shared" si="344"/>
        <v>['Pio XII', 'Discorso', 'Nel primo centenario del Collegio S. Giuseppe e Istituto de Merode in Roma', 'pixii-dis-', '06 maggio 1951', '06/05/1951', '1951/05/06'],</v>
      </c>
      <c r="Z1173" s="29" t="str">
        <f t="shared" si="345"/>
        <v>Nel primo centenario del Collegio S. Giuseppe e Istituto de Merode in Roma (18754) | Pio XII</v>
      </c>
      <c r="AA1173" s="29" t="str">
        <f t="shared" si="346"/>
        <v>Discorso Nel primo centenario del Collegio S. Giuseppe e Istituto de Merode in Roma</v>
      </c>
      <c r="AB1173" s="29" t="str">
        <f t="shared" si="347"/>
        <v>Discorso Nel primo centenario del Collegio S. Giuseppe e Istituto de Merode in Roma</v>
      </c>
      <c r="AC1173" s="29" t="str">
        <f t="shared" si="348"/>
        <v>Pio XII, Discorso Nel primo centenario del Collegio S. Giuseppe e Istituto de Merode in Roma, 06 maggio 1951</v>
      </c>
      <c r="AD1173" s="29" t="str">
        <f t="shared" si="349"/>
        <v>1951-05-06T08:00:00.000+02:00</v>
      </c>
      <c r="AE1173" s="29" t="str">
        <f t="shared" si="341"/>
        <v>pixii-dis-</v>
      </c>
      <c r="AF1173" s="29" t="str">
        <f t="shared" si="342"/>
        <v>Pio XII - Discorso - Nel primo centenario del Collegio S. Giuseppe e Istituto de Merode in Roma</v>
      </c>
    </row>
    <row r="1174" spans="2:32" x14ac:dyDescent="0.2">
      <c r="B1174" s="29">
        <v>260</v>
      </c>
      <c r="C1174" s="29" t="s">
        <v>4358</v>
      </c>
      <c r="D1174" s="29" t="s">
        <v>715</v>
      </c>
      <c r="E1174" s="29" t="s">
        <v>724</v>
      </c>
      <c r="F1174" s="29" t="s">
        <v>663</v>
      </c>
      <c r="G1174" s="29" t="s">
        <v>659</v>
      </c>
      <c r="H1174" s="29" t="str">
        <f t="shared" si="343"/>
        <v>Pio XII</v>
      </c>
      <c r="K1174" s="29" t="s">
        <v>827</v>
      </c>
      <c r="L1174" s="29" t="str">
        <f t="shared" si="340"/>
        <v>Discorso</v>
      </c>
      <c r="M1174" s="29" t="s">
        <v>566</v>
      </c>
      <c r="O1174" s="29" t="s">
        <v>4863</v>
      </c>
      <c r="Q1174" s="38">
        <v>18761</v>
      </c>
      <c r="R1174" s="32">
        <f t="shared" si="350"/>
        <v>13</v>
      </c>
      <c r="S1174" s="32"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32">
        <f t="shared" si="351"/>
        <v>1951</v>
      </c>
      <c r="U1174" s="29"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3"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9"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9">
        <v>1201</v>
      </c>
      <c r="Y1174" s="29" t="str">
        <f t="shared" si="344"/>
        <v>['Pio XII', 'Discorso', 'Ai partecipanti al Pellegrinaggio internazionale dei lavoratori cristiani', 'pixii-dis-', '13 maggio 1951', '13/05/1951', '1951/05/13'],</v>
      </c>
      <c r="Z1174" s="29" t="str">
        <f t="shared" si="345"/>
        <v>Ai partecipanti al Pellegrinaggio internazionale dei lavoratori cristiani (18761) | Pio XII</v>
      </c>
      <c r="AA1174" s="29" t="str">
        <f t="shared" si="346"/>
        <v>Discorso Ai partecipanti al Pellegrinaggio internazionale dei lavoratori cristiani</v>
      </c>
      <c r="AB1174" s="29" t="str">
        <f t="shared" si="347"/>
        <v>Discorso Ai partecipanti al Pellegrinaggio internazionale dei lavoratori cristiani</v>
      </c>
      <c r="AC1174" s="29" t="str">
        <f t="shared" si="348"/>
        <v>Pio XII, Discorso Ai partecipanti al Pellegrinaggio internazionale dei lavoratori cristiani, 13 maggio 1951</v>
      </c>
      <c r="AD1174" s="29" t="str">
        <f t="shared" si="349"/>
        <v>1951-05-13T08:00:00.000+02:00</v>
      </c>
      <c r="AE1174" s="29" t="str">
        <f t="shared" si="341"/>
        <v>pixii-dis-</v>
      </c>
      <c r="AF1174" s="29" t="str">
        <f t="shared" si="342"/>
        <v>Pio XII - Discorso - Ai partecipanti al Pellegrinaggio internazionale dei lavoratori cristiani</v>
      </c>
    </row>
    <row r="1175" spans="2:32" x14ac:dyDescent="0.2">
      <c r="B1175" s="29">
        <v>260</v>
      </c>
      <c r="C1175" s="29" t="s">
        <v>4359</v>
      </c>
      <c r="D1175" s="29" t="s">
        <v>715</v>
      </c>
      <c r="E1175" s="29" t="s">
        <v>724</v>
      </c>
      <c r="F1175" s="29" t="s">
        <v>663</v>
      </c>
      <c r="G1175" s="29" t="s">
        <v>659</v>
      </c>
      <c r="H1175" s="29" t="str">
        <f t="shared" si="343"/>
        <v>Pio XII</v>
      </c>
      <c r="K1175" s="29" t="s">
        <v>827</v>
      </c>
      <c r="L1175" s="29" t="str">
        <f t="shared" si="340"/>
        <v>Discorso</v>
      </c>
      <c r="M1175" s="29" t="s">
        <v>566</v>
      </c>
      <c r="O1175" s="29" t="s">
        <v>4864</v>
      </c>
      <c r="Q1175" s="38">
        <v>18762</v>
      </c>
      <c r="R1175" s="32">
        <f t="shared" si="350"/>
        <v>14</v>
      </c>
      <c r="S1175" s="32"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32">
        <f t="shared" si="351"/>
        <v>1951</v>
      </c>
      <c r="U1175" s="29"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3"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9"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9">
        <v>1202</v>
      </c>
      <c r="Y1175" s="29" t="str">
        <f t="shared" si="344"/>
        <v>['Pio XII', 'Discorso', 'Ad un gruppo di allievi e maestri dell'Accademia Nazionale di Arte Drammatica', 'pixii-dis-', '14 maggio 1951', '14/05/1951', '1951/05/14'],</v>
      </c>
      <c r="Z1175" s="29" t="str">
        <f t="shared" si="345"/>
        <v>Ad un gruppo di allievi e maestri dell'Accademia Nazionale di Arte Drammatica (18762) | Pio XII</v>
      </c>
      <c r="AA1175" s="29" t="str">
        <f t="shared" si="346"/>
        <v>Discorso Ad un gruppo di allievi e maestri dell'Accademia Nazionale di Arte Drammatica</v>
      </c>
      <c r="AB1175" s="29" t="str">
        <f t="shared" si="347"/>
        <v>Discorso Ad un gruppo di allievi e maestri dell'Accademia Nazionale di Arte Drammatica</v>
      </c>
      <c r="AC1175" s="29" t="str">
        <f t="shared" si="348"/>
        <v>Pio XII, Discorso Ad un gruppo di allievi e maestri dell'Accademia Nazionale di Arte Drammatica, 14 maggio 1951</v>
      </c>
      <c r="AD1175" s="29" t="str">
        <f t="shared" si="349"/>
        <v>1951-05-14T08:00:00.000+02:00</v>
      </c>
      <c r="AE1175" s="29" t="str">
        <f t="shared" si="341"/>
        <v>pixii-dis-</v>
      </c>
      <c r="AF1175" s="29" t="str">
        <f t="shared" si="342"/>
        <v>Pio XII - Discorso - Ad un gruppo di allievi e maestri dell'Accademia Nazionale di Arte Drammatica</v>
      </c>
    </row>
    <row r="1176" spans="2:32" x14ac:dyDescent="0.2">
      <c r="B1176" s="29">
        <v>260</v>
      </c>
      <c r="C1176" s="29" t="s">
        <v>4360</v>
      </c>
      <c r="D1176" s="29" t="s">
        <v>715</v>
      </c>
      <c r="E1176" s="29" t="s">
        <v>724</v>
      </c>
      <c r="F1176" s="29" t="s">
        <v>663</v>
      </c>
      <c r="G1176" s="29" t="s">
        <v>659</v>
      </c>
      <c r="H1176" s="29" t="str">
        <f t="shared" si="343"/>
        <v>Pio XII</v>
      </c>
      <c r="K1176" s="29" t="s">
        <v>827</v>
      </c>
      <c r="L1176" s="29" t="str">
        <f t="shared" si="340"/>
        <v>Discorso</v>
      </c>
      <c r="M1176" s="29" t="s">
        <v>566</v>
      </c>
      <c r="O1176" s="29" t="s">
        <v>4865</v>
      </c>
      <c r="Q1176" s="38">
        <v>18764</v>
      </c>
      <c r="R1176" s="32">
        <f t="shared" si="350"/>
        <v>16</v>
      </c>
      <c r="S1176" s="32"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32">
        <f t="shared" si="351"/>
        <v>1951</v>
      </c>
      <c r="U1176" s="29"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3"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9"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9">
        <v>1203</v>
      </c>
      <c r="Y1176" s="29" t="str">
        <f t="shared" si="344"/>
        <v>['Pio XII', 'Discorso', 'Al personale dell'Istituto Centrale di Statistica', 'pixii-dis-', '16 maggio 1951', '16/05/1951', '1951/05/16'],</v>
      </c>
      <c r="Z1176" s="29" t="str">
        <f t="shared" si="345"/>
        <v>Al personale dell'Istituto Centrale di Statistica (18764) | Pio XII</v>
      </c>
      <c r="AA1176" s="29" t="str">
        <f t="shared" si="346"/>
        <v>Discorso Al personale dell'Istituto Centrale di Statistica</v>
      </c>
      <c r="AB1176" s="29" t="str">
        <f t="shared" si="347"/>
        <v>Discorso Al personale dell'Istituto Centrale di Statistica</v>
      </c>
      <c r="AC1176" s="29" t="str">
        <f t="shared" si="348"/>
        <v>Pio XII, Discorso Al personale dell'Istituto Centrale di Statistica, 16 maggio 1951</v>
      </c>
      <c r="AD1176" s="29" t="str">
        <f t="shared" si="349"/>
        <v>1951-05-16T08:00:00.000+02:00</v>
      </c>
      <c r="AE1176" s="29" t="str">
        <f t="shared" si="341"/>
        <v>pixii-dis-</v>
      </c>
      <c r="AF1176" s="29" t="str">
        <f t="shared" si="342"/>
        <v>Pio XII - Discorso - Al personale dell'Istituto Centrale di Statistica</v>
      </c>
    </row>
    <row r="1177" spans="2:32" x14ac:dyDescent="0.2">
      <c r="B1177" s="29">
        <v>260</v>
      </c>
      <c r="C1177" s="29" t="s">
        <v>4361</v>
      </c>
      <c r="D1177" s="29" t="s">
        <v>715</v>
      </c>
      <c r="E1177" s="29" t="s">
        <v>724</v>
      </c>
      <c r="F1177" s="29" t="s">
        <v>663</v>
      </c>
      <c r="G1177" s="29" t="s">
        <v>659</v>
      </c>
      <c r="H1177" s="29" t="str">
        <f t="shared" si="343"/>
        <v>Pio XII</v>
      </c>
      <c r="K1177" s="29" t="s">
        <v>827</v>
      </c>
      <c r="L1177" s="29" t="str">
        <f t="shared" si="340"/>
        <v>Discorso</v>
      </c>
      <c r="M1177" s="29" t="s">
        <v>566</v>
      </c>
      <c r="O1177" s="29" t="s">
        <v>4866</v>
      </c>
      <c r="Q1177" s="38">
        <v>18770</v>
      </c>
      <c r="R1177" s="32">
        <f t="shared" si="350"/>
        <v>22</v>
      </c>
      <c r="S1177" s="32"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32">
        <f t="shared" si="351"/>
        <v>1951</v>
      </c>
      <c r="U1177" s="29"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3"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9"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9">
        <v>1204</v>
      </c>
      <c r="Y1177" s="29" t="str">
        <f t="shared" si="344"/>
        <v>['Pio XII', 'Discorso', 'Nel cinquantenario dell'Istituto romano «Marcantonio Colonna»', 'pixii-dis-', '22 maggio 1951', '22/05/1951', '1951/05/22'],</v>
      </c>
      <c r="Z1177" s="29" t="str">
        <f t="shared" si="345"/>
        <v>Nel cinquantenario dell'Istituto romano «Marcantonio Colonna» (18770) | Pio XII</v>
      </c>
      <c r="AA1177" s="29" t="str">
        <f t="shared" si="346"/>
        <v>Discorso Nel cinquantenario dell'Istituto romano «Marcantonio Colonna»</v>
      </c>
      <c r="AB1177" s="29" t="str">
        <f t="shared" si="347"/>
        <v>Discorso Nel cinquantenario dell'Istituto romano «Marcantonio Colonna»</v>
      </c>
      <c r="AC1177" s="29" t="str">
        <f t="shared" si="348"/>
        <v>Pio XII, Discorso Nel cinquantenario dell'Istituto romano «Marcantonio Colonna», 22 maggio 1951</v>
      </c>
      <c r="AD1177" s="29" t="str">
        <f t="shared" si="349"/>
        <v>1951-05-22T08:00:00.000+02:00</v>
      </c>
      <c r="AE1177" s="29" t="str">
        <f t="shared" si="341"/>
        <v>pixii-dis-</v>
      </c>
      <c r="AF1177" s="29" t="str">
        <f t="shared" si="342"/>
        <v>Pio XII - Discorso - Nel cinquantenario dell'Istituto romano «Marcantonio Colonna»</v>
      </c>
    </row>
    <row r="1178" spans="2:32" x14ac:dyDescent="0.2">
      <c r="B1178" s="29">
        <v>260</v>
      </c>
      <c r="C1178" s="29" t="s">
        <v>4362</v>
      </c>
      <c r="D1178" s="29" t="s">
        <v>715</v>
      </c>
      <c r="E1178" s="29" t="s">
        <v>724</v>
      </c>
      <c r="F1178" s="29" t="s">
        <v>663</v>
      </c>
      <c r="G1178" s="29" t="s">
        <v>659</v>
      </c>
      <c r="H1178" s="29" t="str">
        <f t="shared" si="343"/>
        <v>Pio XII</v>
      </c>
      <c r="K1178" s="29" t="s">
        <v>827</v>
      </c>
      <c r="L1178" s="29" t="str">
        <f t="shared" si="340"/>
        <v>Discorso</v>
      </c>
      <c r="M1178" s="29" t="s">
        <v>566</v>
      </c>
      <c r="O1178" s="29" t="s">
        <v>4867</v>
      </c>
      <c r="Q1178" s="38">
        <v>18782</v>
      </c>
      <c r="R1178" s="32">
        <f t="shared" si="350"/>
        <v>3</v>
      </c>
      <c r="S1178" s="32"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32">
        <f t="shared" si="351"/>
        <v>1951</v>
      </c>
      <c r="U1178" s="29"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3"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9"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9">
        <v>1205</v>
      </c>
      <c r="Y1178" s="29" t="str">
        <f t="shared" si="344"/>
        <v>['Pio XII', 'Discorso', 'Ai fedeli, in ricordo di Pio X', 'pixii-dis-', '03 giugno 1951', '03/06/1951', '1951/06/03'],</v>
      </c>
      <c r="Z1178" s="29" t="str">
        <f t="shared" si="345"/>
        <v>Ai fedeli, in ricordo di Pio X (18782) | Pio XII</v>
      </c>
      <c r="AA1178" s="29" t="str">
        <f t="shared" si="346"/>
        <v>Discorso Ai fedeli, in ricordo di Pio X</v>
      </c>
      <c r="AB1178" s="29" t="str">
        <f t="shared" si="347"/>
        <v>Discorso Ai fedeli, in ricordo di Pio X</v>
      </c>
      <c r="AC1178" s="29" t="str">
        <f t="shared" si="348"/>
        <v>Pio XII, Discorso Ai fedeli, in ricordo di Pio X, 03 giugno 1951</v>
      </c>
      <c r="AD1178" s="29" t="str">
        <f t="shared" si="349"/>
        <v>1951-06-03T08:00:00.000+02:00</v>
      </c>
      <c r="AE1178" s="29" t="str">
        <f t="shared" si="341"/>
        <v>pixii-dis-</v>
      </c>
      <c r="AF1178" s="29" t="str">
        <f t="shared" si="342"/>
        <v>Pio XII - Discorso - Ai fedeli, in ricordo di Pio X</v>
      </c>
    </row>
    <row r="1179" spans="2:32" x14ac:dyDescent="0.2">
      <c r="B1179" s="29">
        <v>260</v>
      </c>
      <c r="C1179" s="29" t="s">
        <v>4363</v>
      </c>
      <c r="D1179" s="29" t="s">
        <v>715</v>
      </c>
      <c r="E1179" s="29" t="s">
        <v>724</v>
      </c>
      <c r="F1179" s="29" t="s">
        <v>663</v>
      </c>
      <c r="G1179" s="29" t="s">
        <v>659</v>
      </c>
      <c r="H1179" s="29" t="str">
        <f t="shared" si="343"/>
        <v>Pio XII</v>
      </c>
      <c r="K1179" s="29" t="s">
        <v>827</v>
      </c>
      <c r="L1179" s="29" t="str">
        <f t="shared" si="340"/>
        <v>Discorso</v>
      </c>
      <c r="M1179" s="29" t="s">
        <v>566</v>
      </c>
      <c r="O1179" s="29" t="s">
        <v>4868</v>
      </c>
      <c r="Q1179" s="38">
        <v>18796</v>
      </c>
      <c r="R1179" s="32">
        <f t="shared" si="350"/>
        <v>17</v>
      </c>
      <c r="S1179" s="32"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32">
        <f t="shared" si="351"/>
        <v>1951</v>
      </c>
      <c r="U1179" s="29"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3"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9"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9">
        <v>1206</v>
      </c>
      <c r="Y1179" s="29" t="str">
        <f t="shared" si="344"/>
        <v>['Pio XII', 'Discorso', 'Ai componenti l'Unione Romana Ingegneri e Architetti', 'pixii-dis-', '17 giugno 1951', '17/06/1951', '1951/06/17'],</v>
      </c>
      <c r="Z1179" s="29" t="str">
        <f t="shared" si="345"/>
        <v>Ai componenti l'Unione Romana Ingegneri e Architetti (18796) | Pio XII</v>
      </c>
      <c r="AA1179" s="29" t="str">
        <f t="shared" si="346"/>
        <v>Discorso Ai componenti l'Unione Romana Ingegneri e Architetti</v>
      </c>
      <c r="AB1179" s="29" t="str">
        <f t="shared" si="347"/>
        <v>Discorso Ai componenti l'Unione Romana Ingegneri e Architetti</v>
      </c>
      <c r="AC1179" s="29" t="str">
        <f t="shared" si="348"/>
        <v>Pio XII, Discorso Ai componenti l'Unione Romana Ingegneri e Architetti, 17 giugno 1951</v>
      </c>
      <c r="AD1179" s="29" t="str">
        <f t="shared" si="349"/>
        <v>1951-06-17T08:00:00.000+02:00</v>
      </c>
      <c r="AE1179" s="29" t="str">
        <f t="shared" si="341"/>
        <v>pixii-dis-</v>
      </c>
      <c r="AF1179" s="29" t="str">
        <f t="shared" si="342"/>
        <v>Pio XII - Discorso - Ai componenti l'Unione Romana Ingegneri e Architetti</v>
      </c>
    </row>
    <row r="1180" spans="2:32" x14ac:dyDescent="0.2">
      <c r="B1180" s="29">
        <v>260</v>
      </c>
      <c r="C1180" s="29" t="s">
        <v>4364</v>
      </c>
      <c r="D1180" s="29" t="s">
        <v>715</v>
      </c>
      <c r="E1180" s="29" t="s">
        <v>724</v>
      </c>
      <c r="F1180" s="29" t="s">
        <v>663</v>
      </c>
      <c r="G1180" s="29" t="s">
        <v>659</v>
      </c>
      <c r="H1180" s="29" t="str">
        <f t="shared" si="343"/>
        <v>Pio XII</v>
      </c>
      <c r="K1180" s="29" t="s">
        <v>827</v>
      </c>
      <c r="L1180" s="29" t="str">
        <f t="shared" si="340"/>
        <v>Discorso</v>
      </c>
      <c r="M1180" s="29" t="s">
        <v>566</v>
      </c>
      <c r="O1180" s="29" t="s">
        <v>4869</v>
      </c>
      <c r="Q1180" s="38">
        <v>18806</v>
      </c>
      <c r="R1180" s="32">
        <f t="shared" si="350"/>
        <v>27</v>
      </c>
      <c r="S1180" s="32"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32">
        <f t="shared" si="351"/>
        <v>1951</v>
      </c>
      <c r="U1180" s="29"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3"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9"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9">
        <v>1207</v>
      </c>
      <c r="Y1180" s="29" t="str">
        <f t="shared" si="344"/>
        <v>['Pio XII', 'Discorso', 'Ai pellegrini giunti a Roma per la canonizzazione di S. Emilia de Vialar e di S. Maria Domenica Mazzarello', 'pixii-dis-', '27 giugno 1951', '27/06/1951', '1951/06/27'],</v>
      </c>
      <c r="Z1180" s="29" t="str">
        <f t="shared" si="345"/>
        <v>Ai pellegrini giunti a Roma per la canonizzazione di S. Emilia de Vialar e di S. Maria Domenica Mazzarello (18806) | Pio XII</v>
      </c>
      <c r="AA1180" s="29" t="str">
        <f t="shared" si="346"/>
        <v>Discorso Ai pellegrini giunti a Roma per la canonizzazione di S. Emilia de Vialar e di S. Maria Domenica Mazzarello</v>
      </c>
      <c r="AB1180" s="29" t="str">
        <f t="shared" si="347"/>
        <v>Discorso Ai pellegrini giunti a Roma per la canonizzazione di S. Emilia de Vialar e di S. Maria Domenica Mazzarello</v>
      </c>
      <c r="AC1180" s="29" t="str">
        <f t="shared" si="348"/>
        <v>Pio XII, Discorso Ai pellegrini giunti a Roma per la canonizzazione di S. Emilia de Vialar e di S. Maria Domenica Mazzarello, 27 giugno 1951</v>
      </c>
      <c r="AD1180" s="29" t="str">
        <f t="shared" si="349"/>
        <v>1951-06-27T08:00:00.000+02:00</v>
      </c>
      <c r="AE1180" s="29" t="str">
        <f t="shared" si="341"/>
        <v>pixii-dis-</v>
      </c>
      <c r="AF1180" s="29" t="str">
        <f t="shared" si="342"/>
        <v>Pio XII - Discorso - Ai pellegrini giunti a Roma per la canonizzazione di S. Emilia de Vialar e di S. Maria Domenica Mazzarello</v>
      </c>
    </row>
    <row r="1181" spans="2:32" x14ac:dyDescent="0.2">
      <c r="B1181" s="29">
        <v>260</v>
      </c>
      <c r="C1181" s="29" t="s">
        <v>4365</v>
      </c>
      <c r="D1181" s="29" t="s">
        <v>715</v>
      </c>
      <c r="E1181" s="29" t="s">
        <v>724</v>
      </c>
      <c r="F1181" s="29" t="s">
        <v>663</v>
      </c>
      <c r="G1181" s="29" t="s">
        <v>659</v>
      </c>
      <c r="H1181" s="29" t="str">
        <f t="shared" si="343"/>
        <v>Pio XII</v>
      </c>
      <c r="K1181" s="29" t="s">
        <v>827</v>
      </c>
      <c r="L1181" s="29" t="str">
        <f t="shared" si="340"/>
        <v>Discorso</v>
      </c>
      <c r="M1181" s="29" t="s">
        <v>566</v>
      </c>
      <c r="O1181" s="29" t="s">
        <v>4870</v>
      </c>
      <c r="Q1181" s="38">
        <v>18808</v>
      </c>
      <c r="R1181" s="32">
        <f t="shared" si="350"/>
        <v>29</v>
      </c>
      <c r="S1181" s="32"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32">
        <f t="shared" si="351"/>
        <v>1951</v>
      </c>
      <c r="U1181" s="29"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3"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9"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9">
        <v>1208</v>
      </c>
      <c r="Y1181" s="29" t="str">
        <f t="shared" si="344"/>
        <v>['Pio XII', 'Discorso', 'Radiomessaggio per l'apertura della «Domus Pacis»', 'pixii-dis-', '29 giugno 1951', '29/06/1951', '1951/06/29'],</v>
      </c>
      <c r="Z1181" s="29" t="str">
        <f t="shared" si="345"/>
        <v>Radiomessaggio per l'apertura della «Domus Pacis» (18808) | Pio XII</v>
      </c>
      <c r="AA1181" s="29" t="str">
        <f t="shared" si="346"/>
        <v>Discorso Radiomessaggio per l'apertura della «Domus Pacis»</v>
      </c>
      <c r="AB1181" s="29" t="str">
        <f t="shared" si="347"/>
        <v>Discorso Radiomessaggio per l'apertura della «Domus Pacis»</v>
      </c>
      <c r="AC1181" s="29" t="str">
        <f t="shared" si="348"/>
        <v>Pio XII, Discorso Radiomessaggio per l'apertura della «Domus Pacis», 29 giugno 1951</v>
      </c>
      <c r="AD1181" s="29" t="str">
        <f t="shared" si="349"/>
        <v>1951-06-29T08:00:00.000+02:00</v>
      </c>
      <c r="AE1181" s="29" t="str">
        <f t="shared" si="341"/>
        <v>pixii-dis-</v>
      </c>
      <c r="AF1181" s="29" t="str">
        <f t="shared" si="342"/>
        <v>Pio XII - Discorso - Radiomessaggio per l'apertura della «Domus Pacis»</v>
      </c>
    </row>
    <row r="1182" spans="2:32" x14ac:dyDescent="0.2">
      <c r="B1182" s="29">
        <v>260</v>
      </c>
      <c r="C1182" s="29" t="s">
        <v>4366</v>
      </c>
      <c r="D1182" s="29" t="s">
        <v>715</v>
      </c>
      <c r="E1182" s="29" t="s">
        <v>724</v>
      </c>
      <c r="F1182" s="29" t="s">
        <v>663</v>
      </c>
      <c r="G1182" s="29" t="s">
        <v>659</v>
      </c>
      <c r="H1182" s="29" t="str">
        <f t="shared" si="343"/>
        <v>Pio XII</v>
      </c>
      <c r="K1182" s="29" t="s">
        <v>827</v>
      </c>
      <c r="L1182" s="29" t="str">
        <f t="shared" si="340"/>
        <v>Discorso</v>
      </c>
      <c r="M1182" s="29" t="s">
        <v>566</v>
      </c>
      <c r="O1182" s="29" t="s">
        <v>4871</v>
      </c>
      <c r="Q1182" s="38">
        <v>18810</v>
      </c>
      <c r="R1182" s="32">
        <f t="shared" si="350"/>
        <v>1</v>
      </c>
      <c r="S1182" s="32"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32">
        <f t="shared" si="351"/>
        <v>1951</v>
      </c>
      <c r="U1182" s="29"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3"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9"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9">
        <v>1209</v>
      </c>
      <c r="Y1182" s="29" t="str">
        <f t="shared" si="344"/>
        <v>['Pio XII', 'Discorso', 'Alla delegazione della Gioventù Italiana Operaia Cattolica Femminile', 'pixii-dis-', '01 luglio 1951', '01/07/1951', '1951/07/01'],</v>
      </c>
      <c r="Z1182" s="29" t="str">
        <f t="shared" si="345"/>
        <v>Alla delegazione della Gioventù Italiana Operaia Cattolica Femminile (18810) | Pio XII</v>
      </c>
      <c r="AA1182" s="29" t="str">
        <f t="shared" si="346"/>
        <v>Discorso Alla delegazione della Gioventù Italiana Operaia Cattolica Femminile</v>
      </c>
      <c r="AB1182" s="29" t="str">
        <f t="shared" si="347"/>
        <v>Discorso Alla delegazione della Gioventù Italiana Operaia Cattolica Femminile</v>
      </c>
      <c r="AC1182" s="29" t="str">
        <f t="shared" si="348"/>
        <v>Pio XII, Discorso Alla delegazione della Gioventù Italiana Operaia Cattolica Femminile, 01 luglio 1951</v>
      </c>
      <c r="AD1182" s="29" t="str">
        <f t="shared" si="349"/>
        <v>1951-07-01T08:00:00.000+02:00</v>
      </c>
      <c r="AE1182" s="29" t="str">
        <f t="shared" si="341"/>
        <v>pixii-dis-</v>
      </c>
      <c r="AF1182" s="29" t="str">
        <f t="shared" si="342"/>
        <v>Pio XII - Discorso - Alla delegazione della Gioventù Italiana Operaia Cattolica Femminile</v>
      </c>
    </row>
    <row r="1183" spans="2:32" x14ac:dyDescent="0.2">
      <c r="B1183" s="29">
        <v>260</v>
      </c>
      <c r="C1183" s="29" t="s">
        <v>4367</v>
      </c>
      <c r="D1183" s="29" t="s">
        <v>715</v>
      </c>
      <c r="E1183" s="29" t="s">
        <v>724</v>
      </c>
      <c r="F1183" s="29" t="s">
        <v>663</v>
      </c>
      <c r="G1183" s="29" t="s">
        <v>659</v>
      </c>
      <c r="H1183" s="29" t="str">
        <f t="shared" si="343"/>
        <v>Pio XII</v>
      </c>
      <c r="K1183" s="29" t="s">
        <v>827</v>
      </c>
      <c r="L1183" s="29" t="str">
        <f t="shared" si="340"/>
        <v>Discorso</v>
      </c>
      <c r="M1183" s="29" t="s">
        <v>566</v>
      </c>
      <c r="O1183" s="29" t="s">
        <v>5101</v>
      </c>
      <c r="Q1183" s="38">
        <v>18855</v>
      </c>
      <c r="R1183" s="32">
        <f t="shared" si="350"/>
        <v>15</v>
      </c>
      <c r="S1183" s="32"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32">
        <f t="shared" si="351"/>
        <v>1951</v>
      </c>
      <c r="U1183" s="29"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3"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9"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9">
        <v>1210</v>
      </c>
      <c r="Y1183" s="29" t="str">
        <f t="shared" si="344"/>
        <v>['Pio XII', 'Discorso', 'Radiomessaggio per il XVII centenario del martirio di S. Agata', 'pixii-dis-', '15 agosto 1951', '15/08/1951', '1951/08/15'],</v>
      </c>
      <c r="Z1183" s="29" t="str">
        <f t="shared" si="345"/>
        <v>Radiomessaggio per il XVII centenario del martirio di S. Agata (18855) | Pio XII</v>
      </c>
      <c r="AA1183" s="29" t="str">
        <f t="shared" si="346"/>
        <v>Discorso Radiomessaggio per il XVII centenario del martirio di S. Agata</v>
      </c>
      <c r="AB1183" s="29" t="str">
        <f t="shared" si="347"/>
        <v>Discorso Radiomessaggio per il XVII centenario del martirio di S. Agata</v>
      </c>
      <c r="AC1183" s="29" t="str">
        <f t="shared" si="348"/>
        <v>Pio XII, Discorso Radiomessaggio per il XVII centenario del martirio di S. Agata, 15 agosto 1951</v>
      </c>
      <c r="AD1183" s="29" t="str">
        <f t="shared" si="349"/>
        <v>1951-08-15T08:00:00.000+02:00</v>
      </c>
      <c r="AE1183" s="29" t="str">
        <f t="shared" si="341"/>
        <v>pixii-dis-</v>
      </c>
      <c r="AF1183" s="29" t="str">
        <f t="shared" si="342"/>
        <v>Pio XII - Discorso - Radiomessaggio per il XVII centenario del martirio di S. Agata</v>
      </c>
    </row>
    <row r="1184" spans="2:32" x14ac:dyDescent="0.2">
      <c r="B1184" s="29">
        <v>260</v>
      </c>
      <c r="C1184" s="29" t="s">
        <v>4368</v>
      </c>
      <c r="D1184" s="29" t="s">
        <v>715</v>
      </c>
      <c r="E1184" s="29" t="s">
        <v>724</v>
      </c>
      <c r="F1184" s="29" t="s">
        <v>663</v>
      </c>
      <c r="G1184" s="29" t="s">
        <v>659</v>
      </c>
      <c r="H1184" s="29" t="str">
        <f t="shared" si="343"/>
        <v>Pio XII</v>
      </c>
      <c r="K1184" s="29" t="s">
        <v>827</v>
      </c>
      <c r="L1184" s="29" t="str">
        <f t="shared" si="340"/>
        <v>Discorso</v>
      </c>
      <c r="M1184" s="29" t="s">
        <v>566</v>
      </c>
      <c r="O1184" s="29" t="s">
        <v>4872</v>
      </c>
      <c r="Q1184" s="38">
        <v>18884</v>
      </c>
      <c r="R1184" s="32">
        <f t="shared" si="350"/>
        <v>13</v>
      </c>
      <c r="S1184" s="32"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32">
        <f t="shared" si="351"/>
        <v>1951</v>
      </c>
      <c r="U1184" s="29"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3"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9"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9">
        <v>1211</v>
      </c>
      <c r="Y1184" s="29" t="str">
        <f t="shared" si="344"/>
        <v>['Pio XII', 'Discorso', 'Ad un folto gruppo di Suore che hanno partecipato al Primo Congresso Internazionale delle Religiose Educatrici', 'pixii-dis-', '13 settembre 1951', '13/09/1951', '1951/09/13'],</v>
      </c>
      <c r="Z1184" s="29" t="str">
        <f t="shared" si="345"/>
        <v>Ad un folto gruppo di Suore che hanno partecipato al Primo Congresso Internazionale delle Religiose Educatrici (18884) | Pio XII</v>
      </c>
      <c r="AA1184" s="29" t="str">
        <f t="shared" si="346"/>
        <v>Discorso Ad un folto gruppo di Suore che hanno partecipato al Primo Congresso Internazionale delle Religiose Educatrici</v>
      </c>
      <c r="AB1184" s="29" t="str">
        <f t="shared" si="347"/>
        <v>Discorso Ad un folto gruppo di Suore che hanno partecipato al Primo Congresso Internazionale delle Religiose Educatrici</v>
      </c>
      <c r="AC1184" s="29" t="str">
        <f t="shared" si="348"/>
        <v>Pio XII, Discorso Ad un folto gruppo di Suore che hanno partecipato al Primo Congresso Internazionale delle Religiose Educatrici, 13 settembre 1951</v>
      </c>
      <c r="AD1184" s="29" t="str">
        <f t="shared" si="349"/>
        <v>1951-09-13T08:00:00.000+02:00</v>
      </c>
      <c r="AE1184" s="29" t="str">
        <f t="shared" si="341"/>
        <v>pixii-dis-</v>
      </c>
      <c r="AF1184" s="29" t="str">
        <f t="shared" si="342"/>
        <v>Pio XII - Discorso - Ad un folto gruppo di Suore che hanno partecipato al Primo Congresso Internazionale delle Religiose Educatrici</v>
      </c>
    </row>
    <row r="1185" spans="2:32" x14ac:dyDescent="0.2">
      <c r="B1185" s="29">
        <v>260</v>
      </c>
      <c r="C1185" s="29" t="s">
        <v>4369</v>
      </c>
      <c r="D1185" s="29" t="s">
        <v>715</v>
      </c>
      <c r="E1185" s="29" t="s">
        <v>724</v>
      </c>
      <c r="F1185" s="29" t="s">
        <v>663</v>
      </c>
      <c r="G1185" s="29" t="s">
        <v>659</v>
      </c>
      <c r="H1185" s="29" t="str">
        <f t="shared" si="343"/>
        <v>Pio XII</v>
      </c>
      <c r="K1185" s="29" t="s">
        <v>827</v>
      </c>
      <c r="L1185" s="29" t="str">
        <f t="shared" si="340"/>
        <v>Discorso</v>
      </c>
      <c r="M1185" s="29" t="s">
        <v>566</v>
      </c>
      <c r="O1185" s="29" t="s">
        <v>4873</v>
      </c>
      <c r="Q1185" s="38">
        <v>18901</v>
      </c>
      <c r="R1185" s="32">
        <f t="shared" si="350"/>
        <v>30</v>
      </c>
      <c r="S1185" s="32"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32">
        <f t="shared" si="351"/>
        <v>1951</v>
      </c>
      <c r="U1185" s="29"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3"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9"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9">
        <v>1212</v>
      </c>
      <c r="Y1185" s="29" t="str">
        <f t="shared" si="344"/>
        <v>['Pio XII', 'Discorso', 'Alle giovani Aspiranti della Gioventù Femminile di Azione Cattolica', 'pixii-dis-', '30 settembre 1951', '30/09/1951', '1951/09/30'],</v>
      </c>
      <c r="Z1185" s="29" t="str">
        <f t="shared" si="345"/>
        <v>Alle giovani Aspiranti della Gioventù Femminile di Azione Cattolica (18901) | Pio XII</v>
      </c>
      <c r="AA1185" s="29" t="str">
        <f t="shared" si="346"/>
        <v>Discorso Alle giovani Aspiranti della Gioventù Femminile di Azione Cattolica</v>
      </c>
      <c r="AB1185" s="29" t="str">
        <f t="shared" si="347"/>
        <v>Discorso Alle giovani Aspiranti della Gioventù Femminile di Azione Cattolica</v>
      </c>
      <c r="AC1185" s="29" t="str">
        <f t="shared" si="348"/>
        <v>Pio XII, Discorso Alle giovani Aspiranti della Gioventù Femminile di Azione Cattolica, 30 settembre 1951</v>
      </c>
      <c r="AD1185" s="29" t="str">
        <f t="shared" si="349"/>
        <v>1951-09-30T08:00:00.000+02:00</v>
      </c>
      <c r="AE1185" s="29" t="str">
        <f t="shared" si="341"/>
        <v>pixii-dis-</v>
      </c>
      <c r="AF1185" s="29" t="str">
        <f t="shared" si="342"/>
        <v>Pio XII - Discorso - Alle giovani Aspiranti della Gioventù Femminile di Azione Cattolica</v>
      </c>
    </row>
    <row r="1186" spans="2:32" x14ac:dyDescent="0.2">
      <c r="B1186" s="29">
        <v>260</v>
      </c>
      <c r="C1186" s="29" t="s">
        <v>4370</v>
      </c>
      <c r="D1186" s="29" t="s">
        <v>715</v>
      </c>
      <c r="E1186" s="29" t="s">
        <v>724</v>
      </c>
      <c r="F1186" s="29" t="s">
        <v>663</v>
      </c>
      <c r="G1186" s="29" t="s">
        <v>659</v>
      </c>
      <c r="H1186" s="29" t="str">
        <f t="shared" si="343"/>
        <v>Pio XII</v>
      </c>
      <c r="K1186" s="29" t="s">
        <v>827</v>
      </c>
      <c r="L1186" s="29" t="str">
        <f t="shared" si="340"/>
        <v>Discorso</v>
      </c>
      <c r="M1186" s="29" t="s">
        <v>566</v>
      </c>
      <c r="O1186" s="29" t="s">
        <v>4874</v>
      </c>
      <c r="Q1186" s="38">
        <v>18924</v>
      </c>
      <c r="R1186" s="32">
        <f t="shared" si="350"/>
        <v>23</v>
      </c>
      <c r="S1186" s="32"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32">
        <f t="shared" si="351"/>
        <v>1951</v>
      </c>
      <c r="U1186" s="29"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3"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9"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9">
        <v>1213</v>
      </c>
      <c r="Y1186" s="29" t="str">
        <f t="shared" si="344"/>
        <v>['Pio XII', 'Discorso', 'Alle migliaia di pellegrini convenuti a Roma per la canonizzazione dei Santi Antonio Maria Gianelli, Francesco Saverio Maria Bianchi e Ignazio de Làconi', 'pixii-dis-', '23 ottobre 1951', '23/10/1951', '1951/10/23'],</v>
      </c>
      <c r="Z1186" s="29" t="str">
        <f t="shared" si="345"/>
        <v>Alle migliaia di pellegrini convenuti a Roma per la canonizzazione dei Santi Antonio Maria Gianelli, Francesco Saverio Maria Bianchi e Ignazio de Làconi (18924) | Pio XII</v>
      </c>
      <c r="AA1186" s="29" t="str">
        <f t="shared" si="346"/>
        <v>Discorso Alle migliaia di pellegrini convenuti a Roma per la canonizzazione dei Santi Antonio Maria Gianelli, Francesco Saverio Maria Bianchi e Ignazio de Làconi</v>
      </c>
      <c r="AB1186" s="29" t="str">
        <f t="shared" si="347"/>
        <v>Discorso Alle migliaia di pellegrini convenuti a Roma per la canonizzazione dei Santi Antonio Maria Gianelli, Francesco Saverio Maria Bianchi e Ignazio de Làconi</v>
      </c>
      <c r="AC1186" s="29" t="str">
        <f t="shared" si="348"/>
        <v>Pio XII, Discorso Alle migliaia di pellegrini convenuti a Roma per la canonizzazione dei Santi Antonio Maria Gianelli, Francesco Saverio Maria Bianchi e Ignazio de Làconi, 23 ottobre 1951</v>
      </c>
      <c r="AD1186" s="29" t="str">
        <f t="shared" si="349"/>
        <v>1951-10-23T08:00:00.000+02:00</v>
      </c>
      <c r="AE1186" s="29" t="str">
        <f t="shared" si="341"/>
        <v>pixii-dis-</v>
      </c>
      <c r="AF1186" s="29" t="str">
        <f t="shared" si="342"/>
        <v>Pio XII - Discorso - Alle migliaia di pellegrini convenuti a Roma per la canonizzazione dei Santi Antonio Maria Gianelli, Francesco Saverio Maria Bianchi e Ignazio de Làconi</v>
      </c>
    </row>
    <row r="1187" spans="2:32" x14ac:dyDescent="0.2">
      <c r="B1187" s="29">
        <v>260</v>
      </c>
      <c r="C1187" s="29" t="s">
        <v>4371</v>
      </c>
      <c r="D1187" s="29" t="s">
        <v>715</v>
      </c>
      <c r="E1187" s="29" t="s">
        <v>724</v>
      </c>
      <c r="F1187" s="29" t="s">
        <v>663</v>
      </c>
      <c r="G1187" s="29" t="s">
        <v>659</v>
      </c>
      <c r="H1187" s="29" t="str">
        <f t="shared" si="343"/>
        <v>Pio XII</v>
      </c>
      <c r="K1187" s="29" t="s">
        <v>827</v>
      </c>
      <c r="L1187" s="29" t="str">
        <f t="shared" si="340"/>
        <v>Discorso</v>
      </c>
      <c r="M1187" s="29" t="s">
        <v>566</v>
      </c>
      <c r="O1187" s="29" t="s">
        <v>4875</v>
      </c>
      <c r="Q1187" s="38">
        <v>18926</v>
      </c>
      <c r="R1187" s="32">
        <f t="shared" si="350"/>
        <v>25</v>
      </c>
      <c r="S1187" s="32"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32">
        <f t="shared" si="351"/>
        <v>1951</v>
      </c>
      <c r="U1187" s="29"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3"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9"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9">
        <v>1214</v>
      </c>
      <c r="Y1187" s="29" t="str">
        <f t="shared" si="344"/>
        <v>['Pio XII', 'Discorso', 'Radiomessaggio per il XV centenario del Concilio Ecumenico di Calcedonia', 'pixii-dis-', '25 ottobre 1951', '25/10/1951', '1951/10/25'],</v>
      </c>
      <c r="Z1187" s="29" t="str">
        <f t="shared" si="345"/>
        <v>Radiomessaggio per il XV centenario del Concilio Ecumenico di Calcedonia (18926) | Pio XII</v>
      </c>
      <c r="AA1187" s="29" t="str">
        <f t="shared" si="346"/>
        <v>Discorso Radiomessaggio per il XV centenario del Concilio Ecumenico di Calcedonia</v>
      </c>
      <c r="AB1187" s="29" t="str">
        <f t="shared" si="347"/>
        <v>Discorso Radiomessaggio per il XV centenario del Concilio Ecumenico di Calcedonia</v>
      </c>
      <c r="AC1187" s="29" t="str">
        <f t="shared" si="348"/>
        <v>Pio XII, Discorso Radiomessaggio per il XV centenario del Concilio Ecumenico di Calcedonia, 25 ottobre 1951</v>
      </c>
      <c r="AD1187" s="29" t="str">
        <f t="shared" si="349"/>
        <v>1951-10-25T08:00:00.000+02:00</v>
      </c>
      <c r="AE1187" s="29" t="str">
        <f t="shared" si="341"/>
        <v>pixii-dis-</v>
      </c>
      <c r="AF1187" s="29" t="str">
        <f t="shared" si="342"/>
        <v>Pio XII - Discorso - Radiomessaggio per il XV centenario del Concilio Ecumenico di Calcedonia</v>
      </c>
    </row>
    <row r="1188" spans="2:32" x14ac:dyDescent="0.2">
      <c r="B1188" s="29">
        <v>260</v>
      </c>
      <c r="C1188" s="29" t="s">
        <v>4372</v>
      </c>
      <c r="D1188" s="29" t="s">
        <v>715</v>
      </c>
      <c r="E1188" s="29" t="s">
        <v>724</v>
      </c>
      <c r="F1188" s="29" t="s">
        <v>663</v>
      </c>
      <c r="G1188" s="29" t="s">
        <v>659</v>
      </c>
      <c r="H1188" s="29" t="str">
        <f t="shared" si="343"/>
        <v>Pio XII</v>
      </c>
      <c r="K1188" s="29" t="s">
        <v>827</v>
      </c>
      <c r="L1188" s="29" t="str">
        <f t="shared" si="340"/>
        <v>Discorso</v>
      </c>
      <c r="M1188" s="29" t="s">
        <v>566</v>
      </c>
      <c r="O1188" s="29" t="s">
        <v>4876</v>
      </c>
      <c r="Q1188" s="38">
        <v>18930</v>
      </c>
      <c r="R1188" s="32">
        <f t="shared" si="350"/>
        <v>29</v>
      </c>
      <c r="S1188" s="32"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32">
        <f t="shared" si="351"/>
        <v>1951</v>
      </c>
      <c r="U1188" s="29"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3"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9"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9">
        <v>1215</v>
      </c>
      <c r="Y1188" s="29" t="str">
        <f t="shared" si="344"/>
        <v>['Pio XII', 'Discorso', 'Alle partecipanti al Congresso dell'Unione Cattolica Italiana Ostetriche', 'pixii-dis-', '29 ottobre 1951', '29/10/1951', '1951/10/29'],</v>
      </c>
      <c r="Z1188" s="29" t="str">
        <f t="shared" si="345"/>
        <v>Alle partecipanti al Congresso dell'Unione Cattolica Italiana Ostetriche (18930) | Pio XII</v>
      </c>
      <c r="AA1188" s="29" t="str">
        <f t="shared" si="346"/>
        <v>Discorso Alle partecipanti al Congresso dell'Unione Cattolica Italiana Ostetriche</v>
      </c>
      <c r="AB1188" s="29" t="str">
        <f t="shared" si="347"/>
        <v>Discorso Alle partecipanti al Congresso dell'Unione Cattolica Italiana Ostetriche</v>
      </c>
      <c r="AC1188" s="29" t="str">
        <f t="shared" si="348"/>
        <v>Pio XII, Discorso Alle partecipanti al Congresso dell'Unione Cattolica Italiana Ostetriche, 29 ottobre 1951</v>
      </c>
      <c r="AD1188" s="29" t="str">
        <f t="shared" si="349"/>
        <v>1951-10-29T08:00:00.000+02:00</v>
      </c>
      <c r="AE1188" s="29" t="str">
        <f t="shared" si="341"/>
        <v>pixii-dis-</v>
      </c>
      <c r="AF1188" s="29" t="str">
        <f t="shared" si="342"/>
        <v>Pio XII - Discorso - Alle partecipanti al Congresso dell'Unione Cattolica Italiana Ostetriche</v>
      </c>
    </row>
    <row r="1189" spans="2:32" x14ac:dyDescent="0.2">
      <c r="B1189" s="29">
        <v>260</v>
      </c>
      <c r="C1189" s="29" t="s">
        <v>4373</v>
      </c>
      <c r="D1189" s="29" t="s">
        <v>715</v>
      </c>
      <c r="E1189" s="29" t="s">
        <v>724</v>
      </c>
      <c r="F1189" s="29" t="s">
        <v>663</v>
      </c>
      <c r="G1189" s="29" t="s">
        <v>659</v>
      </c>
      <c r="H1189" s="29" t="str">
        <f t="shared" si="343"/>
        <v>Pio XII</v>
      </c>
      <c r="K1189" s="29" t="s">
        <v>827</v>
      </c>
      <c r="L1189" s="29" t="str">
        <f t="shared" si="340"/>
        <v>Discorso</v>
      </c>
      <c r="M1189" s="29" t="s">
        <v>566</v>
      </c>
      <c r="O1189" s="29" t="s">
        <v>4877</v>
      </c>
      <c r="Q1189" s="38">
        <v>18950</v>
      </c>
      <c r="R1189" s="32">
        <f t="shared" si="350"/>
        <v>18</v>
      </c>
      <c r="S1189" s="32"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32">
        <f t="shared" si="351"/>
        <v>1951</v>
      </c>
      <c r="U1189" s="29"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3"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9"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9">
        <v>1216</v>
      </c>
      <c r="Y1189" s="29" t="str">
        <f t="shared" si="344"/>
        <v>['Pio XII', 'Discorso', 'Radiomessaggio a quanti colpiti dalle alluvioni nella Valle Padana', 'pixii-dis-', '18 novembre 1951', '18/11/1951', '1951/11/18'],</v>
      </c>
      <c r="Z1189" s="29" t="str">
        <f t="shared" si="345"/>
        <v>Radiomessaggio a quanti colpiti dalle alluvioni nella Valle Padana (18950) | Pio XII</v>
      </c>
      <c r="AA1189" s="29" t="str">
        <f t="shared" si="346"/>
        <v>Discorso Radiomessaggio a quanti colpiti dalle alluvioni nella Valle Padana</v>
      </c>
      <c r="AB1189" s="29" t="str">
        <f t="shared" si="347"/>
        <v>Discorso Radiomessaggio a quanti colpiti dalle alluvioni nella Valle Padana</v>
      </c>
      <c r="AC1189" s="29" t="str">
        <f t="shared" si="348"/>
        <v>Pio XII, Discorso Radiomessaggio a quanti colpiti dalle alluvioni nella Valle Padana, 18 novembre 1951</v>
      </c>
      <c r="AD1189" s="29" t="str">
        <f t="shared" si="349"/>
        <v>1951-11-18T08:00:00.000+02:00</v>
      </c>
      <c r="AE1189" s="29" t="str">
        <f t="shared" si="341"/>
        <v>pixii-dis-</v>
      </c>
      <c r="AF1189" s="29" t="str">
        <f t="shared" si="342"/>
        <v>Pio XII - Discorso - Radiomessaggio a quanti colpiti dalle alluvioni nella Valle Padana</v>
      </c>
    </row>
    <row r="1190" spans="2:32" x14ac:dyDescent="0.2">
      <c r="B1190" s="29">
        <v>260</v>
      </c>
      <c r="C1190" s="29" t="s">
        <v>4374</v>
      </c>
      <c r="D1190" s="29" t="s">
        <v>715</v>
      </c>
      <c r="E1190" s="29" t="s">
        <v>724</v>
      </c>
      <c r="F1190" s="29" t="s">
        <v>663</v>
      </c>
      <c r="G1190" s="29" t="s">
        <v>659</v>
      </c>
      <c r="H1190" s="29" t="str">
        <f t="shared" si="343"/>
        <v>Pio XII</v>
      </c>
      <c r="K1190" s="29" t="s">
        <v>827</v>
      </c>
      <c r="L1190" s="29" t="str">
        <f t="shared" ref="L1190:L1253" si="352">IF(J1190&lt;&gt;"",_xlfn.CONCAT(J1190 &amp; " " &amp; K1190),K1190)</f>
        <v>Discorso</v>
      </c>
      <c r="M1190" s="29" t="s">
        <v>566</v>
      </c>
      <c r="O1190" s="29" t="s">
        <v>4878</v>
      </c>
      <c r="Q1190" s="38">
        <v>18954</v>
      </c>
      <c r="R1190" s="32">
        <f t="shared" si="350"/>
        <v>22</v>
      </c>
      <c r="S1190" s="32"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32">
        <f t="shared" si="351"/>
        <v>1951</v>
      </c>
      <c r="U1190" s="29"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3"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9"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9">
        <v>1217</v>
      </c>
      <c r="Y1190" s="29" t="str">
        <f t="shared" si="344"/>
        <v>['Pio XII', 'Discorso', 'Ai Cardinali, ai Legati delle Nazioni Estere e ai Soci della Pontificia Accademia delle Scienze', 'pixii-dis-', '22 novembre 1951', '22/11/1951', '1951/11/22'],</v>
      </c>
      <c r="Z1190" s="29" t="str">
        <f t="shared" si="345"/>
        <v>Ai Cardinali, ai Legati delle Nazioni Estere e ai Soci della Pontificia Accademia delle Scienze (18954) | Pio XII</v>
      </c>
      <c r="AA1190" s="29" t="str">
        <f t="shared" si="346"/>
        <v>Discorso Ai Cardinali, ai Legati delle Nazioni Estere e ai Soci della Pontificia Accademia delle Scienze</v>
      </c>
      <c r="AB1190" s="29" t="str">
        <f t="shared" si="347"/>
        <v>Discorso Ai Cardinali, ai Legati delle Nazioni Estere e ai Soci della Pontificia Accademia delle Scienze</v>
      </c>
      <c r="AC1190" s="29" t="str">
        <f t="shared" si="348"/>
        <v>Pio XII, Discorso Ai Cardinali, ai Legati delle Nazioni Estere e ai Soci della Pontificia Accademia delle Scienze, 22 novembre 1951</v>
      </c>
      <c r="AD1190" s="29" t="str">
        <f t="shared" si="349"/>
        <v>1951-11-22T08:00:00.000+02:00</v>
      </c>
      <c r="AE1190" s="29" t="str">
        <f t="shared" si="341"/>
        <v>pixii-dis-</v>
      </c>
      <c r="AF1190" s="29" t="str">
        <f t="shared" si="342"/>
        <v>Pio XII - Discorso - Ai Cardinali, ai Legati delle Nazioni Estere e ai Soci della Pontificia Accademia delle Scienze</v>
      </c>
    </row>
    <row r="1191" spans="2:32" x14ac:dyDescent="0.2">
      <c r="B1191" s="29">
        <v>260</v>
      </c>
      <c r="C1191" s="29" t="s">
        <v>4375</v>
      </c>
      <c r="D1191" s="29" t="s">
        <v>715</v>
      </c>
      <c r="E1191" s="29" t="s">
        <v>724</v>
      </c>
      <c r="F1191" s="29" t="s">
        <v>663</v>
      </c>
      <c r="G1191" s="29" t="s">
        <v>659</v>
      </c>
      <c r="H1191" s="29" t="str">
        <f t="shared" si="343"/>
        <v>Pio XII</v>
      </c>
      <c r="K1191" s="29" t="s">
        <v>827</v>
      </c>
      <c r="L1191" s="29" t="str">
        <f t="shared" si="352"/>
        <v>Discorso</v>
      </c>
      <c r="M1191" s="29" t="s">
        <v>566</v>
      </c>
      <c r="O1191" s="29" t="s">
        <v>4879</v>
      </c>
      <c r="Q1191" s="38">
        <v>18959</v>
      </c>
      <c r="R1191" s="32">
        <f t="shared" si="350"/>
        <v>27</v>
      </c>
      <c r="S1191" s="32"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32">
        <f t="shared" si="351"/>
        <v>1951</v>
      </c>
      <c r="U1191" s="29"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3"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9"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9">
        <v>1218</v>
      </c>
      <c r="Y1191" s="29" t="str">
        <f t="shared" si="344"/>
        <v>['Pio XII', 'Discorso', 'Ai partecipanti al Convegno del Fronte della Famiglia', 'pixii-dis-', '27 novembre 1951', '27/11/1951', '1951/11/27'],</v>
      </c>
      <c r="Z1191" s="29" t="str">
        <f t="shared" si="345"/>
        <v>Ai partecipanti al Convegno del Fronte della Famiglia (18959) | Pio XII</v>
      </c>
      <c r="AA1191" s="29" t="str">
        <f t="shared" si="346"/>
        <v>Discorso Ai partecipanti al Convegno del Fronte della Famiglia</v>
      </c>
      <c r="AB1191" s="29" t="str">
        <f t="shared" si="347"/>
        <v>Discorso Ai partecipanti al Convegno del Fronte della Famiglia</v>
      </c>
      <c r="AC1191" s="29" t="str">
        <f t="shared" si="348"/>
        <v>Pio XII, Discorso Ai partecipanti al Convegno del Fronte della Famiglia, 27 novembre 1951</v>
      </c>
      <c r="AD1191" s="29" t="str">
        <f t="shared" si="349"/>
        <v>1951-11-27T08:00:00.000+02:00</v>
      </c>
      <c r="AE1191" s="29" t="str">
        <f t="shared" ref="AE1191:AE1254" si="353">_xlfn.CONCAT(F1191 &amp; "-" &amp; M1191 &amp; "-" &amp; P1191)</f>
        <v>pixii-dis-</v>
      </c>
      <c r="AF1191" s="29" t="str">
        <f t="shared" ref="AF1191:AF1254" si="354">_xlfn.CONCAT(H1191 &amp; " - " &amp; L1191 &amp; " - " &amp; O1191)</f>
        <v>Pio XII - Discorso - Ai partecipanti al Convegno del Fronte della Famiglia</v>
      </c>
    </row>
    <row r="1192" spans="2:32" x14ac:dyDescent="0.2">
      <c r="B1192" s="29">
        <v>260</v>
      </c>
      <c r="C1192" s="29" t="s">
        <v>4376</v>
      </c>
      <c r="D1192" s="29" t="s">
        <v>715</v>
      </c>
      <c r="E1192" s="29" t="s">
        <v>724</v>
      </c>
      <c r="F1192" s="29" t="s">
        <v>663</v>
      </c>
      <c r="G1192" s="29" t="s">
        <v>659</v>
      </c>
      <c r="H1192" s="29" t="str">
        <f t="shared" si="343"/>
        <v>Pio XII</v>
      </c>
      <c r="K1192" s="29" t="s">
        <v>827</v>
      </c>
      <c r="L1192" s="29" t="str">
        <f t="shared" si="352"/>
        <v>Discorso</v>
      </c>
      <c r="M1192" s="29" t="s">
        <v>566</v>
      </c>
      <c r="O1192" s="29" t="s">
        <v>4831</v>
      </c>
      <c r="Q1192" s="38">
        <v>18986</v>
      </c>
      <c r="R1192" s="32">
        <f t="shared" si="350"/>
        <v>24</v>
      </c>
      <c r="S1192" s="32"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32">
        <f t="shared" si="351"/>
        <v>1951</v>
      </c>
      <c r="U1192" s="29"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3"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9"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9">
        <v>1219</v>
      </c>
      <c r="Y1192" s="29" t="str">
        <f t="shared" si="344"/>
        <v>['Pio XII', 'Discorso', 'Radiomessaggio natalizio al mondo', 'pixii-dis-', '24 dicembre 1951', '24/12/1951', '1951/12/24'],</v>
      </c>
      <c r="Z1192" s="29" t="str">
        <f t="shared" si="345"/>
        <v>Radiomessaggio natalizio al mondo (18986) | Pio XII</v>
      </c>
      <c r="AA1192" s="29" t="str">
        <f t="shared" si="346"/>
        <v>Discorso Radiomessaggio natalizio al mondo</v>
      </c>
      <c r="AB1192" s="29" t="str">
        <f t="shared" si="347"/>
        <v>Discorso Radiomessaggio natalizio al mondo</v>
      </c>
      <c r="AC1192" s="29" t="str">
        <f t="shared" si="348"/>
        <v>Pio XII, Discorso Radiomessaggio natalizio al mondo, 24 dicembre 1951</v>
      </c>
      <c r="AD1192" s="29" t="str">
        <f t="shared" si="349"/>
        <v>1951-12-24T08:00:00.000+02:00</v>
      </c>
      <c r="AE1192" s="29" t="str">
        <f t="shared" si="353"/>
        <v>pixii-dis-</v>
      </c>
      <c r="AF1192" s="29" t="str">
        <f t="shared" si="354"/>
        <v>Pio XII - Discorso - Radiomessaggio natalizio al mondo</v>
      </c>
    </row>
    <row r="1193" spans="2:32" x14ac:dyDescent="0.2">
      <c r="B1193" s="29">
        <v>260</v>
      </c>
      <c r="C1193" s="29" t="s">
        <v>4377</v>
      </c>
      <c r="D1193" s="29" t="s">
        <v>715</v>
      </c>
      <c r="E1193" s="29" t="s">
        <v>724</v>
      </c>
      <c r="F1193" s="29" t="s">
        <v>663</v>
      </c>
      <c r="G1193" s="29" t="s">
        <v>659</v>
      </c>
      <c r="H1193" s="29" t="str">
        <f t="shared" si="343"/>
        <v>Pio XII</v>
      </c>
      <c r="K1193" s="29" t="s">
        <v>827</v>
      </c>
      <c r="L1193" s="29" t="str">
        <f t="shared" si="352"/>
        <v>Discorso</v>
      </c>
      <c r="M1193" s="29" t="s">
        <v>566</v>
      </c>
      <c r="O1193" s="29" t="s">
        <v>4880</v>
      </c>
      <c r="Q1193" s="38">
        <v>18992</v>
      </c>
      <c r="R1193" s="32">
        <f t="shared" si="350"/>
        <v>30</v>
      </c>
      <c r="S1193" s="32"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32">
        <f t="shared" si="351"/>
        <v>1951</v>
      </c>
      <c r="U1193" s="29"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3"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9"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9">
        <v>1220</v>
      </c>
      <c r="Y1193" s="29" t="str">
        <f t="shared" si="344"/>
        <v>['Pio XII', 'Discorso', 'Radiomessaggio ai detenuti', 'pixii-dis-', '30 dicembre 1951', '30/12/1951', '1951/12/30'],</v>
      </c>
      <c r="Z1193" s="29" t="str">
        <f t="shared" si="345"/>
        <v>Radiomessaggio ai detenuti (18992) | Pio XII</v>
      </c>
      <c r="AA1193" s="29" t="str">
        <f t="shared" si="346"/>
        <v>Discorso Radiomessaggio ai detenuti</v>
      </c>
      <c r="AB1193" s="29" t="str">
        <f t="shared" si="347"/>
        <v>Discorso Radiomessaggio ai detenuti</v>
      </c>
      <c r="AC1193" s="29" t="str">
        <f t="shared" si="348"/>
        <v>Pio XII, Discorso Radiomessaggio ai detenuti, 30 dicembre 1951</v>
      </c>
      <c r="AD1193" s="29" t="str">
        <f t="shared" si="349"/>
        <v>1951-12-30T08:00:00.000+02:00</v>
      </c>
      <c r="AE1193" s="29" t="str">
        <f t="shared" si="353"/>
        <v>pixii-dis-</v>
      </c>
      <c r="AF1193" s="29" t="str">
        <f t="shared" si="354"/>
        <v>Pio XII - Discorso - Radiomessaggio ai detenuti</v>
      </c>
    </row>
    <row r="1194" spans="2:32" x14ac:dyDescent="0.2">
      <c r="B1194" s="29">
        <v>260</v>
      </c>
      <c r="C1194" s="29" t="s">
        <v>4378</v>
      </c>
      <c r="D1194" s="29" t="s">
        <v>715</v>
      </c>
      <c r="E1194" s="29" t="s">
        <v>724</v>
      </c>
      <c r="F1194" s="29" t="s">
        <v>663</v>
      </c>
      <c r="G1194" s="29" t="s">
        <v>659</v>
      </c>
      <c r="H1194" s="29" t="str">
        <f t="shared" si="343"/>
        <v>Pio XII</v>
      </c>
      <c r="K1194" s="29" t="s">
        <v>827</v>
      </c>
      <c r="L1194" s="29" t="str">
        <f t="shared" si="352"/>
        <v>Discorso</v>
      </c>
      <c r="M1194" s="29" t="s">
        <v>566</v>
      </c>
      <c r="O1194" s="29" t="s">
        <v>4670</v>
      </c>
      <c r="Q1194" s="38">
        <v>19007</v>
      </c>
      <c r="R1194" s="32">
        <f t="shared" si="350"/>
        <v>14</v>
      </c>
      <c r="S1194" s="32"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32">
        <f t="shared" si="351"/>
        <v>1952</v>
      </c>
      <c r="U1194" s="29"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3"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9"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9">
        <v>1221</v>
      </c>
      <c r="Y1194" s="29" t="str">
        <f t="shared" si="344"/>
        <v>['Pio XII', 'Discorso', 'Al patriziato e alla nobiltà romana', 'pixii-dis-', '14 gennaio 1952', '14/01/1952', '1952/01/14'],</v>
      </c>
      <c r="Z1194" s="29" t="str">
        <f t="shared" si="345"/>
        <v>Al patriziato e alla nobiltà romana (19007) | Pio XII</v>
      </c>
      <c r="AA1194" s="29" t="str">
        <f t="shared" si="346"/>
        <v>Discorso Al patriziato e alla nobiltà romana</v>
      </c>
      <c r="AB1194" s="29" t="str">
        <f t="shared" si="347"/>
        <v>Discorso Al patriziato e alla nobiltà romana</v>
      </c>
      <c r="AC1194" s="29" t="str">
        <f t="shared" si="348"/>
        <v>Pio XII, Discorso Al patriziato e alla nobiltà romana, 14 gennaio 1952</v>
      </c>
      <c r="AD1194" s="29" t="str">
        <f t="shared" si="349"/>
        <v>1952-01-14T08:00:00.000+02:00</v>
      </c>
      <c r="AE1194" s="29" t="str">
        <f t="shared" si="353"/>
        <v>pixii-dis-</v>
      </c>
      <c r="AF1194" s="29" t="str">
        <f t="shared" si="354"/>
        <v>Pio XII - Discorso - Al patriziato e alla nobiltà romana</v>
      </c>
    </row>
    <row r="1195" spans="2:32" x14ac:dyDescent="0.2">
      <c r="B1195" s="29">
        <v>260</v>
      </c>
      <c r="C1195" s="29" t="s">
        <v>4379</v>
      </c>
      <c r="D1195" s="29" t="s">
        <v>715</v>
      </c>
      <c r="E1195" s="29" t="s">
        <v>724</v>
      </c>
      <c r="F1195" s="29" t="s">
        <v>663</v>
      </c>
      <c r="G1195" s="29" t="s">
        <v>659</v>
      </c>
      <c r="H1195" s="29" t="str">
        <f t="shared" si="343"/>
        <v>Pio XII</v>
      </c>
      <c r="K1195" s="29" t="s">
        <v>827</v>
      </c>
      <c r="L1195" s="29" t="str">
        <f t="shared" si="352"/>
        <v>Discorso</v>
      </c>
      <c r="M1195" s="29" t="s">
        <v>566</v>
      </c>
      <c r="O1195" s="29" t="s">
        <v>4881</v>
      </c>
      <c r="Q1195" s="38">
        <v>19024</v>
      </c>
      <c r="R1195" s="32">
        <f t="shared" si="350"/>
        <v>31</v>
      </c>
      <c r="S1195" s="32"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32">
        <f t="shared" si="351"/>
        <v>1952</v>
      </c>
      <c r="U1195" s="29"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3"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9"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9">
        <v>1222</v>
      </c>
      <c r="Y1195" s="29" t="str">
        <f t="shared" si="344"/>
        <v>['Pio XII', 'Discorso', 'Ai Componenti del Consiglio Nazionale della U.C.I.D. - Unione Cristiana Imprenditori Dirigenti', 'pixii-dis-', '31 gennaio 1952', '31/01/1952', '1952/01/31'],</v>
      </c>
      <c r="Z1195" s="29" t="str">
        <f t="shared" si="345"/>
        <v>Ai Componenti del Consiglio Nazionale della U.C.I.D. - Unione Cristiana Imprenditori Dirigenti (19024) | Pio XII</v>
      </c>
      <c r="AA1195" s="29" t="str">
        <f t="shared" si="346"/>
        <v>Discorso Ai Componenti del Consiglio Nazionale della U.C.I.D. - Unione Cristiana Imprenditori Dirigenti</v>
      </c>
      <c r="AB1195" s="29" t="str">
        <f t="shared" si="347"/>
        <v>Discorso Ai Componenti del Consiglio Nazionale della U.C.I.D. - Unione Cristiana Imprenditori Dirigenti</v>
      </c>
      <c r="AC1195" s="29" t="str">
        <f t="shared" si="348"/>
        <v>Pio XII, Discorso Ai Componenti del Consiglio Nazionale della U.C.I.D. - Unione Cristiana Imprenditori Dirigenti, 31 gennaio 1952</v>
      </c>
      <c r="AD1195" s="29" t="str">
        <f t="shared" si="349"/>
        <v>1952-01-31T08:00:00.000+02:00</v>
      </c>
      <c r="AE1195" s="29" t="str">
        <f t="shared" si="353"/>
        <v>pixii-dis-</v>
      </c>
      <c r="AF1195" s="29" t="str">
        <f t="shared" si="354"/>
        <v>Pio XII - Discorso - Ai Componenti del Consiglio Nazionale della U.C.I.D. - Unione Cristiana Imprenditori Dirigenti</v>
      </c>
    </row>
    <row r="1196" spans="2:32" x14ac:dyDescent="0.2">
      <c r="B1196" s="29">
        <v>260</v>
      </c>
      <c r="C1196" s="29" t="s">
        <v>4380</v>
      </c>
      <c r="D1196" s="29" t="s">
        <v>715</v>
      </c>
      <c r="E1196" s="29" t="s">
        <v>724</v>
      </c>
      <c r="F1196" s="29" t="s">
        <v>663</v>
      </c>
      <c r="G1196" s="29" t="s">
        <v>659</v>
      </c>
      <c r="H1196" s="29" t="str">
        <f t="shared" si="343"/>
        <v>Pio XII</v>
      </c>
      <c r="K1196" s="29" t="s">
        <v>827</v>
      </c>
      <c r="L1196" s="29" t="str">
        <f t="shared" si="352"/>
        <v>Discorso</v>
      </c>
      <c r="M1196" s="29" t="s">
        <v>566</v>
      </c>
      <c r="O1196" s="29" t="s">
        <v>4882</v>
      </c>
      <c r="Q1196" s="38">
        <v>19034</v>
      </c>
      <c r="R1196" s="32">
        <f t="shared" si="350"/>
        <v>10</v>
      </c>
      <c r="S1196" s="32"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32">
        <f t="shared" si="351"/>
        <v>1952</v>
      </c>
      <c r="U1196" s="29"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3"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9"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9">
        <v>1223</v>
      </c>
      <c r="Y1196" s="29" t="str">
        <f t="shared" si="344"/>
        <v>['Pio XII', 'Discorso', 'Ai fedeli di Roma', 'pixii-dis-', '10 febbraio 1952', '10/02/1952', '1952/02/10'],</v>
      </c>
      <c r="Z1196" s="29" t="str">
        <f t="shared" si="345"/>
        <v>Ai fedeli di Roma (19034) | Pio XII</v>
      </c>
      <c r="AA1196" s="29" t="str">
        <f t="shared" si="346"/>
        <v>Discorso Ai fedeli di Roma</v>
      </c>
      <c r="AB1196" s="29" t="str">
        <f t="shared" si="347"/>
        <v>Discorso Ai fedeli di Roma</v>
      </c>
      <c r="AC1196" s="29" t="str">
        <f t="shared" si="348"/>
        <v>Pio XII, Discorso Ai fedeli di Roma, 10 febbraio 1952</v>
      </c>
      <c r="AD1196" s="29" t="str">
        <f t="shared" si="349"/>
        <v>1952-02-10T08:00:00.000+02:00</v>
      </c>
      <c r="AE1196" s="29" t="str">
        <f t="shared" si="353"/>
        <v>pixii-dis-</v>
      </c>
      <c r="AF1196" s="29" t="str">
        <f t="shared" si="354"/>
        <v>Pio XII - Discorso - Ai fedeli di Roma</v>
      </c>
    </row>
    <row r="1197" spans="2:32" x14ac:dyDescent="0.2">
      <c r="B1197" s="29">
        <v>260</v>
      </c>
      <c r="C1197" s="29" t="s">
        <v>4381</v>
      </c>
      <c r="D1197" s="29" t="s">
        <v>715</v>
      </c>
      <c r="E1197" s="29" t="s">
        <v>724</v>
      </c>
      <c r="F1197" s="29" t="s">
        <v>663</v>
      </c>
      <c r="G1197" s="29" t="s">
        <v>659</v>
      </c>
      <c r="H1197" s="29" t="str">
        <f t="shared" si="343"/>
        <v>Pio XII</v>
      </c>
      <c r="K1197" s="29" t="s">
        <v>827</v>
      </c>
      <c r="L1197" s="29" t="str">
        <f t="shared" si="352"/>
        <v>Discorso</v>
      </c>
      <c r="M1197" s="29" t="s">
        <v>566</v>
      </c>
      <c r="O1197" s="29" t="s">
        <v>4883</v>
      </c>
      <c r="Q1197" s="38">
        <v>19053</v>
      </c>
      <c r="R1197" s="32">
        <f t="shared" si="350"/>
        <v>29</v>
      </c>
      <c r="S1197" s="32"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32">
        <f t="shared" si="351"/>
        <v>1952</v>
      </c>
      <c r="U1197" s="29"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3"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9"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9">
        <v>1224</v>
      </c>
      <c r="Y1197" s="29" t="str">
        <f t="shared" si="344"/>
        <v>['Pio XII', 'Discorso', 'Ai partecipanti al VI Congresso della Confederazione Nazionale dei Coltivatori Diretti', 'pixii-dis-', '29 febbraio 1952', '29/02/1952', '1952/02/29'],</v>
      </c>
      <c r="Z1197" s="29" t="str">
        <f t="shared" si="345"/>
        <v>Ai partecipanti al VI Congresso della Confederazione Nazionale dei Coltivatori Diretti (19053) | Pio XII</v>
      </c>
      <c r="AA1197" s="29" t="str">
        <f t="shared" si="346"/>
        <v>Discorso Ai partecipanti al VI Congresso della Confederazione Nazionale dei Coltivatori Diretti</v>
      </c>
      <c r="AB1197" s="29" t="str">
        <f t="shared" si="347"/>
        <v>Discorso Ai partecipanti al VI Congresso della Confederazione Nazionale dei Coltivatori Diretti</v>
      </c>
      <c r="AC1197" s="29" t="str">
        <f t="shared" si="348"/>
        <v>Pio XII, Discorso Ai partecipanti al VI Congresso della Confederazione Nazionale dei Coltivatori Diretti, 29 febbraio 1952</v>
      </c>
      <c r="AD1197" s="29" t="str">
        <f t="shared" si="349"/>
        <v>1952-02-29T08:00:00.000+02:00</v>
      </c>
      <c r="AE1197" s="29" t="str">
        <f t="shared" si="353"/>
        <v>pixii-dis-</v>
      </c>
      <c r="AF1197" s="29" t="str">
        <f t="shared" si="354"/>
        <v>Pio XII - Discorso - Ai partecipanti al VI Congresso della Confederazione Nazionale dei Coltivatori Diretti</v>
      </c>
    </row>
    <row r="1198" spans="2:32" x14ac:dyDescent="0.2">
      <c r="B1198" s="29">
        <v>260</v>
      </c>
      <c r="C1198" s="29" t="s">
        <v>4382</v>
      </c>
      <c r="D1198" s="29" t="s">
        <v>715</v>
      </c>
      <c r="E1198" s="29" t="s">
        <v>724</v>
      </c>
      <c r="F1198" s="29" t="s">
        <v>663</v>
      </c>
      <c r="G1198" s="29" t="s">
        <v>659</v>
      </c>
      <c r="H1198" s="29" t="str">
        <f t="shared" si="343"/>
        <v>Pio XII</v>
      </c>
      <c r="K1198" s="29" t="s">
        <v>827</v>
      </c>
      <c r="L1198" s="29" t="str">
        <f t="shared" si="352"/>
        <v>Discorso</v>
      </c>
      <c r="M1198" s="29" t="s">
        <v>566</v>
      </c>
      <c r="O1198" s="29" t="s">
        <v>4638</v>
      </c>
      <c r="Q1198" s="38">
        <v>19061</v>
      </c>
      <c r="R1198" s="32">
        <f t="shared" si="350"/>
        <v>8</v>
      </c>
      <c r="S1198" s="32"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32">
        <f t="shared" si="351"/>
        <v>1952</v>
      </c>
      <c r="U1198" s="29"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3"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9"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9">
        <v>1225</v>
      </c>
      <c r="Y1198" s="29" t="str">
        <f t="shared" si="344"/>
        <v>['Pio XII', 'Discorso', 'Ai Parroci e ai Quaresimalisti di Roma', 'pixii-dis-', '08 marzo 1952', '08/03/1952', '1952/03/08'],</v>
      </c>
      <c r="Z1198" s="29" t="str">
        <f t="shared" si="345"/>
        <v>Ai Parroci e ai Quaresimalisti di Roma (19061) | Pio XII</v>
      </c>
      <c r="AA1198" s="29" t="str">
        <f t="shared" si="346"/>
        <v>Discorso Ai Parroci e ai Quaresimalisti di Roma</v>
      </c>
      <c r="AB1198" s="29" t="str">
        <f t="shared" si="347"/>
        <v>Discorso Ai Parroci e ai Quaresimalisti di Roma</v>
      </c>
      <c r="AC1198" s="29" t="str">
        <f t="shared" si="348"/>
        <v>Pio XII, Discorso Ai Parroci e ai Quaresimalisti di Roma, 08 marzo 1952</v>
      </c>
      <c r="AD1198" s="29" t="str">
        <f t="shared" si="349"/>
        <v>1952-03-08T08:00:00.000+02:00</v>
      </c>
      <c r="AE1198" s="29" t="str">
        <f t="shared" si="353"/>
        <v>pixii-dis-</v>
      </c>
      <c r="AF1198" s="29" t="str">
        <f t="shared" si="354"/>
        <v>Pio XII - Discorso - Ai Parroci e ai Quaresimalisti di Roma</v>
      </c>
    </row>
    <row r="1199" spans="2:32" x14ac:dyDescent="0.2">
      <c r="B1199" s="29">
        <v>260</v>
      </c>
      <c r="C1199" s="29" t="s">
        <v>4383</v>
      </c>
      <c r="D1199" s="29" t="s">
        <v>715</v>
      </c>
      <c r="E1199" s="29" t="s">
        <v>724</v>
      </c>
      <c r="F1199" s="29" t="s">
        <v>663</v>
      </c>
      <c r="G1199" s="29" t="s">
        <v>659</v>
      </c>
      <c r="H1199" s="29" t="str">
        <f t="shared" si="343"/>
        <v>Pio XII</v>
      </c>
      <c r="K1199" s="29" t="s">
        <v>827</v>
      </c>
      <c r="L1199" s="29" t="str">
        <f t="shared" si="352"/>
        <v>Discorso</v>
      </c>
      <c r="M1199" s="29" t="s">
        <v>566</v>
      </c>
      <c r="O1199" s="29" t="s">
        <v>4884</v>
      </c>
      <c r="Q1199" s="38">
        <v>19076</v>
      </c>
      <c r="R1199" s="32">
        <f t="shared" si="350"/>
        <v>23</v>
      </c>
      <c r="S1199" s="32"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32">
        <f t="shared" si="351"/>
        <v>1952</v>
      </c>
      <c r="U1199" s="29"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3"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9"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9">
        <v>1226</v>
      </c>
      <c r="Y1199" s="29" t="str">
        <f t="shared" si="344"/>
        <v>['Pio XII', 'Discorso', 'Radiomessaggio in occasione della «Giornata della Famiglia»', 'pixii-dis-', '23 marzo 1952', '23/03/1952', '1952/03/23'],</v>
      </c>
      <c r="Z1199" s="29" t="str">
        <f t="shared" si="345"/>
        <v>Radiomessaggio in occasione della «Giornata della Famiglia» (19076) | Pio XII</v>
      </c>
      <c r="AA1199" s="29" t="str">
        <f t="shared" si="346"/>
        <v>Discorso Radiomessaggio in occasione della «Giornata della Famiglia»</v>
      </c>
      <c r="AB1199" s="29" t="str">
        <f t="shared" si="347"/>
        <v>Discorso Radiomessaggio in occasione della «Giornata della Famiglia»</v>
      </c>
      <c r="AC1199" s="29" t="str">
        <f t="shared" si="348"/>
        <v>Pio XII, Discorso Radiomessaggio in occasione della «Giornata della Famiglia», 23 marzo 1952</v>
      </c>
      <c r="AD1199" s="29" t="str">
        <f t="shared" si="349"/>
        <v>1952-03-23T08:00:00.000+02:00</v>
      </c>
      <c r="AE1199" s="29" t="str">
        <f t="shared" si="353"/>
        <v>pixii-dis-</v>
      </c>
      <c r="AF1199" s="29" t="str">
        <f t="shared" si="354"/>
        <v>Pio XII - Discorso - Radiomessaggio in occasione della «Giornata della Famiglia»</v>
      </c>
    </row>
    <row r="1200" spans="2:32" x14ac:dyDescent="0.2">
      <c r="B1200" s="29">
        <v>260</v>
      </c>
      <c r="C1200" s="29" t="s">
        <v>4384</v>
      </c>
      <c r="D1200" s="29" t="s">
        <v>715</v>
      </c>
      <c r="E1200" s="29" t="s">
        <v>724</v>
      </c>
      <c r="F1200" s="29" t="s">
        <v>663</v>
      </c>
      <c r="G1200" s="29" t="s">
        <v>659</v>
      </c>
      <c r="H1200" s="29" t="str">
        <f t="shared" si="343"/>
        <v>Pio XII</v>
      </c>
      <c r="K1200" s="29" t="s">
        <v>827</v>
      </c>
      <c r="L1200" s="29" t="str">
        <f t="shared" si="352"/>
        <v>Discorso</v>
      </c>
      <c r="M1200" s="29" t="s">
        <v>566</v>
      </c>
      <c r="O1200" s="29" t="s">
        <v>4885</v>
      </c>
      <c r="Q1200" s="38">
        <v>19083</v>
      </c>
      <c r="R1200" s="32">
        <f t="shared" si="350"/>
        <v>30</v>
      </c>
      <c r="S1200" s="32"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32">
        <f t="shared" si="351"/>
        <v>1952</v>
      </c>
      <c r="U1200" s="29"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3"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9"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9">
        <v>1227</v>
      </c>
      <c r="Y1200" s="29" t="str">
        <f t="shared" si="344"/>
        <v>['Pio XII', 'Discorso', 'Alle organizzazioni del Turismo in Italia', 'pixii-dis-', '30 marzo 1952', '30/03/1952', '1952/03/30'],</v>
      </c>
      <c r="Z1200" s="29" t="str">
        <f t="shared" si="345"/>
        <v>Alle organizzazioni del Turismo in Italia (19083) | Pio XII</v>
      </c>
      <c r="AA1200" s="29" t="str">
        <f t="shared" si="346"/>
        <v>Discorso Alle organizzazioni del Turismo in Italia</v>
      </c>
      <c r="AB1200" s="29" t="str">
        <f t="shared" si="347"/>
        <v>Discorso Alle organizzazioni del Turismo in Italia</v>
      </c>
      <c r="AC1200" s="29" t="str">
        <f t="shared" si="348"/>
        <v>Pio XII, Discorso Alle organizzazioni del Turismo in Italia, 30 marzo 1952</v>
      </c>
      <c r="AD1200" s="29" t="str">
        <f t="shared" si="349"/>
        <v>1952-03-30T08:00:00.000+02:00</v>
      </c>
      <c r="AE1200" s="29" t="str">
        <f t="shared" si="353"/>
        <v>pixii-dis-</v>
      </c>
      <c r="AF1200" s="29" t="str">
        <f t="shared" si="354"/>
        <v>Pio XII - Discorso - Alle organizzazioni del Turismo in Italia</v>
      </c>
    </row>
    <row r="1201" spans="2:32" x14ac:dyDescent="0.2">
      <c r="B1201" s="29">
        <v>260</v>
      </c>
      <c r="C1201" s="29" t="s">
        <v>4385</v>
      </c>
      <c r="D1201" s="29" t="s">
        <v>715</v>
      </c>
      <c r="E1201" s="29" t="s">
        <v>724</v>
      </c>
      <c r="F1201" s="29" t="s">
        <v>663</v>
      </c>
      <c r="G1201" s="29" t="s">
        <v>659</v>
      </c>
      <c r="H1201" s="29" t="str">
        <f t="shared" si="343"/>
        <v>Pio XII</v>
      </c>
      <c r="K1201" s="29" t="s">
        <v>827</v>
      </c>
      <c r="L1201" s="29" t="str">
        <f t="shared" si="352"/>
        <v>Discorso</v>
      </c>
      <c r="M1201" s="29" t="s">
        <v>566</v>
      </c>
      <c r="O1201" s="29" t="s">
        <v>4886</v>
      </c>
      <c r="Q1201" s="38">
        <v>19092</v>
      </c>
      <c r="R1201" s="32">
        <f t="shared" si="350"/>
        <v>8</v>
      </c>
      <c r="S1201" s="32"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32">
        <f t="shared" si="351"/>
        <v>1952</v>
      </c>
      <c r="U1201" s="29"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3"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9"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9">
        <v>1228</v>
      </c>
      <c r="Y1201" s="29" t="str">
        <f t="shared" si="344"/>
        <v>['Pio XII', 'Discorso', 'Agli espositori della VI Quadriennale di Roma', 'pixii-dis-', '08 aprile 1952', '08/04/1952', '1952/04/08'],</v>
      </c>
      <c r="Z1201" s="29" t="str">
        <f t="shared" si="345"/>
        <v>Agli espositori della VI Quadriennale di Roma (19092) | Pio XII</v>
      </c>
      <c r="AA1201" s="29" t="str">
        <f t="shared" si="346"/>
        <v>Discorso Agli espositori della VI Quadriennale di Roma</v>
      </c>
      <c r="AB1201" s="29" t="str">
        <f t="shared" si="347"/>
        <v>Discorso Agli espositori della VI Quadriennale di Roma</v>
      </c>
      <c r="AC1201" s="29" t="str">
        <f t="shared" si="348"/>
        <v>Pio XII, Discorso Agli espositori della VI Quadriennale di Roma, 08 aprile 1952</v>
      </c>
      <c r="AD1201" s="29" t="str">
        <f t="shared" si="349"/>
        <v>1952-04-08T08:00:00.000+02:00</v>
      </c>
      <c r="AE1201" s="29" t="str">
        <f t="shared" si="353"/>
        <v>pixii-dis-</v>
      </c>
      <c r="AF1201" s="29" t="str">
        <f t="shared" si="354"/>
        <v>Pio XII - Discorso - Agli espositori della VI Quadriennale di Roma</v>
      </c>
    </row>
    <row r="1202" spans="2:32" x14ac:dyDescent="0.2">
      <c r="B1202" s="29">
        <v>260</v>
      </c>
      <c r="C1202" s="29" t="s">
        <v>4386</v>
      </c>
      <c r="D1202" s="29" t="s">
        <v>715</v>
      </c>
      <c r="E1202" s="29" t="s">
        <v>724</v>
      </c>
      <c r="F1202" s="29" t="s">
        <v>663</v>
      </c>
      <c r="G1202" s="29" t="s">
        <v>659</v>
      </c>
      <c r="H1202" s="29" t="str">
        <f t="shared" si="343"/>
        <v>Pio XII</v>
      </c>
      <c r="K1202" s="29" t="s">
        <v>827</v>
      </c>
      <c r="L1202" s="29" t="str">
        <f t="shared" si="352"/>
        <v>Discorso</v>
      </c>
      <c r="M1202" s="29" t="s">
        <v>566</v>
      </c>
      <c r="O1202" s="29" t="s">
        <v>4887</v>
      </c>
      <c r="Q1202" s="38">
        <v>19108</v>
      </c>
      <c r="R1202" s="32">
        <f t="shared" si="350"/>
        <v>24</v>
      </c>
      <c r="S1202" s="32"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32">
        <f t="shared" si="351"/>
        <v>1952</v>
      </c>
      <c r="U1202" s="29"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3"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9"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9">
        <v>1229</v>
      </c>
      <c r="Y1202" s="29" t="str">
        <f t="shared" si="344"/>
        <v>['Pio XII', 'Discorso', 'Alle partecipanti al Congresso della unione Mondiale delle Organizzazioni Femminili Cattoliche', 'pixii-dis-', '24 aprile 1952', '24/04/1952', '1952/04/24'],</v>
      </c>
      <c r="Z1202" s="29" t="str">
        <f t="shared" si="345"/>
        <v>Alle partecipanti al Congresso della unione Mondiale delle Organizzazioni Femminili Cattoliche (19108) | Pio XII</v>
      </c>
      <c r="AA1202" s="29" t="str">
        <f t="shared" si="346"/>
        <v>Discorso Alle partecipanti al Congresso della unione Mondiale delle Organizzazioni Femminili Cattoliche</v>
      </c>
      <c r="AB1202" s="29" t="str">
        <f t="shared" si="347"/>
        <v>Discorso Alle partecipanti al Congresso della unione Mondiale delle Organizzazioni Femminili Cattoliche</v>
      </c>
      <c r="AC1202" s="29" t="str">
        <f t="shared" si="348"/>
        <v>Pio XII, Discorso Alle partecipanti al Congresso della unione Mondiale delle Organizzazioni Femminili Cattoliche, 24 aprile 1952</v>
      </c>
      <c r="AD1202" s="29" t="str">
        <f t="shared" si="349"/>
        <v>1952-04-24T08:00:00.000+02:00</v>
      </c>
      <c r="AE1202" s="29" t="str">
        <f t="shared" si="353"/>
        <v>pixii-dis-</v>
      </c>
      <c r="AF1202" s="29" t="str">
        <f t="shared" si="354"/>
        <v>Pio XII - Discorso - Alle partecipanti al Congresso della unione Mondiale delle Organizzazioni Femminili Cattoliche</v>
      </c>
    </row>
    <row r="1203" spans="2:32" x14ac:dyDescent="0.2">
      <c r="B1203" s="29">
        <v>260</v>
      </c>
      <c r="C1203" s="29" t="s">
        <v>4387</v>
      </c>
      <c r="D1203" s="29" t="s">
        <v>715</v>
      </c>
      <c r="E1203" s="29" t="s">
        <v>724</v>
      </c>
      <c r="F1203" s="29" t="s">
        <v>663</v>
      </c>
      <c r="G1203" s="29" t="s">
        <v>659</v>
      </c>
      <c r="H1203" s="29" t="str">
        <f t="shared" si="343"/>
        <v>Pio XII</v>
      </c>
      <c r="K1203" s="29" t="s">
        <v>827</v>
      </c>
      <c r="L1203" s="29" t="str">
        <f t="shared" si="352"/>
        <v>Discorso</v>
      </c>
      <c r="M1203" s="29" t="s">
        <v>566</v>
      </c>
      <c r="O1203" s="29" t="s">
        <v>4888</v>
      </c>
      <c r="Q1203" s="38">
        <v>19109</v>
      </c>
      <c r="R1203" s="32">
        <f t="shared" si="350"/>
        <v>25</v>
      </c>
      <c r="S1203" s="32"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32">
        <f t="shared" si="351"/>
        <v>1952</v>
      </c>
      <c r="U1203" s="29"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3"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9"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9">
        <v>1230</v>
      </c>
      <c r="Y1203" s="29" t="str">
        <f t="shared" si="344"/>
        <v>['Pio XII', 'Discorso', 'Ad un gruppo di funzionari ed impiegati di Roma', 'pixii-dis-', '25 aprile 1952', '25/04/1952', '1952/04/25'],</v>
      </c>
      <c r="Z1203" s="29" t="str">
        <f t="shared" si="345"/>
        <v>Ad un gruppo di funzionari ed impiegati di Roma (19109) | Pio XII</v>
      </c>
      <c r="AA1203" s="29" t="str">
        <f t="shared" si="346"/>
        <v>Discorso Ad un gruppo di funzionari ed impiegati di Roma</v>
      </c>
      <c r="AB1203" s="29" t="str">
        <f t="shared" si="347"/>
        <v>Discorso Ad un gruppo di funzionari ed impiegati di Roma</v>
      </c>
      <c r="AC1203" s="29" t="str">
        <f t="shared" si="348"/>
        <v>Pio XII, Discorso Ad un gruppo di funzionari ed impiegati di Roma, 25 aprile 1952</v>
      </c>
      <c r="AD1203" s="29" t="str">
        <f t="shared" si="349"/>
        <v>1952-04-25T08:00:00.000+02:00</v>
      </c>
      <c r="AE1203" s="29" t="str">
        <f t="shared" si="353"/>
        <v>pixii-dis-</v>
      </c>
      <c r="AF1203" s="29" t="str">
        <f t="shared" si="354"/>
        <v>Pio XII - Discorso - Ad un gruppo di funzionari ed impiegati di Roma</v>
      </c>
    </row>
    <row r="1204" spans="2:32" x14ac:dyDescent="0.2">
      <c r="B1204" s="29">
        <v>260</v>
      </c>
      <c r="C1204" s="29" t="s">
        <v>4388</v>
      </c>
      <c r="D1204" s="29" t="s">
        <v>715</v>
      </c>
      <c r="E1204" s="29" t="s">
        <v>724</v>
      </c>
      <c r="F1204" s="29" t="s">
        <v>663</v>
      </c>
      <c r="G1204" s="29" t="s">
        <v>659</v>
      </c>
      <c r="H1204" s="29" t="str">
        <f t="shared" si="343"/>
        <v>Pio XII</v>
      </c>
      <c r="K1204" s="29" t="s">
        <v>827</v>
      </c>
      <c r="L1204" s="29" t="str">
        <f t="shared" si="352"/>
        <v>Discorso</v>
      </c>
      <c r="M1204" s="29" t="s">
        <v>566</v>
      </c>
      <c r="O1204" s="29" t="s">
        <v>4889</v>
      </c>
      <c r="Q1204" s="38">
        <v>19111</v>
      </c>
      <c r="R1204" s="32">
        <f t="shared" si="350"/>
        <v>27</v>
      </c>
      <c r="S1204" s="32"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32">
        <f t="shared" si="351"/>
        <v>1952</v>
      </c>
      <c r="U1204" s="29"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3"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9"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9">
        <v>1231</v>
      </c>
      <c r="Y1204" s="29" t="str">
        <f t="shared" si="344"/>
        <v>['Pio XII', 'Discorso', 'Ai partecipanti al Congresso nazionale della Società delle Conferenze di San Vincenzo de' Paoli', 'pixii-dis-', '27 aprile 1952', '27/04/1952', '1952/04/27'],</v>
      </c>
      <c r="Z1204" s="29" t="str">
        <f t="shared" si="345"/>
        <v>Ai partecipanti al Congresso nazionale della Società delle Conferenze di San Vincenzo de' Paoli (19111) | Pio XII</v>
      </c>
      <c r="AA1204" s="29" t="str">
        <f t="shared" si="346"/>
        <v>Discorso Ai partecipanti al Congresso nazionale della Società delle Conferenze di San Vincenzo de' Paoli</v>
      </c>
      <c r="AB1204" s="29" t="str">
        <f t="shared" si="347"/>
        <v>Discorso Ai partecipanti al Congresso nazionale della Società delle Conferenze di San Vincenzo de' Paoli</v>
      </c>
      <c r="AC1204" s="29" t="str">
        <f t="shared" si="348"/>
        <v>Pio XII, Discorso Ai partecipanti al Congresso nazionale della Società delle Conferenze di San Vincenzo de' Paoli, 27 aprile 1952</v>
      </c>
      <c r="AD1204" s="29" t="str">
        <f t="shared" si="349"/>
        <v>1952-04-27T08:00:00.000+02:00</v>
      </c>
      <c r="AE1204" s="29" t="str">
        <f t="shared" si="353"/>
        <v>pixii-dis-</v>
      </c>
      <c r="AF1204" s="29" t="str">
        <f t="shared" si="354"/>
        <v>Pio XII - Discorso - Ai partecipanti al Congresso nazionale della Società delle Conferenze di San Vincenzo de' Paoli</v>
      </c>
    </row>
    <row r="1205" spans="2:32" x14ac:dyDescent="0.2">
      <c r="B1205" s="29">
        <v>260</v>
      </c>
      <c r="C1205" s="29" t="s">
        <v>4389</v>
      </c>
      <c r="D1205" s="29" t="s">
        <v>715</v>
      </c>
      <c r="E1205" s="29" t="s">
        <v>724</v>
      </c>
      <c r="F1205" s="29" t="s">
        <v>663</v>
      </c>
      <c r="G1205" s="29" t="s">
        <v>659</v>
      </c>
      <c r="H1205" s="29" t="str">
        <f t="shared" si="343"/>
        <v>Pio XII</v>
      </c>
      <c r="K1205" s="29" t="s">
        <v>827</v>
      </c>
      <c r="L1205" s="29" t="str">
        <f t="shared" si="352"/>
        <v>Discorso</v>
      </c>
      <c r="M1205" s="29" t="s">
        <v>566</v>
      </c>
      <c r="O1205" s="29" t="s">
        <v>4890</v>
      </c>
      <c r="Q1205" s="38">
        <v>19119</v>
      </c>
      <c r="R1205" s="32">
        <f t="shared" si="350"/>
        <v>5</v>
      </c>
      <c r="S1205" s="32"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32">
        <f t="shared" si="351"/>
        <v>1952</v>
      </c>
      <c r="U1205" s="29"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3"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9"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9">
        <v>1232</v>
      </c>
      <c r="Y1205" s="29" t="str">
        <f t="shared" si="344"/>
        <v>['Pio XII', 'Discorso', 'Ai fedeli giunti a Roma per la beatificazione di Rosa Venerini', 'pixii-dis-', '05 maggio 1952', '05/05/1952', '1952/05/05'],</v>
      </c>
      <c r="Z1205" s="29" t="str">
        <f t="shared" si="345"/>
        <v>Ai fedeli giunti a Roma per la beatificazione di Rosa Venerini (19119) | Pio XII</v>
      </c>
      <c r="AA1205" s="29" t="str">
        <f t="shared" si="346"/>
        <v>Discorso Ai fedeli giunti a Roma per la beatificazione di Rosa Venerini</v>
      </c>
      <c r="AB1205" s="29" t="str">
        <f t="shared" si="347"/>
        <v>Discorso Ai fedeli giunti a Roma per la beatificazione di Rosa Venerini</v>
      </c>
      <c r="AC1205" s="29" t="str">
        <f t="shared" si="348"/>
        <v>Pio XII, Discorso Ai fedeli giunti a Roma per la beatificazione di Rosa Venerini, 05 maggio 1952</v>
      </c>
      <c r="AD1205" s="29" t="str">
        <f t="shared" si="349"/>
        <v>1952-05-05T08:00:00.000+02:00</v>
      </c>
      <c r="AE1205" s="29" t="str">
        <f t="shared" si="353"/>
        <v>pixii-dis-</v>
      </c>
      <c r="AF1205" s="29" t="str">
        <f t="shared" si="354"/>
        <v>Pio XII - Discorso - Ai fedeli giunti a Roma per la beatificazione di Rosa Venerini</v>
      </c>
    </row>
    <row r="1206" spans="2:32" x14ac:dyDescent="0.2">
      <c r="B1206" s="29">
        <v>260</v>
      </c>
      <c r="C1206" s="29" t="s">
        <v>4390</v>
      </c>
      <c r="D1206" s="29" t="s">
        <v>715</v>
      </c>
      <c r="E1206" s="29" t="s">
        <v>724</v>
      </c>
      <c r="F1206" s="29" t="s">
        <v>663</v>
      </c>
      <c r="G1206" s="29" t="s">
        <v>659</v>
      </c>
      <c r="H1206" s="29" t="str">
        <f t="shared" si="343"/>
        <v>Pio XII</v>
      </c>
      <c r="K1206" s="29" t="s">
        <v>827</v>
      </c>
      <c r="L1206" s="29" t="str">
        <f t="shared" si="352"/>
        <v>Discorso</v>
      </c>
      <c r="M1206" s="29" t="s">
        <v>566</v>
      </c>
      <c r="O1206" s="29" t="s">
        <v>4891</v>
      </c>
      <c r="Q1206" s="38">
        <v>19132</v>
      </c>
      <c r="R1206" s="32">
        <f t="shared" si="350"/>
        <v>18</v>
      </c>
      <c r="S1206" s="32"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32">
        <f t="shared" si="351"/>
        <v>1952</v>
      </c>
      <c r="U1206" s="29"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3"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9"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9">
        <v>1233</v>
      </c>
      <c r="Y1206" s="29" t="str">
        <f t="shared" si="344"/>
        <v>['Pio XII', 'Discorso', 'Al personale civile del Ministero della Difesa', 'pixii-dis-', '18 maggio 1952', '18/05/1952', '1952/05/18'],</v>
      </c>
      <c r="Z1206" s="29" t="str">
        <f t="shared" si="345"/>
        <v>Al personale civile del Ministero della Difesa (19132) | Pio XII</v>
      </c>
      <c r="AA1206" s="29" t="str">
        <f t="shared" si="346"/>
        <v>Discorso Al personale civile del Ministero della Difesa</v>
      </c>
      <c r="AB1206" s="29" t="str">
        <f t="shared" si="347"/>
        <v>Discorso Al personale civile del Ministero della Difesa</v>
      </c>
      <c r="AC1206" s="29" t="str">
        <f t="shared" si="348"/>
        <v>Pio XII, Discorso Al personale civile del Ministero della Difesa, 18 maggio 1952</v>
      </c>
      <c r="AD1206" s="29" t="str">
        <f t="shared" si="349"/>
        <v>1952-05-18T08:00:00.000+02:00</v>
      </c>
      <c r="AE1206" s="29" t="str">
        <f t="shared" si="353"/>
        <v>pixii-dis-</v>
      </c>
      <c r="AF1206" s="29" t="str">
        <f t="shared" si="354"/>
        <v>Pio XII - Discorso - Al personale civile del Ministero della Difesa</v>
      </c>
    </row>
    <row r="1207" spans="2:32" x14ac:dyDescent="0.2">
      <c r="B1207" s="29">
        <v>260</v>
      </c>
      <c r="C1207" s="29" t="s">
        <v>4391</v>
      </c>
      <c r="D1207" s="29" t="s">
        <v>715</v>
      </c>
      <c r="E1207" s="29" t="s">
        <v>724</v>
      </c>
      <c r="F1207" s="29" t="s">
        <v>663</v>
      </c>
      <c r="G1207" s="29" t="s">
        <v>659</v>
      </c>
      <c r="H1207" s="29" t="str">
        <f t="shared" si="343"/>
        <v>Pio XII</v>
      </c>
      <c r="K1207" s="29" t="s">
        <v>827</v>
      </c>
      <c r="L1207" s="29" t="str">
        <f t="shared" si="352"/>
        <v>Discorso</v>
      </c>
      <c r="M1207" s="29" t="s">
        <v>566</v>
      </c>
      <c r="O1207" s="29" t="s">
        <v>4892</v>
      </c>
      <c r="Q1207" s="38">
        <v>19132</v>
      </c>
      <c r="R1207" s="32">
        <f t="shared" si="350"/>
        <v>18</v>
      </c>
      <c r="S1207" s="32"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32">
        <f t="shared" si="351"/>
        <v>1952</v>
      </c>
      <c r="U1207" s="29"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3"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9"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9">
        <v>1234</v>
      </c>
      <c r="Y1207" s="29" t="str">
        <f t="shared" si="344"/>
        <v>['Pio XII', 'Discorso', 'Ai partecipanti al IX Congresso della Confederazione Nazionale Italiana dei Coltivatori Diretti', 'pixii-dis-', '18 maggio 1952', '18/05/1952', '1952/05/18'],</v>
      </c>
      <c r="Z1207" s="29" t="str">
        <f t="shared" si="345"/>
        <v>Ai partecipanti al IX Congresso della Confederazione Nazionale Italiana dei Coltivatori Diretti (19132) | Pio XII</v>
      </c>
      <c r="AA1207" s="29" t="str">
        <f t="shared" si="346"/>
        <v>Discorso Ai partecipanti al IX Congresso della Confederazione Nazionale Italiana dei Coltivatori Diretti</v>
      </c>
      <c r="AB1207" s="29" t="str">
        <f t="shared" si="347"/>
        <v>Discorso Ai partecipanti al IX Congresso della Confederazione Nazionale Italiana dei Coltivatori Diretti</v>
      </c>
      <c r="AC1207" s="29" t="str">
        <f t="shared" si="348"/>
        <v>Pio XII, Discorso Ai partecipanti al IX Congresso della Confederazione Nazionale Italiana dei Coltivatori Diretti, 18 maggio 1952</v>
      </c>
      <c r="AD1207" s="29" t="str">
        <f t="shared" si="349"/>
        <v>1952-05-18T08:00:00.000+02:00</v>
      </c>
      <c r="AE1207" s="29" t="str">
        <f t="shared" si="353"/>
        <v>pixii-dis-</v>
      </c>
      <c r="AF1207" s="29" t="str">
        <f t="shared" si="354"/>
        <v>Pio XII - Discorso - Ai partecipanti al IX Congresso della Confederazione Nazionale Italiana dei Coltivatori Diretti</v>
      </c>
    </row>
    <row r="1208" spans="2:32" x14ac:dyDescent="0.2">
      <c r="B1208" s="29">
        <v>260</v>
      </c>
      <c r="C1208" s="29" t="s">
        <v>4392</v>
      </c>
      <c r="D1208" s="29" t="s">
        <v>715</v>
      </c>
      <c r="E1208" s="29" t="s">
        <v>724</v>
      </c>
      <c r="F1208" s="29" t="s">
        <v>663</v>
      </c>
      <c r="G1208" s="29" t="s">
        <v>659</v>
      </c>
      <c r="H1208" s="29" t="str">
        <f t="shared" si="343"/>
        <v>Pio XII</v>
      </c>
      <c r="K1208" s="29" t="s">
        <v>827</v>
      </c>
      <c r="L1208" s="29" t="str">
        <f t="shared" si="352"/>
        <v>Discorso</v>
      </c>
      <c r="M1208" s="29" t="s">
        <v>566</v>
      </c>
      <c r="O1208" s="29" t="s">
        <v>4893</v>
      </c>
      <c r="Q1208" s="38">
        <v>19135</v>
      </c>
      <c r="R1208" s="32">
        <f t="shared" si="350"/>
        <v>21</v>
      </c>
      <c r="S1208" s="32"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32">
        <f t="shared" si="351"/>
        <v>1952</v>
      </c>
      <c r="U1208" s="29"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3"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9"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9">
        <v>1235</v>
      </c>
      <c r="Y1208" s="29" t="str">
        <f t="shared" si="344"/>
        <v>['Pio XII', 'Discorso', 'Al personale ospedaliero di Roma', 'pixii-dis-', '21 maggio 1952', '21/05/1952', '1952/05/21'],</v>
      </c>
      <c r="Z1208" s="29" t="str">
        <f t="shared" si="345"/>
        <v>Al personale ospedaliero di Roma (19135) | Pio XII</v>
      </c>
      <c r="AA1208" s="29" t="str">
        <f t="shared" si="346"/>
        <v>Discorso Al personale ospedaliero di Roma</v>
      </c>
      <c r="AB1208" s="29" t="str">
        <f t="shared" si="347"/>
        <v>Discorso Al personale ospedaliero di Roma</v>
      </c>
      <c r="AC1208" s="29" t="str">
        <f t="shared" si="348"/>
        <v>Pio XII, Discorso Al personale ospedaliero di Roma, 21 maggio 1952</v>
      </c>
      <c r="AD1208" s="29" t="str">
        <f t="shared" si="349"/>
        <v>1952-05-21T08:00:00.000+02:00</v>
      </c>
      <c r="AE1208" s="29" t="str">
        <f t="shared" si="353"/>
        <v>pixii-dis-</v>
      </c>
      <c r="AF1208" s="29" t="str">
        <f t="shared" si="354"/>
        <v>Pio XII - Discorso - Al personale ospedaliero di Roma</v>
      </c>
    </row>
    <row r="1209" spans="2:32" x14ac:dyDescent="0.2">
      <c r="B1209" s="29">
        <v>260</v>
      </c>
      <c r="C1209" s="29" t="s">
        <v>4393</v>
      </c>
      <c r="D1209" s="29" t="s">
        <v>715</v>
      </c>
      <c r="E1209" s="29" t="s">
        <v>724</v>
      </c>
      <c r="F1209" s="29" t="s">
        <v>663</v>
      </c>
      <c r="G1209" s="29" t="s">
        <v>659</v>
      </c>
      <c r="H1209" s="29" t="str">
        <f t="shared" si="343"/>
        <v>Pio XII</v>
      </c>
      <c r="K1209" s="29" t="s">
        <v>827</v>
      </c>
      <c r="L1209" s="29" t="str">
        <f t="shared" si="352"/>
        <v>Discorso</v>
      </c>
      <c r="M1209" s="29" t="s">
        <v>566</v>
      </c>
      <c r="O1209" s="29" t="s">
        <v>4894</v>
      </c>
      <c r="Q1209" s="38">
        <v>19136</v>
      </c>
      <c r="R1209" s="32">
        <f t="shared" si="350"/>
        <v>22</v>
      </c>
      <c r="S1209" s="32"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32">
        <f t="shared" si="351"/>
        <v>1952</v>
      </c>
      <c r="U1209" s="29"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3"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9"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9">
        <v>1236</v>
      </c>
      <c r="Y1209" s="29" t="str">
        <f t="shared" si="344"/>
        <v>['Pio XII', 'Discorso', 'A numerosi sodalizi delle Figlie di Maria di Roma e del Lazio', 'pixii-dis-', '22 maggio 1952', '22/05/1952', '1952/05/22'],</v>
      </c>
      <c r="Z1209" s="29" t="str">
        <f t="shared" si="345"/>
        <v>A numerosi sodalizi delle Figlie di Maria di Roma e del Lazio (19136) | Pio XII</v>
      </c>
      <c r="AA1209" s="29" t="str">
        <f t="shared" si="346"/>
        <v>Discorso A numerosi sodalizi delle Figlie di Maria di Roma e del Lazio</v>
      </c>
      <c r="AB1209" s="29" t="str">
        <f t="shared" si="347"/>
        <v>Discorso A numerosi sodalizi delle Figlie di Maria di Roma e del Lazio</v>
      </c>
      <c r="AC1209" s="29" t="str">
        <f t="shared" si="348"/>
        <v>Pio XII, Discorso A numerosi sodalizi delle Figlie di Maria di Roma e del Lazio, 22 maggio 1952</v>
      </c>
      <c r="AD1209" s="29" t="str">
        <f t="shared" si="349"/>
        <v>1952-05-22T08:00:00.000+02:00</v>
      </c>
      <c r="AE1209" s="29" t="str">
        <f t="shared" si="353"/>
        <v>pixii-dis-</v>
      </c>
      <c r="AF1209" s="29" t="str">
        <f t="shared" si="354"/>
        <v>Pio XII - Discorso - A numerosi sodalizi delle Figlie di Maria di Roma e del Lazio</v>
      </c>
    </row>
    <row r="1210" spans="2:32" x14ac:dyDescent="0.2">
      <c r="B1210" s="29">
        <v>260</v>
      </c>
      <c r="C1210" s="29" t="s">
        <v>4394</v>
      </c>
      <c r="D1210" s="29" t="s">
        <v>715</v>
      </c>
      <c r="E1210" s="29" t="s">
        <v>724</v>
      </c>
      <c r="F1210" s="29" t="s">
        <v>663</v>
      </c>
      <c r="G1210" s="29" t="s">
        <v>659</v>
      </c>
      <c r="H1210" s="29" t="str">
        <f t="shared" si="343"/>
        <v>Pio XII</v>
      </c>
      <c r="K1210" s="29" t="s">
        <v>827</v>
      </c>
      <c r="L1210" s="29" t="str">
        <f t="shared" si="352"/>
        <v>Discorso</v>
      </c>
      <c r="M1210" s="29" t="s">
        <v>566</v>
      </c>
      <c r="O1210" s="29" t="s">
        <v>4895</v>
      </c>
      <c r="Q1210" s="38">
        <v>19148</v>
      </c>
      <c r="R1210" s="32">
        <f t="shared" si="350"/>
        <v>3</v>
      </c>
      <c r="S1210" s="32"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32">
        <f t="shared" si="351"/>
        <v>1952</v>
      </c>
      <c r="U1210" s="29"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3"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9"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9">
        <v>1237</v>
      </c>
      <c r="Y1210" s="29" t="str">
        <f t="shared" si="344"/>
        <v>['Pio XII', 'Discorso', 'Radiomessaggio al Clero e ai fedeli della Diocesi di Novara in occasione del ripristino della Croce monumentale sulla vetta del monte Mottarone', 'pixii-dis-', '03 giugno 1952', '03/06/1952', '1952/06/03'],</v>
      </c>
      <c r="Z1210" s="29" t="str">
        <f t="shared" si="345"/>
        <v>Radiomessaggio al Clero e ai fedeli della Diocesi di Novara in occasione del ripristino della Croce monumentale sulla vetta del monte Mottarone (19148) | Pio XII</v>
      </c>
      <c r="AA1210" s="29" t="str">
        <f t="shared" si="346"/>
        <v>Discorso Radiomessaggio al Clero e ai fedeli della Diocesi di Novara in occasione del ripristino della Croce monumentale sulla vetta del monte Mottarone</v>
      </c>
      <c r="AB1210" s="29" t="str">
        <f t="shared" si="347"/>
        <v>Discorso Radiomessaggio al Clero e ai fedeli della Diocesi di Novara in occasione del ripristino della Croce monumentale sulla vetta del monte Mottarone</v>
      </c>
      <c r="AC1210" s="29" t="str">
        <f t="shared" si="348"/>
        <v>Pio XII, Discorso Radiomessaggio al Clero e ai fedeli della Diocesi di Novara in occasione del ripristino della Croce monumentale sulla vetta del monte Mottarone, 03 giugno 1952</v>
      </c>
      <c r="AD1210" s="29" t="str">
        <f t="shared" si="349"/>
        <v>1952-06-03T08:00:00.000+02:00</v>
      </c>
      <c r="AE1210" s="29" t="str">
        <f t="shared" si="353"/>
        <v>pixii-dis-</v>
      </c>
      <c r="AF1210" s="29" t="str">
        <f t="shared" si="354"/>
        <v>Pio XII - Discorso - Radiomessaggio al Clero e ai fedeli della Diocesi di Novara in occasione del ripristino della Croce monumentale sulla vetta del monte Mottarone</v>
      </c>
    </row>
    <row r="1211" spans="2:32" x14ac:dyDescent="0.2">
      <c r="B1211" s="29">
        <v>260</v>
      </c>
      <c r="C1211" s="29" t="s">
        <v>4395</v>
      </c>
      <c r="D1211" s="29" t="s">
        <v>715</v>
      </c>
      <c r="E1211" s="29" t="s">
        <v>724</v>
      </c>
      <c r="F1211" s="29" t="s">
        <v>663</v>
      </c>
      <c r="G1211" s="29" t="s">
        <v>659</v>
      </c>
      <c r="H1211" s="29" t="str">
        <f t="shared" si="343"/>
        <v>Pio XII</v>
      </c>
      <c r="K1211" s="29" t="s">
        <v>827</v>
      </c>
      <c r="L1211" s="29" t="str">
        <f t="shared" si="352"/>
        <v>Discorso</v>
      </c>
      <c r="M1211" s="29" t="s">
        <v>566</v>
      </c>
      <c r="O1211" s="29" t="s">
        <v>4896</v>
      </c>
      <c r="Q1211" s="38">
        <v>19154</v>
      </c>
      <c r="R1211" s="32">
        <f t="shared" si="350"/>
        <v>9</v>
      </c>
      <c r="S1211" s="32"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32">
        <f t="shared" si="351"/>
        <v>1952</v>
      </c>
      <c r="U1211" s="29"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3"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9"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9">
        <v>1238</v>
      </c>
      <c r="Y1211" s="29" t="str">
        <f t="shared" si="344"/>
        <v>['Pio XII', 'Discorso', 'Ai pellegrini giunti a Roma per la beatificazione di Maria Bertilla Boscardin', 'pixii-dis-', '09 giugno 1952', '09/06/1952', '1952/06/09'],</v>
      </c>
      <c r="Z1211" s="29" t="str">
        <f t="shared" si="345"/>
        <v>Ai pellegrini giunti a Roma per la beatificazione di Maria Bertilla Boscardin (19154) | Pio XII</v>
      </c>
      <c r="AA1211" s="29" t="str">
        <f t="shared" si="346"/>
        <v>Discorso Ai pellegrini giunti a Roma per la beatificazione di Maria Bertilla Boscardin</v>
      </c>
      <c r="AB1211" s="29" t="str">
        <f t="shared" si="347"/>
        <v>Discorso Ai pellegrini giunti a Roma per la beatificazione di Maria Bertilla Boscardin</v>
      </c>
      <c r="AC1211" s="29" t="str">
        <f t="shared" si="348"/>
        <v>Pio XII, Discorso Ai pellegrini giunti a Roma per la beatificazione di Maria Bertilla Boscardin, 09 giugno 1952</v>
      </c>
      <c r="AD1211" s="29" t="str">
        <f t="shared" si="349"/>
        <v>1952-06-09T08:00:00.000+02:00</v>
      </c>
      <c r="AE1211" s="29" t="str">
        <f t="shared" si="353"/>
        <v>pixii-dis-</v>
      </c>
      <c r="AF1211" s="29" t="str">
        <f t="shared" si="354"/>
        <v>Pio XII - Discorso - Ai pellegrini giunti a Roma per la beatificazione di Maria Bertilla Boscardin</v>
      </c>
    </row>
    <row r="1212" spans="2:32" x14ac:dyDescent="0.2">
      <c r="B1212" s="29">
        <v>260</v>
      </c>
      <c r="C1212" s="29" t="s">
        <v>4396</v>
      </c>
      <c r="D1212" s="29" t="s">
        <v>715</v>
      </c>
      <c r="E1212" s="29" t="s">
        <v>724</v>
      </c>
      <c r="F1212" s="29" t="s">
        <v>663</v>
      </c>
      <c r="G1212" s="29" t="s">
        <v>659</v>
      </c>
      <c r="H1212" s="29" t="str">
        <f t="shared" si="343"/>
        <v>Pio XII</v>
      </c>
      <c r="K1212" s="29" t="s">
        <v>827</v>
      </c>
      <c r="L1212" s="29" t="str">
        <f t="shared" si="352"/>
        <v>Discorso</v>
      </c>
      <c r="M1212" s="29" t="s">
        <v>566</v>
      </c>
      <c r="O1212" s="29" t="s">
        <v>4897</v>
      </c>
      <c r="Q1212" s="38">
        <v>19160</v>
      </c>
      <c r="R1212" s="32">
        <f t="shared" si="350"/>
        <v>15</v>
      </c>
      <c r="S1212" s="32"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32">
        <f t="shared" si="351"/>
        <v>1952</v>
      </c>
      <c r="U1212" s="29"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3"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9"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9">
        <v>1239</v>
      </c>
      <c r="Y1212" s="29" t="str">
        <f t="shared" si="344"/>
        <v>['Pio XII', 'Discorso', 'Ai professori e agli studenti dell'Università di Roma', 'pixii-dis-', '15 giugno 1952', '15/06/1952', '1952/06/15'],</v>
      </c>
      <c r="Z1212" s="29" t="str">
        <f t="shared" si="345"/>
        <v>Ai professori e agli studenti dell'Università di Roma (19160) | Pio XII</v>
      </c>
      <c r="AA1212" s="29" t="str">
        <f t="shared" si="346"/>
        <v>Discorso Ai professori e agli studenti dell'Università di Roma</v>
      </c>
      <c r="AB1212" s="29" t="str">
        <f t="shared" si="347"/>
        <v>Discorso Ai professori e agli studenti dell'Università di Roma</v>
      </c>
      <c r="AC1212" s="29" t="str">
        <f t="shared" si="348"/>
        <v>Pio XII, Discorso Ai professori e agli studenti dell'Università di Roma, 15 giugno 1952</v>
      </c>
      <c r="AD1212" s="29" t="str">
        <f t="shared" si="349"/>
        <v>1952-06-15T08:00:00.000+02:00</v>
      </c>
      <c r="AE1212" s="29" t="str">
        <f t="shared" si="353"/>
        <v>pixii-dis-</v>
      </c>
      <c r="AF1212" s="29" t="str">
        <f t="shared" si="354"/>
        <v>Pio XII - Discorso - Ai professori e agli studenti dell'Università di Roma</v>
      </c>
    </row>
    <row r="1213" spans="2:32" x14ac:dyDescent="0.2">
      <c r="B1213" s="29">
        <v>260</v>
      </c>
      <c r="C1213" s="29" t="s">
        <v>4397</v>
      </c>
      <c r="D1213" s="29" t="s">
        <v>715</v>
      </c>
      <c r="E1213" s="29" t="s">
        <v>724</v>
      </c>
      <c r="F1213" s="29" t="s">
        <v>663</v>
      </c>
      <c r="G1213" s="29" t="s">
        <v>659</v>
      </c>
      <c r="H1213" s="29" t="str">
        <f t="shared" si="343"/>
        <v>Pio XII</v>
      </c>
      <c r="K1213" s="29" t="s">
        <v>827</v>
      </c>
      <c r="L1213" s="29" t="str">
        <f t="shared" si="352"/>
        <v>Discorso</v>
      </c>
      <c r="M1213" s="29" t="s">
        <v>566</v>
      </c>
      <c r="O1213" s="29" t="s">
        <v>4898</v>
      </c>
      <c r="Q1213" s="38">
        <v>19168</v>
      </c>
      <c r="R1213" s="32">
        <f t="shared" si="350"/>
        <v>23</v>
      </c>
      <c r="S1213" s="32"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32">
        <f t="shared" si="351"/>
        <v>1952</v>
      </c>
      <c r="U1213" s="29"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3"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9"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9">
        <v>1240</v>
      </c>
      <c r="Y1213" s="29" t="str">
        <f t="shared" si="344"/>
        <v>['Pio XII', 'Discorso', 'Ai pellegrini convenuti a Roma per la beatificazione di Antonio Maria Pucci', 'pixii-dis-', '23 giugno 1952', '23/06/1952', '1952/06/23'],</v>
      </c>
      <c r="Z1213" s="29" t="str">
        <f t="shared" si="345"/>
        <v>Ai pellegrini convenuti a Roma per la beatificazione di Antonio Maria Pucci (19168) | Pio XII</v>
      </c>
      <c r="AA1213" s="29" t="str">
        <f t="shared" si="346"/>
        <v>Discorso Ai pellegrini convenuti a Roma per la beatificazione di Antonio Maria Pucci</v>
      </c>
      <c r="AB1213" s="29" t="str">
        <f t="shared" si="347"/>
        <v>Discorso Ai pellegrini convenuti a Roma per la beatificazione di Antonio Maria Pucci</v>
      </c>
      <c r="AC1213" s="29" t="str">
        <f t="shared" si="348"/>
        <v>Pio XII, Discorso Ai pellegrini convenuti a Roma per la beatificazione di Antonio Maria Pucci, 23 giugno 1952</v>
      </c>
      <c r="AD1213" s="29" t="str">
        <f t="shared" si="349"/>
        <v>1952-06-23T08:00:00.000+02:00</v>
      </c>
      <c r="AE1213" s="29" t="str">
        <f t="shared" si="353"/>
        <v>pixii-dis-</v>
      </c>
      <c r="AF1213" s="29" t="str">
        <f t="shared" si="354"/>
        <v>Pio XII - Discorso - Ai pellegrini convenuti a Roma per la beatificazione di Antonio Maria Pucci</v>
      </c>
    </row>
    <row r="1214" spans="2:32" x14ac:dyDescent="0.2">
      <c r="B1214" s="29">
        <v>260</v>
      </c>
      <c r="C1214" s="29" t="s">
        <v>4398</v>
      </c>
      <c r="D1214" s="29" t="s">
        <v>715</v>
      </c>
      <c r="E1214" s="29" t="s">
        <v>724</v>
      </c>
      <c r="F1214" s="29" t="s">
        <v>663</v>
      </c>
      <c r="G1214" s="29" t="s">
        <v>659</v>
      </c>
      <c r="H1214" s="29" t="str">
        <f t="shared" si="343"/>
        <v>Pio XII</v>
      </c>
      <c r="K1214" s="29" t="s">
        <v>827</v>
      </c>
      <c r="L1214" s="29" t="str">
        <f t="shared" si="352"/>
        <v>Discorso</v>
      </c>
      <c r="M1214" s="29" t="s">
        <v>566</v>
      </c>
      <c r="O1214" s="29" t="s">
        <v>4899</v>
      </c>
      <c r="Q1214" s="38">
        <v>19174</v>
      </c>
      <c r="R1214" s="32">
        <f t="shared" si="350"/>
        <v>29</v>
      </c>
      <c r="S1214" s="32"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32">
        <f t="shared" si="351"/>
        <v>1952</v>
      </c>
      <c r="U1214" s="29"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3"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9"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9">
        <v>1241</v>
      </c>
      <c r="Y1214" s="29" t="str">
        <f t="shared" si="344"/>
        <v>['Pio XII', 'Discorso', 'Agli iscritti alle Sezioni di Roma e del Lazio dell'Opera dei Ritiri di Perseveranza', 'pixii-dis-', '29 giugno 1952', '29/06/1952', '1952/06/29'],</v>
      </c>
      <c r="Z1214" s="29" t="str">
        <f t="shared" si="345"/>
        <v>Agli iscritti alle Sezioni di Roma e del Lazio dell'Opera dei Ritiri di Perseveranza (19174) | Pio XII</v>
      </c>
      <c r="AA1214" s="29" t="str">
        <f t="shared" si="346"/>
        <v>Discorso Agli iscritti alle Sezioni di Roma e del Lazio dell'Opera dei Ritiri di Perseveranza</v>
      </c>
      <c r="AB1214" s="29" t="str">
        <f t="shared" si="347"/>
        <v>Discorso Agli iscritti alle Sezioni di Roma e del Lazio dell'Opera dei Ritiri di Perseveranza</v>
      </c>
      <c r="AC1214" s="29" t="str">
        <f t="shared" si="348"/>
        <v>Pio XII, Discorso Agli iscritti alle Sezioni di Roma e del Lazio dell'Opera dei Ritiri di Perseveranza, 29 giugno 1952</v>
      </c>
      <c r="AD1214" s="29" t="str">
        <f t="shared" si="349"/>
        <v>1952-06-29T08:00:00.000+02:00</v>
      </c>
      <c r="AE1214" s="29" t="str">
        <f t="shared" si="353"/>
        <v>pixii-dis-</v>
      </c>
      <c r="AF1214" s="29" t="str">
        <f t="shared" si="354"/>
        <v>Pio XII - Discorso - Agli iscritti alle Sezioni di Roma e del Lazio dell'Opera dei Ritiri di Perseveranza</v>
      </c>
    </row>
    <row r="1215" spans="2:32" x14ac:dyDescent="0.2">
      <c r="B1215" s="29">
        <v>260</v>
      </c>
      <c r="C1215" s="29" t="s">
        <v>4399</v>
      </c>
      <c r="D1215" s="29" t="s">
        <v>715</v>
      </c>
      <c r="E1215" s="29" t="s">
        <v>724</v>
      </c>
      <c r="F1215" s="29" t="s">
        <v>663</v>
      </c>
      <c r="G1215" s="29" t="s">
        <v>659</v>
      </c>
      <c r="H1215" s="29" t="str">
        <f t="shared" ref="H1215:H1278" si="355">_xlfn.CONCAT(D1215 &amp; " " &amp; E1215)</f>
        <v>Pio XII</v>
      </c>
      <c r="K1215" s="29" t="s">
        <v>827</v>
      </c>
      <c r="L1215" s="29" t="str">
        <f t="shared" si="352"/>
        <v>Discorso</v>
      </c>
      <c r="M1215" s="29" t="s">
        <v>566</v>
      </c>
      <c r="O1215" s="29" t="s">
        <v>4900</v>
      </c>
      <c r="Q1215" s="38">
        <v>19181</v>
      </c>
      <c r="R1215" s="32">
        <f t="shared" si="350"/>
        <v>6</v>
      </c>
      <c r="S1215" s="32"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32">
        <f t="shared" si="351"/>
        <v>1952</v>
      </c>
      <c r="U1215" s="29"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3"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9"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9">
        <v>1242</v>
      </c>
      <c r="Y1215" s="29" t="str">
        <f t="shared" si="344"/>
        <v>['Pio XII', 'Discorso', 'A numerosi ferrovieri del compartimento di Napoli', 'pixii-dis-', '06 luglio 1952', '06/07/1952', '1952/07/06'],</v>
      </c>
      <c r="Z1215" s="29" t="str">
        <f t="shared" si="345"/>
        <v>A numerosi ferrovieri del compartimento di Napoli (19181) | Pio XII</v>
      </c>
      <c r="AA1215" s="29" t="str">
        <f t="shared" si="346"/>
        <v>Discorso A numerosi ferrovieri del compartimento di Napoli</v>
      </c>
      <c r="AB1215" s="29" t="str">
        <f t="shared" si="347"/>
        <v>Discorso A numerosi ferrovieri del compartimento di Napoli</v>
      </c>
      <c r="AC1215" s="29" t="str">
        <f t="shared" si="348"/>
        <v>Pio XII, Discorso A numerosi ferrovieri del compartimento di Napoli, 06 luglio 1952</v>
      </c>
      <c r="AD1215" s="29" t="str">
        <f t="shared" si="349"/>
        <v>1952-07-06T08:00:00.000+02:00</v>
      </c>
      <c r="AE1215" s="29" t="str">
        <f t="shared" si="353"/>
        <v>pixii-dis-</v>
      </c>
      <c r="AF1215" s="29" t="str">
        <f t="shared" si="354"/>
        <v>Pio XII - Discorso - A numerosi ferrovieri del compartimento di Napoli</v>
      </c>
    </row>
    <row r="1216" spans="2:32" x14ac:dyDescent="0.2">
      <c r="B1216" s="29">
        <v>260</v>
      </c>
      <c r="C1216" s="29" t="s">
        <v>4400</v>
      </c>
      <c r="D1216" s="29" t="s">
        <v>715</v>
      </c>
      <c r="E1216" s="29" t="s">
        <v>724</v>
      </c>
      <c r="F1216" s="29" t="s">
        <v>663</v>
      </c>
      <c r="G1216" s="29" t="s">
        <v>659</v>
      </c>
      <c r="H1216" s="29" t="str">
        <f t="shared" si="355"/>
        <v>Pio XII</v>
      </c>
      <c r="K1216" s="29" t="s">
        <v>827</v>
      </c>
      <c r="L1216" s="29" t="str">
        <f t="shared" si="352"/>
        <v>Discorso</v>
      </c>
      <c r="M1216" s="29" t="s">
        <v>566</v>
      </c>
      <c r="O1216" s="29" t="s">
        <v>4901</v>
      </c>
      <c r="Q1216" s="38">
        <v>19190</v>
      </c>
      <c r="R1216" s="32">
        <f t="shared" si="350"/>
        <v>15</v>
      </c>
      <c r="S1216" s="32"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32">
        <f t="shared" si="351"/>
        <v>1952</v>
      </c>
      <c r="U1216" s="29"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3"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9"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9">
        <v>1243</v>
      </c>
      <c r="Y1216" s="29" t="str">
        <f t="shared" si="344"/>
        <v>['Pio XII', 'Discorso', 'Ai fanciulli di Azione Cattolica nel XXV dell'Associazione', 'pixii-dis-', '15 luglio 1952', '15/07/1952', '1952/07/15'],</v>
      </c>
      <c r="Z1216" s="29" t="str">
        <f t="shared" si="345"/>
        <v>Ai fanciulli di Azione Cattolica nel XXV dell'Associazione (19190) | Pio XII</v>
      </c>
      <c r="AA1216" s="29" t="str">
        <f t="shared" si="346"/>
        <v>Discorso Ai fanciulli di Azione Cattolica nel XXV dell'Associazione</v>
      </c>
      <c r="AB1216" s="29" t="str">
        <f t="shared" si="347"/>
        <v>Discorso Ai fanciulli di Azione Cattolica nel XXV dell'Associazione</v>
      </c>
      <c r="AC1216" s="29" t="str">
        <f t="shared" si="348"/>
        <v>Pio XII, Discorso Ai fanciulli di Azione Cattolica nel XXV dell'Associazione, 15 luglio 1952</v>
      </c>
      <c r="AD1216" s="29" t="str">
        <f t="shared" si="349"/>
        <v>1952-07-15T08:00:00.000+02:00</v>
      </c>
      <c r="AE1216" s="29" t="str">
        <f t="shared" si="353"/>
        <v>pixii-dis-</v>
      </c>
      <c r="AF1216" s="29" t="str">
        <f t="shared" si="354"/>
        <v>Pio XII - Discorso - Ai fanciulli di Azione Cattolica nel XXV dell'Associazione</v>
      </c>
    </row>
    <row r="1217" spans="2:32" x14ac:dyDescent="0.2">
      <c r="B1217" s="29">
        <v>260</v>
      </c>
      <c r="C1217" s="29" t="s">
        <v>4401</v>
      </c>
      <c r="D1217" s="29" t="s">
        <v>715</v>
      </c>
      <c r="E1217" s="29" t="s">
        <v>724</v>
      </c>
      <c r="F1217" s="29" t="s">
        <v>663</v>
      </c>
      <c r="G1217" s="29" t="s">
        <v>659</v>
      </c>
      <c r="H1217" s="29" t="str">
        <f t="shared" si="355"/>
        <v>Pio XII</v>
      </c>
      <c r="K1217" s="29" t="s">
        <v>827</v>
      </c>
      <c r="L1217" s="29" t="str">
        <f t="shared" si="352"/>
        <v>Discorso</v>
      </c>
      <c r="M1217" s="29" t="s">
        <v>566</v>
      </c>
      <c r="O1217" s="29" t="s">
        <v>4902</v>
      </c>
      <c r="Q1217" s="38">
        <v>19191</v>
      </c>
      <c r="R1217" s="32">
        <f t="shared" si="350"/>
        <v>16</v>
      </c>
      <c r="S1217" s="32"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32">
        <f t="shared" si="351"/>
        <v>1952</v>
      </c>
      <c r="U1217" s="29"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3"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9"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9">
        <v>1244</v>
      </c>
      <c r="Y1217" s="29" t="str">
        <f t="shared" si="344"/>
        <v>['Pio XII', 'Discorso', 'Ai partecipanti al Convegno di Studio sul tema: «I cattolici e la vita internazionale»', 'pixii-dis-', '16 luglio 1952', '16/07/1952', '1952/07/16'],</v>
      </c>
      <c r="Z1217" s="29" t="str">
        <f t="shared" si="345"/>
        <v>Ai partecipanti al Convegno di Studio sul tema: «I cattolici e la vita internazionale» (19191) | Pio XII</v>
      </c>
      <c r="AA1217" s="29" t="str">
        <f t="shared" si="346"/>
        <v>Discorso Ai partecipanti al Convegno di Studio sul tema: «I cattolici e la vita internazionale»</v>
      </c>
      <c r="AB1217" s="29" t="str">
        <f t="shared" si="347"/>
        <v>Discorso Ai partecipanti al Convegno di Studio sul tema: «I cattolici e la vita internazionale»</v>
      </c>
      <c r="AC1217" s="29" t="str">
        <f t="shared" si="348"/>
        <v>Pio XII, Discorso Ai partecipanti al Convegno di Studio sul tema: «I cattolici e la vita internazionale», 16 luglio 1952</v>
      </c>
      <c r="AD1217" s="29" t="str">
        <f t="shared" si="349"/>
        <v>1952-07-16T08:00:00.000+02:00</v>
      </c>
      <c r="AE1217" s="29" t="str">
        <f t="shared" si="353"/>
        <v>pixii-dis-</v>
      </c>
      <c r="AF1217" s="29" t="str">
        <f t="shared" si="354"/>
        <v>Pio XII - Discorso - Ai partecipanti al Convegno di Studio sul tema: «I cattolici e la vita internazionale»</v>
      </c>
    </row>
    <row r="1218" spans="2:32" x14ac:dyDescent="0.2">
      <c r="B1218" s="29">
        <v>260</v>
      </c>
      <c r="C1218" s="29" t="s">
        <v>4402</v>
      </c>
      <c r="D1218" s="29" t="s">
        <v>715</v>
      </c>
      <c r="E1218" s="29" t="s">
        <v>724</v>
      </c>
      <c r="F1218" s="29" t="s">
        <v>663</v>
      </c>
      <c r="G1218" s="29" t="s">
        <v>659</v>
      </c>
      <c r="H1218" s="29" t="str">
        <f t="shared" si="355"/>
        <v>Pio XII</v>
      </c>
      <c r="K1218" s="29" t="s">
        <v>827</v>
      </c>
      <c r="L1218" s="29" t="str">
        <f t="shared" si="352"/>
        <v>Discorso</v>
      </c>
      <c r="M1218" s="29" t="s">
        <v>566</v>
      </c>
      <c r="O1218" s="29" t="s">
        <v>4903</v>
      </c>
      <c r="Q1218" s="38">
        <v>19209</v>
      </c>
      <c r="R1218" s="32">
        <f t="shared" si="350"/>
        <v>3</v>
      </c>
      <c r="S1218" s="32"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32">
        <f t="shared" si="351"/>
        <v>1952</v>
      </c>
      <c r="U1218" s="29"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3"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9"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9">
        <v>1245</v>
      </c>
      <c r="Y1218" s="29" t="str">
        <f t="shared" ref="Y1218:Y1281" si="356">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9" t="str">
        <f t="shared" ref="Z1218:Z1281" si="357">_xlfn.CONCAT(O1218 &amp; " (" &amp; Q1218 &amp; ") | " &amp; D1218 &amp; " " &amp; E1218)</f>
        <v>Agli allievi dei vigili del fuoco (19209) | Pio XII</v>
      </c>
      <c r="AA1218" s="29" t="str">
        <f t="shared" ref="AA1218:AA1281" si="358">_xlfn.CONCAT(K1218 &amp; " " &amp; O1218)</f>
        <v>Discorso Agli allievi dei vigili del fuoco</v>
      </c>
      <c r="AB1218" s="29" t="str">
        <f t="shared" ref="AB1218:AB1281" si="359">_xlfn.CONCAT(K1218 &amp; " " &amp; O1218)</f>
        <v>Discorso Agli allievi dei vigili del fuoco</v>
      </c>
      <c r="AC1218" s="29" t="str">
        <f t="shared" ref="AC1218:AC1281" si="360">_xlfn.CONCAT(H1218 &amp; ", " &amp; L1218 &amp; " " &amp; O1218 &amp; ", " &amp; LEFT(U1218,2) &amp; " " &amp; TEXT(VALUE(MID(U1218,4,2))*29,"mmmm") &amp; " " &amp; RIGHT(U1218,4))</f>
        <v>Pio XII, Discorso Agli allievi dei vigili del fuoco, 03 agosto 1952</v>
      </c>
      <c r="AD1218" s="29" t="str">
        <f t="shared" ref="AD1218:AD1281" si="361">_xlfn.CONCAT(RIGHT(U1218,4) &amp; "-" &amp; MID(U1218,4,2) &amp; "-" &amp; LEFT(U1218,2) &amp; "T08:00:00.000+02:00")</f>
        <v>1952-08-03T08:00:00.000+02:00</v>
      </c>
      <c r="AE1218" s="29" t="str">
        <f t="shared" si="353"/>
        <v>pixii-dis-</v>
      </c>
      <c r="AF1218" s="29" t="str">
        <f t="shared" si="354"/>
        <v>Pio XII - Discorso - Agli allievi dei vigili del fuoco</v>
      </c>
    </row>
    <row r="1219" spans="2:32" x14ac:dyDescent="0.2">
      <c r="B1219" s="29">
        <v>260</v>
      </c>
      <c r="C1219" s="29" t="s">
        <v>4403</v>
      </c>
      <c r="D1219" s="29" t="s">
        <v>715</v>
      </c>
      <c r="E1219" s="29" t="s">
        <v>724</v>
      </c>
      <c r="F1219" s="29" t="s">
        <v>663</v>
      </c>
      <c r="G1219" s="29" t="s">
        <v>659</v>
      </c>
      <c r="H1219" s="29" t="str">
        <f t="shared" si="355"/>
        <v>Pio XII</v>
      </c>
      <c r="K1219" s="29" t="s">
        <v>827</v>
      </c>
      <c r="L1219" s="29" t="str">
        <f t="shared" si="352"/>
        <v>Discorso</v>
      </c>
      <c r="M1219" s="29" t="s">
        <v>566</v>
      </c>
      <c r="O1219" s="29" t="s">
        <v>4904</v>
      </c>
      <c r="Q1219" s="38">
        <v>19212</v>
      </c>
      <c r="R1219" s="32">
        <f t="shared" si="350"/>
        <v>6</v>
      </c>
      <c r="S1219" s="32"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32">
        <f t="shared" si="351"/>
        <v>1952</v>
      </c>
      <c r="U1219" s="29"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3"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9"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9">
        <v>1246</v>
      </c>
      <c r="Y1219" s="29" t="str">
        <f t="shared" si="356"/>
        <v>['Pio XII', 'Discorso', 'Ai missionari per gli emigrati Italiani in Europa', 'pixii-dis-', '06 agosto 1952', '06/08/1952', '1952/08/06'],</v>
      </c>
      <c r="Z1219" s="29" t="str">
        <f t="shared" si="357"/>
        <v>Ai missionari per gli emigrati Italiani in Europa (19212) | Pio XII</v>
      </c>
      <c r="AA1219" s="29" t="str">
        <f t="shared" si="358"/>
        <v>Discorso Ai missionari per gli emigrati Italiani in Europa</v>
      </c>
      <c r="AB1219" s="29" t="str">
        <f t="shared" si="359"/>
        <v>Discorso Ai missionari per gli emigrati Italiani in Europa</v>
      </c>
      <c r="AC1219" s="29" t="str">
        <f t="shared" si="360"/>
        <v>Pio XII, Discorso Ai missionari per gli emigrati Italiani in Europa, 06 agosto 1952</v>
      </c>
      <c r="AD1219" s="29" t="str">
        <f t="shared" si="361"/>
        <v>1952-08-06T08:00:00.000+02:00</v>
      </c>
      <c r="AE1219" s="29" t="str">
        <f t="shared" si="353"/>
        <v>pixii-dis-</v>
      </c>
      <c r="AF1219" s="29" t="str">
        <f t="shared" si="354"/>
        <v>Pio XII - Discorso - Ai missionari per gli emigrati Italiani in Europa</v>
      </c>
    </row>
    <row r="1220" spans="2:32" x14ac:dyDescent="0.2">
      <c r="B1220" s="29">
        <v>260</v>
      </c>
      <c r="C1220" s="29" t="s">
        <v>4404</v>
      </c>
      <c r="D1220" s="29" t="s">
        <v>715</v>
      </c>
      <c r="E1220" s="29" t="s">
        <v>724</v>
      </c>
      <c r="F1220" s="29" t="s">
        <v>663</v>
      </c>
      <c r="G1220" s="29" t="s">
        <v>659</v>
      </c>
      <c r="H1220" s="29" t="str">
        <f t="shared" si="355"/>
        <v>Pio XII</v>
      </c>
      <c r="K1220" s="29" t="s">
        <v>827</v>
      </c>
      <c r="L1220" s="29" t="str">
        <f t="shared" si="352"/>
        <v>Discorso</v>
      </c>
      <c r="M1220" s="29" t="s">
        <v>566</v>
      </c>
      <c r="O1220" s="29" t="s">
        <v>4905</v>
      </c>
      <c r="Q1220" s="38">
        <v>19244</v>
      </c>
      <c r="R1220" s="32">
        <f t="shared" si="350"/>
        <v>7</v>
      </c>
      <c r="S1220" s="32"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32">
        <f t="shared" si="351"/>
        <v>1952</v>
      </c>
      <c r="U1220" s="29"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3"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9"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9">
        <v>1247</v>
      </c>
      <c r="Y1220" s="29" t="str">
        <f t="shared" si="356"/>
        <v>['Pio XII', 'Discorso', 'Ai partecipanti al Congresso Mondiale di Astronomia', 'pixii-dis-', '07 settembre 1952', '07/09/1952', '1952/09/07'],</v>
      </c>
      <c r="Z1220" s="29" t="str">
        <f t="shared" si="357"/>
        <v>Ai partecipanti al Congresso Mondiale di Astronomia (19244) | Pio XII</v>
      </c>
      <c r="AA1220" s="29" t="str">
        <f t="shared" si="358"/>
        <v>Discorso Ai partecipanti al Congresso Mondiale di Astronomia</v>
      </c>
      <c r="AB1220" s="29" t="str">
        <f t="shared" si="359"/>
        <v>Discorso Ai partecipanti al Congresso Mondiale di Astronomia</v>
      </c>
      <c r="AC1220" s="29" t="str">
        <f t="shared" si="360"/>
        <v>Pio XII, Discorso Ai partecipanti al Congresso Mondiale di Astronomia, 07 settembre 1952</v>
      </c>
      <c r="AD1220" s="29" t="str">
        <f t="shared" si="361"/>
        <v>1952-09-07T08:00:00.000+02:00</v>
      </c>
      <c r="AE1220" s="29" t="str">
        <f t="shared" si="353"/>
        <v>pixii-dis-</v>
      </c>
      <c r="AF1220" s="29" t="str">
        <f t="shared" si="354"/>
        <v>Pio XII - Discorso - Ai partecipanti al Congresso Mondiale di Astronomia</v>
      </c>
    </row>
    <row r="1221" spans="2:32" x14ac:dyDescent="0.2">
      <c r="B1221" s="29">
        <v>260</v>
      </c>
      <c r="C1221" s="29" t="s">
        <v>4405</v>
      </c>
      <c r="D1221" s="29" t="s">
        <v>715</v>
      </c>
      <c r="E1221" s="29" t="s">
        <v>724</v>
      </c>
      <c r="F1221" s="29" t="s">
        <v>663</v>
      </c>
      <c r="G1221" s="29" t="s">
        <v>659</v>
      </c>
      <c r="H1221" s="29" t="str">
        <f t="shared" si="355"/>
        <v>Pio XII</v>
      </c>
      <c r="K1221" s="29" t="s">
        <v>827</v>
      </c>
      <c r="L1221" s="29" t="str">
        <f t="shared" si="352"/>
        <v>Discorso</v>
      </c>
      <c r="M1221" s="29" t="s">
        <v>566</v>
      </c>
      <c r="O1221" s="29" t="s">
        <v>4906</v>
      </c>
      <c r="Q1221" s="38">
        <v>19249</v>
      </c>
      <c r="R1221" s="32">
        <f t="shared" si="350"/>
        <v>12</v>
      </c>
      <c r="S1221" s="32"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32">
        <f t="shared" si="351"/>
        <v>1952</v>
      </c>
      <c r="U1221" s="29"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3"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9"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9">
        <v>1248</v>
      </c>
      <c r="Y1221" s="29" t="str">
        <f t="shared" si="356"/>
        <v>['Pio XII', 'Discorso', 'Ai partecipanti al Convegno internazionale dei Cooperatori e delle Cooperatrici Salesiani', 'pixii-dis-', '12 settembre 1952', '12/09/1952', '1952/09/12'],</v>
      </c>
      <c r="Z1221" s="29" t="str">
        <f t="shared" si="357"/>
        <v>Ai partecipanti al Convegno internazionale dei Cooperatori e delle Cooperatrici Salesiani (19249) | Pio XII</v>
      </c>
      <c r="AA1221" s="29" t="str">
        <f t="shared" si="358"/>
        <v>Discorso Ai partecipanti al Convegno internazionale dei Cooperatori e delle Cooperatrici Salesiani</v>
      </c>
      <c r="AB1221" s="29" t="str">
        <f t="shared" si="359"/>
        <v>Discorso Ai partecipanti al Convegno internazionale dei Cooperatori e delle Cooperatrici Salesiani</v>
      </c>
      <c r="AC1221" s="29" t="str">
        <f t="shared" si="360"/>
        <v>Pio XII, Discorso Ai partecipanti al Convegno internazionale dei Cooperatori e delle Cooperatrici Salesiani, 12 settembre 1952</v>
      </c>
      <c r="AD1221" s="29" t="str">
        <f t="shared" si="361"/>
        <v>1952-09-12T08:00:00.000+02:00</v>
      </c>
      <c r="AE1221" s="29" t="str">
        <f t="shared" si="353"/>
        <v>pixii-dis-</v>
      </c>
      <c r="AF1221" s="29" t="str">
        <f t="shared" si="354"/>
        <v>Pio XII - Discorso - Ai partecipanti al Convegno internazionale dei Cooperatori e delle Cooperatrici Salesiani</v>
      </c>
    </row>
    <row r="1222" spans="2:32" x14ac:dyDescent="0.2">
      <c r="B1222" s="29">
        <v>260</v>
      </c>
      <c r="C1222" s="29" t="s">
        <v>4406</v>
      </c>
      <c r="D1222" s="29" t="s">
        <v>715</v>
      </c>
      <c r="E1222" s="29" t="s">
        <v>724</v>
      </c>
      <c r="F1222" s="29" t="s">
        <v>663</v>
      </c>
      <c r="G1222" s="29" t="s">
        <v>659</v>
      </c>
      <c r="H1222" s="29" t="str">
        <f t="shared" si="355"/>
        <v>Pio XII</v>
      </c>
      <c r="K1222" s="29" t="s">
        <v>827</v>
      </c>
      <c r="L1222" s="29" t="str">
        <f t="shared" si="352"/>
        <v>Discorso</v>
      </c>
      <c r="M1222" s="29" t="s">
        <v>566</v>
      </c>
      <c r="O1222" s="29" t="s">
        <v>4907</v>
      </c>
      <c r="Q1222" s="38">
        <v>19273</v>
      </c>
      <c r="R1222" s="32">
        <f t="shared" si="350"/>
        <v>6</v>
      </c>
      <c r="S1222" s="32"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32">
        <f t="shared" si="351"/>
        <v>1952</v>
      </c>
      <c r="U1222" s="29"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3"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9"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9">
        <v>1249</v>
      </c>
      <c r="Y1222" s="29" t="str">
        <f t="shared" si="356"/>
        <v>['Pio XII', 'Discorso', 'Ai membri della Università Popolare Cattolica «Contardo Ferrarini» di Genova', 'pixii-dis-', '06 ottobre 1952', '06/10/1952', '1952/10/06'],</v>
      </c>
      <c r="Z1222" s="29" t="str">
        <f t="shared" si="357"/>
        <v>Ai membri della Università Popolare Cattolica «Contardo Ferrarini» di Genova (19273) | Pio XII</v>
      </c>
      <c r="AA1222" s="29" t="str">
        <f t="shared" si="358"/>
        <v>Discorso Ai membri della Università Popolare Cattolica «Contardo Ferrarini» di Genova</v>
      </c>
      <c r="AB1222" s="29" t="str">
        <f t="shared" si="359"/>
        <v>Discorso Ai membri della Università Popolare Cattolica «Contardo Ferrarini» di Genova</v>
      </c>
      <c r="AC1222" s="29" t="str">
        <f t="shared" si="360"/>
        <v>Pio XII, Discorso Ai membri della Università Popolare Cattolica «Contardo Ferrarini» di Genova, 06 ottobre 1952</v>
      </c>
      <c r="AD1222" s="29" t="str">
        <f t="shared" si="361"/>
        <v>1952-10-06T08:00:00.000+02:00</v>
      </c>
      <c r="AE1222" s="29" t="str">
        <f t="shared" si="353"/>
        <v>pixii-dis-</v>
      </c>
      <c r="AF1222" s="29" t="str">
        <f t="shared" si="354"/>
        <v>Pio XII - Discorso - Ai membri della Università Popolare Cattolica «Contardo Ferrarini» di Genova</v>
      </c>
    </row>
    <row r="1223" spans="2:32" x14ac:dyDescent="0.2">
      <c r="B1223" s="29">
        <v>260</v>
      </c>
      <c r="C1223" s="29" t="s">
        <v>4407</v>
      </c>
      <c r="D1223" s="29" t="s">
        <v>715</v>
      </c>
      <c r="E1223" s="29" t="s">
        <v>724</v>
      </c>
      <c r="F1223" s="29" t="s">
        <v>663</v>
      </c>
      <c r="G1223" s="29" t="s">
        <v>659</v>
      </c>
      <c r="H1223" s="29" t="str">
        <f t="shared" si="355"/>
        <v>Pio XII</v>
      </c>
      <c r="K1223" s="29" t="s">
        <v>827</v>
      </c>
      <c r="L1223" s="29" t="str">
        <f t="shared" si="352"/>
        <v>Discorso</v>
      </c>
      <c r="M1223" s="29" t="s">
        <v>566</v>
      </c>
      <c r="O1223" s="29" t="s">
        <v>4661</v>
      </c>
      <c r="Q1223" s="38">
        <v>19279</v>
      </c>
      <c r="R1223" s="32">
        <f t="shared" si="350"/>
        <v>12</v>
      </c>
      <c r="S1223" s="32"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32">
        <f t="shared" si="351"/>
        <v>1952</v>
      </c>
      <c r="U1223" s="29"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3"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9"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9">
        <v>1250</v>
      </c>
      <c r="Y1223" s="29" t="str">
        <f t="shared" si="356"/>
        <v>['Pio XII', 'Discorso', 'Agli uomini di Azione Cattolica', 'pixii-dis-', '12 ottobre 1952', '12/10/1952', '1952/10/12'],</v>
      </c>
      <c r="Z1223" s="29" t="str">
        <f t="shared" si="357"/>
        <v>Agli uomini di Azione Cattolica (19279) | Pio XII</v>
      </c>
      <c r="AA1223" s="29" t="str">
        <f t="shared" si="358"/>
        <v>Discorso Agli uomini di Azione Cattolica</v>
      </c>
      <c r="AB1223" s="29" t="str">
        <f t="shared" si="359"/>
        <v>Discorso Agli uomini di Azione Cattolica</v>
      </c>
      <c r="AC1223" s="29" t="str">
        <f t="shared" si="360"/>
        <v>Pio XII, Discorso Agli uomini di Azione Cattolica, 12 ottobre 1952</v>
      </c>
      <c r="AD1223" s="29" t="str">
        <f t="shared" si="361"/>
        <v>1952-10-12T08:00:00.000+02:00</v>
      </c>
      <c r="AE1223" s="29" t="str">
        <f t="shared" si="353"/>
        <v>pixii-dis-</v>
      </c>
      <c r="AF1223" s="29" t="str">
        <f t="shared" si="354"/>
        <v>Pio XII - Discorso - Agli uomini di Azione Cattolica</v>
      </c>
    </row>
    <row r="1224" spans="2:32" x14ac:dyDescent="0.2">
      <c r="B1224" s="29">
        <v>260</v>
      </c>
      <c r="C1224" s="29" t="s">
        <v>4408</v>
      </c>
      <c r="D1224" s="29" t="s">
        <v>715</v>
      </c>
      <c r="E1224" s="29" t="s">
        <v>724</v>
      </c>
      <c r="F1224" s="29" t="s">
        <v>663</v>
      </c>
      <c r="G1224" s="29" t="s">
        <v>659</v>
      </c>
      <c r="H1224" s="29" t="str">
        <f t="shared" si="355"/>
        <v>Pio XII</v>
      </c>
      <c r="K1224" s="29" t="s">
        <v>827</v>
      </c>
      <c r="L1224" s="29" t="str">
        <f t="shared" si="352"/>
        <v>Discorso</v>
      </c>
      <c r="M1224" s="29" t="s">
        <v>566</v>
      </c>
      <c r="O1224" s="29" t="s">
        <v>4908</v>
      </c>
      <c r="Q1224" s="38">
        <v>19306</v>
      </c>
      <c r="R1224" s="32">
        <f t="shared" si="350"/>
        <v>8</v>
      </c>
      <c r="S1224" s="32"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32">
        <f t="shared" si="351"/>
        <v>1952</v>
      </c>
      <c r="U1224" s="29"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3"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9"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9">
        <v>1251</v>
      </c>
      <c r="Y1224" s="29" t="str">
        <f t="shared" si="356"/>
        <v>['Pio XII', 'Discorso', 'Ai partecipanti al Congresso Scientifico Nazionale dedicato alle attività ginnico-sportive', 'pixii-dis-', '08 novembre 1952', '08/11/1952', '1952/11/08'],</v>
      </c>
      <c r="Z1224" s="29" t="str">
        <f t="shared" si="357"/>
        <v>Ai partecipanti al Congresso Scientifico Nazionale dedicato alle attività ginnico-sportive (19306) | Pio XII</v>
      </c>
      <c r="AA1224" s="29" t="str">
        <f t="shared" si="358"/>
        <v>Discorso Ai partecipanti al Congresso Scientifico Nazionale dedicato alle attività ginnico-sportive</v>
      </c>
      <c r="AB1224" s="29" t="str">
        <f t="shared" si="359"/>
        <v>Discorso Ai partecipanti al Congresso Scientifico Nazionale dedicato alle attività ginnico-sportive</v>
      </c>
      <c r="AC1224" s="29" t="str">
        <f t="shared" si="360"/>
        <v>Pio XII, Discorso Ai partecipanti al Congresso Scientifico Nazionale dedicato alle attività ginnico-sportive, 08 novembre 1952</v>
      </c>
      <c r="AD1224" s="29" t="str">
        <f t="shared" si="361"/>
        <v>1952-11-08T08:00:00.000+02:00</v>
      </c>
      <c r="AE1224" s="29" t="str">
        <f t="shared" si="353"/>
        <v>pixii-dis-</v>
      </c>
      <c r="AF1224" s="29" t="str">
        <f t="shared" si="354"/>
        <v>Pio XII - Discorso - Ai partecipanti al Congresso Scientifico Nazionale dedicato alle attività ginnico-sportive</v>
      </c>
    </row>
    <row r="1225" spans="2:32" x14ac:dyDescent="0.2">
      <c r="B1225" s="29">
        <v>260</v>
      </c>
      <c r="C1225" s="29" t="s">
        <v>4409</v>
      </c>
      <c r="D1225" s="29" t="s">
        <v>715</v>
      </c>
      <c r="E1225" s="29" t="s">
        <v>724</v>
      </c>
      <c r="F1225" s="29" t="s">
        <v>663</v>
      </c>
      <c r="G1225" s="29" t="s">
        <v>659</v>
      </c>
      <c r="H1225" s="29" t="str">
        <f t="shared" si="355"/>
        <v>Pio XII</v>
      </c>
      <c r="K1225" s="29" t="s">
        <v>827</v>
      </c>
      <c r="L1225" s="29" t="str">
        <f t="shared" si="352"/>
        <v>Discorso</v>
      </c>
      <c r="M1225" s="29" t="s">
        <v>566</v>
      </c>
      <c r="O1225" s="29" t="s">
        <v>4909</v>
      </c>
      <c r="Q1225" s="38">
        <v>19312</v>
      </c>
      <c r="R1225" s="32">
        <f t="shared" si="350"/>
        <v>14</v>
      </c>
      <c r="S1225" s="32"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32">
        <f t="shared" si="351"/>
        <v>1952</v>
      </c>
      <c r="U1225" s="29"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3"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9"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9">
        <v>1252</v>
      </c>
      <c r="Y1225" s="29" t="str">
        <f t="shared" si="356"/>
        <v>['Pio XII', 'Discorso', 'Ai Superiori e agli alunni del Pontificio Collegio di San Giosafat', 'pixii-dis-', '14 novembre 1952', '14/11/1952', '1952/11/14'],</v>
      </c>
      <c r="Z1225" s="29" t="str">
        <f t="shared" si="357"/>
        <v>Ai Superiori e agli alunni del Pontificio Collegio di San Giosafat (19312) | Pio XII</v>
      </c>
      <c r="AA1225" s="29" t="str">
        <f t="shared" si="358"/>
        <v>Discorso Ai Superiori e agli alunni del Pontificio Collegio di San Giosafat</v>
      </c>
      <c r="AB1225" s="29" t="str">
        <f t="shared" si="359"/>
        <v>Discorso Ai Superiori e agli alunni del Pontificio Collegio di San Giosafat</v>
      </c>
      <c r="AC1225" s="29" t="str">
        <f t="shared" si="360"/>
        <v>Pio XII, Discorso Ai Superiori e agli alunni del Pontificio Collegio di San Giosafat, 14 novembre 1952</v>
      </c>
      <c r="AD1225" s="29" t="str">
        <f t="shared" si="361"/>
        <v>1952-11-14T08:00:00.000+02:00</v>
      </c>
      <c r="AE1225" s="29" t="str">
        <f t="shared" si="353"/>
        <v>pixii-dis-</v>
      </c>
      <c r="AF1225" s="29" t="str">
        <f t="shared" si="354"/>
        <v>Pio XII - Discorso - Ai Superiori e agli alunni del Pontificio Collegio di San Giosafat</v>
      </c>
    </row>
    <row r="1226" spans="2:32" x14ac:dyDescent="0.2">
      <c r="B1226" s="29">
        <v>260</v>
      </c>
      <c r="C1226" s="29" t="s">
        <v>4410</v>
      </c>
      <c r="D1226" s="29" t="s">
        <v>715</v>
      </c>
      <c r="E1226" s="29" t="s">
        <v>724</v>
      </c>
      <c r="F1226" s="29" t="s">
        <v>663</v>
      </c>
      <c r="G1226" s="29" t="s">
        <v>659</v>
      </c>
      <c r="H1226" s="29" t="str">
        <f t="shared" si="355"/>
        <v>Pio XII</v>
      </c>
      <c r="K1226" s="29" t="s">
        <v>827</v>
      </c>
      <c r="L1226" s="29" t="str">
        <f t="shared" si="352"/>
        <v>Discorso</v>
      </c>
      <c r="M1226" s="29" t="s">
        <v>566</v>
      </c>
      <c r="O1226" s="29" t="s">
        <v>4910</v>
      </c>
      <c r="Q1226" s="38">
        <v>19321</v>
      </c>
      <c r="R1226" s="32">
        <f t="shared" si="350"/>
        <v>23</v>
      </c>
      <c r="S1226" s="32"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32">
        <f t="shared" si="351"/>
        <v>1952</v>
      </c>
      <c r="U1226" s="29"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3"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9"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9">
        <v>1253</v>
      </c>
      <c r="Y1226" s="29" t="str">
        <f t="shared" si="356"/>
        <v>['Pio XII', 'Discorso', 'Alle iscritte al movimento delle «Oasi»', 'pixii-dis-', '23 novembre 1952', '23/11/1952', '1952/11/23'],</v>
      </c>
      <c r="Z1226" s="29" t="str">
        <f t="shared" si="357"/>
        <v>Alle iscritte al movimento delle «Oasi» (19321) | Pio XII</v>
      </c>
      <c r="AA1226" s="29" t="str">
        <f t="shared" si="358"/>
        <v>Discorso Alle iscritte al movimento delle «Oasi»</v>
      </c>
      <c r="AB1226" s="29" t="str">
        <f t="shared" si="359"/>
        <v>Discorso Alle iscritte al movimento delle «Oasi»</v>
      </c>
      <c r="AC1226" s="29" t="str">
        <f t="shared" si="360"/>
        <v>Pio XII, Discorso Alle iscritte al movimento delle «Oasi», 23 novembre 1952</v>
      </c>
      <c r="AD1226" s="29" t="str">
        <f t="shared" si="361"/>
        <v>1952-11-23T08:00:00.000+02:00</v>
      </c>
      <c r="AE1226" s="29" t="str">
        <f t="shared" si="353"/>
        <v>pixii-dis-</v>
      </c>
      <c r="AF1226" s="29" t="str">
        <f t="shared" si="354"/>
        <v>Pio XII - Discorso - Alle iscritte al movimento delle «Oasi»</v>
      </c>
    </row>
    <row r="1227" spans="2:32" x14ac:dyDescent="0.2">
      <c r="B1227" s="29">
        <v>260</v>
      </c>
      <c r="C1227" s="29" t="s">
        <v>4411</v>
      </c>
      <c r="D1227" s="29" t="s">
        <v>715</v>
      </c>
      <c r="E1227" s="29" t="s">
        <v>724</v>
      </c>
      <c r="F1227" s="29" t="s">
        <v>663</v>
      </c>
      <c r="G1227" s="29" t="s">
        <v>659</v>
      </c>
      <c r="H1227" s="29" t="str">
        <f t="shared" si="355"/>
        <v>Pio XII</v>
      </c>
      <c r="K1227" s="29" t="s">
        <v>827</v>
      </c>
      <c r="L1227" s="29" t="str">
        <f t="shared" si="352"/>
        <v>Discorso</v>
      </c>
      <c r="M1227" s="29" t="s">
        <v>566</v>
      </c>
      <c r="O1227" s="29" t="s">
        <v>4911</v>
      </c>
      <c r="Q1227" s="38">
        <v>19335</v>
      </c>
      <c r="R1227" s="32">
        <f t="shared" si="350"/>
        <v>7</v>
      </c>
      <c r="S1227" s="32"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32">
        <f t="shared" si="351"/>
        <v>1952</v>
      </c>
      <c r="U1227" s="29"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3"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9"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9">
        <v>1254</v>
      </c>
      <c r="Y1227" s="29" t="str">
        <f t="shared" si="356"/>
        <v>['Pio XII', 'Discorso', 'Ai dirigenti e ai soci della primaria Associazione Artistico-Operaia di carità reciproca di Roma', 'pixii-dis-', '07 dicembre 1952', '07/12/1952', '1952/12/07'],</v>
      </c>
      <c r="Z1227" s="29" t="str">
        <f t="shared" si="357"/>
        <v>Ai dirigenti e ai soci della primaria Associazione Artistico-Operaia di carità reciproca di Roma (19335) | Pio XII</v>
      </c>
      <c r="AA1227" s="29" t="str">
        <f t="shared" si="358"/>
        <v>Discorso Ai dirigenti e ai soci della primaria Associazione Artistico-Operaia di carità reciproca di Roma</v>
      </c>
      <c r="AB1227" s="29" t="str">
        <f t="shared" si="359"/>
        <v>Discorso Ai dirigenti e ai soci della primaria Associazione Artistico-Operaia di carità reciproca di Roma</v>
      </c>
      <c r="AC1227" s="29" t="str">
        <f t="shared" si="360"/>
        <v>Pio XII, Discorso Ai dirigenti e ai soci della primaria Associazione Artistico-Operaia di carità reciproca di Roma, 07 dicembre 1952</v>
      </c>
      <c r="AD1227" s="29" t="str">
        <f t="shared" si="361"/>
        <v>1952-12-07T08:00:00.000+02:00</v>
      </c>
      <c r="AE1227" s="29" t="str">
        <f t="shared" si="353"/>
        <v>pixii-dis-</v>
      </c>
      <c r="AF1227" s="29" t="str">
        <f t="shared" si="354"/>
        <v>Pio XII - Discorso - Ai dirigenti e ai soci della primaria Associazione Artistico-Operaia di carità reciproca di Roma</v>
      </c>
    </row>
    <row r="1228" spans="2:32" x14ac:dyDescent="0.2">
      <c r="B1228" s="29">
        <v>260</v>
      </c>
      <c r="C1228" s="29" t="s">
        <v>4412</v>
      </c>
      <c r="D1228" s="29" t="s">
        <v>715</v>
      </c>
      <c r="E1228" s="29" t="s">
        <v>724</v>
      </c>
      <c r="F1228" s="29" t="s">
        <v>663</v>
      </c>
      <c r="G1228" s="29" t="s">
        <v>659</v>
      </c>
      <c r="H1228" s="29" t="str">
        <f t="shared" si="355"/>
        <v>Pio XII</v>
      </c>
      <c r="K1228" s="29" t="s">
        <v>827</v>
      </c>
      <c r="L1228" s="29" t="str">
        <f t="shared" si="352"/>
        <v>Discorso</v>
      </c>
      <c r="M1228" s="29" t="s">
        <v>566</v>
      </c>
      <c r="O1228" s="29" t="s">
        <v>4912</v>
      </c>
      <c r="Q1228" s="38">
        <v>19352</v>
      </c>
      <c r="R1228" s="32">
        <f t="shared" si="350"/>
        <v>24</v>
      </c>
      <c r="S1228" s="32"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32">
        <f t="shared" si="351"/>
        <v>1952</v>
      </c>
      <c r="U1228" s="29"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3"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9"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9">
        <v>1255</v>
      </c>
      <c r="Y1228" s="29" t="str">
        <f t="shared" si="356"/>
        <v>['Pio XII', 'Discorso', 'Radiomessaggio nella solennità del Santo Natale', 'pixii-dis-', '24 dicembre 1952', '24/12/1952', '1952/12/24'],</v>
      </c>
      <c r="Z1228" s="29" t="str">
        <f t="shared" si="357"/>
        <v>Radiomessaggio nella solennità del Santo Natale (19352) | Pio XII</v>
      </c>
      <c r="AA1228" s="29" t="str">
        <f t="shared" si="358"/>
        <v>Discorso Radiomessaggio nella solennità del Santo Natale</v>
      </c>
      <c r="AB1228" s="29" t="str">
        <f t="shared" si="359"/>
        <v>Discorso Radiomessaggio nella solennità del Santo Natale</v>
      </c>
      <c r="AC1228" s="29" t="str">
        <f t="shared" si="360"/>
        <v>Pio XII, Discorso Radiomessaggio nella solennità del Santo Natale, 24 dicembre 1952</v>
      </c>
      <c r="AD1228" s="29" t="str">
        <f t="shared" si="361"/>
        <v>1952-12-24T08:00:00.000+02:00</v>
      </c>
      <c r="AE1228" s="29" t="str">
        <f t="shared" si="353"/>
        <v>pixii-dis-</v>
      </c>
      <c r="AF1228" s="29" t="str">
        <f t="shared" si="354"/>
        <v>Pio XII - Discorso - Radiomessaggio nella solennità del Santo Natale</v>
      </c>
    </row>
    <row r="1229" spans="2:32" x14ac:dyDescent="0.2">
      <c r="B1229" s="29">
        <v>260</v>
      </c>
      <c r="C1229" s="29" t="s">
        <v>4413</v>
      </c>
      <c r="D1229" s="29" t="s">
        <v>715</v>
      </c>
      <c r="E1229" s="29" t="s">
        <v>724</v>
      </c>
      <c r="F1229" s="29" t="s">
        <v>663</v>
      </c>
      <c r="G1229" s="29" t="s">
        <v>659</v>
      </c>
      <c r="H1229" s="29" t="str">
        <f t="shared" si="355"/>
        <v>Pio XII</v>
      </c>
      <c r="K1229" s="29" t="s">
        <v>827</v>
      </c>
      <c r="L1229" s="29" t="str">
        <f t="shared" si="352"/>
        <v>Discorso</v>
      </c>
      <c r="M1229" s="29" t="s">
        <v>566</v>
      </c>
      <c r="O1229" s="29" t="s">
        <v>4913</v>
      </c>
      <c r="Q1229" s="38">
        <v>19370</v>
      </c>
      <c r="R1229" s="32">
        <f t="shared" si="350"/>
        <v>11</v>
      </c>
      <c r="S1229" s="32"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32">
        <f t="shared" si="351"/>
        <v>1953</v>
      </c>
      <c r="U1229" s="29"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3"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9"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9">
        <v>1256</v>
      </c>
      <c r="Y1229" s="29" t="str">
        <f t="shared" si="356"/>
        <v>['Pio XII', 'Discorso', 'Nel ventennio della parrocchia di San Saba in Roma', 'pixii-dis-', '11 gennaio 1953', '11/01/1953', '1953/01/11'],</v>
      </c>
      <c r="Z1229" s="29" t="str">
        <f t="shared" si="357"/>
        <v>Nel ventennio della parrocchia di San Saba in Roma (19370) | Pio XII</v>
      </c>
      <c r="AA1229" s="29" t="str">
        <f t="shared" si="358"/>
        <v>Discorso Nel ventennio della parrocchia di San Saba in Roma</v>
      </c>
      <c r="AB1229" s="29" t="str">
        <f t="shared" si="359"/>
        <v>Discorso Nel ventennio della parrocchia di San Saba in Roma</v>
      </c>
      <c r="AC1229" s="29" t="str">
        <f t="shared" si="360"/>
        <v>Pio XII, Discorso Nel ventennio della parrocchia di San Saba in Roma, 11 gennaio 1953</v>
      </c>
      <c r="AD1229" s="29" t="str">
        <f t="shared" si="361"/>
        <v>1953-01-11T08:00:00.000+02:00</v>
      </c>
      <c r="AE1229" s="29" t="str">
        <f t="shared" si="353"/>
        <v>pixii-dis-</v>
      </c>
      <c r="AF1229" s="29" t="str">
        <f t="shared" si="354"/>
        <v>Pio XII - Discorso - Nel ventennio della parrocchia di San Saba in Roma</v>
      </c>
    </row>
    <row r="1230" spans="2:32" x14ac:dyDescent="0.2">
      <c r="B1230" s="29">
        <v>260</v>
      </c>
      <c r="C1230" s="29" t="s">
        <v>4414</v>
      </c>
      <c r="D1230" s="29" t="s">
        <v>715</v>
      </c>
      <c r="E1230" s="29" t="s">
        <v>724</v>
      </c>
      <c r="F1230" s="29" t="s">
        <v>663</v>
      </c>
      <c r="G1230" s="29" t="s">
        <v>659</v>
      </c>
      <c r="H1230" s="29" t="str">
        <f t="shared" si="355"/>
        <v>Pio XII</v>
      </c>
      <c r="K1230" s="29" t="s">
        <v>827</v>
      </c>
      <c r="L1230" s="29" t="str">
        <f t="shared" si="352"/>
        <v>Discorso</v>
      </c>
      <c r="M1230" s="29" t="s">
        <v>566</v>
      </c>
      <c r="O1230" s="29" t="s">
        <v>4914</v>
      </c>
      <c r="Q1230" s="38">
        <v>19437</v>
      </c>
      <c r="R1230" s="32">
        <f t="shared" si="350"/>
        <v>19</v>
      </c>
      <c r="S1230" s="32"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32">
        <f t="shared" si="351"/>
        <v>1953</v>
      </c>
      <c r="U1230" s="29"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3"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9"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9">
        <v>1257</v>
      </c>
      <c r="Y1230" s="29" t="str">
        <f t="shared" si="356"/>
        <v>['Pio XII', 'Discorso', 'Agli insegnanti e agli allievi adulti delle Scuole di educazione popolare', 'pixii-dis-', '19 marzo 1953', '19/03/1953', '1953/03/19'],</v>
      </c>
      <c r="Z1230" s="29" t="str">
        <f t="shared" si="357"/>
        <v>Agli insegnanti e agli allievi adulti delle Scuole di educazione popolare (19437) | Pio XII</v>
      </c>
      <c r="AA1230" s="29" t="str">
        <f t="shared" si="358"/>
        <v>Discorso Agli insegnanti e agli allievi adulti delle Scuole di educazione popolare</v>
      </c>
      <c r="AB1230" s="29" t="str">
        <f t="shared" si="359"/>
        <v>Discorso Agli insegnanti e agli allievi adulti delle Scuole di educazione popolare</v>
      </c>
      <c r="AC1230" s="29" t="str">
        <f t="shared" si="360"/>
        <v>Pio XII, Discorso Agli insegnanti e agli allievi adulti delle Scuole di educazione popolare, 19 marzo 1953</v>
      </c>
      <c r="AD1230" s="29" t="str">
        <f t="shared" si="361"/>
        <v>1953-03-19T08:00:00.000+02:00</v>
      </c>
      <c r="AE1230" s="29" t="str">
        <f t="shared" si="353"/>
        <v>pixii-dis-</v>
      </c>
      <c r="AF1230" s="29" t="str">
        <f t="shared" si="354"/>
        <v>Pio XII - Discorso - Agli insegnanti e agli allievi adulti delle Scuole di educazione popolare</v>
      </c>
    </row>
    <row r="1231" spans="2:32" x14ac:dyDescent="0.2">
      <c r="B1231" s="29">
        <v>260</v>
      </c>
      <c r="C1231" s="29" t="s">
        <v>4415</v>
      </c>
      <c r="D1231" s="29" t="s">
        <v>715</v>
      </c>
      <c r="E1231" s="29" t="s">
        <v>724</v>
      </c>
      <c r="F1231" s="29" t="s">
        <v>663</v>
      </c>
      <c r="G1231" s="29" t="s">
        <v>659</v>
      </c>
      <c r="H1231" s="29" t="str">
        <f t="shared" si="355"/>
        <v>Pio XII</v>
      </c>
      <c r="K1231" s="29" t="s">
        <v>827</v>
      </c>
      <c r="L1231" s="29" t="str">
        <f t="shared" si="352"/>
        <v>Discorso</v>
      </c>
      <c r="M1231" s="29" t="s">
        <v>566</v>
      </c>
      <c r="O1231" s="29" t="s">
        <v>4915</v>
      </c>
      <c r="Q1231" s="38">
        <v>19440</v>
      </c>
      <c r="R1231" s="32">
        <f t="shared" si="350"/>
        <v>22</v>
      </c>
      <c r="S1231" s="32"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32">
        <f t="shared" si="351"/>
        <v>1953</v>
      </c>
      <c r="U1231" s="29"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3"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9"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9">
        <v>1258</v>
      </c>
      <c r="Y1231" s="29" t="str">
        <f t="shared" si="356"/>
        <v>['Pio XII', 'Discorso', 'Ai «Coltivatori Diretti» d'Italia', 'pixii-dis-', '22 marzo 1953', '22/03/1953', '1953/03/22'],</v>
      </c>
      <c r="Z1231" s="29" t="str">
        <f t="shared" si="357"/>
        <v>Ai «Coltivatori Diretti» d'Italia (19440) | Pio XII</v>
      </c>
      <c r="AA1231" s="29" t="str">
        <f t="shared" si="358"/>
        <v>Discorso Ai «Coltivatori Diretti» d'Italia</v>
      </c>
      <c r="AB1231" s="29" t="str">
        <f t="shared" si="359"/>
        <v>Discorso Ai «Coltivatori Diretti» d'Italia</v>
      </c>
      <c r="AC1231" s="29" t="str">
        <f t="shared" si="360"/>
        <v>Pio XII, Discorso Ai «Coltivatori Diretti» d'Italia, 22 marzo 1953</v>
      </c>
      <c r="AD1231" s="29" t="str">
        <f t="shared" si="361"/>
        <v>1953-03-22T08:00:00.000+02:00</v>
      </c>
      <c r="AE1231" s="29" t="str">
        <f t="shared" si="353"/>
        <v>pixii-dis-</v>
      </c>
      <c r="AF1231" s="29" t="str">
        <f t="shared" si="354"/>
        <v>Pio XII - Discorso - Ai «Coltivatori Diretti» d'Italia</v>
      </c>
    </row>
    <row r="1232" spans="2:32" x14ac:dyDescent="0.2">
      <c r="B1232" s="29">
        <v>260</v>
      </c>
      <c r="C1232" s="29" t="s">
        <v>4416</v>
      </c>
      <c r="D1232" s="29" t="s">
        <v>715</v>
      </c>
      <c r="E1232" s="29" t="s">
        <v>724</v>
      </c>
      <c r="F1232" s="29" t="s">
        <v>663</v>
      </c>
      <c r="G1232" s="29" t="s">
        <v>659</v>
      </c>
      <c r="H1232" s="29" t="str">
        <f t="shared" si="355"/>
        <v>Pio XII</v>
      </c>
      <c r="K1232" s="29" t="s">
        <v>827</v>
      </c>
      <c r="L1232" s="29" t="str">
        <f t="shared" si="352"/>
        <v>Discorso</v>
      </c>
      <c r="M1232" s="29" t="s">
        <v>566</v>
      </c>
      <c r="O1232" s="29" t="s">
        <v>3127</v>
      </c>
      <c r="Q1232" s="38">
        <v>19445</v>
      </c>
      <c r="R1232" s="32">
        <f t="shared" si="350"/>
        <v>27</v>
      </c>
      <c r="S1232" s="32"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32">
        <f t="shared" si="351"/>
        <v>1953</v>
      </c>
      <c r="U1232" s="29"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3"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9"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9">
        <v>1259</v>
      </c>
      <c r="Y1232" s="29" t="str">
        <f t="shared" si="356"/>
        <v>['Pio XII', 'Discorso', 'Ai parroci e ai predicatori quaresimalisti di Roma', 'pixii-dis-', '27 marzo 1953', '27/03/1953', '1953/03/27'],</v>
      </c>
      <c r="Z1232" s="29" t="str">
        <f t="shared" si="357"/>
        <v>Ai parroci e ai predicatori quaresimalisti di Roma (19445) | Pio XII</v>
      </c>
      <c r="AA1232" s="29" t="str">
        <f t="shared" si="358"/>
        <v>Discorso Ai parroci e ai predicatori quaresimalisti di Roma</v>
      </c>
      <c r="AB1232" s="29" t="str">
        <f t="shared" si="359"/>
        <v>Discorso Ai parroci e ai predicatori quaresimalisti di Roma</v>
      </c>
      <c r="AC1232" s="29" t="str">
        <f t="shared" si="360"/>
        <v>Pio XII, Discorso Ai parroci e ai predicatori quaresimalisti di Roma, 27 marzo 1953</v>
      </c>
      <c r="AD1232" s="29" t="str">
        <f t="shared" si="361"/>
        <v>1953-03-27T08:00:00.000+02:00</v>
      </c>
      <c r="AE1232" s="29" t="str">
        <f t="shared" si="353"/>
        <v>pixii-dis-</v>
      </c>
      <c r="AF1232" s="29" t="str">
        <f t="shared" si="354"/>
        <v>Pio XII - Discorso - Ai parroci e ai predicatori quaresimalisti di Roma</v>
      </c>
    </row>
    <row r="1233" spans="2:32" x14ac:dyDescent="0.2">
      <c r="B1233" s="29">
        <v>260</v>
      </c>
      <c r="C1233" s="29" t="s">
        <v>4417</v>
      </c>
      <c r="D1233" s="29" t="s">
        <v>715</v>
      </c>
      <c r="E1233" s="29" t="s">
        <v>724</v>
      </c>
      <c r="F1233" s="29" t="s">
        <v>663</v>
      </c>
      <c r="G1233" s="29" t="s">
        <v>659</v>
      </c>
      <c r="H1233" s="29" t="str">
        <f t="shared" si="355"/>
        <v>Pio XII</v>
      </c>
      <c r="K1233" s="29" t="s">
        <v>827</v>
      </c>
      <c r="L1233" s="29" t="str">
        <f t="shared" si="352"/>
        <v>Discorso</v>
      </c>
      <c r="M1233" s="29" t="s">
        <v>566</v>
      </c>
      <c r="O1233" s="29" t="s">
        <v>4916</v>
      </c>
      <c r="Q1233" s="38">
        <v>19459</v>
      </c>
      <c r="R1233" s="32">
        <f t="shared" si="350"/>
        <v>10</v>
      </c>
      <c r="S1233" s="32"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32">
        <f t="shared" si="351"/>
        <v>1953</v>
      </c>
      <c r="U1233" s="29"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3"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9"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9">
        <v>1260</v>
      </c>
      <c r="Y1233" s="29" t="str">
        <f t="shared" si="356"/>
        <v>['Pio XII', 'Discorso', 'Agli studenti della Federazione Universitaria Cattolica Italiana dei Gruppi - F.U.C.I.', 'pixii-dis-', '10 aprile 1953', '10/04/1953', '1953/04/10'],</v>
      </c>
      <c r="Z1233" s="29" t="str">
        <f t="shared" si="357"/>
        <v>Agli studenti della Federazione Universitaria Cattolica Italiana dei Gruppi - F.U.C.I. (19459) | Pio XII</v>
      </c>
      <c r="AA1233" s="29" t="str">
        <f t="shared" si="358"/>
        <v>Discorso Agli studenti della Federazione Universitaria Cattolica Italiana dei Gruppi - F.U.C.I.</v>
      </c>
      <c r="AB1233" s="29" t="str">
        <f t="shared" si="359"/>
        <v>Discorso Agli studenti della Federazione Universitaria Cattolica Italiana dei Gruppi - F.U.C.I.</v>
      </c>
      <c r="AC1233" s="29" t="str">
        <f t="shared" si="360"/>
        <v>Pio XII, Discorso Agli studenti della Federazione Universitaria Cattolica Italiana dei Gruppi - F.U.C.I., 10 aprile 1953</v>
      </c>
      <c r="AD1233" s="29" t="str">
        <f t="shared" si="361"/>
        <v>1953-04-10T08:00:00.000+02:00</v>
      </c>
      <c r="AE1233" s="29" t="str">
        <f t="shared" si="353"/>
        <v>pixii-dis-</v>
      </c>
      <c r="AF1233" s="29" t="str">
        <f t="shared" si="354"/>
        <v>Pio XII - Discorso - Agli studenti della Federazione Universitaria Cattolica Italiana dei Gruppi - F.U.C.I.</v>
      </c>
    </row>
    <row r="1234" spans="2:32" x14ac:dyDescent="0.2">
      <c r="B1234" s="29">
        <v>260</v>
      </c>
      <c r="C1234" s="29" t="s">
        <v>4418</v>
      </c>
      <c r="D1234" s="29" t="s">
        <v>715</v>
      </c>
      <c r="E1234" s="29" t="s">
        <v>724</v>
      </c>
      <c r="F1234" s="29" t="s">
        <v>663</v>
      </c>
      <c r="G1234" s="29" t="s">
        <v>659</v>
      </c>
      <c r="H1234" s="29" t="str">
        <f t="shared" si="355"/>
        <v>Pio XII</v>
      </c>
      <c r="K1234" s="29" t="s">
        <v>827</v>
      </c>
      <c r="L1234" s="29" t="str">
        <f t="shared" si="352"/>
        <v>Discorso</v>
      </c>
      <c r="M1234" s="29" t="s">
        <v>566</v>
      </c>
      <c r="O1234" s="29" t="s">
        <v>4917</v>
      </c>
      <c r="Q1234" s="38">
        <v>19463</v>
      </c>
      <c r="R1234" s="32">
        <f t="shared" ref="R1234:R1297" si="362">IF(ISERROR(DAY(Q1234)),TEXT((LEFT(Q1234,2)),"00"),DAY(Q1234))</f>
        <v>14</v>
      </c>
      <c r="S1234" s="32"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32">
        <f t="shared" ref="T1234:T1297" si="363">IF(ISERROR(DAY(Q1234)),VALUE(RIGHT(Q1234,4)),YEAR(Q1234))</f>
        <v>1953</v>
      </c>
      <c r="U1234" s="29"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3"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9"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9">
        <v>1261</v>
      </c>
      <c r="Y1234" s="29" t="str">
        <f t="shared" si="356"/>
        <v>['Pio XII', 'Discorso', 'Ad un gruppo di appartenenti ai Comitati Civici', 'pixii-dis-', '14 aprile 1953', '14/04/1953', '1953/04/14'],</v>
      </c>
      <c r="Z1234" s="29" t="str">
        <f t="shared" si="357"/>
        <v>Ad un gruppo di appartenenti ai Comitati Civici (19463) | Pio XII</v>
      </c>
      <c r="AA1234" s="29" t="str">
        <f t="shared" si="358"/>
        <v>Discorso Ad un gruppo di appartenenti ai Comitati Civici</v>
      </c>
      <c r="AB1234" s="29" t="str">
        <f t="shared" si="359"/>
        <v>Discorso Ad un gruppo di appartenenti ai Comitati Civici</v>
      </c>
      <c r="AC1234" s="29" t="str">
        <f t="shared" si="360"/>
        <v>Pio XII, Discorso Ad un gruppo di appartenenti ai Comitati Civici, 14 aprile 1953</v>
      </c>
      <c r="AD1234" s="29" t="str">
        <f t="shared" si="361"/>
        <v>1953-04-14T08:00:00.000+02:00</v>
      </c>
      <c r="AE1234" s="29" t="str">
        <f t="shared" si="353"/>
        <v>pixii-dis-</v>
      </c>
      <c r="AF1234" s="29" t="str">
        <f t="shared" si="354"/>
        <v>Pio XII - Discorso - Ad un gruppo di appartenenti ai Comitati Civici</v>
      </c>
    </row>
    <row r="1235" spans="2:32" x14ac:dyDescent="0.2">
      <c r="B1235" s="29">
        <v>260</v>
      </c>
      <c r="C1235" s="29" t="s">
        <v>4419</v>
      </c>
      <c r="D1235" s="29" t="s">
        <v>715</v>
      </c>
      <c r="E1235" s="29" t="s">
        <v>724</v>
      </c>
      <c r="F1235" s="29" t="s">
        <v>663</v>
      </c>
      <c r="G1235" s="29" t="s">
        <v>659</v>
      </c>
      <c r="H1235" s="29" t="str">
        <f t="shared" si="355"/>
        <v>Pio XII</v>
      </c>
      <c r="K1235" s="29" t="s">
        <v>827</v>
      </c>
      <c r="L1235" s="29" t="str">
        <f t="shared" si="352"/>
        <v>Discorso</v>
      </c>
      <c r="M1235" s="29" t="s">
        <v>566</v>
      </c>
      <c r="O1235" s="29" t="s">
        <v>4918</v>
      </c>
      <c r="Q1235" s="38">
        <v>19468</v>
      </c>
      <c r="R1235" s="32">
        <f t="shared" si="362"/>
        <v>19</v>
      </c>
      <c r="S1235" s="32"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32">
        <f t="shared" si="363"/>
        <v>1953</v>
      </c>
      <c r="U1235" s="29"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3"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9"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9">
        <v>1262</v>
      </c>
      <c r="Y1235" s="29" t="str">
        <f t="shared" si="356"/>
        <v>['Pio XII', 'Discorso', 'Ai ragazzi del «Borgo don Bosco»', 'pixii-dis-', '19 aprile 1953', '19/04/1953', '1953/04/19'],</v>
      </c>
      <c r="Z1235" s="29" t="str">
        <f t="shared" si="357"/>
        <v>Ai ragazzi del «Borgo don Bosco» (19468) | Pio XII</v>
      </c>
      <c r="AA1235" s="29" t="str">
        <f t="shared" si="358"/>
        <v>Discorso Ai ragazzi del «Borgo don Bosco»</v>
      </c>
      <c r="AB1235" s="29" t="str">
        <f t="shared" si="359"/>
        <v>Discorso Ai ragazzi del «Borgo don Bosco»</v>
      </c>
      <c r="AC1235" s="29" t="str">
        <f t="shared" si="360"/>
        <v>Pio XII, Discorso Ai ragazzi del «Borgo don Bosco», 19 aprile 1953</v>
      </c>
      <c r="AD1235" s="29" t="str">
        <f t="shared" si="361"/>
        <v>1953-04-19T08:00:00.000+02:00</v>
      </c>
      <c r="AE1235" s="29" t="str">
        <f t="shared" si="353"/>
        <v>pixii-dis-</v>
      </c>
      <c r="AF1235" s="29" t="str">
        <f t="shared" si="354"/>
        <v>Pio XII - Discorso - Ai ragazzi del «Borgo don Bosco»</v>
      </c>
    </row>
    <row r="1236" spans="2:32" x14ac:dyDescent="0.2">
      <c r="B1236" s="29">
        <v>260</v>
      </c>
      <c r="C1236" s="29" t="s">
        <v>4420</v>
      </c>
      <c r="D1236" s="29" t="s">
        <v>715</v>
      </c>
      <c r="E1236" s="29" t="s">
        <v>724</v>
      </c>
      <c r="F1236" s="29" t="s">
        <v>663</v>
      </c>
      <c r="G1236" s="29" t="s">
        <v>659</v>
      </c>
      <c r="H1236" s="29" t="str">
        <f t="shared" si="355"/>
        <v>Pio XII</v>
      </c>
      <c r="K1236" s="29" t="s">
        <v>827</v>
      </c>
      <c r="L1236" s="29" t="str">
        <f t="shared" si="352"/>
        <v>Discorso</v>
      </c>
      <c r="M1236" s="29" t="s">
        <v>566</v>
      </c>
      <c r="O1236" s="29" t="s">
        <v>4919</v>
      </c>
      <c r="Q1236" s="38">
        <v>19470</v>
      </c>
      <c r="R1236" s="32">
        <f t="shared" si="362"/>
        <v>21</v>
      </c>
      <c r="S1236" s="32"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32">
        <f t="shared" si="363"/>
        <v>1953</v>
      </c>
      <c r="U1236" s="29"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3"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9"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9">
        <v>1263</v>
      </c>
      <c r="Y1236" s="29" t="str">
        <f t="shared" si="356"/>
        <v>['Pio XII', 'Discorso', 'Ai premiati negli «Incontri della gioventù» promossi dalla fondazione dei premi Roma per le Arti', 'pixii-dis-', '21 aprile 1953', '21/04/1953', '1953/04/21'],</v>
      </c>
      <c r="Z1236" s="29" t="str">
        <f t="shared" si="357"/>
        <v>Ai premiati negli «Incontri della gioventù» promossi dalla fondazione dei premi Roma per le Arti (19470) | Pio XII</v>
      </c>
      <c r="AA1236" s="29" t="str">
        <f t="shared" si="358"/>
        <v>Discorso Ai premiati negli «Incontri della gioventù» promossi dalla fondazione dei premi Roma per le Arti</v>
      </c>
      <c r="AB1236" s="29" t="str">
        <f t="shared" si="359"/>
        <v>Discorso Ai premiati negli «Incontri della gioventù» promossi dalla fondazione dei premi Roma per le Arti</v>
      </c>
      <c r="AC1236" s="29" t="str">
        <f t="shared" si="360"/>
        <v>Pio XII, Discorso Ai premiati negli «Incontri della gioventù» promossi dalla fondazione dei premi Roma per le Arti, 21 aprile 1953</v>
      </c>
      <c r="AD1236" s="29" t="str">
        <f t="shared" si="361"/>
        <v>1953-04-21T08:00:00.000+02:00</v>
      </c>
      <c r="AE1236" s="29" t="str">
        <f t="shared" si="353"/>
        <v>pixii-dis-</v>
      </c>
      <c r="AF1236" s="29" t="str">
        <f t="shared" si="354"/>
        <v>Pio XII - Discorso - Ai premiati negli «Incontri della gioventù» promossi dalla fondazione dei premi Roma per le Arti</v>
      </c>
    </row>
    <row r="1237" spans="2:32" x14ac:dyDescent="0.2">
      <c r="B1237" s="29">
        <v>260</v>
      </c>
      <c r="C1237" s="29" t="s">
        <v>4421</v>
      </c>
      <c r="D1237" s="29" t="s">
        <v>715</v>
      </c>
      <c r="E1237" s="29" t="s">
        <v>724</v>
      </c>
      <c r="F1237" s="29" t="s">
        <v>663</v>
      </c>
      <c r="G1237" s="29" t="s">
        <v>659</v>
      </c>
      <c r="H1237" s="29" t="str">
        <f t="shared" si="355"/>
        <v>Pio XII</v>
      </c>
      <c r="K1237" s="29" t="s">
        <v>827</v>
      </c>
      <c r="L1237" s="29" t="str">
        <f t="shared" si="352"/>
        <v>Discorso</v>
      </c>
      <c r="M1237" s="29" t="s">
        <v>566</v>
      </c>
      <c r="O1237" s="29" t="s">
        <v>4920</v>
      </c>
      <c r="Q1237" s="38">
        <v>19475</v>
      </c>
      <c r="R1237" s="32">
        <f t="shared" si="362"/>
        <v>26</v>
      </c>
      <c r="S1237" s="32"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32">
        <f t="shared" si="363"/>
        <v>1953</v>
      </c>
      <c r="U1237" s="29"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3"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9"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9">
        <v>1264</v>
      </c>
      <c r="Y1237" s="29" t="str">
        <f t="shared" si="356"/>
        <v>['Pio XII', 'Discorso', 'Alle partecipanti al I Convegno Nazionale delle Coltivatrici e lavoratrici del Tabacco', 'pixii-dis-', '26 aprile 1953', '26/04/1953', '1953/04/26'],</v>
      </c>
      <c r="Z1237" s="29" t="str">
        <f t="shared" si="357"/>
        <v>Alle partecipanti al I Convegno Nazionale delle Coltivatrici e lavoratrici del Tabacco (19475) | Pio XII</v>
      </c>
      <c r="AA1237" s="29" t="str">
        <f t="shared" si="358"/>
        <v>Discorso Alle partecipanti al I Convegno Nazionale delle Coltivatrici e lavoratrici del Tabacco</v>
      </c>
      <c r="AB1237" s="29" t="str">
        <f t="shared" si="359"/>
        <v>Discorso Alle partecipanti al I Convegno Nazionale delle Coltivatrici e lavoratrici del Tabacco</v>
      </c>
      <c r="AC1237" s="29" t="str">
        <f t="shared" si="360"/>
        <v>Pio XII, Discorso Alle partecipanti al I Convegno Nazionale delle Coltivatrici e lavoratrici del Tabacco, 26 aprile 1953</v>
      </c>
      <c r="AD1237" s="29" t="str">
        <f t="shared" si="361"/>
        <v>1953-04-26T08:00:00.000+02:00</v>
      </c>
      <c r="AE1237" s="29" t="str">
        <f t="shared" si="353"/>
        <v>pixii-dis-</v>
      </c>
      <c r="AF1237" s="29" t="str">
        <f t="shared" si="354"/>
        <v>Pio XII - Discorso - Alle partecipanti al I Convegno Nazionale delle Coltivatrici e lavoratrici del Tabacco</v>
      </c>
    </row>
    <row r="1238" spans="2:32" x14ac:dyDescent="0.2">
      <c r="B1238" s="29">
        <v>260</v>
      </c>
      <c r="C1238" s="29" t="s">
        <v>4422</v>
      </c>
      <c r="D1238" s="29" t="s">
        <v>715</v>
      </c>
      <c r="E1238" s="29" t="s">
        <v>724</v>
      </c>
      <c r="F1238" s="29" t="s">
        <v>663</v>
      </c>
      <c r="G1238" s="29" t="s">
        <v>659</v>
      </c>
      <c r="H1238" s="29" t="str">
        <f t="shared" si="355"/>
        <v>Pio XII</v>
      </c>
      <c r="K1238" s="29" t="s">
        <v>827</v>
      </c>
      <c r="L1238" s="29" t="str">
        <f t="shared" si="352"/>
        <v>Discorso</v>
      </c>
      <c r="M1238" s="29" t="s">
        <v>566</v>
      </c>
      <c r="O1238" s="29" t="s">
        <v>4921</v>
      </c>
      <c r="Q1238" s="38">
        <v>19480</v>
      </c>
      <c r="R1238" s="32">
        <f t="shared" si="362"/>
        <v>1</v>
      </c>
      <c r="S1238" s="32"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32">
        <f t="shared" si="363"/>
        <v>1953</v>
      </c>
      <c r="U1238" s="29"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3"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9"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9">
        <v>1265</v>
      </c>
      <c r="Y1238" s="29" t="str">
        <f t="shared" si="356"/>
        <v>['Pio XII', 'Discorso', 'A diversi gruppi di lavoratori', 'pixii-dis-', '01 maggio 1953', '01/05/1953', '1953/05/01'],</v>
      </c>
      <c r="Z1238" s="29" t="str">
        <f t="shared" si="357"/>
        <v>A diversi gruppi di lavoratori (19480) | Pio XII</v>
      </c>
      <c r="AA1238" s="29" t="str">
        <f t="shared" si="358"/>
        <v>Discorso A diversi gruppi di lavoratori</v>
      </c>
      <c r="AB1238" s="29" t="str">
        <f t="shared" si="359"/>
        <v>Discorso A diversi gruppi di lavoratori</v>
      </c>
      <c r="AC1238" s="29" t="str">
        <f t="shared" si="360"/>
        <v>Pio XII, Discorso A diversi gruppi di lavoratori, 01 maggio 1953</v>
      </c>
      <c r="AD1238" s="29" t="str">
        <f t="shared" si="361"/>
        <v>1953-05-01T08:00:00.000+02:00</v>
      </c>
      <c r="AE1238" s="29" t="str">
        <f t="shared" si="353"/>
        <v>pixii-dis-</v>
      </c>
      <c r="AF1238" s="29" t="str">
        <f t="shared" si="354"/>
        <v>Pio XII - Discorso - A diversi gruppi di lavoratori</v>
      </c>
    </row>
    <row r="1239" spans="2:32" x14ac:dyDescent="0.2">
      <c r="B1239" s="29">
        <v>260</v>
      </c>
      <c r="C1239" s="29" t="s">
        <v>4423</v>
      </c>
      <c r="D1239" s="29" t="s">
        <v>715</v>
      </c>
      <c r="E1239" s="29" t="s">
        <v>724</v>
      </c>
      <c r="F1239" s="29" t="s">
        <v>663</v>
      </c>
      <c r="G1239" s="29" t="s">
        <v>659</v>
      </c>
      <c r="H1239" s="29" t="str">
        <f t="shared" si="355"/>
        <v>Pio XII</v>
      </c>
      <c r="K1239" s="29" t="s">
        <v>827</v>
      </c>
      <c r="L1239" s="29" t="str">
        <f t="shared" si="352"/>
        <v>Discorso</v>
      </c>
      <c r="M1239" s="29" t="s">
        <v>566</v>
      </c>
      <c r="O1239" s="29" t="s">
        <v>4922</v>
      </c>
      <c r="Q1239" s="38">
        <v>19485</v>
      </c>
      <c r="R1239" s="32">
        <f t="shared" si="362"/>
        <v>6</v>
      </c>
      <c r="S1239" s="32"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32">
        <f t="shared" si="363"/>
        <v>1953</v>
      </c>
      <c r="U1239" s="29"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3"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9"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9">
        <v>1266</v>
      </c>
      <c r="Y1239" s="29" t="str">
        <f t="shared" si="356"/>
        <v>['Pio XII', 'Discorso', 'Al personale degli uffici del lavoro', 'pixii-dis-', '06 maggio 1953', '06/05/1953', '1953/05/06'],</v>
      </c>
      <c r="Z1239" s="29" t="str">
        <f t="shared" si="357"/>
        <v>Al personale degli uffici del lavoro (19485) | Pio XII</v>
      </c>
      <c r="AA1239" s="29" t="str">
        <f t="shared" si="358"/>
        <v>Discorso Al personale degli uffici del lavoro</v>
      </c>
      <c r="AB1239" s="29" t="str">
        <f t="shared" si="359"/>
        <v>Discorso Al personale degli uffici del lavoro</v>
      </c>
      <c r="AC1239" s="29" t="str">
        <f t="shared" si="360"/>
        <v>Pio XII, Discorso Al personale degli uffici del lavoro, 06 maggio 1953</v>
      </c>
      <c r="AD1239" s="29" t="str">
        <f t="shared" si="361"/>
        <v>1953-05-06T08:00:00.000+02:00</v>
      </c>
      <c r="AE1239" s="29" t="str">
        <f t="shared" si="353"/>
        <v>pixii-dis-</v>
      </c>
      <c r="AF1239" s="29" t="str">
        <f t="shared" si="354"/>
        <v>Pio XII - Discorso - Al personale degli uffici del lavoro</v>
      </c>
    </row>
    <row r="1240" spans="2:32" x14ac:dyDescent="0.2">
      <c r="B1240" s="29">
        <v>260</v>
      </c>
      <c r="C1240" s="29" t="s">
        <v>4424</v>
      </c>
      <c r="D1240" s="29" t="s">
        <v>715</v>
      </c>
      <c r="E1240" s="29" t="s">
        <v>724</v>
      </c>
      <c r="F1240" s="29" t="s">
        <v>663</v>
      </c>
      <c r="G1240" s="29" t="s">
        <v>659</v>
      </c>
      <c r="H1240" s="29" t="str">
        <f t="shared" si="355"/>
        <v>Pio XII</v>
      </c>
      <c r="K1240" s="29" t="s">
        <v>827</v>
      </c>
      <c r="L1240" s="29" t="str">
        <f t="shared" si="352"/>
        <v>Discorso</v>
      </c>
      <c r="M1240" s="29" t="s">
        <v>566</v>
      </c>
      <c r="O1240" s="29" t="s">
        <v>4923</v>
      </c>
      <c r="Q1240" s="38">
        <v>19489</v>
      </c>
      <c r="R1240" s="32">
        <f t="shared" si="362"/>
        <v>10</v>
      </c>
      <c r="S1240" s="32"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32">
        <f t="shared" si="363"/>
        <v>1953</v>
      </c>
      <c r="U1240" s="29"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3"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9"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9">
        <v>1267</v>
      </c>
      <c r="Y1240" s="29" t="str">
        <f t="shared" si="356"/>
        <v>['Pio XII', 'Discorso', 'Ai dipendenti statali e parastatali di Roma', 'pixii-dis-', '10 maggio 1953', '10/05/1953', '1953/05/10'],</v>
      </c>
      <c r="Z1240" s="29" t="str">
        <f t="shared" si="357"/>
        <v>Ai dipendenti statali e parastatali di Roma (19489) | Pio XII</v>
      </c>
      <c r="AA1240" s="29" t="str">
        <f t="shared" si="358"/>
        <v>Discorso Ai dipendenti statali e parastatali di Roma</v>
      </c>
      <c r="AB1240" s="29" t="str">
        <f t="shared" si="359"/>
        <v>Discorso Ai dipendenti statali e parastatali di Roma</v>
      </c>
      <c r="AC1240" s="29" t="str">
        <f t="shared" si="360"/>
        <v>Pio XII, Discorso Ai dipendenti statali e parastatali di Roma, 10 maggio 1953</v>
      </c>
      <c r="AD1240" s="29" t="str">
        <f t="shared" si="361"/>
        <v>1953-05-10T08:00:00.000+02:00</v>
      </c>
      <c r="AE1240" s="29" t="str">
        <f t="shared" si="353"/>
        <v>pixii-dis-</v>
      </c>
      <c r="AF1240" s="29" t="str">
        <f t="shared" si="354"/>
        <v>Pio XII - Discorso - Ai dipendenti statali e parastatali di Roma</v>
      </c>
    </row>
    <row r="1241" spans="2:32" x14ac:dyDescent="0.2">
      <c r="B1241" s="29">
        <v>260</v>
      </c>
      <c r="C1241" s="29" t="s">
        <v>4425</v>
      </c>
      <c r="D1241" s="29" t="s">
        <v>715</v>
      </c>
      <c r="E1241" s="29" t="s">
        <v>724</v>
      </c>
      <c r="F1241" s="29" t="s">
        <v>663</v>
      </c>
      <c r="G1241" s="29" t="s">
        <v>659</v>
      </c>
      <c r="H1241" s="29" t="str">
        <f t="shared" si="355"/>
        <v>Pio XII</v>
      </c>
      <c r="K1241" s="29" t="s">
        <v>827</v>
      </c>
      <c r="L1241" s="29" t="str">
        <f t="shared" si="352"/>
        <v>Discorso</v>
      </c>
      <c r="M1241" s="29" t="s">
        <v>566</v>
      </c>
      <c r="O1241" s="29" t="s">
        <v>4924</v>
      </c>
      <c r="Q1241" s="38">
        <v>19493</v>
      </c>
      <c r="R1241" s="32">
        <f t="shared" si="362"/>
        <v>14</v>
      </c>
      <c r="S1241" s="32"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32">
        <f t="shared" si="363"/>
        <v>1953</v>
      </c>
      <c r="U1241" s="29"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3"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9"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9">
        <v>1268</v>
      </c>
      <c r="Y1241" s="29" t="str">
        <f t="shared" si="356"/>
        <v>['Pio XII', 'Discorso', 'Ai lavoratori delle A.C.L.I. di Roma', 'pixii-dis-', '14 maggio 1953', '14/05/1953', '1953/05/14'],</v>
      </c>
      <c r="Z1241" s="29" t="str">
        <f t="shared" si="357"/>
        <v>Ai lavoratori delle A.C.L.I. di Roma (19493) | Pio XII</v>
      </c>
      <c r="AA1241" s="29" t="str">
        <f t="shared" si="358"/>
        <v>Discorso Ai lavoratori delle A.C.L.I. di Roma</v>
      </c>
      <c r="AB1241" s="29" t="str">
        <f t="shared" si="359"/>
        <v>Discorso Ai lavoratori delle A.C.L.I. di Roma</v>
      </c>
      <c r="AC1241" s="29" t="str">
        <f t="shared" si="360"/>
        <v>Pio XII, Discorso Ai lavoratori delle A.C.L.I. di Roma, 14 maggio 1953</v>
      </c>
      <c r="AD1241" s="29" t="str">
        <f t="shared" si="361"/>
        <v>1953-05-14T08:00:00.000+02:00</v>
      </c>
      <c r="AE1241" s="29" t="str">
        <f t="shared" si="353"/>
        <v>pixii-dis-</v>
      </c>
      <c r="AF1241" s="29" t="str">
        <f t="shared" si="354"/>
        <v>Pio XII - Discorso - Ai lavoratori delle A.C.L.I. di Roma</v>
      </c>
    </row>
    <row r="1242" spans="2:32" x14ac:dyDescent="0.2">
      <c r="B1242" s="29">
        <v>260</v>
      </c>
      <c r="C1242" s="29" t="s">
        <v>4426</v>
      </c>
      <c r="D1242" s="29" t="s">
        <v>715</v>
      </c>
      <c r="E1242" s="29" t="s">
        <v>724</v>
      </c>
      <c r="F1242" s="29" t="s">
        <v>663</v>
      </c>
      <c r="G1242" s="29" t="s">
        <v>659</v>
      </c>
      <c r="H1242" s="29" t="str">
        <f t="shared" si="355"/>
        <v>Pio XII</v>
      </c>
      <c r="K1242" s="29" t="s">
        <v>827</v>
      </c>
      <c r="L1242" s="29" t="str">
        <f t="shared" si="352"/>
        <v>Discorso</v>
      </c>
      <c r="M1242" s="29" t="s">
        <v>566</v>
      </c>
      <c r="O1242" s="29" t="s">
        <v>4925</v>
      </c>
      <c r="Q1242" s="38">
        <v>19495</v>
      </c>
      <c r="R1242" s="32">
        <f t="shared" si="362"/>
        <v>16</v>
      </c>
      <c r="S1242" s="32"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32">
        <f t="shared" si="363"/>
        <v>1953</v>
      </c>
      <c r="U1242" s="29"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3"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9"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9">
        <v>1269</v>
      </c>
      <c r="Y1242" s="29" t="str">
        <f t="shared" si="356"/>
        <v>['Pio XII', 'Discorso', 'In occasione dell'apertura del grande Stadio Olimpico', 'pixii-dis-', '16 maggio 1953', '16/05/1953', '1953/05/16'],</v>
      </c>
      <c r="Z1242" s="29" t="str">
        <f t="shared" si="357"/>
        <v>In occasione dell'apertura del grande Stadio Olimpico (19495) | Pio XII</v>
      </c>
      <c r="AA1242" s="29" t="str">
        <f t="shared" si="358"/>
        <v>Discorso In occasione dell'apertura del grande Stadio Olimpico</v>
      </c>
      <c r="AB1242" s="29" t="str">
        <f t="shared" si="359"/>
        <v>Discorso In occasione dell'apertura del grande Stadio Olimpico</v>
      </c>
      <c r="AC1242" s="29" t="str">
        <f t="shared" si="360"/>
        <v>Pio XII, Discorso In occasione dell'apertura del grande Stadio Olimpico, 16 maggio 1953</v>
      </c>
      <c r="AD1242" s="29" t="str">
        <f t="shared" si="361"/>
        <v>1953-05-16T08:00:00.000+02:00</v>
      </c>
      <c r="AE1242" s="29" t="str">
        <f t="shared" si="353"/>
        <v>pixii-dis-</v>
      </c>
      <c r="AF1242" s="29" t="str">
        <f t="shared" si="354"/>
        <v>Pio XII - Discorso - In occasione dell'apertura del grande Stadio Olimpico</v>
      </c>
    </row>
    <row r="1243" spans="2:32" x14ac:dyDescent="0.2">
      <c r="B1243" s="29">
        <v>260</v>
      </c>
      <c r="C1243" s="29" t="s">
        <v>4427</v>
      </c>
      <c r="D1243" s="29" t="s">
        <v>715</v>
      </c>
      <c r="E1243" s="29" t="s">
        <v>724</v>
      </c>
      <c r="F1243" s="29" t="s">
        <v>663</v>
      </c>
      <c r="G1243" s="29" t="s">
        <v>659</v>
      </c>
      <c r="H1243" s="29" t="str">
        <f t="shared" si="355"/>
        <v>Pio XII</v>
      </c>
      <c r="K1243" s="29" t="s">
        <v>827</v>
      </c>
      <c r="L1243" s="29" t="str">
        <f t="shared" si="352"/>
        <v>Discorso</v>
      </c>
      <c r="M1243" s="29" t="s">
        <v>566</v>
      </c>
      <c r="O1243" s="29" t="s">
        <v>4926</v>
      </c>
      <c r="Q1243" s="38">
        <v>19503</v>
      </c>
      <c r="R1243" s="32">
        <f t="shared" si="362"/>
        <v>24</v>
      </c>
      <c r="S1243" s="32"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32">
        <f t="shared" si="363"/>
        <v>1953</v>
      </c>
      <c r="U1243" s="29"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3"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9"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9">
        <v>1270</v>
      </c>
      <c r="Y1243" s="29" t="str">
        <f t="shared" si="356"/>
        <v>['Pio XII', 'Discorso', 'Ai laureati di Azione Cattolica', 'pixii-dis-', '24 maggio 1953', '24/05/1953', '1953/05/24'],</v>
      </c>
      <c r="Z1243" s="29" t="str">
        <f t="shared" si="357"/>
        <v>Ai laureati di Azione Cattolica (19503) | Pio XII</v>
      </c>
      <c r="AA1243" s="29" t="str">
        <f t="shared" si="358"/>
        <v>Discorso Ai laureati di Azione Cattolica</v>
      </c>
      <c r="AB1243" s="29" t="str">
        <f t="shared" si="359"/>
        <v>Discorso Ai laureati di Azione Cattolica</v>
      </c>
      <c r="AC1243" s="29" t="str">
        <f t="shared" si="360"/>
        <v>Pio XII, Discorso Ai laureati di Azione Cattolica, 24 maggio 1953</v>
      </c>
      <c r="AD1243" s="29" t="str">
        <f t="shared" si="361"/>
        <v>1953-05-24T08:00:00.000+02:00</v>
      </c>
      <c r="AE1243" s="29" t="str">
        <f t="shared" si="353"/>
        <v>pixii-dis-</v>
      </c>
      <c r="AF1243" s="29" t="str">
        <f t="shared" si="354"/>
        <v>Pio XII - Discorso - Ai laureati di Azione Cattolica</v>
      </c>
    </row>
    <row r="1244" spans="2:32" x14ac:dyDescent="0.2">
      <c r="B1244" s="29">
        <v>260</v>
      </c>
      <c r="C1244" s="29" t="s">
        <v>4428</v>
      </c>
      <c r="D1244" s="29" t="s">
        <v>715</v>
      </c>
      <c r="E1244" s="29" t="s">
        <v>724</v>
      </c>
      <c r="F1244" s="29" t="s">
        <v>663</v>
      </c>
      <c r="G1244" s="29" t="s">
        <v>659</v>
      </c>
      <c r="H1244" s="29" t="str">
        <f t="shared" si="355"/>
        <v>Pio XII</v>
      </c>
      <c r="K1244" s="29" t="s">
        <v>827</v>
      </c>
      <c r="L1244" s="29" t="str">
        <f t="shared" si="352"/>
        <v>Discorso</v>
      </c>
      <c r="M1244" s="29" t="s">
        <v>566</v>
      </c>
      <c r="O1244" s="29" t="s">
        <v>4927</v>
      </c>
      <c r="Q1244" s="38">
        <v>19510</v>
      </c>
      <c r="R1244" s="32">
        <f t="shared" si="362"/>
        <v>31</v>
      </c>
      <c r="S1244" s="32"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32">
        <f t="shared" si="363"/>
        <v>1953</v>
      </c>
      <c r="U1244" s="29"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3"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9"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9">
        <v>1271</v>
      </c>
      <c r="Y1244" s="29" t="str">
        <f t="shared" si="356"/>
        <v>['Pio XII', 'Discorso', 'Al Gruppo dei sacerdoti Adoratori e degli Aggregati all'Arciconfraternita dell'Adorazione notturna al Santissimo Sacramento', 'pixii-dis-', '31 maggio 1953', '31/05/1953', '1953/05/31'],</v>
      </c>
      <c r="Z1244" s="29" t="str">
        <f t="shared" si="357"/>
        <v>Al Gruppo dei sacerdoti Adoratori e degli Aggregati all'Arciconfraternita dell'Adorazione notturna al Santissimo Sacramento (19510) | Pio XII</v>
      </c>
      <c r="AA1244" s="29" t="str">
        <f t="shared" si="358"/>
        <v>Discorso Al Gruppo dei sacerdoti Adoratori e degli Aggregati all'Arciconfraternita dell'Adorazione notturna al Santissimo Sacramento</v>
      </c>
      <c r="AB1244" s="29" t="str">
        <f t="shared" si="359"/>
        <v>Discorso Al Gruppo dei sacerdoti Adoratori e degli Aggregati all'Arciconfraternita dell'Adorazione notturna al Santissimo Sacramento</v>
      </c>
      <c r="AC1244" s="29" t="str">
        <f t="shared" si="360"/>
        <v>Pio XII, Discorso Al Gruppo dei sacerdoti Adoratori e degli Aggregati all'Arciconfraternita dell'Adorazione notturna al Santissimo Sacramento, 31 maggio 1953</v>
      </c>
      <c r="AD1244" s="29" t="str">
        <f t="shared" si="361"/>
        <v>1953-05-31T08:00:00.000+02:00</v>
      </c>
      <c r="AE1244" s="29" t="str">
        <f t="shared" si="353"/>
        <v>pixii-dis-</v>
      </c>
      <c r="AF1244" s="29" t="str">
        <f t="shared" si="354"/>
        <v>Pio XII - Discorso - Al Gruppo dei sacerdoti Adoratori e degli Aggregati all'Arciconfraternita dell'Adorazione notturna al Santissimo Sacramento</v>
      </c>
    </row>
    <row r="1245" spans="2:32" x14ac:dyDescent="0.2">
      <c r="B1245" s="29">
        <v>260</v>
      </c>
      <c r="C1245" s="29" t="s">
        <v>4429</v>
      </c>
      <c r="D1245" s="29" t="s">
        <v>715</v>
      </c>
      <c r="E1245" s="29" t="s">
        <v>724</v>
      </c>
      <c r="F1245" s="29" t="s">
        <v>663</v>
      </c>
      <c r="G1245" s="29" t="s">
        <v>659</v>
      </c>
      <c r="H1245" s="29" t="str">
        <f t="shared" si="355"/>
        <v>Pio XII</v>
      </c>
      <c r="K1245" s="29" t="s">
        <v>827</v>
      </c>
      <c r="L1245" s="29" t="str">
        <f t="shared" si="352"/>
        <v>Discorso</v>
      </c>
      <c r="M1245" s="29" t="s">
        <v>566</v>
      </c>
      <c r="O1245" s="29" t="s">
        <v>4928</v>
      </c>
      <c r="Q1245" s="38">
        <v>19514</v>
      </c>
      <c r="R1245" s="32">
        <f t="shared" si="362"/>
        <v>4</v>
      </c>
      <c r="S1245" s="32"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32">
        <f t="shared" si="363"/>
        <v>1953</v>
      </c>
      <c r="U1245" s="29"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3"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9"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9">
        <v>1272</v>
      </c>
      <c r="Y1245" s="29" t="str">
        <f t="shared" si="356"/>
        <v>['Pio XII', 'Discorso', 'Agli insegnanti dei corsi post-scolastici e di specializzazione in Roma', 'pixii-dis-', '04 giugno 1953', '04/06/1953', '1953/06/04'],</v>
      </c>
      <c r="Z1245" s="29" t="str">
        <f t="shared" si="357"/>
        <v>Agli insegnanti dei corsi post-scolastici e di specializzazione in Roma (19514) | Pio XII</v>
      </c>
      <c r="AA1245" s="29" t="str">
        <f t="shared" si="358"/>
        <v>Discorso Agli insegnanti dei corsi post-scolastici e di specializzazione in Roma</v>
      </c>
      <c r="AB1245" s="29" t="str">
        <f t="shared" si="359"/>
        <v>Discorso Agli insegnanti dei corsi post-scolastici e di specializzazione in Roma</v>
      </c>
      <c r="AC1245" s="29" t="str">
        <f t="shared" si="360"/>
        <v>Pio XII, Discorso Agli insegnanti dei corsi post-scolastici e di specializzazione in Roma, 04 giugno 1953</v>
      </c>
      <c r="AD1245" s="29" t="str">
        <f t="shared" si="361"/>
        <v>1953-06-04T08:00:00.000+02:00</v>
      </c>
      <c r="AE1245" s="29" t="str">
        <f t="shared" si="353"/>
        <v>pixii-dis-</v>
      </c>
      <c r="AF1245" s="29" t="str">
        <f t="shared" si="354"/>
        <v>Pio XII - Discorso - Agli insegnanti dei corsi post-scolastici e di specializzazione in Roma</v>
      </c>
    </row>
    <row r="1246" spans="2:32" x14ac:dyDescent="0.2">
      <c r="B1246" s="29">
        <v>260</v>
      </c>
      <c r="C1246" s="29" t="s">
        <v>4430</v>
      </c>
      <c r="D1246" s="29" t="s">
        <v>715</v>
      </c>
      <c r="E1246" s="29" t="s">
        <v>724</v>
      </c>
      <c r="F1246" s="29" t="s">
        <v>663</v>
      </c>
      <c r="G1246" s="29" t="s">
        <v>659</v>
      </c>
      <c r="H1246" s="29" t="str">
        <f t="shared" si="355"/>
        <v>Pio XII</v>
      </c>
      <c r="K1246" s="29" t="s">
        <v>827</v>
      </c>
      <c r="L1246" s="29" t="str">
        <f t="shared" si="352"/>
        <v>Discorso</v>
      </c>
      <c r="M1246" s="29" t="s">
        <v>566</v>
      </c>
      <c r="O1246" s="29" t="s">
        <v>4929</v>
      </c>
      <c r="Q1246" s="38">
        <v>19514</v>
      </c>
      <c r="R1246" s="32">
        <f t="shared" si="362"/>
        <v>4</v>
      </c>
      <c r="S1246" s="32"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32">
        <f t="shared" si="363"/>
        <v>1953</v>
      </c>
      <c r="U1246" s="29"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3"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9"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9">
        <v>1273</v>
      </c>
      <c r="Y1246" s="29" t="str">
        <f t="shared" si="356"/>
        <v>['Pio XII', 'Discorso', 'Ad un gruppo di fedeli della parrocchia di S. Michele Arcangelo di Pietralata in Roma', 'pixii-dis-', '04 giugno 1953', '04/06/1953', '1953/06/04'],</v>
      </c>
      <c r="Z1246" s="29" t="str">
        <f t="shared" si="357"/>
        <v>Ad un gruppo di fedeli della parrocchia di S. Michele Arcangelo di Pietralata in Roma (19514) | Pio XII</v>
      </c>
      <c r="AA1246" s="29" t="str">
        <f t="shared" si="358"/>
        <v>Discorso Ad un gruppo di fedeli della parrocchia di S. Michele Arcangelo di Pietralata in Roma</v>
      </c>
      <c r="AB1246" s="29" t="str">
        <f t="shared" si="359"/>
        <v>Discorso Ad un gruppo di fedeli della parrocchia di S. Michele Arcangelo di Pietralata in Roma</v>
      </c>
      <c r="AC1246" s="29" t="str">
        <f t="shared" si="360"/>
        <v>Pio XII, Discorso Ad un gruppo di fedeli della parrocchia di S. Michele Arcangelo di Pietralata in Roma, 04 giugno 1953</v>
      </c>
      <c r="AD1246" s="29" t="str">
        <f t="shared" si="361"/>
        <v>1953-06-04T08:00:00.000+02:00</v>
      </c>
      <c r="AE1246" s="29" t="str">
        <f t="shared" si="353"/>
        <v>pixii-dis-</v>
      </c>
      <c r="AF1246" s="29" t="str">
        <f t="shared" si="354"/>
        <v>Pio XII - Discorso - Ad un gruppo di fedeli della parrocchia di S. Michele Arcangelo di Pietralata in Roma</v>
      </c>
    </row>
    <row r="1247" spans="2:32" x14ac:dyDescent="0.2">
      <c r="B1247" s="29">
        <v>260</v>
      </c>
      <c r="C1247" s="29" t="s">
        <v>4431</v>
      </c>
      <c r="D1247" s="29" t="s">
        <v>715</v>
      </c>
      <c r="E1247" s="29" t="s">
        <v>724</v>
      </c>
      <c r="F1247" s="29" t="s">
        <v>663</v>
      </c>
      <c r="G1247" s="29" t="s">
        <v>659</v>
      </c>
      <c r="H1247" s="29" t="str">
        <f t="shared" si="355"/>
        <v>Pio XII</v>
      </c>
      <c r="K1247" s="29" t="s">
        <v>827</v>
      </c>
      <c r="L1247" s="29" t="str">
        <f t="shared" si="352"/>
        <v>Discorso</v>
      </c>
      <c r="M1247" s="29" t="s">
        <v>566</v>
      </c>
      <c r="O1247" s="29" t="s">
        <v>4930</v>
      </c>
      <c r="Q1247" s="38">
        <v>19514</v>
      </c>
      <c r="R1247" s="32">
        <f t="shared" si="362"/>
        <v>4</v>
      </c>
      <c r="S1247" s="32"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32">
        <f t="shared" si="363"/>
        <v>1953</v>
      </c>
      <c r="U1247" s="29"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3"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9"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9">
        <v>1274</v>
      </c>
      <c r="Y1247" s="29" t="str">
        <f t="shared" si="356"/>
        <v>['Pio XII', 'Discorso', 'Ai fedeli della parrocchia di Marsciano, nell'arcidiocesi di Perugia', 'pixii-dis-', '04 giugno 1953', '04/06/1953', '1953/06/04'],</v>
      </c>
      <c r="Z1247" s="29" t="str">
        <f t="shared" si="357"/>
        <v>Ai fedeli della parrocchia di Marsciano, nell'arcidiocesi di Perugia (19514) | Pio XII</v>
      </c>
      <c r="AA1247" s="29" t="str">
        <f t="shared" si="358"/>
        <v>Discorso Ai fedeli della parrocchia di Marsciano, nell'arcidiocesi di Perugia</v>
      </c>
      <c r="AB1247" s="29" t="str">
        <f t="shared" si="359"/>
        <v>Discorso Ai fedeli della parrocchia di Marsciano, nell'arcidiocesi di Perugia</v>
      </c>
      <c r="AC1247" s="29" t="str">
        <f t="shared" si="360"/>
        <v>Pio XII, Discorso Ai fedeli della parrocchia di Marsciano, nell'arcidiocesi di Perugia, 04 giugno 1953</v>
      </c>
      <c r="AD1247" s="29" t="str">
        <f t="shared" si="361"/>
        <v>1953-06-04T08:00:00.000+02:00</v>
      </c>
      <c r="AE1247" s="29" t="str">
        <f t="shared" si="353"/>
        <v>pixii-dis-</v>
      </c>
      <c r="AF1247" s="29" t="str">
        <f t="shared" si="354"/>
        <v>Pio XII - Discorso - Ai fedeli della parrocchia di Marsciano, nell'arcidiocesi di Perugia</v>
      </c>
    </row>
    <row r="1248" spans="2:32" x14ac:dyDescent="0.2">
      <c r="B1248" s="29">
        <v>260</v>
      </c>
      <c r="C1248" s="29" t="s">
        <v>4432</v>
      </c>
      <c r="D1248" s="29" t="s">
        <v>715</v>
      </c>
      <c r="E1248" s="29" t="s">
        <v>724</v>
      </c>
      <c r="F1248" s="29" t="s">
        <v>663</v>
      </c>
      <c r="G1248" s="29" t="s">
        <v>659</v>
      </c>
      <c r="H1248" s="29" t="str">
        <f t="shared" si="355"/>
        <v>Pio XII</v>
      </c>
      <c r="K1248" s="29" t="s">
        <v>827</v>
      </c>
      <c r="L1248" s="29" t="str">
        <f t="shared" si="352"/>
        <v>Discorso</v>
      </c>
      <c r="M1248" s="29" t="s">
        <v>566</v>
      </c>
      <c r="O1248" s="29" t="s">
        <v>4931</v>
      </c>
      <c r="Q1248" s="38">
        <v>19575</v>
      </c>
      <c r="R1248" s="32">
        <f t="shared" si="362"/>
        <v>4</v>
      </c>
      <c r="S1248" s="32"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32">
        <f t="shared" si="363"/>
        <v>1953</v>
      </c>
      <c r="U1248" s="29"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3"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9"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9">
        <v>1275</v>
      </c>
      <c r="Y1248" s="29" t="str">
        <f t="shared" si="356"/>
        <v>['Pio XII', 'Discorso', 'Radiomessaggio per la risorta Basilica di S. Chiara a Napoli', 'pixii-dis-', '04 agosto 1953', '04/08/1953', '1953/08/04'],</v>
      </c>
      <c r="Z1248" s="29" t="str">
        <f t="shared" si="357"/>
        <v>Radiomessaggio per la risorta Basilica di S. Chiara a Napoli (19575) | Pio XII</v>
      </c>
      <c r="AA1248" s="29" t="str">
        <f t="shared" si="358"/>
        <v>Discorso Radiomessaggio per la risorta Basilica di S. Chiara a Napoli</v>
      </c>
      <c r="AB1248" s="29" t="str">
        <f t="shared" si="359"/>
        <v>Discorso Radiomessaggio per la risorta Basilica di S. Chiara a Napoli</v>
      </c>
      <c r="AC1248" s="29" t="str">
        <f t="shared" si="360"/>
        <v>Pio XII, Discorso Radiomessaggio per la risorta Basilica di S. Chiara a Napoli, 04 agosto 1953</v>
      </c>
      <c r="AD1248" s="29" t="str">
        <f t="shared" si="361"/>
        <v>1953-08-04T08:00:00.000+02:00</v>
      </c>
      <c r="AE1248" s="29" t="str">
        <f t="shared" si="353"/>
        <v>pixii-dis-</v>
      </c>
      <c r="AF1248" s="29" t="str">
        <f t="shared" si="354"/>
        <v>Pio XII - Discorso - Radiomessaggio per la risorta Basilica di S. Chiara a Napoli</v>
      </c>
    </row>
    <row r="1249" spans="2:32" x14ac:dyDescent="0.2">
      <c r="B1249" s="29">
        <v>260</v>
      </c>
      <c r="C1249" s="29" t="s">
        <v>4433</v>
      </c>
      <c r="D1249" s="29" t="s">
        <v>715</v>
      </c>
      <c r="E1249" s="29" t="s">
        <v>724</v>
      </c>
      <c r="F1249" s="29" t="s">
        <v>663</v>
      </c>
      <c r="G1249" s="29" t="s">
        <v>659</v>
      </c>
      <c r="H1249" s="29" t="str">
        <f t="shared" si="355"/>
        <v>Pio XII</v>
      </c>
      <c r="K1249" s="29" t="s">
        <v>827</v>
      </c>
      <c r="L1249" s="29" t="str">
        <f t="shared" si="352"/>
        <v>Discorso</v>
      </c>
      <c r="M1249" s="29" t="s">
        <v>566</v>
      </c>
      <c r="O1249" s="29" t="s">
        <v>4932</v>
      </c>
      <c r="Q1249" s="38">
        <v>19610</v>
      </c>
      <c r="R1249" s="32">
        <f t="shared" si="362"/>
        <v>8</v>
      </c>
      <c r="S1249" s="32"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32">
        <f t="shared" si="363"/>
        <v>1953</v>
      </c>
      <c r="U1249" s="29"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3"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9"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9">
        <v>1276</v>
      </c>
      <c r="Y1249" s="29" t="str">
        <f t="shared" si="356"/>
        <v>['Pio XII', 'Discorso', 'Agli Assistenti Ecclesiastici Diocesani della Gioventù Italiana di Azione Cattolica', 'pixii-dis-', '08 settembre 1953', '08/09/1953', '1953/09/08'],</v>
      </c>
      <c r="Z1249" s="29" t="str">
        <f t="shared" si="357"/>
        <v>Agli Assistenti Ecclesiastici Diocesani della Gioventù Italiana di Azione Cattolica (19610) | Pio XII</v>
      </c>
      <c r="AA1249" s="29" t="str">
        <f t="shared" si="358"/>
        <v>Discorso Agli Assistenti Ecclesiastici Diocesani della Gioventù Italiana di Azione Cattolica</v>
      </c>
      <c r="AB1249" s="29" t="str">
        <f t="shared" si="359"/>
        <v>Discorso Agli Assistenti Ecclesiastici Diocesani della Gioventù Italiana di Azione Cattolica</v>
      </c>
      <c r="AC1249" s="29" t="str">
        <f t="shared" si="360"/>
        <v>Pio XII, Discorso Agli Assistenti Ecclesiastici Diocesani della Gioventù Italiana di Azione Cattolica, 08 settembre 1953</v>
      </c>
      <c r="AD1249" s="29" t="str">
        <f t="shared" si="361"/>
        <v>1953-09-08T08:00:00.000+02:00</v>
      </c>
      <c r="AE1249" s="29" t="str">
        <f t="shared" si="353"/>
        <v>pixii-dis-</v>
      </c>
      <c r="AF1249" s="29" t="str">
        <f t="shared" si="354"/>
        <v>Pio XII - Discorso - Agli Assistenti Ecclesiastici Diocesani della Gioventù Italiana di Azione Cattolica</v>
      </c>
    </row>
    <row r="1250" spans="2:32" x14ac:dyDescent="0.2">
      <c r="B1250" s="29">
        <v>260</v>
      </c>
      <c r="C1250" s="29" t="s">
        <v>4434</v>
      </c>
      <c r="D1250" s="29" t="s">
        <v>715</v>
      </c>
      <c r="E1250" s="29" t="s">
        <v>724</v>
      </c>
      <c r="F1250" s="29" t="s">
        <v>663</v>
      </c>
      <c r="G1250" s="29" t="s">
        <v>659</v>
      </c>
      <c r="H1250" s="29" t="str">
        <f t="shared" si="355"/>
        <v>Pio XII</v>
      </c>
      <c r="K1250" s="29" t="s">
        <v>827</v>
      </c>
      <c r="L1250" s="29" t="str">
        <f t="shared" si="352"/>
        <v>Discorso</v>
      </c>
      <c r="M1250" s="29" t="s">
        <v>566</v>
      </c>
      <c r="O1250" s="29" t="s">
        <v>4933</v>
      </c>
      <c r="Q1250" s="38">
        <v>19631</v>
      </c>
      <c r="R1250" s="32">
        <f t="shared" si="362"/>
        <v>29</v>
      </c>
      <c r="S1250" s="32"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32">
        <f t="shared" si="363"/>
        <v>1953</v>
      </c>
      <c r="U1250" s="29"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3"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9"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9">
        <v>1277</v>
      </c>
      <c r="Y1250" s="29" t="str">
        <f t="shared" si="356"/>
        <v>['Pio XII', 'Discorso', 'Ai sacerdoti esperti di attività catechistiche e ai vincitori del concorso «Veritas»', 'pixii-dis-', '29 settembre 1953', '29/09/1953', '1953/09/29'],</v>
      </c>
      <c r="Z1250" s="29" t="str">
        <f t="shared" si="357"/>
        <v>Ai sacerdoti esperti di attività catechistiche e ai vincitori del concorso «Veritas» (19631) | Pio XII</v>
      </c>
      <c r="AA1250" s="29" t="str">
        <f t="shared" si="358"/>
        <v>Discorso Ai sacerdoti esperti di attività catechistiche e ai vincitori del concorso «Veritas»</v>
      </c>
      <c r="AB1250" s="29" t="str">
        <f t="shared" si="359"/>
        <v>Discorso Ai sacerdoti esperti di attività catechistiche e ai vincitori del concorso «Veritas»</v>
      </c>
      <c r="AC1250" s="29" t="str">
        <f t="shared" si="360"/>
        <v>Pio XII, Discorso Ai sacerdoti esperti di attività catechistiche e ai vincitori del concorso «Veritas», 29 settembre 1953</v>
      </c>
      <c r="AD1250" s="29" t="str">
        <f t="shared" si="361"/>
        <v>1953-09-29T08:00:00.000+02:00</v>
      </c>
      <c r="AE1250" s="29" t="str">
        <f t="shared" si="353"/>
        <v>pixii-dis-</v>
      </c>
      <c r="AF1250" s="29" t="str">
        <f t="shared" si="354"/>
        <v>Pio XII - Discorso - Ai sacerdoti esperti di attività catechistiche e ai vincitori del concorso «Veritas»</v>
      </c>
    </row>
    <row r="1251" spans="2:32" x14ac:dyDescent="0.2">
      <c r="B1251" s="29">
        <v>260</v>
      </c>
      <c r="C1251" s="29" t="s">
        <v>4435</v>
      </c>
      <c r="D1251" s="29" t="s">
        <v>715</v>
      </c>
      <c r="E1251" s="29" t="s">
        <v>724</v>
      </c>
      <c r="F1251" s="29" t="s">
        <v>663</v>
      </c>
      <c r="G1251" s="29" t="s">
        <v>659</v>
      </c>
      <c r="H1251" s="29" t="str">
        <f t="shared" si="355"/>
        <v>Pio XII</v>
      </c>
      <c r="K1251" s="29" t="s">
        <v>827</v>
      </c>
      <c r="L1251" s="29" t="str">
        <f t="shared" si="352"/>
        <v>Discorso</v>
      </c>
      <c r="M1251" s="29" t="s">
        <v>566</v>
      </c>
      <c r="O1251" s="29" t="s">
        <v>4934</v>
      </c>
      <c r="Q1251" s="38">
        <v>19633</v>
      </c>
      <c r="R1251" s="32">
        <f t="shared" si="362"/>
        <v>1</v>
      </c>
      <c r="S1251" s="32"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32">
        <f t="shared" si="363"/>
        <v>1953</v>
      </c>
      <c r="U1251" s="29"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3"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9"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9">
        <v>1278</v>
      </c>
      <c r="Y1251" s="29" t="str">
        <f t="shared" si="356"/>
        <v>['Pio XII', 'Discorso', 'Alle infermiere di psichiatria', 'pixii-dis-', '01 ottobre 1953', '01/10/1953', '1953/10/01'],</v>
      </c>
      <c r="Z1251" s="29" t="str">
        <f t="shared" si="357"/>
        <v>Alle infermiere di psichiatria (19633) | Pio XII</v>
      </c>
      <c r="AA1251" s="29" t="str">
        <f t="shared" si="358"/>
        <v>Discorso Alle infermiere di psichiatria</v>
      </c>
      <c r="AB1251" s="29" t="str">
        <f t="shared" si="359"/>
        <v>Discorso Alle infermiere di psichiatria</v>
      </c>
      <c r="AC1251" s="29" t="str">
        <f t="shared" si="360"/>
        <v>Pio XII, Discorso Alle infermiere di psichiatria, 01 ottobre 1953</v>
      </c>
      <c r="AD1251" s="29" t="str">
        <f t="shared" si="361"/>
        <v>1953-10-01T08:00:00.000+02:00</v>
      </c>
      <c r="AE1251" s="29" t="str">
        <f t="shared" si="353"/>
        <v>pixii-dis-</v>
      </c>
      <c r="AF1251" s="29" t="str">
        <f t="shared" si="354"/>
        <v>Pio XII - Discorso - Alle infermiere di psichiatria</v>
      </c>
    </row>
    <row r="1252" spans="2:32" x14ac:dyDescent="0.2">
      <c r="B1252" s="29">
        <v>260</v>
      </c>
      <c r="C1252" s="29" t="s">
        <v>4436</v>
      </c>
      <c r="D1252" s="29" t="s">
        <v>715</v>
      </c>
      <c r="E1252" s="29" t="s">
        <v>724</v>
      </c>
      <c r="F1252" s="29" t="s">
        <v>663</v>
      </c>
      <c r="G1252" s="29" t="s">
        <v>659</v>
      </c>
      <c r="H1252" s="29" t="str">
        <f t="shared" si="355"/>
        <v>Pio XII</v>
      </c>
      <c r="K1252" s="29" t="s">
        <v>827</v>
      </c>
      <c r="L1252" s="29" t="str">
        <f t="shared" si="352"/>
        <v>Discorso</v>
      </c>
      <c r="M1252" s="29" t="s">
        <v>566</v>
      </c>
      <c r="O1252" s="29" t="s">
        <v>4842</v>
      </c>
      <c r="Q1252" s="38">
        <v>19636</v>
      </c>
      <c r="R1252" s="32">
        <f t="shared" si="362"/>
        <v>4</v>
      </c>
      <c r="S1252" s="32"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32">
        <f t="shared" si="363"/>
        <v>1953</v>
      </c>
      <c r="U1252" s="29"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3"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9"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9">
        <v>1279</v>
      </c>
      <c r="Y1252" s="29" t="str">
        <f t="shared" si="356"/>
        <v>['Pio XII', 'Discorso', 'Ai medici condotti', 'pixii-dis-', '04 ottobre 1953', '04/10/1953', '1953/10/04'],</v>
      </c>
      <c r="Z1252" s="29" t="str">
        <f t="shared" si="357"/>
        <v>Ai medici condotti (19636) | Pio XII</v>
      </c>
      <c r="AA1252" s="29" t="str">
        <f t="shared" si="358"/>
        <v>Discorso Ai medici condotti</v>
      </c>
      <c r="AB1252" s="29" t="str">
        <f t="shared" si="359"/>
        <v>Discorso Ai medici condotti</v>
      </c>
      <c r="AC1252" s="29" t="str">
        <f t="shared" si="360"/>
        <v>Pio XII, Discorso Ai medici condotti, 04 ottobre 1953</v>
      </c>
      <c r="AD1252" s="29" t="str">
        <f t="shared" si="361"/>
        <v>1953-10-04T08:00:00.000+02:00</v>
      </c>
      <c r="AE1252" s="29" t="str">
        <f t="shared" si="353"/>
        <v>pixii-dis-</v>
      </c>
      <c r="AF1252" s="29" t="str">
        <f t="shared" si="354"/>
        <v>Pio XII - Discorso - Ai medici condotti</v>
      </c>
    </row>
    <row r="1253" spans="2:32" x14ac:dyDescent="0.2">
      <c r="B1253" s="29">
        <v>260</v>
      </c>
      <c r="C1253" s="29" t="s">
        <v>4437</v>
      </c>
      <c r="D1253" s="29" t="s">
        <v>715</v>
      </c>
      <c r="E1253" s="29" t="s">
        <v>724</v>
      </c>
      <c r="F1253" s="29" t="s">
        <v>663</v>
      </c>
      <c r="G1253" s="29" t="s">
        <v>659</v>
      </c>
      <c r="H1253" s="29" t="str">
        <f t="shared" si="355"/>
        <v>Pio XII</v>
      </c>
      <c r="K1253" s="29" t="s">
        <v>827</v>
      </c>
      <c r="L1253" s="29" t="str">
        <f t="shared" si="352"/>
        <v>Discorso</v>
      </c>
      <c r="M1253" s="29" t="s">
        <v>566</v>
      </c>
      <c r="O1253" s="29" t="s">
        <v>4935</v>
      </c>
      <c r="Q1253" s="38">
        <v>19668</v>
      </c>
      <c r="R1253" s="32">
        <f t="shared" si="362"/>
        <v>5</v>
      </c>
      <c r="S1253" s="32"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32">
        <f t="shared" si="363"/>
        <v>1953</v>
      </c>
      <c r="U1253" s="29"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3"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9"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9">
        <v>1280</v>
      </c>
      <c r="Y1253" s="29" t="str">
        <f t="shared" si="356"/>
        <v>['Pio XII', 'Discorso', 'Ai giovani di Azione Cattolica vincitori delle gare di cultura religiosa', 'pixii-dis-', '05 novembre 1953', '05/11/1953', '1953/11/05'],</v>
      </c>
      <c r="Z1253" s="29" t="str">
        <f t="shared" si="357"/>
        <v>Ai giovani di Azione Cattolica vincitori delle gare di cultura religiosa (19668) | Pio XII</v>
      </c>
      <c r="AA1253" s="29" t="str">
        <f t="shared" si="358"/>
        <v>Discorso Ai giovani di Azione Cattolica vincitori delle gare di cultura religiosa</v>
      </c>
      <c r="AB1253" s="29" t="str">
        <f t="shared" si="359"/>
        <v>Discorso Ai giovani di Azione Cattolica vincitori delle gare di cultura religiosa</v>
      </c>
      <c r="AC1253" s="29" t="str">
        <f t="shared" si="360"/>
        <v>Pio XII, Discorso Ai giovani di Azione Cattolica vincitori delle gare di cultura religiosa, 05 novembre 1953</v>
      </c>
      <c r="AD1253" s="29" t="str">
        <f t="shared" si="361"/>
        <v>1953-11-05T08:00:00.000+02:00</v>
      </c>
      <c r="AE1253" s="29" t="str">
        <f t="shared" si="353"/>
        <v>pixii-dis-</v>
      </c>
      <c r="AF1253" s="29" t="str">
        <f t="shared" si="354"/>
        <v>Pio XII - Discorso - Ai giovani di Azione Cattolica vincitori delle gare di cultura religiosa</v>
      </c>
    </row>
    <row r="1254" spans="2:32" x14ac:dyDescent="0.2">
      <c r="B1254" s="29">
        <v>260</v>
      </c>
      <c r="C1254" s="29" t="s">
        <v>4438</v>
      </c>
      <c r="D1254" s="29" t="s">
        <v>715</v>
      </c>
      <c r="E1254" s="29" t="s">
        <v>724</v>
      </c>
      <c r="F1254" s="29" t="s">
        <v>663</v>
      </c>
      <c r="G1254" s="29" t="s">
        <v>659</v>
      </c>
      <c r="H1254" s="29" t="str">
        <f t="shared" si="355"/>
        <v>Pio XII</v>
      </c>
      <c r="K1254" s="29" t="s">
        <v>827</v>
      </c>
      <c r="L1254" s="29" t="str">
        <f t="shared" ref="L1254:L1317" si="364">IF(J1254&lt;&gt;"",_xlfn.CONCAT(J1254 &amp; " " &amp; K1254),K1254)</f>
        <v>Discorso</v>
      </c>
      <c r="M1254" s="29" t="s">
        <v>566</v>
      </c>
      <c r="O1254" s="29" t="s">
        <v>4936</v>
      </c>
      <c r="Q1254" s="38">
        <v>19672</v>
      </c>
      <c r="R1254" s="32">
        <f t="shared" si="362"/>
        <v>9</v>
      </c>
      <c r="S1254" s="32"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32">
        <f t="shared" si="363"/>
        <v>1953</v>
      </c>
      <c r="U1254" s="29"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3"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9"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9">
        <v>1281</v>
      </c>
      <c r="Y1254" s="29" t="str">
        <f t="shared" si="356"/>
        <v>['Pio XII', 'Discorso', 'Ai partecipanti al IV Congresso Nazionale della Confederazione Italiana Orafi', 'pixii-dis-', '09 novembre 1953', '09/11/1953', '1953/11/09'],</v>
      </c>
      <c r="Z1254" s="29" t="str">
        <f t="shared" si="357"/>
        <v>Ai partecipanti al IV Congresso Nazionale della Confederazione Italiana Orafi (19672) | Pio XII</v>
      </c>
      <c r="AA1254" s="29" t="str">
        <f t="shared" si="358"/>
        <v>Discorso Ai partecipanti al IV Congresso Nazionale della Confederazione Italiana Orafi</v>
      </c>
      <c r="AB1254" s="29" t="str">
        <f t="shared" si="359"/>
        <v>Discorso Ai partecipanti al IV Congresso Nazionale della Confederazione Italiana Orafi</v>
      </c>
      <c r="AC1254" s="29" t="str">
        <f t="shared" si="360"/>
        <v>Pio XII, Discorso Ai partecipanti al IV Congresso Nazionale della Confederazione Italiana Orafi, 09 novembre 1953</v>
      </c>
      <c r="AD1254" s="29" t="str">
        <f t="shared" si="361"/>
        <v>1953-11-09T08:00:00.000+02:00</v>
      </c>
      <c r="AE1254" s="29" t="str">
        <f t="shared" si="353"/>
        <v>pixii-dis-</v>
      </c>
      <c r="AF1254" s="29" t="str">
        <f t="shared" si="354"/>
        <v>Pio XII - Discorso - Ai partecipanti al IV Congresso Nazionale della Confederazione Italiana Orafi</v>
      </c>
    </row>
    <row r="1255" spans="2:32" x14ac:dyDescent="0.2">
      <c r="B1255" s="29">
        <v>260</v>
      </c>
      <c r="C1255" s="29" t="s">
        <v>4439</v>
      </c>
      <c r="D1255" s="29" t="s">
        <v>715</v>
      </c>
      <c r="E1255" s="29" t="s">
        <v>724</v>
      </c>
      <c r="F1255" s="29" t="s">
        <v>663</v>
      </c>
      <c r="G1255" s="29" t="s">
        <v>659</v>
      </c>
      <c r="H1255" s="29" t="str">
        <f t="shared" si="355"/>
        <v>Pio XII</v>
      </c>
      <c r="K1255" s="29" t="s">
        <v>827</v>
      </c>
      <c r="L1255" s="29" t="str">
        <f t="shared" si="364"/>
        <v>Discorso</v>
      </c>
      <c r="M1255" s="29" t="s">
        <v>566</v>
      </c>
      <c r="O1255" s="29" t="s">
        <v>4937</v>
      </c>
      <c r="Q1255" s="38">
        <v>19684</v>
      </c>
      <c r="R1255" s="32">
        <f t="shared" si="362"/>
        <v>21</v>
      </c>
      <c r="S1255" s="32"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32">
        <f t="shared" si="363"/>
        <v>1953</v>
      </c>
      <c r="U1255" s="29"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3"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9"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9">
        <v>1282</v>
      </c>
      <c r="Y1255" s="29" t="str">
        <f t="shared" si="356"/>
        <v>['Pio XII', 'Discorso', 'Nel cinquantenario dell'Istituto romano per le case popolari', 'pixii-dis-', '21 novembre 1953', '21/11/1953', '1953/11/21'],</v>
      </c>
      <c r="Z1255" s="29" t="str">
        <f t="shared" si="357"/>
        <v>Nel cinquantenario dell'Istituto romano per le case popolari (19684) | Pio XII</v>
      </c>
      <c r="AA1255" s="29" t="str">
        <f t="shared" si="358"/>
        <v>Discorso Nel cinquantenario dell'Istituto romano per le case popolari</v>
      </c>
      <c r="AB1255" s="29" t="str">
        <f t="shared" si="359"/>
        <v>Discorso Nel cinquantenario dell'Istituto romano per le case popolari</v>
      </c>
      <c r="AC1255" s="29" t="str">
        <f t="shared" si="360"/>
        <v>Pio XII, Discorso Nel cinquantenario dell'Istituto romano per le case popolari, 21 novembre 1953</v>
      </c>
      <c r="AD1255" s="29" t="str">
        <f t="shared" si="361"/>
        <v>1953-11-21T08:00:00.000+02:00</v>
      </c>
      <c r="AE1255" s="29" t="str">
        <f t="shared" ref="AE1255:AE1318" si="365">_xlfn.CONCAT(F1255 &amp; "-" &amp; M1255 &amp; "-" &amp; P1255)</f>
        <v>pixii-dis-</v>
      </c>
      <c r="AF1255" s="29" t="str">
        <f t="shared" ref="AF1255:AF1318" si="366">_xlfn.CONCAT(H1255 &amp; " - " &amp; L1255 &amp; " - " &amp; O1255)</f>
        <v>Pio XII - Discorso - Nel cinquantenario dell'Istituto romano per le case popolari</v>
      </c>
    </row>
    <row r="1256" spans="2:32" x14ac:dyDescent="0.2">
      <c r="B1256" s="29">
        <v>260</v>
      </c>
      <c r="C1256" s="29" t="s">
        <v>4440</v>
      </c>
      <c r="D1256" s="29" t="s">
        <v>715</v>
      </c>
      <c r="E1256" s="29" t="s">
        <v>724</v>
      </c>
      <c r="F1256" s="29" t="s">
        <v>663</v>
      </c>
      <c r="G1256" s="29" t="s">
        <v>659</v>
      </c>
      <c r="H1256" s="29" t="str">
        <f t="shared" si="355"/>
        <v>Pio XII</v>
      </c>
      <c r="K1256" s="29" t="s">
        <v>827</v>
      </c>
      <c r="L1256" s="29" t="str">
        <f t="shared" si="364"/>
        <v>Discorso</v>
      </c>
      <c r="M1256" s="29" t="s">
        <v>566</v>
      </c>
      <c r="O1256" s="29" t="s">
        <v>4938</v>
      </c>
      <c r="Q1256" s="38">
        <v>19684</v>
      </c>
      <c r="R1256" s="32">
        <f t="shared" si="362"/>
        <v>21</v>
      </c>
      <c r="S1256" s="32"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32">
        <f t="shared" si="363"/>
        <v>1953</v>
      </c>
      <c r="U1256" s="29"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3"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9"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9">
        <v>1283</v>
      </c>
      <c r="Y1256" s="29" t="str">
        <f t="shared" si="356"/>
        <v>['Pio XII', 'Discorso', 'Preghiera "Rapiti dal fulgore"', 'pixii-dis-', '21 novembre 1953', '21/11/1953', '1953/11/21'],</v>
      </c>
      <c r="Z1256" s="29" t="str">
        <f t="shared" si="357"/>
        <v>Preghiera "Rapiti dal fulgore" (19684) | Pio XII</v>
      </c>
      <c r="AA1256" s="29" t="str">
        <f t="shared" si="358"/>
        <v>Discorso Preghiera "Rapiti dal fulgore"</v>
      </c>
      <c r="AB1256" s="29" t="str">
        <f t="shared" si="359"/>
        <v>Discorso Preghiera "Rapiti dal fulgore"</v>
      </c>
      <c r="AC1256" s="29" t="str">
        <f t="shared" si="360"/>
        <v>Pio XII, Discorso Preghiera "Rapiti dal fulgore", 21 novembre 1953</v>
      </c>
      <c r="AD1256" s="29" t="str">
        <f t="shared" si="361"/>
        <v>1953-11-21T08:00:00.000+02:00</v>
      </c>
      <c r="AE1256" s="29" t="str">
        <f t="shared" si="365"/>
        <v>pixii-dis-</v>
      </c>
      <c r="AF1256" s="29" t="str">
        <f t="shared" si="366"/>
        <v>Pio XII - Discorso - Preghiera "Rapiti dal fulgore"</v>
      </c>
    </row>
    <row r="1257" spans="2:32" x14ac:dyDescent="0.2">
      <c r="B1257" s="29">
        <v>260</v>
      </c>
      <c r="C1257" s="29" t="s">
        <v>4441</v>
      </c>
      <c r="D1257" s="29" t="s">
        <v>715</v>
      </c>
      <c r="E1257" s="29" t="s">
        <v>724</v>
      </c>
      <c r="F1257" s="29" t="s">
        <v>663</v>
      </c>
      <c r="G1257" s="29" t="s">
        <v>659</v>
      </c>
      <c r="H1257" s="29" t="str">
        <f t="shared" si="355"/>
        <v>Pio XII</v>
      </c>
      <c r="K1257" s="29" t="s">
        <v>827</v>
      </c>
      <c r="L1257" s="29" t="str">
        <f t="shared" si="364"/>
        <v>Discorso</v>
      </c>
      <c r="M1257" s="29" t="s">
        <v>566</v>
      </c>
      <c r="O1257" s="29" t="s">
        <v>4939</v>
      </c>
      <c r="Q1257" s="38">
        <v>19699</v>
      </c>
      <c r="R1257" s="32">
        <f t="shared" si="362"/>
        <v>6</v>
      </c>
      <c r="S1257" s="32"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32">
        <f t="shared" si="363"/>
        <v>1953</v>
      </c>
      <c r="U1257" s="29"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3"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9"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9">
        <v>1284</v>
      </c>
      <c r="Y1257" s="29" t="str">
        <f t="shared" si="356"/>
        <v>['Pio XII', 'Discorso', 'Ai giuristi cattolici italiani', 'pixii-dis-', '06 dicembre 1953', '06/12/1953', '1953/12/06'],</v>
      </c>
      <c r="Z1257" s="29" t="str">
        <f t="shared" si="357"/>
        <v>Ai giuristi cattolici italiani (19699) | Pio XII</v>
      </c>
      <c r="AA1257" s="29" t="str">
        <f t="shared" si="358"/>
        <v>Discorso Ai giuristi cattolici italiani</v>
      </c>
      <c r="AB1257" s="29" t="str">
        <f t="shared" si="359"/>
        <v>Discorso Ai giuristi cattolici italiani</v>
      </c>
      <c r="AC1257" s="29" t="str">
        <f t="shared" si="360"/>
        <v>Pio XII, Discorso Ai giuristi cattolici italiani, 06 dicembre 1953</v>
      </c>
      <c r="AD1257" s="29" t="str">
        <f t="shared" si="361"/>
        <v>1953-12-06T08:00:00.000+02:00</v>
      </c>
      <c r="AE1257" s="29" t="str">
        <f t="shared" si="365"/>
        <v>pixii-dis-</v>
      </c>
      <c r="AF1257" s="29" t="str">
        <f t="shared" si="366"/>
        <v>Pio XII - Discorso - Ai giuristi cattolici italiani</v>
      </c>
    </row>
    <row r="1258" spans="2:32" x14ac:dyDescent="0.2">
      <c r="B1258" s="29">
        <v>260</v>
      </c>
      <c r="C1258" s="29" t="s">
        <v>4442</v>
      </c>
      <c r="D1258" s="29" t="s">
        <v>715</v>
      </c>
      <c r="E1258" s="29" t="s">
        <v>724</v>
      </c>
      <c r="F1258" s="29" t="s">
        <v>663</v>
      </c>
      <c r="G1258" s="29" t="s">
        <v>659</v>
      </c>
      <c r="H1258" s="29" t="str">
        <f t="shared" si="355"/>
        <v>Pio XII</v>
      </c>
      <c r="K1258" s="29" t="s">
        <v>827</v>
      </c>
      <c r="L1258" s="29" t="str">
        <f t="shared" si="364"/>
        <v>Discorso</v>
      </c>
      <c r="M1258" s="29" t="s">
        <v>566</v>
      </c>
      <c r="O1258" s="29" t="s">
        <v>4940</v>
      </c>
      <c r="Q1258" s="38">
        <v>19701</v>
      </c>
      <c r="R1258" s="32">
        <f t="shared" si="362"/>
        <v>8</v>
      </c>
      <c r="S1258" s="32"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32">
        <f t="shared" si="363"/>
        <v>1953</v>
      </c>
      <c r="U1258" s="29"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3"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9"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9">
        <v>1285</v>
      </c>
      <c r="Y1258" s="29" t="str">
        <f t="shared" si="356"/>
        <v>['Pio XII', 'Discorso', 'Radiomessaggio all'Azione Cattolica Italiana', 'pixii-dis-', '08 dicembre 1953', '08/12/1953', '1953/12/08'],</v>
      </c>
      <c r="Z1258" s="29" t="str">
        <f t="shared" si="357"/>
        <v>Radiomessaggio all'Azione Cattolica Italiana (19701) | Pio XII</v>
      </c>
      <c r="AA1258" s="29" t="str">
        <f t="shared" si="358"/>
        <v>Discorso Radiomessaggio all'Azione Cattolica Italiana</v>
      </c>
      <c r="AB1258" s="29" t="str">
        <f t="shared" si="359"/>
        <v>Discorso Radiomessaggio all'Azione Cattolica Italiana</v>
      </c>
      <c r="AC1258" s="29" t="str">
        <f t="shared" si="360"/>
        <v>Pio XII, Discorso Radiomessaggio all'Azione Cattolica Italiana, 08 dicembre 1953</v>
      </c>
      <c r="AD1258" s="29" t="str">
        <f t="shared" si="361"/>
        <v>1953-12-08T08:00:00.000+02:00</v>
      </c>
      <c r="AE1258" s="29" t="str">
        <f t="shared" si="365"/>
        <v>pixii-dis-</v>
      </c>
      <c r="AF1258" s="29" t="str">
        <f t="shared" si="366"/>
        <v>Pio XII - Discorso - Radiomessaggio all'Azione Cattolica Italiana</v>
      </c>
    </row>
    <row r="1259" spans="2:32" x14ac:dyDescent="0.2">
      <c r="B1259" s="29">
        <v>260</v>
      </c>
      <c r="C1259" s="29" t="s">
        <v>4443</v>
      </c>
      <c r="D1259" s="29" t="s">
        <v>715</v>
      </c>
      <c r="E1259" s="29" t="s">
        <v>724</v>
      </c>
      <c r="F1259" s="29" t="s">
        <v>663</v>
      </c>
      <c r="G1259" s="29" t="s">
        <v>659</v>
      </c>
      <c r="H1259" s="29" t="str">
        <f t="shared" si="355"/>
        <v>Pio XII</v>
      </c>
      <c r="K1259" s="29" t="s">
        <v>827</v>
      </c>
      <c r="L1259" s="29" t="str">
        <f t="shared" si="364"/>
        <v>Discorso</v>
      </c>
      <c r="M1259" s="29" t="s">
        <v>566</v>
      </c>
      <c r="O1259" s="29" t="s">
        <v>4941</v>
      </c>
      <c r="Q1259" s="38">
        <v>19706</v>
      </c>
      <c r="R1259" s="32">
        <f t="shared" si="362"/>
        <v>13</v>
      </c>
      <c r="S1259" s="32"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32">
        <f t="shared" si="363"/>
        <v>1953</v>
      </c>
      <c r="U1259" s="29"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3"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9"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9">
        <v>1286</v>
      </c>
      <c r="Y1259" s="29" t="str">
        <f t="shared" si="356"/>
        <v>['Pio XII', 'Discorso', 'Ai fedeli della parrocchia di Centocelle', 'pixii-dis-', '13 dicembre 1953', '13/12/1953', '1953/12/13'],</v>
      </c>
      <c r="Z1259" s="29" t="str">
        <f t="shared" si="357"/>
        <v>Ai fedeli della parrocchia di Centocelle (19706) | Pio XII</v>
      </c>
      <c r="AA1259" s="29" t="str">
        <f t="shared" si="358"/>
        <v>Discorso Ai fedeli della parrocchia di Centocelle</v>
      </c>
      <c r="AB1259" s="29" t="str">
        <f t="shared" si="359"/>
        <v>Discorso Ai fedeli della parrocchia di Centocelle</v>
      </c>
      <c r="AC1259" s="29" t="str">
        <f t="shared" si="360"/>
        <v>Pio XII, Discorso Ai fedeli della parrocchia di Centocelle, 13 dicembre 1953</v>
      </c>
      <c r="AD1259" s="29" t="str">
        <f t="shared" si="361"/>
        <v>1953-12-13T08:00:00.000+02:00</v>
      </c>
      <c r="AE1259" s="29" t="str">
        <f t="shared" si="365"/>
        <v>pixii-dis-</v>
      </c>
      <c r="AF1259" s="29" t="str">
        <f t="shared" si="366"/>
        <v>Pio XII - Discorso - Ai fedeli della parrocchia di Centocelle</v>
      </c>
    </row>
    <row r="1260" spans="2:32" x14ac:dyDescent="0.2">
      <c r="B1260" s="29">
        <v>260</v>
      </c>
      <c r="C1260" s="29" t="s">
        <v>4444</v>
      </c>
      <c r="D1260" s="29" t="s">
        <v>715</v>
      </c>
      <c r="E1260" s="29" t="s">
        <v>724</v>
      </c>
      <c r="F1260" s="29" t="s">
        <v>663</v>
      </c>
      <c r="G1260" s="29" t="s">
        <v>659</v>
      </c>
      <c r="H1260" s="29" t="str">
        <f t="shared" si="355"/>
        <v>Pio XII</v>
      </c>
      <c r="K1260" s="29" t="s">
        <v>827</v>
      </c>
      <c r="L1260" s="29" t="str">
        <f t="shared" si="364"/>
        <v>Discorso</v>
      </c>
      <c r="M1260" s="29" t="s">
        <v>566</v>
      </c>
      <c r="O1260" s="29" t="s">
        <v>4942</v>
      </c>
      <c r="Q1260" s="38">
        <v>19717</v>
      </c>
      <c r="R1260" s="32">
        <f t="shared" si="362"/>
        <v>24</v>
      </c>
      <c r="S1260" s="32"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32">
        <f t="shared" si="363"/>
        <v>1953</v>
      </c>
      <c r="U1260" s="29"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3"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9"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9">
        <v>1287</v>
      </c>
      <c r="Y1260" s="29" t="str">
        <f t="shared" si="356"/>
        <v>['Pio XII', 'Discorso', 'Radiomessaggionatalizio ai popoli di tutto il mondo', 'pixii-dis-', '24 dicembre 1953', '24/12/1953', '1953/12/24'],</v>
      </c>
      <c r="Z1260" s="29" t="str">
        <f t="shared" si="357"/>
        <v>Radiomessaggionatalizio ai popoli di tutto il mondo (19717) | Pio XII</v>
      </c>
      <c r="AA1260" s="29" t="str">
        <f t="shared" si="358"/>
        <v>Discorso Radiomessaggionatalizio ai popoli di tutto il mondo</v>
      </c>
      <c r="AB1260" s="29" t="str">
        <f t="shared" si="359"/>
        <v>Discorso Radiomessaggionatalizio ai popoli di tutto il mondo</v>
      </c>
      <c r="AC1260" s="29" t="str">
        <f t="shared" si="360"/>
        <v>Pio XII, Discorso Radiomessaggionatalizio ai popoli di tutto il mondo, 24 dicembre 1953</v>
      </c>
      <c r="AD1260" s="29" t="str">
        <f t="shared" si="361"/>
        <v>1953-12-24T08:00:00.000+02:00</v>
      </c>
      <c r="AE1260" s="29" t="str">
        <f t="shared" si="365"/>
        <v>pixii-dis-</v>
      </c>
      <c r="AF1260" s="29" t="str">
        <f t="shared" si="366"/>
        <v>Pio XII - Discorso - Radiomessaggionatalizio ai popoli di tutto il mondo</v>
      </c>
    </row>
    <row r="1261" spans="2:32" x14ac:dyDescent="0.2">
      <c r="B1261" s="29">
        <v>260</v>
      </c>
      <c r="C1261" s="29" t="s">
        <v>4445</v>
      </c>
      <c r="D1261" s="29" t="s">
        <v>715</v>
      </c>
      <c r="E1261" s="29" t="s">
        <v>724</v>
      </c>
      <c r="F1261" s="29" t="s">
        <v>663</v>
      </c>
      <c r="G1261" s="29" t="s">
        <v>659</v>
      </c>
      <c r="H1261" s="29" t="str">
        <f t="shared" si="355"/>
        <v>Pio XII</v>
      </c>
      <c r="K1261" s="29" t="s">
        <v>827</v>
      </c>
      <c r="L1261" s="29" t="str">
        <f t="shared" si="364"/>
        <v>Discorso</v>
      </c>
      <c r="M1261" s="29" t="s">
        <v>566</v>
      </c>
      <c r="O1261" s="29" t="s">
        <v>4943</v>
      </c>
      <c r="Q1261" s="38">
        <v>19720</v>
      </c>
      <c r="R1261" s="32">
        <f t="shared" si="362"/>
        <v>27</v>
      </c>
      <c r="S1261" s="32"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32">
        <f t="shared" si="363"/>
        <v>1953</v>
      </c>
      <c r="U1261" s="29"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3"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9"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9">
        <v>1288</v>
      </c>
      <c r="Y1261" s="29" t="str">
        <f t="shared" si="356"/>
        <v>['Pio XII', 'Discorso', 'Ai fedeli della chiesa dell'Addolorata di Tor di Quinto', 'pixii-dis-', '27 dicembre 1953', '27/12/1953', '1953/12/27'],</v>
      </c>
      <c r="Z1261" s="29" t="str">
        <f t="shared" si="357"/>
        <v>Ai fedeli della chiesa dell'Addolorata di Tor di Quinto (19720) | Pio XII</v>
      </c>
      <c r="AA1261" s="29" t="str">
        <f t="shared" si="358"/>
        <v>Discorso Ai fedeli della chiesa dell'Addolorata di Tor di Quinto</v>
      </c>
      <c r="AB1261" s="29" t="str">
        <f t="shared" si="359"/>
        <v>Discorso Ai fedeli della chiesa dell'Addolorata di Tor di Quinto</v>
      </c>
      <c r="AC1261" s="29" t="str">
        <f t="shared" si="360"/>
        <v>Pio XII, Discorso Ai fedeli della chiesa dell'Addolorata di Tor di Quinto, 27 dicembre 1953</v>
      </c>
      <c r="AD1261" s="29" t="str">
        <f t="shared" si="361"/>
        <v>1953-12-27T08:00:00.000+02:00</v>
      </c>
      <c r="AE1261" s="29" t="str">
        <f t="shared" si="365"/>
        <v>pixii-dis-</v>
      </c>
      <c r="AF1261" s="29" t="str">
        <f t="shared" si="366"/>
        <v>Pio XII - Discorso - Ai fedeli della chiesa dell'Addolorata di Tor di Quinto</v>
      </c>
    </row>
    <row r="1262" spans="2:32" x14ac:dyDescent="0.2">
      <c r="B1262" s="29">
        <v>260</v>
      </c>
      <c r="C1262" s="29" t="s">
        <v>4446</v>
      </c>
      <c r="D1262" s="29" t="s">
        <v>715</v>
      </c>
      <c r="E1262" s="29" t="s">
        <v>724</v>
      </c>
      <c r="F1262" s="29" t="s">
        <v>663</v>
      </c>
      <c r="G1262" s="29" t="s">
        <v>659</v>
      </c>
      <c r="H1262" s="29" t="str">
        <f t="shared" si="355"/>
        <v>Pio XII</v>
      </c>
      <c r="K1262" s="29" t="s">
        <v>827</v>
      </c>
      <c r="L1262" s="29" t="str">
        <f t="shared" si="364"/>
        <v>Discorso</v>
      </c>
      <c r="M1262" s="29" t="s">
        <v>566</v>
      </c>
      <c r="O1262" s="29" t="s">
        <v>4944</v>
      </c>
      <c r="Q1262" s="38">
        <v>19723</v>
      </c>
      <c r="R1262" s="32">
        <f t="shared" si="362"/>
        <v>30</v>
      </c>
      <c r="S1262" s="32"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32">
        <f t="shared" si="363"/>
        <v>1953</v>
      </c>
      <c r="U1262" s="29"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3"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9"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9">
        <v>1289</v>
      </c>
      <c r="Y1262" s="29" t="str">
        <f t="shared" si="356"/>
        <v>['Pio XII', 'Discorso', 'Alle Delegate diocesane e parrocchiali delle Sezioni Minori della Gioventù Femminile Italiana di Azione Cattolica', 'pixii-dis-', '30 dicembre 1953', '30/12/1953', '1953/12/30'],</v>
      </c>
      <c r="Z1262" s="29" t="str">
        <f t="shared" si="357"/>
        <v>Alle Delegate diocesane e parrocchiali delle Sezioni Minori della Gioventù Femminile Italiana di Azione Cattolica (19723) | Pio XII</v>
      </c>
      <c r="AA1262" s="29" t="str">
        <f t="shared" si="358"/>
        <v>Discorso Alle Delegate diocesane e parrocchiali delle Sezioni Minori della Gioventù Femminile Italiana di Azione Cattolica</v>
      </c>
      <c r="AB1262" s="29" t="str">
        <f t="shared" si="359"/>
        <v>Discorso Alle Delegate diocesane e parrocchiali delle Sezioni Minori della Gioventù Femminile Italiana di Azione Cattolica</v>
      </c>
      <c r="AC1262" s="29" t="str">
        <f t="shared" si="360"/>
        <v>Pio XII, Discorso Alle Delegate diocesane e parrocchiali delle Sezioni Minori della Gioventù Femminile Italiana di Azione Cattolica, 30 dicembre 1953</v>
      </c>
      <c r="AD1262" s="29" t="str">
        <f t="shared" si="361"/>
        <v>1953-12-30T08:00:00.000+02:00</v>
      </c>
      <c r="AE1262" s="29" t="str">
        <f t="shared" si="365"/>
        <v>pixii-dis-</v>
      </c>
      <c r="AF1262" s="29" t="str">
        <f t="shared" si="366"/>
        <v>Pio XII - Discorso - Alle Delegate diocesane e parrocchiali delle Sezioni Minori della Gioventù Femminile Italiana di Azione Cattolica</v>
      </c>
    </row>
    <row r="1263" spans="2:32" x14ac:dyDescent="0.2">
      <c r="B1263" s="29">
        <v>260</v>
      </c>
      <c r="C1263" s="29" t="s">
        <v>4447</v>
      </c>
      <c r="D1263" s="29" t="s">
        <v>715</v>
      </c>
      <c r="E1263" s="29" t="s">
        <v>724</v>
      </c>
      <c r="F1263" s="29" t="s">
        <v>663</v>
      </c>
      <c r="G1263" s="29" t="s">
        <v>659</v>
      </c>
      <c r="H1263" s="29" t="str">
        <f t="shared" si="355"/>
        <v>Pio XII</v>
      </c>
      <c r="K1263" s="29" t="s">
        <v>827</v>
      </c>
      <c r="L1263" s="29" t="str">
        <f t="shared" si="364"/>
        <v>Discorso</v>
      </c>
      <c r="M1263" s="29" t="s">
        <v>566</v>
      </c>
      <c r="O1263" s="29" t="s">
        <v>4945</v>
      </c>
      <c r="Q1263" s="38">
        <v>19729</v>
      </c>
      <c r="R1263" s="32">
        <f t="shared" si="362"/>
        <v>5</v>
      </c>
      <c r="S1263" s="32"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32">
        <f t="shared" si="363"/>
        <v>1954</v>
      </c>
      <c r="U1263" s="29"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3"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9"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9">
        <v>1290</v>
      </c>
      <c r="Y1263" s="29" t="str">
        <f t="shared" si="356"/>
        <v>['Pio XII', 'Discorso', 'Alla Unione Cattolica Italiana Insegnanti Medi', 'pixii-dis-', '05 gennaio 1954', '05/01/1954', '1954/01/05'],</v>
      </c>
      <c r="Z1263" s="29" t="str">
        <f t="shared" si="357"/>
        <v>Alla Unione Cattolica Italiana Insegnanti Medi (19729) | Pio XII</v>
      </c>
      <c r="AA1263" s="29" t="str">
        <f t="shared" si="358"/>
        <v>Discorso Alla Unione Cattolica Italiana Insegnanti Medi</v>
      </c>
      <c r="AB1263" s="29" t="str">
        <f t="shared" si="359"/>
        <v>Discorso Alla Unione Cattolica Italiana Insegnanti Medi</v>
      </c>
      <c r="AC1263" s="29" t="str">
        <f t="shared" si="360"/>
        <v>Pio XII, Discorso Alla Unione Cattolica Italiana Insegnanti Medi, 05 gennaio 1954</v>
      </c>
      <c r="AD1263" s="29" t="str">
        <f t="shared" si="361"/>
        <v>1954-01-05T08:00:00.000+02:00</v>
      </c>
      <c r="AE1263" s="29" t="str">
        <f t="shared" si="365"/>
        <v>pixii-dis-</v>
      </c>
      <c r="AF1263" s="29" t="str">
        <f t="shared" si="366"/>
        <v>Pio XII - Discorso - Alla Unione Cattolica Italiana Insegnanti Medi</v>
      </c>
    </row>
    <row r="1264" spans="2:32" x14ac:dyDescent="0.2">
      <c r="B1264" s="29">
        <v>260</v>
      </c>
      <c r="C1264" s="29" t="s">
        <v>4448</v>
      </c>
      <c r="D1264" s="29" t="s">
        <v>715</v>
      </c>
      <c r="E1264" s="29" t="s">
        <v>724</v>
      </c>
      <c r="F1264" s="29" t="s">
        <v>663</v>
      </c>
      <c r="G1264" s="29" t="s">
        <v>659</v>
      </c>
      <c r="H1264" s="29" t="str">
        <f t="shared" si="355"/>
        <v>Pio XII</v>
      </c>
      <c r="K1264" s="29" t="s">
        <v>827</v>
      </c>
      <c r="L1264" s="29" t="str">
        <f t="shared" si="364"/>
        <v>Discorso</v>
      </c>
      <c r="M1264" s="29" t="s">
        <v>566</v>
      </c>
      <c r="O1264" s="29" t="s">
        <v>4946</v>
      </c>
      <c r="Q1264" s="38">
        <v>19769</v>
      </c>
      <c r="R1264" s="32">
        <f t="shared" si="362"/>
        <v>14</v>
      </c>
      <c r="S1264" s="32"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32">
        <f t="shared" si="363"/>
        <v>1954</v>
      </c>
      <c r="U1264" s="29"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3"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9"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9">
        <v>1291</v>
      </c>
      <c r="Y1264" s="29" t="str">
        <f t="shared" si="356"/>
        <v>['Pio XII', 'Discorso', 'Radiomessaggio per la «Giornata degli ammalati» nell'anno mariano', 'pixii-dis-', '14 febbraio 1954', '14/02/1954', '1954/02/14'],</v>
      </c>
      <c r="Z1264" s="29" t="str">
        <f t="shared" si="357"/>
        <v>Radiomessaggio per la «Giornata degli ammalati» nell'anno mariano (19769) | Pio XII</v>
      </c>
      <c r="AA1264" s="29" t="str">
        <f t="shared" si="358"/>
        <v>Discorso Radiomessaggio per la «Giornata degli ammalati» nell'anno mariano</v>
      </c>
      <c r="AB1264" s="29" t="str">
        <f t="shared" si="359"/>
        <v>Discorso Radiomessaggio per la «Giornata degli ammalati» nell'anno mariano</v>
      </c>
      <c r="AC1264" s="29" t="str">
        <f t="shared" si="360"/>
        <v>Pio XII, Discorso Radiomessaggio per la «Giornata degli ammalati» nell'anno mariano, 14 febbraio 1954</v>
      </c>
      <c r="AD1264" s="29" t="str">
        <f t="shared" si="361"/>
        <v>1954-02-14T08:00:00.000+02:00</v>
      </c>
      <c r="AE1264" s="29" t="str">
        <f t="shared" si="365"/>
        <v>pixii-dis-</v>
      </c>
      <c r="AF1264" s="29" t="str">
        <f t="shared" si="366"/>
        <v>Pio XII - Discorso - Radiomessaggio per la «Giornata degli ammalati» nell'anno mariano</v>
      </c>
    </row>
    <row r="1265" spans="2:32" x14ac:dyDescent="0.2">
      <c r="B1265" s="29">
        <v>260</v>
      </c>
      <c r="C1265" s="29" t="s">
        <v>4449</v>
      </c>
      <c r="D1265" s="29" t="s">
        <v>715</v>
      </c>
      <c r="E1265" s="29" t="s">
        <v>724</v>
      </c>
      <c r="F1265" s="29" t="s">
        <v>663</v>
      </c>
      <c r="G1265" s="29" t="s">
        <v>659</v>
      </c>
      <c r="H1265" s="29" t="str">
        <f t="shared" si="355"/>
        <v>Pio XII</v>
      </c>
      <c r="K1265" s="29" t="s">
        <v>827</v>
      </c>
      <c r="L1265" s="29" t="str">
        <f t="shared" si="364"/>
        <v>Discorso</v>
      </c>
      <c r="M1265" s="29" t="s">
        <v>566</v>
      </c>
      <c r="O1265" s="29" t="s">
        <v>3127</v>
      </c>
      <c r="Q1265" s="38">
        <v>19783</v>
      </c>
      <c r="R1265" s="32">
        <f t="shared" si="362"/>
        <v>28</v>
      </c>
      <c r="S1265" s="32"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32">
        <f t="shared" si="363"/>
        <v>1954</v>
      </c>
      <c r="U1265" s="29"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3"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9"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9">
        <v>1292</v>
      </c>
      <c r="Y1265" s="29" t="str">
        <f t="shared" si="356"/>
        <v>['Pio XII', 'Discorso', 'Ai parroci e ai predicatori quaresimalisti di Roma', 'pixii-dis-', '28 febbraio 1954', '28/02/1954', '1954/02/28'],</v>
      </c>
      <c r="Z1265" s="29" t="str">
        <f t="shared" si="357"/>
        <v>Ai parroci e ai predicatori quaresimalisti di Roma (19783) | Pio XII</v>
      </c>
      <c r="AA1265" s="29" t="str">
        <f t="shared" si="358"/>
        <v>Discorso Ai parroci e ai predicatori quaresimalisti di Roma</v>
      </c>
      <c r="AB1265" s="29" t="str">
        <f t="shared" si="359"/>
        <v>Discorso Ai parroci e ai predicatori quaresimalisti di Roma</v>
      </c>
      <c r="AC1265" s="29" t="str">
        <f t="shared" si="360"/>
        <v>Pio XII, Discorso Ai parroci e ai predicatori quaresimalisti di Roma, 28 febbraio 1954</v>
      </c>
      <c r="AD1265" s="29" t="str">
        <f t="shared" si="361"/>
        <v>1954-02-28T08:00:00.000+02:00</v>
      </c>
      <c r="AE1265" s="29" t="str">
        <f t="shared" si="365"/>
        <v>pixii-dis-</v>
      </c>
      <c r="AF1265" s="29" t="str">
        <f t="shared" si="366"/>
        <v>Pio XII - Discorso - Ai parroci e ai predicatori quaresimalisti di Roma</v>
      </c>
    </row>
    <row r="1266" spans="2:32" x14ac:dyDescent="0.2">
      <c r="B1266" s="29">
        <v>260</v>
      </c>
      <c r="C1266" s="29" t="s">
        <v>4450</v>
      </c>
      <c r="D1266" s="29" t="s">
        <v>715</v>
      </c>
      <c r="E1266" s="29" t="s">
        <v>724</v>
      </c>
      <c r="F1266" s="29" t="s">
        <v>663</v>
      </c>
      <c r="G1266" s="29" t="s">
        <v>659</v>
      </c>
      <c r="H1266" s="29" t="str">
        <f t="shared" si="355"/>
        <v>Pio XII</v>
      </c>
      <c r="K1266" s="29" t="s">
        <v>827</v>
      </c>
      <c r="L1266" s="29" t="str">
        <f t="shared" si="364"/>
        <v>Discorso</v>
      </c>
      <c r="M1266" s="29" t="s">
        <v>566</v>
      </c>
      <c r="O1266" s="29" t="s">
        <v>4947</v>
      </c>
      <c r="Q1266" s="38">
        <v>19846</v>
      </c>
      <c r="R1266" s="32">
        <f t="shared" si="362"/>
        <v>2</v>
      </c>
      <c r="S1266" s="32"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32">
        <f t="shared" si="363"/>
        <v>1954</v>
      </c>
      <c r="U1266" s="29"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3"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9"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9">
        <v>1293</v>
      </c>
      <c r="Y1266" s="29" t="str">
        <f t="shared" si="356"/>
        <v>['Pio XII', 'Discorso', 'Ai partecipanti al Convegno Mariano degli Scolari d'Italia', 'pixii-dis-', '02 maggio 1954', '02/05/1954', '1954/05/02'],</v>
      </c>
      <c r="Z1266" s="29" t="str">
        <f t="shared" si="357"/>
        <v>Ai partecipanti al Convegno Mariano degli Scolari d'Italia (19846) | Pio XII</v>
      </c>
      <c r="AA1266" s="29" t="str">
        <f t="shared" si="358"/>
        <v>Discorso Ai partecipanti al Convegno Mariano degli Scolari d'Italia</v>
      </c>
      <c r="AB1266" s="29" t="str">
        <f t="shared" si="359"/>
        <v>Discorso Ai partecipanti al Convegno Mariano degli Scolari d'Italia</v>
      </c>
      <c r="AC1266" s="29" t="str">
        <f t="shared" si="360"/>
        <v>Pio XII, Discorso Ai partecipanti al Convegno Mariano degli Scolari d'Italia, 02 maggio 1954</v>
      </c>
      <c r="AD1266" s="29" t="str">
        <f t="shared" si="361"/>
        <v>1954-05-02T08:00:00.000+02:00</v>
      </c>
      <c r="AE1266" s="29" t="str">
        <f t="shared" si="365"/>
        <v>pixii-dis-</v>
      </c>
      <c r="AF1266" s="29" t="str">
        <f t="shared" si="366"/>
        <v>Pio XII - Discorso - Ai partecipanti al Convegno Mariano degli Scolari d'Italia</v>
      </c>
    </row>
    <row r="1267" spans="2:32" x14ac:dyDescent="0.2">
      <c r="B1267" s="29">
        <v>260</v>
      </c>
      <c r="C1267" s="29" t="s">
        <v>4451</v>
      </c>
      <c r="D1267" s="29" t="s">
        <v>715</v>
      </c>
      <c r="E1267" s="29" t="s">
        <v>724</v>
      </c>
      <c r="F1267" s="29" t="s">
        <v>663</v>
      </c>
      <c r="G1267" s="29" t="s">
        <v>659</v>
      </c>
      <c r="H1267" s="29" t="str">
        <f t="shared" si="355"/>
        <v>Pio XII</v>
      </c>
      <c r="K1267" s="29" t="s">
        <v>827</v>
      </c>
      <c r="L1267" s="29" t="str">
        <f t="shared" si="364"/>
        <v>Discorso</v>
      </c>
      <c r="M1267" s="29" t="s">
        <v>566</v>
      </c>
      <c r="O1267" s="29" t="s">
        <v>4948</v>
      </c>
      <c r="Q1267" s="38">
        <v>19860</v>
      </c>
      <c r="R1267" s="32">
        <f t="shared" si="362"/>
        <v>16</v>
      </c>
      <c r="S1267" s="32"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32">
        <f t="shared" si="363"/>
        <v>1954</v>
      </c>
      <c r="U1267" s="29"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3"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9"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9">
        <v>1294</v>
      </c>
      <c r="Y1267" s="29" t="str">
        <f t="shared" si="356"/>
        <v>['Pio XII', 'Discorso', 'Radiomessaggio al X Congresso Nazionale dei cattolici della Svizzera', 'pixii-dis-', '16 maggio 1954', '16/05/1954', '1954/05/16'],</v>
      </c>
      <c r="Z1267" s="29" t="str">
        <f t="shared" si="357"/>
        <v>Radiomessaggio al X Congresso Nazionale dei cattolici della Svizzera (19860) | Pio XII</v>
      </c>
      <c r="AA1267" s="29" t="str">
        <f t="shared" si="358"/>
        <v>Discorso Radiomessaggio al X Congresso Nazionale dei cattolici della Svizzera</v>
      </c>
      <c r="AB1267" s="29" t="str">
        <f t="shared" si="359"/>
        <v>Discorso Radiomessaggio al X Congresso Nazionale dei cattolici della Svizzera</v>
      </c>
      <c r="AC1267" s="29" t="str">
        <f t="shared" si="360"/>
        <v>Pio XII, Discorso Radiomessaggio al X Congresso Nazionale dei cattolici della Svizzera, 16 maggio 1954</v>
      </c>
      <c r="AD1267" s="29" t="str">
        <f t="shared" si="361"/>
        <v>1954-05-16T08:00:00.000+02:00</v>
      </c>
      <c r="AE1267" s="29" t="str">
        <f t="shared" si="365"/>
        <v>pixii-dis-</v>
      </c>
      <c r="AF1267" s="29" t="str">
        <f t="shared" si="366"/>
        <v>Pio XII - Discorso - Radiomessaggio al X Congresso Nazionale dei cattolici della Svizzera</v>
      </c>
    </row>
    <row r="1268" spans="2:32" x14ac:dyDescent="0.2">
      <c r="B1268" s="29">
        <v>260</v>
      </c>
      <c r="C1268" s="29" t="s">
        <v>4452</v>
      </c>
      <c r="D1268" s="29" t="s">
        <v>715</v>
      </c>
      <c r="E1268" s="29" t="s">
        <v>724</v>
      </c>
      <c r="F1268" s="29" t="s">
        <v>663</v>
      </c>
      <c r="G1268" s="29" t="s">
        <v>659</v>
      </c>
      <c r="H1268" s="29" t="str">
        <f t="shared" si="355"/>
        <v>Pio XII</v>
      </c>
      <c r="K1268" s="29" t="s">
        <v>827</v>
      </c>
      <c r="L1268" s="29" t="str">
        <f t="shared" si="364"/>
        <v>Discorso</v>
      </c>
      <c r="M1268" s="29" t="s">
        <v>566</v>
      </c>
      <c r="O1268" s="29" t="s">
        <v>4949</v>
      </c>
      <c r="Q1268" s="38">
        <v>19873</v>
      </c>
      <c r="R1268" s="32">
        <f t="shared" si="362"/>
        <v>29</v>
      </c>
      <c r="S1268" s="32"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32">
        <f t="shared" si="363"/>
        <v>1954</v>
      </c>
      <c r="U1268" s="29"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3"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9"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9">
        <v>1295</v>
      </c>
      <c r="Y1268" s="29" t="str">
        <f t="shared" si="356"/>
        <v>['Pio XII', 'Discorso', 'Nella canonizzazione di San Pio X', 'pixii-dis-', '29 maggio 1954', '29/05/1954', '1954/05/29'],</v>
      </c>
      <c r="Z1268" s="29" t="str">
        <f t="shared" si="357"/>
        <v>Nella canonizzazione di San Pio X (19873) | Pio XII</v>
      </c>
      <c r="AA1268" s="29" t="str">
        <f t="shared" si="358"/>
        <v>Discorso Nella canonizzazione di San Pio X</v>
      </c>
      <c r="AB1268" s="29" t="str">
        <f t="shared" si="359"/>
        <v>Discorso Nella canonizzazione di San Pio X</v>
      </c>
      <c r="AC1268" s="29" t="str">
        <f t="shared" si="360"/>
        <v>Pio XII, Discorso Nella canonizzazione di San Pio X, 29 maggio 1954</v>
      </c>
      <c r="AD1268" s="29" t="str">
        <f t="shared" si="361"/>
        <v>1954-05-29T08:00:00.000+02:00</v>
      </c>
      <c r="AE1268" s="29" t="str">
        <f t="shared" si="365"/>
        <v>pixii-dis-</v>
      </c>
      <c r="AF1268" s="29" t="str">
        <f t="shared" si="366"/>
        <v>Pio XII - Discorso - Nella canonizzazione di San Pio X</v>
      </c>
    </row>
    <row r="1269" spans="2:32" x14ac:dyDescent="0.2">
      <c r="B1269" s="29">
        <v>260</v>
      </c>
      <c r="C1269" s="29" t="s">
        <v>4453</v>
      </c>
      <c r="D1269" s="29" t="s">
        <v>715</v>
      </c>
      <c r="E1269" s="29" t="s">
        <v>724</v>
      </c>
      <c r="F1269" s="29" t="s">
        <v>663</v>
      </c>
      <c r="G1269" s="29" t="s">
        <v>659</v>
      </c>
      <c r="H1269" s="29" t="str">
        <f t="shared" si="355"/>
        <v>Pio XII</v>
      </c>
      <c r="K1269" s="29" t="s">
        <v>827</v>
      </c>
      <c r="L1269" s="29" t="str">
        <f t="shared" si="364"/>
        <v>Discorso</v>
      </c>
      <c r="M1269" s="29" t="s">
        <v>566</v>
      </c>
      <c r="O1269" s="29" t="s">
        <v>4950</v>
      </c>
      <c r="Q1269" s="38">
        <v>19881</v>
      </c>
      <c r="R1269" s="32">
        <f t="shared" si="362"/>
        <v>6</v>
      </c>
      <c r="S1269" s="32"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32">
        <f t="shared" si="363"/>
        <v>1954</v>
      </c>
      <c r="U1269" s="29"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3"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9"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9">
        <v>1296</v>
      </c>
      <c r="Y1269" s="29" t="str">
        <f t="shared" si="356"/>
        <v>['Pio XII', 'Discorso', 'Radiomessaggio agli spettatori della Televisione collegata per la prima volta con l’Inghilterra, l’Olanda, il Belgio, la Danimarca, la Francia, la Germania e l’Italia', 'pixii-dis-', '06 giugno 1954', '06/06/1954', '1954/06/06'],</v>
      </c>
      <c r="Z1269" s="29" t="str">
        <f t="shared" si="357"/>
        <v>Radiomessaggio agli spettatori della Televisione collegata per la prima volta con l’Inghilterra, l’Olanda, il Belgio, la Danimarca, la Francia, la Germania e l’Italia (19881) | Pio XII</v>
      </c>
      <c r="AA1269" s="29" t="str">
        <f t="shared" si="358"/>
        <v>Discorso Radiomessaggio agli spettatori della Televisione collegata per la prima volta con l’Inghilterra, l’Olanda, il Belgio, la Danimarca, la Francia, la Germania e l’Italia</v>
      </c>
      <c r="AB1269" s="29" t="str">
        <f t="shared" si="359"/>
        <v>Discorso Radiomessaggio agli spettatori della Televisione collegata per la prima volta con l’Inghilterra, l’Olanda, il Belgio, la Danimarca, la Francia, la Germania e l’Italia</v>
      </c>
      <c r="AC1269" s="29" t="str">
        <f t="shared" si="360"/>
        <v>Pio XII, Discorso Radiomessaggio agli spettatori della Televisione collegata per la prima volta con l’Inghilterra, l’Olanda, il Belgio, la Danimarca, la Francia, la Germania e l’Italia, 06 giugno 1954</v>
      </c>
      <c r="AD1269" s="29" t="str">
        <f t="shared" si="361"/>
        <v>1954-06-06T08:00:00.000+02:00</v>
      </c>
      <c r="AE1269" s="29" t="str">
        <f t="shared" si="365"/>
        <v>pixii-dis-</v>
      </c>
      <c r="AF1269" s="29" t="str">
        <f t="shared" si="366"/>
        <v>Pio XII - Discorso - Radiomessaggio agli spettatori della Televisione collegata per la prima volta con l’Inghilterra, l’Olanda, il Belgio, la Danimarca, la Francia, la Germania e l’Italia</v>
      </c>
    </row>
    <row r="1270" spans="2:32" x14ac:dyDescent="0.2">
      <c r="B1270" s="29">
        <v>260</v>
      </c>
      <c r="C1270" s="29" t="s">
        <v>4454</v>
      </c>
      <c r="D1270" s="29" t="s">
        <v>715</v>
      </c>
      <c r="E1270" s="29" t="s">
        <v>724</v>
      </c>
      <c r="F1270" s="29" t="s">
        <v>663</v>
      </c>
      <c r="G1270" s="29" t="s">
        <v>659</v>
      </c>
      <c r="H1270" s="29" t="str">
        <f t="shared" si="355"/>
        <v>Pio XII</v>
      </c>
      <c r="K1270" s="29" t="s">
        <v>827</v>
      </c>
      <c r="L1270" s="29" t="str">
        <f t="shared" si="364"/>
        <v>Discorso</v>
      </c>
      <c r="M1270" s="29" t="s">
        <v>566</v>
      </c>
      <c r="O1270" s="29" t="s">
        <v>4951</v>
      </c>
      <c r="Q1270" s="38">
        <v>19887</v>
      </c>
      <c r="R1270" s="32">
        <f t="shared" si="362"/>
        <v>12</v>
      </c>
      <c r="S1270" s="32"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32">
        <f t="shared" si="363"/>
        <v>1954</v>
      </c>
      <c r="U1270" s="29"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3"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9"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9">
        <v>1297</v>
      </c>
      <c r="Y1270" s="29" t="str">
        <f t="shared" si="356"/>
        <v>['Pio XII', 'Discorso', 'In occasione della canonizzazione dei Santi: Pietro Chanel, Gaspare del Bufalo, Giuseppe Pignatelli, Domenico Savio, Maria Crocifissa Di Rosa', 'pixii-dis-', '12 giugno 1954', '12/06/1954', '1954/06/12'],</v>
      </c>
      <c r="Z1270" s="29" t="str">
        <f t="shared" si="357"/>
        <v>In occasione della canonizzazione dei Santi: Pietro Chanel, Gaspare del Bufalo, Giuseppe Pignatelli, Domenico Savio, Maria Crocifissa Di Rosa (19887) | Pio XII</v>
      </c>
      <c r="AA1270" s="29" t="str">
        <f t="shared" si="358"/>
        <v>Discorso In occasione della canonizzazione dei Santi: Pietro Chanel, Gaspare del Bufalo, Giuseppe Pignatelli, Domenico Savio, Maria Crocifissa Di Rosa</v>
      </c>
      <c r="AB1270" s="29" t="str">
        <f t="shared" si="359"/>
        <v>Discorso In occasione della canonizzazione dei Santi: Pietro Chanel, Gaspare del Bufalo, Giuseppe Pignatelli, Domenico Savio, Maria Crocifissa Di Rosa</v>
      </c>
      <c r="AC1270" s="29" t="str">
        <f t="shared" si="360"/>
        <v>Pio XII, Discorso In occasione della canonizzazione dei Santi: Pietro Chanel, Gaspare del Bufalo, Giuseppe Pignatelli, Domenico Savio, Maria Crocifissa Di Rosa, 12 giugno 1954</v>
      </c>
      <c r="AD1270" s="29" t="str">
        <f t="shared" si="361"/>
        <v>1954-06-12T08:00:00.000+02:00</v>
      </c>
      <c r="AE1270" s="29" t="str">
        <f t="shared" si="365"/>
        <v>pixii-dis-</v>
      </c>
      <c r="AF1270" s="29" t="str">
        <f t="shared" si="366"/>
        <v>Pio XII - Discorso - In occasione della canonizzazione dei Santi: Pietro Chanel, Gaspare del Bufalo, Giuseppe Pignatelli, Domenico Savio, Maria Crocifissa Di Rosa</v>
      </c>
    </row>
    <row r="1271" spans="2:32" x14ac:dyDescent="0.2">
      <c r="B1271" s="29">
        <v>260</v>
      </c>
      <c r="C1271" s="29" t="s">
        <v>4455</v>
      </c>
      <c r="D1271" s="29" t="s">
        <v>715</v>
      </c>
      <c r="E1271" s="29" t="s">
        <v>724</v>
      </c>
      <c r="F1271" s="29" t="s">
        <v>663</v>
      </c>
      <c r="G1271" s="29" t="s">
        <v>659</v>
      </c>
      <c r="H1271" s="29" t="str">
        <f t="shared" si="355"/>
        <v>Pio XII</v>
      </c>
      <c r="K1271" s="29" t="s">
        <v>827</v>
      </c>
      <c r="L1271" s="29" t="str">
        <f t="shared" si="364"/>
        <v>Discorso</v>
      </c>
      <c r="M1271" s="29" t="s">
        <v>566</v>
      </c>
      <c r="O1271" s="29" t="s">
        <v>4952</v>
      </c>
      <c r="Q1271" s="38">
        <v>19916</v>
      </c>
      <c r="R1271" s="32">
        <f t="shared" si="362"/>
        <v>11</v>
      </c>
      <c r="S1271" s="32"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32">
        <f t="shared" si="363"/>
        <v>1954</v>
      </c>
      <c r="U1271" s="29"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3"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9"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9">
        <v>1298</v>
      </c>
      <c r="Y1271" s="29" t="str">
        <f t="shared" si="356"/>
        <v>['Pio XII', 'Discorso', 'Radiomessaggio per la ricognizione delle venerate reliquie di San Gregorio VII', 'pixii-dis-', '11 luglio 1954', '11/07/1954', '1954/07/11'],</v>
      </c>
      <c r="Z1271" s="29" t="str">
        <f t="shared" si="357"/>
        <v>Radiomessaggio per la ricognizione delle venerate reliquie di San Gregorio VII (19916) | Pio XII</v>
      </c>
      <c r="AA1271" s="29" t="str">
        <f t="shared" si="358"/>
        <v>Discorso Radiomessaggio per la ricognizione delle venerate reliquie di San Gregorio VII</v>
      </c>
      <c r="AB1271" s="29" t="str">
        <f t="shared" si="359"/>
        <v>Discorso Radiomessaggio per la ricognizione delle venerate reliquie di San Gregorio VII</v>
      </c>
      <c r="AC1271" s="29" t="str">
        <f t="shared" si="360"/>
        <v>Pio XII, Discorso Radiomessaggio per la ricognizione delle venerate reliquie di San Gregorio VII, 11 luglio 1954</v>
      </c>
      <c r="AD1271" s="29" t="str">
        <f t="shared" si="361"/>
        <v>1954-07-11T08:00:00.000+02:00</v>
      </c>
      <c r="AE1271" s="29" t="str">
        <f t="shared" si="365"/>
        <v>pixii-dis-</v>
      </c>
      <c r="AF1271" s="29" t="str">
        <f t="shared" si="366"/>
        <v>Pio XII - Discorso - Radiomessaggio per la ricognizione delle venerate reliquie di San Gregorio VII</v>
      </c>
    </row>
    <row r="1272" spans="2:32" x14ac:dyDescent="0.2">
      <c r="B1272" s="29">
        <v>260</v>
      </c>
      <c r="C1272" s="29" t="s">
        <v>4456</v>
      </c>
      <c r="D1272" s="29" t="s">
        <v>715</v>
      </c>
      <c r="E1272" s="29" t="s">
        <v>724</v>
      </c>
      <c r="F1272" s="29" t="s">
        <v>663</v>
      </c>
      <c r="G1272" s="29" t="s">
        <v>659</v>
      </c>
      <c r="H1272" s="29" t="str">
        <f t="shared" si="355"/>
        <v>Pio XII</v>
      </c>
      <c r="K1272" s="29" t="s">
        <v>827</v>
      </c>
      <c r="L1272" s="29" t="str">
        <f t="shared" si="364"/>
        <v>Discorso</v>
      </c>
      <c r="M1272" s="29" t="s">
        <v>566</v>
      </c>
      <c r="O1272" s="29" t="s">
        <v>4953</v>
      </c>
      <c r="Q1272" s="38">
        <v>20014</v>
      </c>
      <c r="R1272" s="32">
        <f t="shared" si="362"/>
        <v>17</v>
      </c>
      <c r="S1272" s="32"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32">
        <f t="shared" si="363"/>
        <v>1954</v>
      </c>
      <c r="U1272" s="29"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3"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9"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9">
        <v>1299</v>
      </c>
      <c r="Y1272" s="29" t="str">
        <f t="shared" si="356"/>
        <v>['Pio XII', 'Discorso', 'Radiomessaggio al Congresso Mariano Regionale della Sicilia', 'pixii-dis-', '17 ottobre 1954', '17/10/1954', '1954/10/17'],</v>
      </c>
      <c r="Z1272" s="29" t="str">
        <f t="shared" si="357"/>
        <v>Radiomessaggio al Congresso Mariano Regionale della Sicilia (20014) | Pio XII</v>
      </c>
      <c r="AA1272" s="29" t="str">
        <f t="shared" si="358"/>
        <v>Discorso Radiomessaggio al Congresso Mariano Regionale della Sicilia</v>
      </c>
      <c r="AB1272" s="29" t="str">
        <f t="shared" si="359"/>
        <v>Discorso Radiomessaggio al Congresso Mariano Regionale della Sicilia</v>
      </c>
      <c r="AC1272" s="29" t="str">
        <f t="shared" si="360"/>
        <v>Pio XII, Discorso Radiomessaggio al Congresso Mariano Regionale della Sicilia, 17 ottobre 1954</v>
      </c>
      <c r="AD1272" s="29" t="str">
        <f t="shared" si="361"/>
        <v>1954-10-17T08:00:00.000+02:00</v>
      </c>
      <c r="AE1272" s="29" t="str">
        <f t="shared" si="365"/>
        <v>pixii-dis-</v>
      </c>
      <c r="AF1272" s="29" t="str">
        <f t="shared" si="366"/>
        <v>Pio XII - Discorso - Radiomessaggio al Congresso Mariano Regionale della Sicilia</v>
      </c>
    </row>
    <row r="1273" spans="2:32" x14ac:dyDescent="0.2">
      <c r="B1273" s="29">
        <v>260</v>
      </c>
      <c r="C1273" s="29" t="s">
        <v>4457</v>
      </c>
      <c r="D1273" s="29" t="s">
        <v>715</v>
      </c>
      <c r="E1273" s="29" t="s">
        <v>724</v>
      </c>
      <c r="F1273" s="29" t="s">
        <v>663</v>
      </c>
      <c r="G1273" s="29" t="s">
        <v>659</v>
      </c>
      <c r="H1273" s="29" t="str">
        <f t="shared" si="355"/>
        <v>Pio XII</v>
      </c>
      <c r="K1273" s="29" t="s">
        <v>827</v>
      </c>
      <c r="L1273" s="29" t="str">
        <f t="shared" si="364"/>
        <v>Discorso</v>
      </c>
      <c r="M1273" s="29" t="s">
        <v>566</v>
      </c>
      <c r="O1273" s="29" t="s">
        <v>4954</v>
      </c>
      <c r="Q1273" s="38">
        <v>20029</v>
      </c>
      <c r="R1273" s="32">
        <f t="shared" si="362"/>
        <v>1</v>
      </c>
      <c r="S1273" s="32"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32">
        <f t="shared" si="363"/>
        <v>1954</v>
      </c>
      <c r="U1273" s="29"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3"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9"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9">
        <v>1300</v>
      </c>
      <c r="Y1273" s="29" t="str">
        <f t="shared" si="356"/>
        <v>['Pio XII', 'Discorso', 'In onore di Maria Regina', 'pixii-dis-', '01 novembre 1954', '01/11/1954', '1954/11/01'],</v>
      </c>
      <c r="Z1273" s="29" t="str">
        <f t="shared" si="357"/>
        <v>In onore di Maria Regina (20029) | Pio XII</v>
      </c>
      <c r="AA1273" s="29" t="str">
        <f t="shared" si="358"/>
        <v>Discorso In onore di Maria Regina</v>
      </c>
      <c r="AB1273" s="29" t="str">
        <f t="shared" si="359"/>
        <v>Discorso In onore di Maria Regina</v>
      </c>
      <c r="AC1273" s="29" t="str">
        <f t="shared" si="360"/>
        <v>Pio XII, Discorso In onore di Maria Regina, 01 novembre 1954</v>
      </c>
      <c r="AD1273" s="29" t="str">
        <f t="shared" si="361"/>
        <v>1954-11-01T08:00:00.000+02:00</v>
      </c>
      <c r="AE1273" s="29" t="str">
        <f t="shared" si="365"/>
        <v>pixii-dis-</v>
      </c>
      <c r="AF1273" s="29" t="str">
        <f t="shared" si="366"/>
        <v>Pio XII - Discorso - In onore di Maria Regina</v>
      </c>
    </row>
    <row r="1274" spans="2:32" x14ac:dyDescent="0.2">
      <c r="B1274" s="29">
        <v>260</v>
      </c>
      <c r="C1274" s="29" t="s">
        <v>4458</v>
      </c>
      <c r="D1274" s="29" t="s">
        <v>715</v>
      </c>
      <c r="E1274" s="29" t="s">
        <v>724</v>
      </c>
      <c r="F1274" s="29" t="s">
        <v>663</v>
      </c>
      <c r="G1274" s="29" t="s">
        <v>659</v>
      </c>
      <c r="H1274" s="29" t="str">
        <f t="shared" si="355"/>
        <v>Pio XII</v>
      </c>
      <c r="K1274" s="29" t="s">
        <v>827</v>
      </c>
      <c r="L1274" s="29" t="str">
        <f t="shared" si="364"/>
        <v>Discorso</v>
      </c>
      <c r="M1274" s="29" t="s">
        <v>566</v>
      </c>
      <c r="O1274" s="29" t="s">
        <v>4955</v>
      </c>
      <c r="Q1274" s="38">
        <v>20035</v>
      </c>
      <c r="R1274" s="32">
        <f t="shared" si="362"/>
        <v>7</v>
      </c>
      <c r="S1274" s="32"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32">
        <f t="shared" si="363"/>
        <v>1954</v>
      </c>
      <c r="U1274" s="29"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3"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9"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9">
        <v>1301</v>
      </c>
      <c r="Y1274" s="29" t="str">
        <f t="shared" si="356"/>
        <v>['Pio XII', 'Discorso', 'Agli editori cattolici', 'pixii-dis-', '07 novembre 1954', '07/11/1954', '1954/11/07'],</v>
      </c>
      <c r="Z1274" s="29" t="str">
        <f t="shared" si="357"/>
        <v>Agli editori cattolici (20035) | Pio XII</v>
      </c>
      <c r="AA1274" s="29" t="str">
        <f t="shared" si="358"/>
        <v>Discorso Agli editori cattolici</v>
      </c>
      <c r="AB1274" s="29" t="str">
        <f t="shared" si="359"/>
        <v>Discorso Agli editori cattolici</v>
      </c>
      <c r="AC1274" s="29" t="str">
        <f t="shared" si="360"/>
        <v>Pio XII, Discorso Agli editori cattolici, 07 novembre 1954</v>
      </c>
      <c r="AD1274" s="29" t="str">
        <f t="shared" si="361"/>
        <v>1954-11-07T08:00:00.000+02:00</v>
      </c>
      <c r="AE1274" s="29" t="str">
        <f t="shared" si="365"/>
        <v>pixii-dis-</v>
      </c>
      <c r="AF1274" s="29" t="str">
        <f t="shared" si="366"/>
        <v>Pio XII - Discorso - Agli editori cattolici</v>
      </c>
    </row>
    <row r="1275" spans="2:32" x14ac:dyDescent="0.2">
      <c r="B1275" s="29">
        <v>260</v>
      </c>
      <c r="C1275" s="29" t="s">
        <v>4459</v>
      </c>
      <c r="D1275" s="29" t="s">
        <v>715</v>
      </c>
      <c r="E1275" s="29" t="s">
        <v>724</v>
      </c>
      <c r="F1275" s="29" t="s">
        <v>663</v>
      </c>
      <c r="G1275" s="29" t="s">
        <v>659</v>
      </c>
      <c r="H1275" s="29" t="str">
        <f t="shared" si="355"/>
        <v>Pio XII</v>
      </c>
      <c r="K1275" s="29" t="s">
        <v>827</v>
      </c>
      <c r="L1275" s="29" t="str">
        <f t="shared" si="364"/>
        <v>Discorso</v>
      </c>
      <c r="M1275" s="29" t="s">
        <v>566</v>
      </c>
      <c r="O1275" s="29" t="s">
        <v>4956</v>
      </c>
      <c r="Q1275" s="38">
        <v>20063</v>
      </c>
      <c r="R1275" s="32">
        <f t="shared" si="362"/>
        <v>5</v>
      </c>
      <c r="S1275" s="32"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32">
        <f t="shared" si="363"/>
        <v>1954</v>
      </c>
      <c r="U1275" s="29"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3"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9"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9">
        <v>1302</v>
      </c>
      <c r="Y1275" s="29" t="str">
        <f t="shared" si="356"/>
        <v>['Pio XII', 'Discorso', 'Radiomessaggio per la beatificazione del sacerdote benedettino Placido Riccardi', 'pixii-dis-', '05 dicembre 1954', '05/12/1954', '1954/12/05'],</v>
      </c>
      <c r="Z1275" s="29" t="str">
        <f t="shared" si="357"/>
        <v>Radiomessaggio per la beatificazione del sacerdote benedettino Placido Riccardi (20063) | Pio XII</v>
      </c>
      <c r="AA1275" s="29" t="str">
        <f t="shared" si="358"/>
        <v>Discorso Radiomessaggio per la beatificazione del sacerdote benedettino Placido Riccardi</v>
      </c>
      <c r="AB1275" s="29" t="str">
        <f t="shared" si="359"/>
        <v>Discorso Radiomessaggio per la beatificazione del sacerdote benedettino Placido Riccardi</v>
      </c>
      <c r="AC1275" s="29" t="str">
        <f t="shared" si="360"/>
        <v>Pio XII, Discorso Radiomessaggio per la beatificazione del sacerdote benedettino Placido Riccardi, 05 dicembre 1954</v>
      </c>
      <c r="AD1275" s="29" t="str">
        <f t="shared" si="361"/>
        <v>1954-12-05T08:00:00.000+02:00</v>
      </c>
      <c r="AE1275" s="29" t="str">
        <f t="shared" si="365"/>
        <v>pixii-dis-</v>
      </c>
      <c r="AF1275" s="29" t="str">
        <f t="shared" si="366"/>
        <v>Pio XII - Discorso - Radiomessaggio per la beatificazione del sacerdote benedettino Placido Riccardi</v>
      </c>
    </row>
    <row r="1276" spans="2:32" x14ac:dyDescent="0.2">
      <c r="B1276" s="29">
        <v>260</v>
      </c>
      <c r="C1276" s="29" t="s">
        <v>4460</v>
      </c>
      <c r="D1276" s="29" t="s">
        <v>715</v>
      </c>
      <c r="E1276" s="29" t="s">
        <v>724</v>
      </c>
      <c r="F1276" s="29" t="s">
        <v>663</v>
      </c>
      <c r="G1276" s="29" t="s">
        <v>659</v>
      </c>
      <c r="H1276" s="29" t="str">
        <f t="shared" si="355"/>
        <v>Pio XII</v>
      </c>
      <c r="K1276" s="29" t="s">
        <v>827</v>
      </c>
      <c r="L1276" s="29" t="str">
        <f t="shared" si="364"/>
        <v>Discorso</v>
      </c>
      <c r="M1276" s="29" t="s">
        <v>566</v>
      </c>
      <c r="O1276" s="29" t="s">
        <v>4957</v>
      </c>
      <c r="Q1276" s="38">
        <v>20063</v>
      </c>
      <c r="R1276" s="32">
        <f t="shared" si="362"/>
        <v>5</v>
      </c>
      <c r="S1276" s="32"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32">
        <f t="shared" si="363"/>
        <v>1954</v>
      </c>
      <c r="U1276" s="29"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3"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9"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9">
        <v>1303</v>
      </c>
      <c r="Y1276" s="29" t="str">
        <f t="shared" si="356"/>
        <v>['Pio XII', 'Discorso', 'Alla unione dei giuristi cattolici italiani', 'pixii-dis-', '05 dicembre 1954', '05/12/1954', '1954/12/05'],</v>
      </c>
      <c r="Z1276" s="29" t="str">
        <f t="shared" si="357"/>
        <v>Alla unione dei giuristi cattolici italiani (20063) | Pio XII</v>
      </c>
      <c r="AA1276" s="29" t="str">
        <f t="shared" si="358"/>
        <v>Discorso Alla unione dei giuristi cattolici italiani</v>
      </c>
      <c r="AB1276" s="29" t="str">
        <f t="shared" si="359"/>
        <v>Discorso Alla unione dei giuristi cattolici italiani</v>
      </c>
      <c r="AC1276" s="29" t="str">
        <f t="shared" si="360"/>
        <v>Pio XII, Discorso Alla unione dei giuristi cattolici italiani, 05 dicembre 1954</v>
      </c>
      <c r="AD1276" s="29" t="str">
        <f t="shared" si="361"/>
        <v>1954-12-05T08:00:00.000+02:00</v>
      </c>
      <c r="AE1276" s="29" t="str">
        <f t="shared" si="365"/>
        <v>pixii-dis-</v>
      </c>
      <c r="AF1276" s="29" t="str">
        <f t="shared" si="366"/>
        <v>Pio XII - Discorso - Alla unione dei giuristi cattolici italiani</v>
      </c>
    </row>
    <row r="1277" spans="2:32" x14ac:dyDescent="0.2">
      <c r="B1277" s="29">
        <v>260</v>
      </c>
      <c r="C1277" s="29" t="s">
        <v>4461</v>
      </c>
      <c r="D1277" s="29" t="s">
        <v>715</v>
      </c>
      <c r="E1277" s="29" t="s">
        <v>724</v>
      </c>
      <c r="F1277" s="29" t="s">
        <v>663</v>
      </c>
      <c r="G1277" s="29" t="s">
        <v>659</v>
      </c>
      <c r="H1277" s="29" t="str">
        <f t="shared" si="355"/>
        <v>Pio XII</v>
      </c>
      <c r="K1277" s="29" t="s">
        <v>827</v>
      </c>
      <c r="L1277" s="29" t="str">
        <f t="shared" si="364"/>
        <v>Discorso</v>
      </c>
      <c r="M1277" s="29" t="s">
        <v>566</v>
      </c>
      <c r="O1277" s="29" t="s">
        <v>4958</v>
      </c>
      <c r="Q1277" s="38">
        <v>20066</v>
      </c>
      <c r="R1277" s="32">
        <f t="shared" si="362"/>
        <v>8</v>
      </c>
      <c r="S1277" s="32"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32">
        <f t="shared" si="363"/>
        <v>1954</v>
      </c>
      <c r="U1277" s="29"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3"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9"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9">
        <v>1304</v>
      </c>
      <c r="Y1277" s="29" t="str">
        <f t="shared" si="356"/>
        <v>['Pio XII', 'Discorso', 'Radiomessaggio al Sacro Collegio, ai Vescovi e ai fedeli a chiusura dell'Anno mariano', 'pixii-dis-', '08 dicembre 1954', '08/12/1954', '1954/12/08'],</v>
      </c>
      <c r="Z1277" s="29" t="str">
        <f t="shared" si="357"/>
        <v>Radiomessaggio al Sacro Collegio, ai Vescovi e ai fedeli a chiusura dell'Anno mariano (20066) | Pio XII</v>
      </c>
      <c r="AA1277" s="29" t="str">
        <f t="shared" si="358"/>
        <v>Discorso Radiomessaggio al Sacro Collegio, ai Vescovi e ai fedeli a chiusura dell'Anno mariano</v>
      </c>
      <c r="AB1277" s="29" t="str">
        <f t="shared" si="359"/>
        <v>Discorso Radiomessaggio al Sacro Collegio, ai Vescovi e ai fedeli a chiusura dell'Anno mariano</v>
      </c>
      <c r="AC1277" s="29" t="str">
        <f t="shared" si="360"/>
        <v>Pio XII, Discorso Radiomessaggio al Sacro Collegio, ai Vescovi e ai fedeli a chiusura dell'Anno mariano, 08 dicembre 1954</v>
      </c>
      <c r="AD1277" s="29" t="str">
        <f t="shared" si="361"/>
        <v>1954-12-08T08:00:00.000+02:00</v>
      </c>
      <c r="AE1277" s="29" t="str">
        <f t="shared" si="365"/>
        <v>pixii-dis-</v>
      </c>
      <c r="AF1277" s="29" t="str">
        <f t="shared" si="366"/>
        <v>Pio XII - Discorso - Radiomessaggio al Sacro Collegio, ai Vescovi e ai fedeli a chiusura dell'Anno mariano</v>
      </c>
    </row>
    <row r="1278" spans="2:32" x14ac:dyDescent="0.2">
      <c r="B1278" s="29">
        <v>260</v>
      </c>
      <c r="C1278" s="29" t="s">
        <v>4462</v>
      </c>
      <c r="D1278" s="29" t="s">
        <v>715</v>
      </c>
      <c r="E1278" s="29" t="s">
        <v>724</v>
      </c>
      <c r="F1278" s="29" t="s">
        <v>663</v>
      </c>
      <c r="G1278" s="29" t="s">
        <v>659</v>
      </c>
      <c r="H1278" s="29" t="str">
        <f t="shared" si="355"/>
        <v>Pio XII</v>
      </c>
      <c r="K1278" s="29" t="s">
        <v>827</v>
      </c>
      <c r="L1278" s="29" t="str">
        <f t="shared" si="364"/>
        <v>Discorso</v>
      </c>
      <c r="M1278" s="29" t="s">
        <v>566</v>
      </c>
      <c r="O1278" s="29" t="s">
        <v>4959</v>
      </c>
      <c r="Q1278" s="38">
        <v>20066</v>
      </c>
      <c r="R1278" s="32">
        <f t="shared" si="362"/>
        <v>8</v>
      </c>
      <c r="S1278" s="32"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32">
        <f t="shared" si="363"/>
        <v>1954</v>
      </c>
      <c r="U1278" s="29"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3"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9"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9">
        <v>1305</v>
      </c>
      <c r="Y1278" s="29" t="str">
        <f t="shared" si="356"/>
        <v>['Pio XII', 'Discorso', 'Radiomessaggio per la inaugurazione della «Domus Mariae»', 'pixii-dis-', '08 dicembre 1954', '08/12/1954', '1954/12/08'],</v>
      </c>
      <c r="Z1278" s="29" t="str">
        <f t="shared" si="357"/>
        <v>Radiomessaggio per la inaugurazione della «Domus Mariae» (20066) | Pio XII</v>
      </c>
      <c r="AA1278" s="29" t="str">
        <f t="shared" si="358"/>
        <v>Discorso Radiomessaggio per la inaugurazione della «Domus Mariae»</v>
      </c>
      <c r="AB1278" s="29" t="str">
        <f t="shared" si="359"/>
        <v>Discorso Radiomessaggio per la inaugurazione della «Domus Mariae»</v>
      </c>
      <c r="AC1278" s="29" t="str">
        <f t="shared" si="360"/>
        <v>Pio XII, Discorso Radiomessaggio per la inaugurazione della «Domus Mariae», 08 dicembre 1954</v>
      </c>
      <c r="AD1278" s="29" t="str">
        <f t="shared" si="361"/>
        <v>1954-12-08T08:00:00.000+02:00</v>
      </c>
      <c r="AE1278" s="29" t="str">
        <f t="shared" si="365"/>
        <v>pixii-dis-</v>
      </c>
      <c r="AF1278" s="29" t="str">
        <f t="shared" si="366"/>
        <v>Pio XII - Discorso - Radiomessaggio per la inaugurazione della «Domus Mariae»</v>
      </c>
    </row>
    <row r="1279" spans="2:32" x14ac:dyDescent="0.2">
      <c r="B1279" s="29">
        <v>260</v>
      </c>
      <c r="C1279" s="29" t="s">
        <v>4463</v>
      </c>
      <c r="D1279" s="29" t="s">
        <v>715</v>
      </c>
      <c r="E1279" s="29" t="s">
        <v>724</v>
      </c>
      <c r="F1279" s="29" t="s">
        <v>663</v>
      </c>
      <c r="G1279" s="29" t="s">
        <v>659</v>
      </c>
      <c r="H1279" s="29" t="str">
        <f t="shared" ref="H1279:H1342" si="367">_xlfn.CONCAT(D1279 &amp; " " &amp; E1279)</f>
        <v>Pio XII</v>
      </c>
      <c r="K1279" s="29" t="s">
        <v>827</v>
      </c>
      <c r="L1279" s="29" t="str">
        <f t="shared" si="364"/>
        <v>Discorso</v>
      </c>
      <c r="M1279" s="29" t="s">
        <v>566</v>
      </c>
      <c r="O1279" s="29" t="s">
        <v>4960</v>
      </c>
      <c r="Q1279" s="38">
        <v>20070</v>
      </c>
      <c r="R1279" s="32">
        <f t="shared" si="362"/>
        <v>12</v>
      </c>
      <c r="S1279" s="32"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32">
        <f t="shared" si="363"/>
        <v>1954</v>
      </c>
      <c r="U1279" s="29"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3"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9"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9">
        <v>1306</v>
      </c>
      <c r="Y1279" s="29" t="str">
        <f t="shared" si="356"/>
        <v>['Pio XII', 'Discorso', 'Radiomessaggio per la Consacrazione episcopale di Monsignor Giovanni Battista Montini, Arcivescovo di Milano', 'pixii-dis-', '12 dicembre 1954', '12/12/1954', '1954/12/12'],</v>
      </c>
      <c r="Z1279" s="29" t="str">
        <f t="shared" si="357"/>
        <v>Radiomessaggio per la Consacrazione episcopale di Monsignor Giovanni Battista Montini, Arcivescovo di Milano (20070) | Pio XII</v>
      </c>
      <c r="AA1279" s="29" t="str">
        <f t="shared" si="358"/>
        <v>Discorso Radiomessaggio per la Consacrazione episcopale di Monsignor Giovanni Battista Montini, Arcivescovo di Milano</v>
      </c>
      <c r="AB1279" s="29" t="str">
        <f t="shared" si="359"/>
        <v>Discorso Radiomessaggio per la Consacrazione episcopale di Monsignor Giovanni Battista Montini, Arcivescovo di Milano</v>
      </c>
      <c r="AC1279" s="29" t="str">
        <f t="shared" si="360"/>
        <v>Pio XII, Discorso Radiomessaggio per la Consacrazione episcopale di Monsignor Giovanni Battista Montini, Arcivescovo di Milano, 12 dicembre 1954</v>
      </c>
      <c r="AD1279" s="29" t="str">
        <f t="shared" si="361"/>
        <v>1954-12-12T08:00:00.000+02:00</v>
      </c>
      <c r="AE1279" s="29" t="str">
        <f t="shared" si="365"/>
        <v>pixii-dis-</v>
      </c>
      <c r="AF1279" s="29" t="str">
        <f t="shared" si="366"/>
        <v>Pio XII - Discorso - Radiomessaggio per la Consacrazione episcopale di Monsignor Giovanni Battista Montini, Arcivescovo di Milano</v>
      </c>
    </row>
    <row r="1280" spans="2:32" x14ac:dyDescent="0.2">
      <c r="B1280" s="29">
        <v>260</v>
      </c>
      <c r="C1280" s="29" t="s">
        <v>4464</v>
      </c>
      <c r="D1280" s="29" t="s">
        <v>715</v>
      </c>
      <c r="E1280" s="29" t="s">
        <v>724</v>
      </c>
      <c r="F1280" s="29" t="s">
        <v>663</v>
      </c>
      <c r="G1280" s="29" t="s">
        <v>659</v>
      </c>
      <c r="H1280" s="29" t="str">
        <f t="shared" si="367"/>
        <v>Pio XII</v>
      </c>
      <c r="K1280" s="29" t="s">
        <v>827</v>
      </c>
      <c r="L1280" s="29" t="str">
        <f t="shared" si="364"/>
        <v>Discorso</v>
      </c>
      <c r="M1280" s="29" t="s">
        <v>566</v>
      </c>
      <c r="O1280" s="29" t="s">
        <v>4961</v>
      </c>
      <c r="Q1280" s="38">
        <v>20082</v>
      </c>
      <c r="R1280" s="32">
        <f t="shared" si="362"/>
        <v>24</v>
      </c>
      <c r="S1280" s="32"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32">
        <f t="shared" si="363"/>
        <v>1954</v>
      </c>
      <c r="U1280" s="29"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3"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9"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9">
        <v>1307</v>
      </c>
      <c r="Y1280" s="29" t="str">
        <f t="shared" si="356"/>
        <v>['Pio XII', 'Discorso', 'Radiomessaggio a tutto il mondo in occasione del Natale', 'pixii-dis-', '24 dicembre 1954', '24/12/1954', '1954/12/24'],</v>
      </c>
      <c r="Z1280" s="29" t="str">
        <f t="shared" si="357"/>
        <v>Radiomessaggio a tutto il mondo in occasione del Natale (20082) | Pio XII</v>
      </c>
      <c r="AA1280" s="29" t="str">
        <f t="shared" si="358"/>
        <v>Discorso Radiomessaggio a tutto il mondo in occasione del Natale</v>
      </c>
      <c r="AB1280" s="29" t="str">
        <f t="shared" si="359"/>
        <v>Discorso Radiomessaggio a tutto il mondo in occasione del Natale</v>
      </c>
      <c r="AC1280" s="29" t="str">
        <f t="shared" si="360"/>
        <v>Pio XII, Discorso Radiomessaggio a tutto il mondo in occasione del Natale, 24 dicembre 1954</v>
      </c>
      <c r="AD1280" s="29" t="str">
        <f t="shared" si="361"/>
        <v>1954-12-24T08:00:00.000+02:00</v>
      </c>
      <c r="AE1280" s="29" t="str">
        <f t="shared" si="365"/>
        <v>pixii-dis-</v>
      </c>
      <c r="AF1280" s="29" t="str">
        <f t="shared" si="366"/>
        <v>Pio XII - Discorso - Radiomessaggio a tutto il mondo in occasione del Natale</v>
      </c>
    </row>
    <row r="1281" spans="2:32" x14ac:dyDescent="0.2">
      <c r="B1281" s="29">
        <v>260</v>
      </c>
      <c r="C1281" s="29" t="s">
        <v>4465</v>
      </c>
      <c r="D1281" s="29" t="s">
        <v>715</v>
      </c>
      <c r="E1281" s="29" t="s">
        <v>724</v>
      </c>
      <c r="F1281" s="29" t="s">
        <v>663</v>
      </c>
      <c r="G1281" s="29" t="s">
        <v>659</v>
      </c>
      <c r="H1281" s="29" t="str">
        <f t="shared" si="367"/>
        <v>Pio XII</v>
      </c>
      <c r="K1281" s="29" t="s">
        <v>827</v>
      </c>
      <c r="L1281" s="29" t="str">
        <f t="shared" si="364"/>
        <v>Discorso</v>
      </c>
      <c r="M1281" s="29" t="s">
        <v>566</v>
      </c>
      <c r="O1281" s="29" t="s">
        <v>4962</v>
      </c>
      <c r="Q1281" s="38">
        <v>20125</v>
      </c>
      <c r="R1281" s="32">
        <f t="shared" si="362"/>
        <v>5</v>
      </c>
      <c r="S1281" s="32"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32">
        <f t="shared" si="363"/>
        <v>1955</v>
      </c>
      <c r="U1281" s="29"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3"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9"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9">
        <v>1308</v>
      </c>
      <c r="Y1281" s="29" t="str">
        <f t="shared" si="356"/>
        <v>['Pio XII', 'Discorso', 'Alla Unione dei giuristi cattolici italiani', 'pixii-dis-', '05 febbraio 1955', '05/02/1955', '1955/02/05'],</v>
      </c>
      <c r="Z1281" s="29" t="str">
        <f t="shared" si="357"/>
        <v>Alla Unione dei giuristi cattolici italiani (20125) | Pio XII</v>
      </c>
      <c r="AA1281" s="29" t="str">
        <f t="shared" si="358"/>
        <v>Discorso Alla Unione dei giuristi cattolici italiani</v>
      </c>
      <c r="AB1281" s="29" t="str">
        <f t="shared" si="359"/>
        <v>Discorso Alla Unione dei giuristi cattolici italiani</v>
      </c>
      <c r="AC1281" s="29" t="str">
        <f t="shared" si="360"/>
        <v>Pio XII, Discorso Alla Unione dei giuristi cattolici italiani, 05 febbraio 1955</v>
      </c>
      <c r="AD1281" s="29" t="str">
        <f t="shared" si="361"/>
        <v>1955-02-05T08:00:00.000+02:00</v>
      </c>
      <c r="AE1281" s="29" t="str">
        <f t="shared" si="365"/>
        <v>pixii-dis-</v>
      </c>
      <c r="AF1281" s="29" t="str">
        <f t="shared" si="366"/>
        <v>Pio XII - Discorso - Alla Unione dei giuristi cattolici italiani</v>
      </c>
    </row>
    <row r="1282" spans="2:32" x14ac:dyDescent="0.2">
      <c r="B1282" s="29">
        <v>260</v>
      </c>
      <c r="C1282" s="29" t="s">
        <v>4466</v>
      </c>
      <c r="D1282" s="29" t="s">
        <v>715</v>
      </c>
      <c r="E1282" s="29" t="s">
        <v>724</v>
      </c>
      <c r="F1282" s="29" t="s">
        <v>663</v>
      </c>
      <c r="G1282" s="29" t="s">
        <v>659</v>
      </c>
      <c r="H1282" s="29" t="str">
        <f t="shared" si="367"/>
        <v>Pio XII</v>
      </c>
      <c r="K1282" s="29" t="s">
        <v>827</v>
      </c>
      <c r="L1282" s="29" t="str">
        <f t="shared" si="364"/>
        <v>Discorso</v>
      </c>
      <c r="M1282" s="29" t="s">
        <v>566</v>
      </c>
      <c r="O1282" s="29" t="s">
        <v>3127</v>
      </c>
      <c r="Q1282" s="38">
        <v>20158</v>
      </c>
      <c r="R1282" s="32">
        <f t="shared" si="362"/>
        <v>10</v>
      </c>
      <c r="S1282" s="32"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32">
        <f t="shared" si="363"/>
        <v>1955</v>
      </c>
      <c r="U1282" s="29"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3"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9"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9">
        <v>1309</v>
      </c>
      <c r="Y1282" s="29" t="str">
        <f t="shared" ref="Y1282:Y1345" si="368">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9" t="str">
        <f t="shared" ref="Z1282:Z1345" si="369">_xlfn.CONCAT(O1282 &amp; " (" &amp; Q1282 &amp; ") | " &amp; D1282 &amp; " " &amp; E1282)</f>
        <v>Ai parroci e ai predicatori quaresimalisti di Roma (20158) | Pio XII</v>
      </c>
      <c r="AA1282" s="29" t="str">
        <f t="shared" ref="AA1282:AA1345" si="370">_xlfn.CONCAT(K1282 &amp; " " &amp; O1282)</f>
        <v>Discorso Ai parroci e ai predicatori quaresimalisti di Roma</v>
      </c>
      <c r="AB1282" s="29" t="str">
        <f t="shared" ref="AB1282:AB1345" si="371">_xlfn.CONCAT(K1282 &amp; " " &amp; O1282)</f>
        <v>Discorso Ai parroci e ai predicatori quaresimalisti di Roma</v>
      </c>
      <c r="AC1282" s="29" t="str">
        <f t="shared" ref="AC1282:AC1345" si="372">_xlfn.CONCAT(H1282 &amp; ", " &amp; L1282 &amp; " " &amp; O1282 &amp; ", " &amp; LEFT(U1282,2) &amp; " " &amp; TEXT(VALUE(MID(U1282,4,2))*29,"mmmm") &amp; " " &amp; RIGHT(U1282,4))</f>
        <v>Pio XII, Discorso Ai parroci e ai predicatori quaresimalisti di Roma, 10 marzo 1955</v>
      </c>
      <c r="AD1282" s="29" t="str">
        <f t="shared" ref="AD1282:AD1345" si="373">_xlfn.CONCAT(RIGHT(U1282,4) &amp; "-" &amp; MID(U1282,4,2) &amp; "-" &amp; LEFT(U1282,2) &amp; "T08:00:00.000+02:00")</f>
        <v>1955-03-10T08:00:00.000+02:00</v>
      </c>
      <c r="AE1282" s="29" t="str">
        <f t="shared" si="365"/>
        <v>pixii-dis-</v>
      </c>
      <c r="AF1282" s="29" t="str">
        <f t="shared" si="366"/>
        <v>Pio XII - Discorso - Ai parroci e ai predicatori quaresimalisti di Roma</v>
      </c>
    </row>
    <row r="1283" spans="2:32" x14ac:dyDescent="0.2">
      <c r="B1283" s="29">
        <v>260</v>
      </c>
      <c r="C1283" s="29" t="s">
        <v>4467</v>
      </c>
      <c r="D1283" s="29" t="s">
        <v>715</v>
      </c>
      <c r="E1283" s="29" t="s">
        <v>724</v>
      </c>
      <c r="F1283" s="29" t="s">
        <v>663</v>
      </c>
      <c r="G1283" s="29" t="s">
        <v>659</v>
      </c>
      <c r="H1283" s="29" t="str">
        <f t="shared" si="367"/>
        <v>Pio XII</v>
      </c>
      <c r="K1283" s="29" t="s">
        <v>827</v>
      </c>
      <c r="L1283" s="29" t="str">
        <f t="shared" si="364"/>
        <v>Discorso</v>
      </c>
      <c r="M1283" s="29" t="s">
        <v>566</v>
      </c>
      <c r="O1283" s="29" t="s">
        <v>4963</v>
      </c>
      <c r="Q1283" s="38">
        <v>20182</v>
      </c>
      <c r="R1283" s="32">
        <f t="shared" si="362"/>
        <v>3</v>
      </c>
      <c r="S1283" s="32"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32">
        <f t="shared" si="363"/>
        <v>1955</v>
      </c>
      <c r="U1283" s="29"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3"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9"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9">
        <v>1310</v>
      </c>
      <c r="Y1283" s="29" t="str">
        <f t="shared" si="368"/>
        <v>['Pio XII', 'Discorso', 'Ai partecipanti al Congresso mondiale per la prevenzione degli infortuni sul lavoro', 'pixii-dis-', '03 aprile 1955', '03/04/1955', '1955/04/03'],</v>
      </c>
      <c r="Z1283" s="29" t="str">
        <f t="shared" si="369"/>
        <v>Ai partecipanti al Congresso mondiale per la prevenzione degli infortuni sul lavoro (20182) | Pio XII</v>
      </c>
      <c r="AA1283" s="29" t="str">
        <f t="shared" si="370"/>
        <v>Discorso Ai partecipanti al Congresso mondiale per la prevenzione degli infortuni sul lavoro</v>
      </c>
      <c r="AB1283" s="29" t="str">
        <f t="shared" si="371"/>
        <v>Discorso Ai partecipanti al Congresso mondiale per la prevenzione degli infortuni sul lavoro</v>
      </c>
      <c r="AC1283" s="29" t="str">
        <f t="shared" si="372"/>
        <v>Pio XII, Discorso Ai partecipanti al Congresso mondiale per la prevenzione degli infortuni sul lavoro, 03 aprile 1955</v>
      </c>
      <c r="AD1283" s="29" t="str">
        <f t="shared" si="373"/>
        <v>1955-04-03T08:00:00.000+02:00</v>
      </c>
      <c r="AE1283" s="29" t="str">
        <f t="shared" si="365"/>
        <v>pixii-dis-</v>
      </c>
      <c r="AF1283" s="29" t="str">
        <f t="shared" si="366"/>
        <v>Pio XII - Discorso - Ai partecipanti al Congresso mondiale per la prevenzione degli infortuni sul lavoro</v>
      </c>
    </row>
    <row r="1284" spans="2:32" x14ac:dyDescent="0.2">
      <c r="B1284" s="29">
        <v>260</v>
      </c>
      <c r="C1284" s="29" t="s">
        <v>4468</v>
      </c>
      <c r="D1284" s="29" t="s">
        <v>715</v>
      </c>
      <c r="E1284" s="29" t="s">
        <v>724</v>
      </c>
      <c r="F1284" s="29" t="s">
        <v>663</v>
      </c>
      <c r="G1284" s="29" t="s">
        <v>659</v>
      </c>
      <c r="H1284" s="29" t="str">
        <f t="shared" si="367"/>
        <v>Pio XII</v>
      </c>
      <c r="K1284" s="29" t="s">
        <v>827</v>
      </c>
      <c r="L1284" s="29" t="str">
        <f t="shared" si="364"/>
        <v>Discorso</v>
      </c>
      <c r="M1284" s="29" t="s">
        <v>566</v>
      </c>
      <c r="O1284" s="29" t="s">
        <v>4964</v>
      </c>
      <c r="Q1284" s="38">
        <v>20199</v>
      </c>
      <c r="R1284" s="32">
        <f t="shared" si="362"/>
        <v>20</v>
      </c>
      <c r="S1284" s="32"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32">
        <f t="shared" si="363"/>
        <v>1955</v>
      </c>
      <c r="U1284" s="29"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3"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9"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9">
        <v>1311</v>
      </c>
      <c r="Y1284" s="29" t="str">
        <f t="shared" si="368"/>
        <v>['Pio XII', 'Discorso', 'In occasione del V centenario della morte del Beato Angelico', 'pixii-dis-', '20 aprile 1955', '20/04/1955', '1955/04/20'],</v>
      </c>
      <c r="Z1284" s="29" t="str">
        <f t="shared" si="369"/>
        <v>In occasione del V centenario della morte del Beato Angelico (20199) | Pio XII</v>
      </c>
      <c r="AA1284" s="29" t="str">
        <f t="shared" si="370"/>
        <v>Discorso In occasione del V centenario della morte del Beato Angelico</v>
      </c>
      <c r="AB1284" s="29" t="str">
        <f t="shared" si="371"/>
        <v>Discorso In occasione del V centenario della morte del Beato Angelico</v>
      </c>
      <c r="AC1284" s="29" t="str">
        <f t="shared" si="372"/>
        <v>Pio XII, Discorso In occasione del V centenario della morte del Beato Angelico, 20 aprile 1955</v>
      </c>
      <c r="AD1284" s="29" t="str">
        <f t="shared" si="373"/>
        <v>1955-04-20T08:00:00.000+02:00</v>
      </c>
      <c r="AE1284" s="29" t="str">
        <f t="shared" si="365"/>
        <v>pixii-dis-</v>
      </c>
      <c r="AF1284" s="29" t="str">
        <f t="shared" si="366"/>
        <v>Pio XII - Discorso - In occasione del V centenario della morte del Beato Angelico</v>
      </c>
    </row>
    <row r="1285" spans="2:32" x14ac:dyDescent="0.2">
      <c r="B1285" s="29">
        <v>260</v>
      </c>
      <c r="C1285" s="29" t="s">
        <v>4469</v>
      </c>
      <c r="D1285" s="29" t="s">
        <v>715</v>
      </c>
      <c r="E1285" s="29" t="s">
        <v>724</v>
      </c>
      <c r="F1285" s="29" t="s">
        <v>663</v>
      </c>
      <c r="G1285" s="29" t="s">
        <v>659</v>
      </c>
      <c r="H1285" s="29" t="str">
        <f t="shared" si="367"/>
        <v>Pio XII</v>
      </c>
      <c r="K1285" s="29" t="s">
        <v>827</v>
      </c>
      <c r="L1285" s="29" t="str">
        <f t="shared" si="364"/>
        <v>Discorso</v>
      </c>
      <c r="M1285" s="29" t="s">
        <v>566</v>
      </c>
      <c r="O1285" s="29" t="s">
        <v>4965</v>
      </c>
      <c r="Q1285" s="38">
        <v>20203</v>
      </c>
      <c r="R1285" s="32">
        <f t="shared" si="362"/>
        <v>24</v>
      </c>
      <c r="S1285" s="32"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32">
        <f t="shared" si="363"/>
        <v>1955</v>
      </c>
      <c r="U1285" s="29"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3"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9"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9">
        <v>1312</v>
      </c>
      <c r="Y1285" s="29" t="str">
        <f t="shared" si="368"/>
        <v>['Pio XII', 'Discorso', 'Ai Soci della Pontificia Accademia delle Scienze', 'pixii-dis-', '24 aprile 1955', '24/04/1955', '1955/04/24'],</v>
      </c>
      <c r="Z1285" s="29" t="str">
        <f t="shared" si="369"/>
        <v>Ai Soci della Pontificia Accademia delle Scienze (20203) | Pio XII</v>
      </c>
      <c r="AA1285" s="29" t="str">
        <f t="shared" si="370"/>
        <v>Discorso Ai Soci della Pontificia Accademia delle Scienze</v>
      </c>
      <c r="AB1285" s="29" t="str">
        <f t="shared" si="371"/>
        <v>Discorso Ai Soci della Pontificia Accademia delle Scienze</v>
      </c>
      <c r="AC1285" s="29" t="str">
        <f t="shared" si="372"/>
        <v>Pio XII, Discorso Ai Soci della Pontificia Accademia delle Scienze, 24 aprile 1955</v>
      </c>
      <c r="AD1285" s="29" t="str">
        <f t="shared" si="373"/>
        <v>1955-04-24T08:00:00.000+02:00</v>
      </c>
      <c r="AE1285" s="29" t="str">
        <f t="shared" si="365"/>
        <v>pixii-dis-</v>
      </c>
      <c r="AF1285" s="29" t="str">
        <f t="shared" si="366"/>
        <v>Pio XII - Discorso - Ai Soci della Pontificia Accademia delle Scienze</v>
      </c>
    </row>
    <row r="1286" spans="2:32" x14ac:dyDescent="0.2">
      <c r="B1286" s="29">
        <v>260</v>
      </c>
      <c r="C1286" s="29" t="s">
        <v>4470</v>
      </c>
      <c r="D1286" s="29" t="s">
        <v>715</v>
      </c>
      <c r="E1286" s="29" t="s">
        <v>724</v>
      </c>
      <c r="F1286" s="29" t="s">
        <v>663</v>
      </c>
      <c r="G1286" s="29" t="s">
        <v>659</v>
      </c>
      <c r="H1286" s="29" t="str">
        <f t="shared" si="367"/>
        <v>Pio XII</v>
      </c>
      <c r="K1286" s="29" t="s">
        <v>827</v>
      </c>
      <c r="L1286" s="29" t="str">
        <f t="shared" si="364"/>
        <v>Discorso</v>
      </c>
      <c r="M1286" s="29" t="s">
        <v>566</v>
      </c>
      <c r="O1286" s="29" t="s">
        <v>4966</v>
      </c>
      <c r="Q1286" s="38">
        <v>20210</v>
      </c>
      <c r="R1286" s="32">
        <f t="shared" si="362"/>
        <v>1</v>
      </c>
      <c r="S1286" s="32"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32">
        <f t="shared" si="363"/>
        <v>1955</v>
      </c>
      <c r="U1286" s="29"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3"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9"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9">
        <v>1313</v>
      </c>
      <c r="Y1286" s="29" t="str">
        <f t="shared" si="368"/>
        <v>['Pio XII', 'Discorso', 'Nella festività di San Giuseppe Artigiano', 'pixii-dis-', '01 maggio 1955', '01/05/1955', '1955/05/01'],</v>
      </c>
      <c r="Z1286" s="29" t="str">
        <f t="shared" si="369"/>
        <v>Nella festività di San Giuseppe Artigiano (20210) | Pio XII</v>
      </c>
      <c r="AA1286" s="29" t="str">
        <f t="shared" si="370"/>
        <v>Discorso Nella festività di San Giuseppe Artigiano</v>
      </c>
      <c r="AB1286" s="29" t="str">
        <f t="shared" si="371"/>
        <v>Discorso Nella festività di San Giuseppe Artigiano</v>
      </c>
      <c r="AC1286" s="29" t="str">
        <f t="shared" si="372"/>
        <v>Pio XII, Discorso Nella festività di San Giuseppe Artigiano, 01 maggio 1955</v>
      </c>
      <c r="AD1286" s="29" t="str">
        <f t="shared" si="373"/>
        <v>1955-05-01T08:00:00.000+02:00</v>
      </c>
      <c r="AE1286" s="29" t="str">
        <f t="shared" si="365"/>
        <v>pixii-dis-</v>
      </c>
      <c r="AF1286" s="29" t="str">
        <f t="shared" si="366"/>
        <v>Pio XII - Discorso - Nella festività di San Giuseppe Artigiano</v>
      </c>
    </row>
    <row r="1287" spans="2:32" x14ac:dyDescent="0.2">
      <c r="B1287" s="29">
        <v>260</v>
      </c>
      <c r="C1287" s="29" t="s">
        <v>4471</v>
      </c>
      <c r="D1287" s="29" t="s">
        <v>715</v>
      </c>
      <c r="E1287" s="29" t="s">
        <v>724</v>
      </c>
      <c r="F1287" s="29" t="s">
        <v>663</v>
      </c>
      <c r="G1287" s="29" t="s">
        <v>659</v>
      </c>
      <c r="H1287" s="29" t="str">
        <f t="shared" si="367"/>
        <v>Pio XII</v>
      </c>
      <c r="K1287" s="29" t="s">
        <v>827</v>
      </c>
      <c r="L1287" s="29" t="str">
        <f t="shared" si="364"/>
        <v>Discorso</v>
      </c>
      <c r="M1287" s="29" t="s">
        <v>566</v>
      </c>
      <c r="O1287" s="29" t="s">
        <v>4967</v>
      </c>
      <c r="Q1287" s="38">
        <v>20238</v>
      </c>
      <c r="R1287" s="32">
        <f t="shared" si="362"/>
        <v>29</v>
      </c>
      <c r="S1287" s="32"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32">
        <f t="shared" si="363"/>
        <v>1955</v>
      </c>
      <c r="U1287" s="29"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3"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9"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9">
        <v>1314</v>
      </c>
      <c r="Y1287" s="29" t="str">
        <f t="shared" si="368"/>
        <v>['Pio XII', 'Discorso', 'Ai dipendenti del Banco di Napoli', 'pixii-dis-', '29 maggio 1955', '29/05/1955', '1955/05/29'],</v>
      </c>
      <c r="Z1287" s="29" t="str">
        <f t="shared" si="369"/>
        <v>Ai dipendenti del Banco di Napoli (20238) | Pio XII</v>
      </c>
      <c r="AA1287" s="29" t="str">
        <f t="shared" si="370"/>
        <v>Discorso Ai dipendenti del Banco di Napoli</v>
      </c>
      <c r="AB1287" s="29" t="str">
        <f t="shared" si="371"/>
        <v>Discorso Ai dipendenti del Banco di Napoli</v>
      </c>
      <c r="AC1287" s="29" t="str">
        <f t="shared" si="372"/>
        <v>Pio XII, Discorso Ai dipendenti del Banco di Napoli, 29 maggio 1955</v>
      </c>
      <c r="AD1287" s="29" t="str">
        <f t="shared" si="373"/>
        <v>1955-05-29T08:00:00.000+02:00</v>
      </c>
      <c r="AE1287" s="29" t="str">
        <f t="shared" si="365"/>
        <v>pixii-dis-</v>
      </c>
      <c r="AF1287" s="29" t="str">
        <f t="shared" si="366"/>
        <v>Pio XII - Discorso - Ai dipendenti del Banco di Napoli</v>
      </c>
    </row>
    <row r="1288" spans="2:32" x14ac:dyDescent="0.2">
      <c r="B1288" s="29">
        <v>260</v>
      </c>
      <c r="C1288" s="29" t="s">
        <v>4472</v>
      </c>
      <c r="D1288" s="29" t="s">
        <v>715</v>
      </c>
      <c r="E1288" s="29" t="s">
        <v>724</v>
      </c>
      <c r="F1288" s="29" t="s">
        <v>663</v>
      </c>
      <c r="G1288" s="29" t="s">
        <v>659</v>
      </c>
      <c r="H1288" s="29" t="str">
        <f t="shared" si="367"/>
        <v>Pio XII</v>
      </c>
      <c r="K1288" s="29" t="s">
        <v>827</v>
      </c>
      <c r="L1288" s="29" t="str">
        <f t="shared" si="364"/>
        <v>Discorso</v>
      </c>
      <c r="M1288" s="29" t="s">
        <v>566</v>
      </c>
      <c r="O1288" s="29" t="s">
        <v>4968</v>
      </c>
      <c r="Q1288" s="38">
        <v>20245</v>
      </c>
      <c r="R1288" s="32">
        <f t="shared" si="362"/>
        <v>5</v>
      </c>
      <c r="S1288" s="32"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32">
        <f t="shared" si="363"/>
        <v>1955</v>
      </c>
      <c r="U1288" s="29"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3"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9"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9">
        <v>1315</v>
      </c>
      <c r="Y1288" s="29" t="str">
        <f t="shared" si="368"/>
        <v>['Pio XII', 'Discorso', 'Ai partecipanti al VII Congresso Nazionale della Unione cristiana imprenditori e dirigenti', 'pixii-dis-', '05 giugno 1955', '05/06/1955', '1955/06/05'],</v>
      </c>
      <c r="Z1288" s="29" t="str">
        <f t="shared" si="369"/>
        <v>Ai partecipanti al VII Congresso Nazionale della Unione cristiana imprenditori e dirigenti (20245) | Pio XII</v>
      </c>
      <c r="AA1288" s="29" t="str">
        <f t="shared" si="370"/>
        <v>Discorso Ai partecipanti al VII Congresso Nazionale della Unione cristiana imprenditori e dirigenti</v>
      </c>
      <c r="AB1288" s="29" t="str">
        <f t="shared" si="371"/>
        <v>Discorso Ai partecipanti al VII Congresso Nazionale della Unione cristiana imprenditori e dirigenti</v>
      </c>
      <c r="AC1288" s="29" t="str">
        <f t="shared" si="372"/>
        <v>Pio XII, Discorso Ai partecipanti al VII Congresso Nazionale della Unione cristiana imprenditori e dirigenti, 05 giugno 1955</v>
      </c>
      <c r="AD1288" s="29" t="str">
        <f t="shared" si="373"/>
        <v>1955-06-05T08:00:00.000+02:00</v>
      </c>
      <c r="AE1288" s="29" t="str">
        <f t="shared" si="365"/>
        <v>pixii-dis-</v>
      </c>
      <c r="AF1288" s="29" t="str">
        <f t="shared" si="366"/>
        <v>Pio XII - Discorso - Ai partecipanti al VII Congresso Nazionale della Unione cristiana imprenditori e dirigenti</v>
      </c>
    </row>
    <row r="1289" spans="2:32" x14ac:dyDescent="0.2">
      <c r="B1289" s="29">
        <v>260</v>
      </c>
      <c r="C1289" s="29" t="s">
        <v>4473</v>
      </c>
      <c r="D1289" s="29" t="s">
        <v>715</v>
      </c>
      <c r="E1289" s="29" t="s">
        <v>724</v>
      </c>
      <c r="F1289" s="29" t="s">
        <v>663</v>
      </c>
      <c r="G1289" s="29" t="s">
        <v>659</v>
      </c>
      <c r="H1289" s="29" t="str">
        <f t="shared" si="367"/>
        <v>Pio XII</v>
      </c>
      <c r="K1289" s="29" t="s">
        <v>827</v>
      </c>
      <c r="L1289" s="29" t="str">
        <f t="shared" si="364"/>
        <v>Discorso</v>
      </c>
      <c r="M1289" s="29" t="s">
        <v>566</v>
      </c>
      <c r="O1289" s="29" t="s">
        <v>4969</v>
      </c>
      <c r="Q1289" s="38">
        <v>20261</v>
      </c>
      <c r="R1289" s="32">
        <f t="shared" si="362"/>
        <v>21</v>
      </c>
      <c r="S1289" s="32"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32">
        <f t="shared" si="363"/>
        <v>1955</v>
      </c>
      <c r="U1289" s="29"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3"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9"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9">
        <v>1316</v>
      </c>
      <c r="Y1289" s="29" t="str">
        <f t="shared" si="368"/>
        <v>['Pio XII', 'Discorso', 'Ai rappresentanti dell'Industria Cinematografica Italiana', 'pixii-dis-', '21 giugno 1955', '21/06/1955', '1955/06/21'],</v>
      </c>
      <c r="Z1289" s="29" t="str">
        <f t="shared" si="369"/>
        <v>Ai rappresentanti dell'Industria Cinematografica Italiana (20261) | Pio XII</v>
      </c>
      <c r="AA1289" s="29" t="str">
        <f t="shared" si="370"/>
        <v>Discorso Ai rappresentanti dell'Industria Cinematografica Italiana</v>
      </c>
      <c r="AB1289" s="29" t="str">
        <f t="shared" si="371"/>
        <v>Discorso Ai rappresentanti dell'Industria Cinematografica Italiana</v>
      </c>
      <c r="AC1289" s="29" t="str">
        <f t="shared" si="372"/>
        <v>Pio XII, Discorso Ai rappresentanti dell'Industria Cinematografica Italiana, 21 giugno 1955</v>
      </c>
      <c r="AD1289" s="29" t="str">
        <f t="shared" si="373"/>
        <v>1955-06-21T08:00:00.000+02:00</v>
      </c>
      <c r="AE1289" s="29" t="str">
        <f t="shared" si="365"/>
        <v>pixii-dis-</v>
      </c>
      <c r="AF1289" s="29" t="str">
        <f t="shared" si="366"/>
        <v>Pio XII - Discorso - Ai rappresentanti dell'Industria Cinematografica Italiana</v>
      </c>
    </row>
    <row r="1290" spans="2:32" x14ac:dyDescent="0.2">
      <c r="B1290" s="29">
        <v>260</v>
      </c>
      <c r="C1290" s="29" t="s">
        <v>4474</v>
      </c>
      <c r="D1290" s="29" t="s">
        <v>715</v>
      </c>
      <c r="E1290" s="29" t="s">
        <v>724</v>
      </c>
      <c r="F1290" s="29" t="s">
        <v>663</v>
      </c>
      <c r="G1290" s="29" t="s">
        <v>659</v>
      </c>
      <c r="H1290" s="29" t="str">
        <f t="shared" si="367"/>
        <v>Pio XII</v>
      </c>
      <c r="K1290" s="29" t="s">
        <v>827</v>
      </c>
      <c r="L1290" s="29" t="str">
        <f t="shared" si="364"/>
        <v>Discorso</v>
      </c>
      <c r="M1290" s="29" t="s">
        <v>566</v>
      </c>
      <c r="O1290" s="29" t="s">
        <v>4970</v>
      </c>
      <c r="Q1290" s="38">
        <v>20266</v>
      </c>
      <c r="R1290" s="32">
        <f t="shared" si="362"/>
        <v>26</v>
      </c>
      <c r="S1290" s="32"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32">
        <f t="shared" si="363"/>
        <v>1955</v>
      </c>
      <c r="U1290" s="29"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3"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9"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9">
        <v>1317</v>
      </c>
      <c r="Y1290" s="29" t="str">
        <f t="shared" si="368"/>
        <v>['Pio XII', 'Discorso', 'Ai Ferrovieri del Compartimento di Roma', 'pixii-dis-', '26 giugno 1955', '26/06/1955', '1955/06/26'],</v>
      </c>
      <c r="Z1290" s="29" t="str">
        <f t="shared" si="369"/>
        <v>Ai Ferrovieri del Compartimento di Roma (20266) | Pio XII</v>
      </c>
      <c r="AA1290" s="29" t="str">
        <f t="shared" si="370"/>
        <v>Discorso Ai Ferrovieri del Compartimento di Roma</v>
      </c>
      <c r="AB1290" s="29" t="str">
        <f t="shared" si="371"/>
        <v>Discorso Ai Ferrovieri del Compartimento di Roma</v>
      </c>
      <c r="AC1290" s="29" t="str">
        <f t="shared" si="372"/>
        <v>Pio XII, Discorso Ai Ferrovieri del Compartimento di Roma, 26 giugno 1955</v>
      </c>
      <c r="AD1290" s="29" t="str">
        <f t="shared" si="373"/>
        <v>1955-06-26T08:00:00.000+02:00</v>
      </c>
      <c r="AE1290" s="29" t="str">
        <f t="shared" si="365"/>
        <v>pixii-dis-</v>
      </c>
      <c r="AF1290" s="29" t="str">
        <f t="shared" si="366"/>
        <v>Pio XII - Discorso - Ai Ferrovieri del Compartimento di Roma</v>
      </c>
    </row>
    <row r="1291" spans="2:32" x14ac:dyDescent="0.2">
      <c r="B1291" s="29">
        <v>260</v>
      </c>
      <c r="C1291" s="29" t="s">
        <v>4475</v>
      </c>
      <c r="D1291" s="29" t="s">
        <v>715</v>
      </c>
      <c r="E1291" s="29" t="s">
        <v>724</v>
      </c>
      <c r="F1291" s="29" t="s">
        <v>663</v>
      </c>
      <c r="G1291" s="29" t="s">
        <v>659</v>
      </c>
      <c r="H1291" s="29" t="str">
        <f t="shared" si="367"/>
        <v>Pio XII</v>
      </c>
      <c r="K1291" s="29" t="s">
        <v>827</v>
      </c>
      <c r="L1291" s="29" t="str">
        <f t="shared" si="364"/>
        <v>Discorso</v>
      </c>
      <c r="M1291" s="29" t="s">
        <v>566</v>
      </c>
      <c r="O1291" s="29" t="s">
        <v>4971</v>
      </c>
      <c r="Q1291" s="38">
        <v>20273</v>
      </c>
      <c r="R1291" s="32">
        <f t="shared" si="362"/>
        <v>3</v>
      </c>
      <c r="S1291" s="32"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32">
        <f t="shared" si="363"/>
        <v>1955</v>
      </c>
      <c r="U1291" s="29"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3"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9"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9">
        <v>1318</v>
      </c>
      <c r="Y1291" s="29" t="str">
        <f t="shared" si="368"/>
        <v>['Pio XII', 'Discorso', 'Ai Cronisti Romani nel decimo anniversario di fondazione del loro sindacato', 'pixii-dis-', '03 luglio 1955', '03/07/1955', '1955/07/03'],</v>
      </c>
      <c r="Z1291" s="29" t="str">
        <f t="shared" si="369"/>
        <v>Ai Cronisti Romani nel decimo anniversario di fondazione del loro sindacato (20273) | Pio XII</v>
      </c>
      <c r="AA1291" s="29" t="str">
        <f t="shared" si="370"/>
        <v>Discorso Ai Cronisti Romani nel decimo anniversario di fondazione del loro sindacato</v>
      </c>
      <c r="AB1291" s="29" t="str">
        <f t="shared" si="371"/>
        <v>Discorso Ai Cronisti Romani nel decimo anniversario di fondazione del loro sindacato</v>
      </c>
      <c r="AC1291" s="29" t="str">
        <f t="shared" si="372"/>
        <v>Pio XII, Discorso Ai Cronisti Romani nel decimo anniversario di fondazione del loro sindacato, 03 luglio 1955</v>
      </c>
      <c r="AD1291" s="29" t="str">
        <f t="shared" si="373"/>
        <v>1955-07-03T08:00:00.000+02:00</v>
      </c>
      <c r="AE1291" s="29" t="str">
        <f t="shared" si="365"/>
        <v>pixii-dis-</v>
      </c>
      <c r="AF1291" s="29" t="str">
        <f t="shared" si="366"/>
        <v>Pio XII - Discorso - Ai Cronisti Romani nel decimo anniversario di fondazione del loro sindacato</v>
      </c>
    </row>
    <row r="1292" spans="2:32" x14ac:dyDescent="0.2">
      <c r="B1292" s="29">
        <v>260</v>
      </c>
      <c r="C1292" s="29" t="s">
        <v>4476</v>
      </c>
      <c r="D1292" s="29" t="s">
        <v>715</v>
      </c>
      <c r="E1292" s="29" t="s">
        <v>724</v>
      </c>
      <c r="F1292" s="29" t="s">
        <v>663</v>
      </c>
      <c r="G1292" s="29" t="s">
        <v>659</v>
      </c>
      <c r="H1292" s="29" t="str">
        <f t="shared" si="367"/>
        <v>Pio XII</v>
      </c>
      <c r="K1292" s="29" t="s">
        <v>827</v>
      </c>
      <c r="L1292" s="29" t="str">
        <f t="shared" si="364"/>
        <v>Discorso</v>
      </c>
      <c r="M1292" s="29" t="s">
        <v>566</v>
      </c>
      <c r="O1292" s="29" t="s">
        <v>4972</v>
      </c>
      <c r="Q1292" s="38">
        <v>20355</v>
      </c>
      <c r="R1292" s="32">
        <f t="shared" si="362"/>
        <v>23</v>
      </c>
      <c r="S1292" s="32"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32">
        <f t="shared" si="363"/>
        <v>1955</v>
      </c>
      <c r="U1292" s="29"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3"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9"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9">
        <v>1319</v>
      </c>
      <c r="Y1292" s="29" t="str">
        <f t="shared" si="368"/>
        <v>['Pio XII', 'Discorso', 'Ai partecipanti al Congresso della Federazione Italiana Tabaccai', 'pixii-dis-', '23 settembre 1955', '23/09/1955', '1955/09/23'],</v>
      </c>
      <c r="Z1292" s="29" t="str">
        <f t="shared" si="369"/>
        <v>Ai partecipanti al Congresso della Federazione Italiana Tabaccai (20355) | Pio XII</v>
      </c>
      <c r="AA1292" s="29" t="str">
        <f t="shared" si="370"/>
        <v>Discorso Ai partecipanti al Congresso della Federazione Italiana Tabaccai</v>
      </c>
      <c r="AB1292" s="29" t="str">
        <f t="shared" si="371"/>
        <v>Discorso Ai partecipanti al Congresso della Federazione Italiana Tabaccai</v>
      </c>
      <c r="AC1292" s="29" t="str">
        <f t="shared" si="372"/>
        <v>Pio XII, Discorso Ai partecipanti al Congresso della Federazione Italiana Tabaccai, 23 settembre 1955</v>
      </c>
      <c r="AD1292" s="29" t="str">
        <f t="shared" si="373"/>
        <v>1955-09-23T08:00:00.000+02:00</v>
      </c>
      <c r="AE1292" s="29" t="str">
        <f t="shared" si="365"/>
        <v>pixii-dis-</v>
      </c>
      <c r="AF1292" s="29" t="str">
        <f t="shared" si="366"/>
        <v>Pio XII - Discorso - Ai partecipanti al Congresso della Federazione Italiana Tabaccai</v>
      </c>
    </row>
    <row r="1293" spans="2:32" x14ac:dyDescent="0.2">
      <c r="B1293" s="29">
        <v>260</v>
      </c>
      <c r="C1293" s="29" t="s">
        <v>4477</v>
      </c>
      <c r="D1293" s="29" t="s">
        <v>715</v>
      </c>
      <c r="E1293" s="29" t="s">
        <v>724</v>
      </c>
      <c r="F1293" s="29" t="s">
        <v>663</v>
      </c>
      <c r="G1293" s="29" t="s">
        <v>659</v>
      </c>
      <c r="H1293" s="29" t="str">
        <f t="shared" si="367"/>
        <v>Pio XII</v>
      </c>
      <c r="K1293" s="29" t="s">
        <v>827</v>
      </c>
      <c r="L1293" s="29" t="str">
        <f t="shared" si="364"/>
        <v>Discorso</v>
      </c>
      <c r="M1293" s="29" t="s">
        <v>566</v>
      </c>
      <c r="O1293" s="29" t="s">
        <v>4973</v>
      </c>
      <c r="Q1293" s="38">
        <v>20364</v>
      </c>
      <c r="R1293" s="32">
        <f t="shared" si="362"/>
        <v>2</v>
      </c>
      <c r="S1293" s="32"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32">
        <f t="shared" si="363"/>
        <v>1955</v>
      </c>
      <c r="U1293" s="29"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3"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9"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9">
        <v>1320</v>
      </c>
      <c r="Y1293" s="29" t="str">
        <f t="shared" si="368"/>
        <v>['Pio XII', 'Discorso', 'Alle giovanissime della gioventù femminile di Azione Cattolica', 'pixii-dis-', '02 ottobre 1955', '02/10/1955', '1955/10/02'],</v>
      </c>
      <c r="Z1293" s="29" t="str">
        <f t="shared" si="369"/>
        <v>Alle giovanissime della gioventù femminile di Azione Cattolica (20364) | Pio XII</v>
      </c>
      <c r="AA1293" s="29" t="str">
        <f t="shared" si="370"/>
        <v>Discorso Alle giovanissime della gioventù femminile di Azione Cattolica</v>
      </c>
      <c r="AB1293" s="29" t="str">
        <f t="shared" si="371"/>
        <v>Discorso Alle giovanissime della gioventù femminile di Azione Cattolica</v>
      </c>
      <c r="AC1293" s="29" t="str">
        <f t="shared" si="372"/>
        <v>Pio XII, Discorso Alle giovanissime della gioventù femminile di Azione Cattolica, 02 ottobre 1955</v>
      </c>
      <c r="AD1293" s="29" t="str">
        <f t="shared" si="373"/>
        <v>1955-10-02T08:00:00.000+02:00</v>
      </c>
      <c r="AE1293" s="29" t="str">
        <f t="shared" si="365"/>
        <v>pixii-dis-</v>
      </c>
      <c r="AF1293" s="29" t="str">
        <f t="shared" si="366"/>
        <v>Pio XII - Discorso - Alle giovanissime della gioventù femminile di Azione Cattolica</v>
      </c>
    </row>
    <row r="1294" spans="2:32" x14ac:dyDescent="0.2">
      <c r="B1294" s="29">
        <v>260</v>
      </c>
      <c r="C1294" s="29" t="s">
        <v>4478</v>
      </c>
      <c r="D1294" s="29" t="s">
        <v>715</v>
      </c>
      <c r="E1294" s="29" t="s">
        <v>724</v>
      </c>
      <c r="F1294" s="29" t="s">
        <v>663</v>
      </c>
      <c r="G1294" s="29" t="s">
        <v>659</v>
      </c>
      <c r="H1294" s="29" t="str">
        <f t="shared" si="367"/>
        <v>Pio XII</v>
      </c>
      <c r="K1294" s="29" t="s">
        <v>827</v>
      </c>
      <c r="L1294" s="29" t="str">
        <f t="shared" si="364"/>
        <v>Discorso</v>
      </c>
      <c r="M1294" s="29" t="s">
        <v>566</v>
      </c>
      <c r="O1294" s="29" t="s">
        <v>4974</v>
      </c>
      <c r="Q1294" s="38">
        <v>20373</v>
      </c>
      <c r="R1294" s="32">
        <f t="shared" si="362"/>
        <v>11</v>
      </c>
      <c r="S1294" s="32"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32">
        <f t="shared" si="363"/>
        <v>1955</v>
      </c>
      <c r="U1294" s="29"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3"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9"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9">
        <v>1321</v>
      </c>
      <c r="Y1294" s="29" t="str">
        <f t="shared" si="368"/>
        <v>['Pio XII', 'Discorso', 'Radiomessaggio ai partecipanti al terzo Congresso internazionale delle comunicazioni, nel sessantesimo anniversario della scoperta della Radiotelegrafia da parte di Guglielmo Marconi', 'pixii-dis-', '11 ottobre 1955', '11/10/1955', '1955/10/11'],</v>
      </c>
      <c r="Z1294" s="29" t="str">
        <f t="shared" si="369"/>
        <v>Radiomessaggio ai partecipanti al terzo Congresso internazionale delle comunicazioni, nel sessantesimo anniversario della scoperta della Radiotelegrafia da parte di Guglielmo Marconi (20373) | Pio XII</v>
      </c>
      <c r="AA1294" s="29" t="str">
        <f t="shared" si="370"/>
        <v>Discorso Radiomessaggio ai partecipanti al terzo Congresso internazionale delle comunicazioni, nel sessantesimo anniversario della scoperta della Radiotelegrafia da parte di Guglielmo Marconi</v>
      </c>
      <c r="AB1294" s="29" t="str">
        <f t="shared" si="371"/>
        <v>Discorso Radiomessaggio ai partecipanti al terzo Congresso internazionale delle comunicazioni, nel sessantesimo anniversario della scoperta della Radiotelegrafia da parte di Guglielmo Marconi</v>
      </c>
      <c r="AC1294" s="29" t="str">
        <f t="shared" si="372"/>
        <v>Pio XII, Discorso Radiomessaggio ai partecipanti al terzo Congresso internazionale delle comunicazioni, nel sessantesimo anniversario della scoperta della Radiotelegrafia da parte di Guglielmo Marconi, 11 ottobre 1955</v>
      </c>
      <c r="AD1294" s="29" t="str">
        <f t="shared" si="373"/>
        <v>1955-10-11T08:00:00.000+02:00</v>
      </c>
      <c r="AE1294" s="29" t="str">
        <f t="shared" si="365"/>
        <v>pixii-dis-</v>
      </c>
      <c r="AF1294" s="29" t="str">
        <f t="shared" si="366"/>
        <v>Pio XII - Discorso - Radiomessaggio ai partecipanti al terzo Congresso internazionale delle comunicazioni, nel sessantesimo anniversario della scoperta della Radiotelegrafia da parte di Guglielmo Marconi</v>
      </c>
    </row>
    <row r="1295" spans="2:32" x14ac:dyDescent="0.2">
      <c r="B1295" s="29">
        <v>260</v>
      </c>
      <c r="C1295" s="29" t="s">
        <v>4479</v>
      </c>
      <c r="D1295" s="29" t="s">
        <v>715</v>
      </c>
      <c r="E1295" s="29" t="s">
        <v>724</v>
      </c>
      <c r="F1295" s="29" t="s">
        <v>663</v>
      </c>
      <c r="G1295" s="29" t="s">
        <v>659</v>
      </c>
      <c r="H1295" s="29" t="str">
        <f t="shared" si="367"/>
        <v>Pio XII</v>
      </c>
      <c r="K1295" s="29" t="s">
        <v>827</v>
      </c>
      <c r="L1295" s="29" t="str">
        <f t="shared" si="364"/>
        <v>Discorso</v>
      </c>
      <c r="M1295" s="29" t="s">
        <v>566</v>
      </c>
      <c r="O1295" s="29" t="s">
        <v>4975</v>
      </c>
      <c r="Q1295" s="38">
        <v>20373</v>
      </c>
      <c r="R1295" s="32">
        <f t="shared" si="362"/>
        <v>11</v>
      </c>
      <c r="S1295" s="32"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32">
        <f t="shared" si="363"/>
        <v>1955</v>
      </c>
      <c r="U1295" s="29"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3"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9"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9">
        <v>1322</v>
      </c>
      <c r="Y1295" s="29" t="str">
        <f t="shared" si="368"/>
        <v>['Pio XII', 'Discorso', 'Ai partecipanti al II Congresso Nazionale italiano della Pia unione Pastori', 'pixii-dis-', '11 ottobre 1955', '11/10/1955', '1955/10/11'],</v>
      </c>
      <c r="Z1295" s="29" t="str">
        <f t="shared" si="369"/>
        <v>Ai partecipanti al II Congresso Nazionale italiano della Pia unione Pastori (20373) | Pio XII</v>
      </c>
      <c r="AA1295" s="29" t="str">
        <f t="shared" si="370"/>
        <v>Discorso Ai partecipanti al II Congresso Nazionale italiano della Pia unione Pastori</v>
      </c>
      <c r="AB1295" s="29" t="str">
        <f t="shared" si="371"/>
        <v>Discorso Ai partecipanti al II Congresso Nazionale italiano della Pia unione Pastori</v>
      </c>
      <c r="AC1295" s="29" t="str">
        <f t="shared" si="372"/>
        <v>Pio XII, Discorso Ai partecipanti al II Congresso Nazionale italiano della Pia unione Pastori, 11 ottobre 1955</v>
      </c>
      <c r="AD1295" s="29" t="str">
        <f t="shared" si="373"/>
        <v>1955-10-11T08:00:00.000+02:00</v>
      </c>
      <c r="AE1295" s="29" t="str">
        <f t="shared" si="365"/>
        <v>pixii-dis-</v>
      </c>
      <c r="AF1295" s="29" t="str">
        <f t="shared" si="366"/>
        <v>Pio XII - Discorso - Ai partecipanti al II Congresso Nazionale italiano della Pia unione Pastori</v>
      </c>
    </row>
    <row r="1296" spans="2:32" x14ac:dyDescent="0.2">
      <c r="B1296" s="29">
        <v>260</v>
      </c>
      <c r="C1296" s="29" t="s">
        <v>4480</v>
      </c>
      <c r="D1296" s="29" t="s">
        <v>715</v>
      </c>
      <c r="E1296" s="29" t="s">
        <v>724</v>
      </c>
      <c r="F1296" s="29" t="s">
        <v>663</v>
      </c>
      <c r="G1296" s="29" t="s">
        <v>659</v>
      </c>
      <c r="H1296" s="29" t="str">
        <f t="shared" si="367"/>
        <v>Pio XII</v>
      </c>
      <c r="K1296" s="29" t="s">
        <v>827</v>
      </c>
      <c r="L1296" s="29" t="str">
        <f t="shared" si="364"/>
        <v>Discorso</v>
      </c>
      <c r="M1296" s="29" t="s">
        <v>566</v>
      </c>
      <c r="O1296" s="29" t="s">
        <v>4976</v>
      </c>
      <c r="Q1296" s="38">
        <v>20375</v>
      </c>
      <c r="R1296" s="32">
        <f t="shared" si="362"/>
        <v>13</v>
      </c>
      <c r="S1296" s="32"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32">
        <f t="shared" si="363"/>
        <v>1955</v>
      </c>
      <c r="U1296" s="29"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3"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9"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9">
        <v>1323</v>
      </c>
      <c r="Y1296" s="29" t="str">
        <f t="shared" si="368"/>
        <v>['Pio XII', 'Discorso', 'Ai componenti del «Centro italiano di studi per la Riconciliazione Internazionale »', 'pixii-dis-', '13 ottobre 1955', '13/10/1955', '1955/10/13'],</v>
      </c>
      <c r="Z1296" s="29" t="str">
        <f t="shared" si="369"/>
        <v>Ai componenti del «Centro italiano di studi per la Riconciliazione Internazionale » (20375) | Pio XII</v>
      </c>
      <c r="AA1296" s="29" t="str">
        <f t="shared" si="370"/>
        <v>Discorso Ai componenti del «Centro italiano di studi per la Riconciliazione Internazionale »</v>
      </c>
      <c r="AB1296" s="29" t="str">
        <f t="shared" si="371"/>
        <v>Discorso Ai componenti del «Centro italiano di studi per la Riconciliazione Internazionale »</v>
      </c>
      <c r="AC1296" s="29" t="str">
        <f t="shared" si="372"/>
        <v>Pio XII, Discorso Ai componenti del «Centro italiano di studi per la Riconciliazione Internazionale », 13 ottobre 1955</v>
      </c>
      <c r="AD1296" s="29" t="str">
        <f t="shared" si="373"/>
        <v>1955-10-13T08:00:00.000+02:00</v>
      </c>
      <c r="AE1296" s="29" t="str">
        <f t="shared" si="365"/>
        <v>pixii-dis-</v>
      </c>
      <c r="AF1296" s="29" t="str">
        <f t="shared" si="366"/>
        <v>Pio XII - Discorso - Ai componenti del «Centro italiano di studi per la Riconciliazione Internazionale »</v>
      </c>
    </row>
    <row r="1297" spans="2:32" x14ac:dyDescent="0.2">
      <c r="B1297" s="29">
        <v>260</v>
      </c>
      <c r="C1297" s="29" t="s">
        <v>4481</v>
      </c>
      <c r="D1297" s="29" t="s">
        <v>715</v>
      </c>
      <c r="E1297" s="29" t="s">
        <v>724</v>
      </c>
      <c r="F1297" s="29" t="s">
        <v>663</v>
      </c>
      <c r="G1297" s="29" t="s">
        <v>659</v>
      </c>
      <c r="H1297" s="29" t="str">
        <f t="shared" si="367"/>
        <v>Pio XII</v>
      </c>
      <c r="K1297" s="29" t="s">
        <v>827</v>
      </c>
      <c r="L1297" s="29" t="str">
        <f t="shared" si="364"/>
        <v>Discorso</v>
      </c>
      <c r="M1297" s="29" t="s">
        <v>566</v>
      </c>
      <c r="O1297" s="29" t="s">
        <v>4977</v>
      </c>
      <c r="Q1297" s="38">
        <v>20383</v>
      </c>
      <c r="R1297" s="32">
        <f t="shared" si="362"/>
        <v>21</v>
      </c>
      <c r="S1297" s="32"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32">
        <f t="shared" si="363"/>
        <v>1955</v>
      </c>
      <c r="U1297" s="29"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3"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9"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9">
        <v>1324</v>
      </c>
      <c r="Y1297" s="29" t="str">
        <f t="shared" si="368"/>
        <v>['Pio XII', 'Discorso', 'Ai partecipanti all’Assemblea generale dell’Unione Europea di Radiodiffusione svoltasi a Roma', 'pixii-dis-', '21 ottobre 1955', '21/10/1955', '1955/10/21'],</v>
      </c>
      <c r="Z1297" s="29" t="str">
        <f t="shared" si="369"/>
        <v>Ai partecipanti all’Assemblea generale dell’Unione Europea di Radiodiffusione svoltasi a Roma (20383) | Pio XII</v>
      </c>
      <c r="AA1297" s="29" t="str">
        <f t="shared" si="370"/>
        <v>Discorso Ai partecipanti all’Assemblea generale dell’Unione Europea di Radiodiffusione svoltasi a Roma</v>
      </c>
      <c r="AB1297" s="29" t="str">
        <f t="shared" si="371"/>
        <v>Discorso Ai partecipanti all’Assemblea generale dell’Unione Europea di Radiodiffusione svoltasi a Roma</v>
      </c>
      <c r="AC1297" s="29" t="str">
        <f t="shared" si="372"/>
        <v>Pio XII, Discorso Ai partecipanti all’Assemblea generale dell’Unione Europea di Radiodiffusione svoltasi a Roma, 21 ottobre 1955</v>
      </c>
      <c r="AD1297" s="29" t="str">
        <f t="shared" si="373"/>
        <v>1955-10-21T08:00:00.000+02:00</v>
      </c>
      <c r="AE1297" s="29" t="str">
        <f t="shared" si="365"/>
        <v>pixii-dis-</v>
      </c>
      <c r="AF1297" s="29" t="str">
        <f t="shared" si="366"/>
        <v>Pio XII - Discorso - Ai partecipanti all’Assemblea generale dell’Unione Europea di Radiodiffusione svoltasi a Roma</v>
      </c>
    </row>
    <row r="1298" spans="2:32" x14ac:dyDescent="0.2">
      <c r="B1298" s="29">
        <v>260</v>
      </c>
      <c r="C1298" s="29" t="s">
        <v>4482</v>
      </c>
      <c r="D1298" s="29" t="s">
        <v>715</v>
      </c>
      <c r="E1298" s="29" t="s">
        <v>724</v>
      </c>
      <c r="F1298" s="29" t="s">
        <v>663</v>
      </c>
      <c r="G1298" s="29" t="s">
        <v>659</v>
      </c>
      <c r="H1298" s="29" t="str">
        <f t="shared" si="367"/>
        <v>Pio XII</v>
      </c>
      <c r="K1298" s="29" t="s">
        <v>827</v>
      </c>
      <c r="L1298" s="29" t="str">
        <f t="shared" si="364"/>
        <v>Discorso</v>
      </c>
      <c r="M1298" s="29" t="s">
        <v>566</v>
      </c>
      <c r="O1298" s="29" t="s">
        <v>4978</v>
      </c>
      <c r="Q1298" s="38">
        <v>20386</v>
      </c>
      <c r="R1298" s="32">
        <f t="shared" ref="R1298:R1361" si="374">IF(ISERROR(DAY(Q1298)),TEXT((LEFT(Q1298,2)),"00"),DAY(Q1298))</f>
        <v>24</v>
      </c>
      <c r="S1298" s="32"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32">
        <f t="shared" ref="T1298:T1361" si="375">IF(ISERROR(DAY(Q1298)),VALUE(RIGHT(Q1298,4)),YEAR(Q1298))</f>
        <v>1955</v>
      </c>
      <c r="U1298" s="29"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3"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9"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9">
        <v>1325</v>
      </c>
      <c r="Y1298" s="29" t="str">
        <f t="shared" si="368"/>
        <v>['Pio XII', 'Discorso', 'Ai partecipanti ad un Corso di perfezionamento di Storia Antica ed Archeologia', 'pixii-dis-', '24 ottobre 1955', '24/10/1955', '1955/10/24'],</v>
      </c>
      <c r="Z1298" s="29" t="str">
        <f t="shared" si="369"/>
        <v>Ai partecipanti ad un Corso di perfezionamento di Storia Antica ed Archeologia (20386) | Pio XII</v>
      </c>
      <c r="AA1298" s="29" t="str">
        <f t="shared" si="370"/>
        <v>Discorso Ai partecipanti ad un Corso di perfezionamento di Storia Antica ed Archeologia</v>
      </c>
      <c r="AB1298" s="29" t="str">
        <f t="shared" si="371"/>
        <v>Discorso Ai partecipanti ad un Corso di perfezionamento di Storia Antica ed Archeologia</v>
      </c>
      <c r="AC1298" s="29" t="str">
        <f t="shared" si="372"/>
        <v>Pio XII, Discorso Ai partecipanti ad un Corso di perfezionamento di Storia Antica ed Archeologia, 24 ottobre 1955</v>
      </c>
      <c r="AD1298" s="29" t="str">
        <f t="shared" si="373"/>
        <v>1955-10-24T08:00:00.000+02:00</v>
      </c>
      <c r="AE1298" s="29" t="str">
        <f t="shared" si="365"/>
        <v>pixii-dis-</v>
      </c>
      <c r="AF1298" s="29" t="str">
        <f t="shared" si="366"/>
        <v>Pio XII - Discorso - Ai partecipanti ad un Corso di perfezionamento di Storia Antica ed Archeologia</v>
      </c>
    </row>
    <row r="1299" spans="2:32" x14ac:dyDescent="0.2">
      <c r="B1299" s="29">
        <v>260</v>
      </c>
      <c r="C1299" s="29" t="s">
        <v>4483</v>
      </c>
      <c r="D1299" s="29" t="s">
        <v>715</v>
      </c>
      <c r="E1299" s="29" t="s">
        <v>724</v>
      </c>
      <c r="F1299" s="29" t="s">
        <v>663</v>
      </c>
      <c r="G1299" s="29" t="s">
        <v>659</v>
      </c>
      <c r="H1299" s="29" t="str">
        <f t="shared" si="367"/>
        <v>Pio XII</v>
      </c>
      <c r="K1299" s="29" t="s">
        <v>827</v>
      </c>
      <c r="L1299" s="29" t="str">
        <f t="shared" si="364"/>
        <v>Discorso</v>
      </c>
      <c r="M1299" s="29" t="s">
        <v>566</v>
      </c>
      <c r="O1299" s="29" t="s">
        <v>4979</v>
      </c>
      <c r="Q1299" s="38">
        <v>20387</v>
      </c>
      <c r="R1299" s="32">
        <f t="shared" si="374"/>
        <v>25</v>
      </c>
      <c r="S1299" s="32"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32">
        <f t="shared" si="375"/>
        <v>1955</v>
      </c>
      <c r="U1299" s="29"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3"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9"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9">
        <v>1326</v>
      </c>
      <c r="Y1299" s="29" t="str">
        <f t="shared" si="368"/>
        <v>['Pio XII', 'Discorso', 'Alla «Federazione Italiana Pubblici Esercizi», nel decennio della sua attività', 'pixii-dis-', '25 ottobre 1955', '25/10/1955', '1955/10/25'],</v>
      </c>
      <c r="Z1299" s="29" t="str">
        <f t="shared" si="369"/>
        <v>Alla «Federazione Italiana Pubblici Esercizi», nel decennio della sua attività (20387) | Pio XII</v>
      </c>
      <c r="AA1299" s="29" t="str">
        <f t="shared" si="370"/>
        <v>Discorso Alla «Federazione Italiana Pubblici Esercizi», nel decennio della sua attività</v>
      </c>
      <c r="AB1299" s="29" t="str">
        <f t="shared" si="371"/>
        <v>Discorso Alla «Federazione Italiana Pubblici Esercizi», nel decennio della sua attività</v>
      </c>
      <c r="AC1299" s="29" t="str">
        <f t="shared" si="372"/>
        <v>Pio XII, Discorso Alla «Federazione Italiana Pubblici Esercizi», nel decennio della sua attività, 25 ottobre 1955</v>
      </c>
      <c r="AD1299" s="29" t="str">
        <f t="shared" si="373"/>
        <v>1955-10-25T08:00:00.000+02:00</v>
      </c>
      <c r="AE1299" s="29" t="str">
        <f t="shared" si="365"/>
        <v>pixii-dis-</v>
      </c>
      <c r="AF1299" s="29" t="str">
        <f t="shared" si="366"/>
        <v>Pio XII - Discorso - Alla «Federazione Italiana Pubblici Esercizi», nel decennio della sua attività</v>
      </c>
    </row>
    <row r="1300" spans="2:32" x14ac:dyDescent="0.2">
      <c r="B1300" s="29">
        <v>260</v>
      </c>
      <c r="C1300" s="29" t="s">
        <v>4484</v>
      </c>
      <c r="D1300" s="29" t="s">
        <v>715</v>
      </c>
      <c r="E1300" s="29" t="s">
        <v>724</v>
      </c>
      <c r="F1300" s="29" t="s">
        <v>663</v>
      </c>
      <c r="G1300" s="29" t="s">
        <v>659</v>
      </c>
      <c r="H1300" s="29" t="str">
        <f t="shared" si="367"/>
        <v>Pio XII</v>
      </c>
      <c r="K1300" s="29" t="s">
        <v>827</v>
      </c>
      <c r="L1300" s="29" t="str">
        <f t="shared" si="364"/>
        <v>Discorso</v>
      </c>
      <c r="M1300" s="29" t="s">
        <v>566</v>
      </c>
      <c r="O1300" s="29" t="s">
        <v>4980</v>
      </c>
      <c r="Q1300" s="38">
        <v>20390</v>
      </c>
      <c r="R1300" s="32">
        <f t="shared" si="374"/>
        <v>28</v>
      </c>
      <c r="S1300" s="32"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32">
        <f t="shared" si="375"/>
        <v>1955</v>
      </c>
      <c r="U1300" s="29"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3"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9"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9">
        <v>1327</v>
      </c>
      <c r="Y1300" s="29" t="str">
        <f t="shared" si="368"/>
        <v>['Pio XII', 'Discorso', 'Agli operatori cinematografici che hanno partecipato a Roma al Congresso internazionale', 'pixii-dis-', '28 ottobre 1955', '28/10/1955', '1955/10/28'],</v>
      </c>
      <c r="Z1300" s="29" t="str">
        <f t="shared" si="369"/>
        <v>Agli operatori cinematografici che hanno partecipato a Roma al Congresso internazionale (20390) | Pio XII</v>
      </c>
      <c r="AA1300" s="29" t="str">
        <f t="shared" si="370"/>
        <v>Discorso Agli operatori cinematografici che hanno partecipato a Roma al Congresso internazionale</v>
      </c>
      <c r="AB1300" s="29" t="str">
        <f t="shared" si="371"/>
        <v>Discorso Agli operatori cinematografici che hanno partecipato a Roma al Congresso internazionale</v>
      </c>
      <c r="AC1300" s="29" t="str">
        <f t="shared" si="372"/>
        <v>Pio XII, Discorso Agli operatori cinematografici che hanno partecipato a Roma al Congresso internazionale, 28 ottobre 1955</v>
      </c>
      <c r="AD1300" s="29" t="str">
        <f t="shared" si="373"/>
        <v>1955-10-28T08:00:00.000+02:00</v>
      </c>
      <c r="AE1300" s="29" t="str">
        <f t="shared" si="365"/>
        <v>pixii-dis-</v>
      </c>
      <c r="AF1300" s="29" t="str">
        <f t="shared" si="366"/>
        <v>Pio XII - Discorso - Agli operatori cinematografici che hanno partecipato a Roma al Congresso internazionale</v>
      </c>
    </row>
    <row r="1301" spans="2:32" x14ac:dyDescent="0.2">
      <c r="B1301" s="29">
        <v>260</v>
      </c>
      <c r="C1301" s="29" t="s">
        <v>4485</v>
      </c>
      <c r="D1301" s="29" t="s">
        <v>715</v>
      </c>
      <c r="E1301" s="29" t="s">
        <v>724</v>
      </c>
      <c r="F1301" s="29" t="s">
        <v>663</v>
      </c>
      <c r="G1301" s="29" t="s">
        <v>659</v>
      </c>
      <c r="H1301" s="29" t="str">
        <f t="shared" si="367"/>
        <v>Pio XII</v>
      </c>
      <c r="K1301" s="29" t="s">
        <v>827</v>
      </c>
      <c r="L1301" s="29" t="str">
        <f t="shared" si="364"/>
        <v>Discorso</v>
      </c>
      <c r="M1301" s="29" t="s">
        <v>566</v>
      </c>
      <c r="O1301" s="29" t="s">
        <v>4981</v>
      </c>
      <c r="Q1301" s="38">
        <v>20397</v>
      </c>
      <c r="R1301" s="32">
        <f t="shared" si="374"/>
        <v>4</v>
      </c>
      <c r="S1301" s="32"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32">
        <f t="shared" si="375"/>
        <v>1955</v>
      </c>
      <c r="U1301" s="29"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3"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9"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9">
        <v>1328</v>
      </c>
      <c r="Y1301" s="29" t="str">
        <f t="shared" si="368"/>
        <v>['Pio XII', 'Discorso', 'All'Associazione Italiana Maestri Cattolici', 'pixii-dis-', '04 novembre 1955', '04/11/1955', '1955/11/04'],</v>
      </c>
      <c r="Z1301" s="29" t="str">
        <f t="shared" si="369"/>
        <v>All'Associazione Italiana Maestri Cattolici (20397) | Pio XII</v>
      </c>
      <c r="AA1301" s="29" t="str">
        <f t="shared" si="370"/>
        <v>Discorso All'Associazione Italiana Maestri Cattolici</v>
      </c>
      <c r="AB1301" s="29" t="str">
        <f t="shared" si="371"/>
        <v>Discorso All'Associazione Italiana Maestri Cattolici</v>
      </c>
      <c r="AC1301" s="29" t="str">
        <f t="shared" si="372"/>
        <v>Pio XII, Discorso All'Associazione Italiana Maestri Cattolici, 04 novembre 1955</v>
      </c>
      <c r="AD1301" s="29" t="str">
        <f t="shared" si="373"/>
        <v>1955-11-04T08:00:00.000+02:00</v>
      </c>
      <c r="AE1301" s="29" t="str">
        <f t="shared" si="365"/>
        <v>pixii-dis-</v>
      </c>
      <c r="AF1301" s="29" t="str">
        <f t="shared" si="366"/>
        <v>Pio XII - Discorso - All'Associazione Italiana Maestri Cattolici</v>
      </c>
    </row>
    <row r="1302" spans="2:32" x14ac:dyDescent="0.2">
      <c r="B1302" s="29">
        <v>260</v>
      </c>
      <c r="C1302" s="29" t="s">
        <v>4486</v>
      </c>
      <c r="D1302" s="29" t="s">
        <v>715</v>
      </c>
      <c r="E1302" s="29" t="s">
        <v>724</v>
      </c>
      <c r="F1302" s="29" t="s">
        <v>663</v>
      </c>
      <c r="G1302" s="29" t="s">
        <v>659</v>
      </c>
      <c r="H1302" s="29" t="str">
        <f t="shared" si="367"/>
        <v>Pio XII</v>
      </c>
      <c r="K1302" s="29" t="s">
        <v>827</v>
      </c>
      <c r="L1302" s="29" t="str">
        <f t="shared" si="364"/>
        <v>Discorso</v>
      </c>
      <c r="M1302" s="29" t="s">
        <v>566</v>
      </c>
      <c r="O1302" s="29" t="s">
        <v>4982</v>
      </c>
      <c r="Q1302" s="38">
        <v>20399</v>
      </c>
      <c r="R1302" s="32">
        <f t="shared" si="374"/>
        <v>6</v>
      </c>
      <c r="S1302" s="32"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32">
        <f t="shared" si="375"/>
        <v>1955</v>
      </c>
      <c r="U1302" s="29"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3"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9"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9">
        <v>1329</v>
      </c>
      <c r="Y1302" s="29" t="str">
        <f t="shared" si="368"/>
        <v>['Pio XII', 'Discorso', 'All'Associazione Nazionale dei Granatieri di Sardegna', 'pixii-dis-', '06 novembre 1955', '06/11/1955', '1955/11/06'],</v>
      </c>
      <c r="Z1302" s="29" t="str">
        <f t="shared" si="369"/>
        <v>All'Associazione Nazionale dei Granatieri di Sardegna (20399) | Pio XII</v>
      </c>
      <c r="AA1302" s="29" t="str">
        <f t="shared" si="370"/>
        <v>Discorso All'Associazione Nazionale dei Granatieri di Sardegna</v>
      </c>
      <c r="AB1302" s="29" t="str">
        <f t="shared" si="371"/>
        <v>Discorso All'Associazione Nazionale dei Granatieri di Sardegna</v>
      </c>
      <c r="AC1302" s="29" t="str">
        <f t="shared" si="372"/>
        <v>Pio XII, Discorso All'Associazione Nazionale dei Granatieri di Sardegna, 06 novembre 1955</v>
      </c>
      <c r="AD1302" s="29" t="str">
        <f t="shared" si="373"/>
        <v>1955-11-06T08:00:00.000+02:00</v>
      </c>
      <c r="AE1302" s="29" t="str">
        <f t="shared" si="365"/>
        <v>pixii-dis-</v>
      </c>
      <c r="AF1302" s="29" t="str">
        <f t="shared" si="366"/>
        <v>Pio XII - Discorso - All'Associazione Nazionale dei Granatieri di Sardegna</v>
      </c>
    </row>
    <row r="1303" spans="2:32" x14ac:dyDescent="0.2">
      <c r="B1303" s="29">
        <v>260</v>
      </c>
      <c r="C1303" s="29" t="s">
        <v>4487</v>
      </c>
      <c r="D1303" s="29" t="s">
        <v>715</v>
      </c>
      <c r="E1303" s="29" t="s">
        <v>724</v>
      </c>
      <c r="F1303" s="29" t="s">
        <v>663</v>
      </c>
      <c r="G1303" s="29" t="s">
        <v>659</v>
      </c>
      <c r="H1303" s="29" t="str">
        <f t="shared" si="367"/>
        <v>Pio XII</v>
      </c>
      <c r="K1303" s="29" t="s">
        <v>827</v>
      </c>
      <c r="L1303" s="29" t="str">
        <f t="shared" si="364"/>
        <v>Discorso</v>
      </c>
      <c r="M1303" s="29" t="s">
        <v>566</v>
      </c>
      <c r="O1303" s="29" t="s">
        <v>4983</v>
      </c>
      <c r="Q1303" s="38">
        <v>20404</v>
      </c>
      <c r="R1303" s="32">
        <f t="shared" si="374"/>
        <v>11</v>
      </c>
      <c r="S1303" s="32"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32">
        <f t="shared" si="375"/>
        <v>1955</v>
      </c>
      <c r="U1303" s="29"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3"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9"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9">
        <v>1330</v>
      </c>
      <c r="Y1303" s="29" t="str">
        <f t="shared" si="368"/>
        <v>['Pio XII', 'Discorso', 'Ad un gruppo di dipendenti degli Ospedali Riuniti di Napoli', 'pixii-dis-', '11 novembre 1955', '11/11/1955', '1955/11/11'],</v>
      </c>
      <c r="Z1303" s="29" t="str">
        <f t="shared" si="369"/>
        <v>Ad un gruppo di dipendenti degli Ospedali Riuniti di Napoli (20404) | Pio XII</v>
      </c>
      <c r="AA1303" s="29" t="str">
        <f t="shared" si="370"/>
        <v>Discorso Ad un gruppo di dipendenti degli Ospedali Riuniti di Napoli</v>
      </c>
      <c r="AB1303" s="29" t="str">
        <f t="shared" si="371"/>
        <v>Discorso Ad un gruppo di dipendenti degli Ospedali Riuniti di Napoli</v>
      </c>
      <c r="AC1303" s="29" t="str">
        <f t="shared" si="372"/>
        <v>Pio XII, Discorso Ad un gruppo di dipendenti degli Ospedali Riuniti di Napoli, 11 novembre 1955</v>
      </c>
      <c r="AD1303" s="29" t="str">
        <f t="shared" si="373"/>
        <v>1955-11-11T08:00:00.000+02:00</v>
      </c>
      <c r="AE1303" s="29" t="str">
        <f t="shared" si="365"/>
        <v>pixii-dis-</v>
      </c>
      <c r="AF1303" s="29" t="str">
        <f t="shared" si="366"/>
        <v>Pio XII - Discorso - Ad un gruppo di dipendenti degli Ospedali Riuniti di Napoli</v>
      </c>
    </row>
    <row r="1304" spans="2:32" x14ac:dyDescent="0.2">
      <c r="B1304" s="29">
        <v>260</v>
      </c>
      <c r="C1304" s="29" t="s">
        <v>4488</v>
      </c>
      <c r="D1304" s="29" t="s">
        <v>715</v>
      </c>
      <c r="E1304" s="29" t="s">
        <v>724</v>
      </c>
      <c r="F1304" s="29" t="s">
        <v>663</v>
      </c>
      <c r="G1304" s="29" t="s">
        <v>659</v>
      </c>
      <c r="H1304" s="29" t="str">
        <f t="shared" si="367"/>
        <v>Pio XII</v>
      </c>
      <c r="K1304" s="29" t="s">
        <v>827</v>
      </c>
      <c r="L1304" s="29" t="str">
        <f t="shared" si="364"/>
        <v>Discorso</v>
      </c>
      <c r="M1304" s="29" t="s">
        <v>566</v>
      </c>
      <c r="O1304" s="29" t="s">
        <v>4984</v>
      </c>
      <c r="Q1304" s="38">
        <v>20420</v>
      </c>
      <c r="R1304" s="32">
        <f t="shared" si="374"/>
        <v>27</v>
      </c>
      <c r="S1304" s="32"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32">
        <f t="shared" si="375"/>
        <v>1955</v>
      </c>
      <c r="U1304" s="29"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3"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9"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9">
        <v>1331</v>
      </c>
      <c r="Y1304" s="29" t="str">
        <f t="shared" si="368"/>
        <v>['Pio XII', 'Discorso', 'Ad un gruppo della Conferenza Italiana Dirigenti d'Azienda', 'pixii-dis-', '27 novembre 1955', '27/11/1955', '1955/11/27'],</v>
      </c>
      <c r="Z1304" s="29" t="str">
        <f t="shared" si="369"/>
        <v>Ad un gruppo della Conferenza Italiana Dirigenti d'Azienda (20420) | Pio XII</v>
      </c>
      <c r="AA1304" s="29" t="str">
        <f t="shared" si="370"/>
        <v>Discorso Ad un gruppo della Conferenza Italiana Dirigenti d'Azienda</v>
      </c>
      <c r="AB1304" s="29" t="str">
        <f t="shared" si="371"/>
        <v>Discorso Ad un gruppo della Conferenza Italiana Dirigenti d'Azienda</v>
      </c>
      <c r="AC1304" s="29" t="str">
        <f t="shared" si="372"/>
        <v>Pio XII, Discorso Ad un gruppo della Conferenza Italiana Dirigenti d'Azienda, 27 novembre 1955</v>
      </c>
      <c r="AD1304" s="29" t="str">
        <f t="shared" si="373"/>
        <v>1955-11-27T08:00:00.000+02:00</v>
      </c>
      <c r="AE1304" s="29" t="str">
        <f t="shared" si="365"/>
        <v>pixii-dis-</v>
      </c>
      <c r="AF1304" s="29" t="str">
        <f t="shared" si="366"/>
        <v>Pio XII - Discorso - Ad un gruppo della Conferenza Italiana Dirigenti d'Azienda</v>
      </c>
    </row>
    <row r="1305" spans="2:32" x14ac:dyDescent="0.2">
      <c r="B1305" s="29">
        <v>260</v>
      </c>
      <c r="C1305" s="29" t="s">
        <v>4489</v>
      </c>
      <c r="D1305" s="29" t="s">
        <v>715</v>
      </c>
      <c r="E1305" s="29" t="s">
        <v>724</v>
      </c>
      <c r="F1305" s="29" t="s">
        <v>663</v>
      </c>
      <c r="G1305" s="29" t="s">
        <v>659</v>
      </c>
      <c r="H1305" s="29" t="str">
        <f t="shared" si="367"/>
        <v>Pio XII</v>
      </c>
      <c r="K1305" s="29" t="s">
        <v>827</v>
      </c>
      <c r="L1305" s="29" t="str">
        <f t="shared" si="364"/>
        <v>Discorso</v>
      </c>
      <c r="M1305" s="29" t="s">
        <v>566</v>
      </c>
      <c r="O1305" s="29" t="s">
        <v>4985</v>
      </c>
      <c r="Q1305" s="38">
        <v>20429</v>
      </c>
      <c r="R1305" s="32">
        <f t="shared" si="374"/>
        <v>6</v>
      </c>
      <c r="S1305" s="32"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32">
        <f t="shared" si="375"/>
        <v>1955</v>
      </c>
      <c r="U1305" s="29"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3"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9"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9">
        <v>1332</v>
      </c>
      <c r="Y1305" s="29" t="str">
        <f t="shared" si="368"/>
        <v>['Pio XII', 'Discorso', 'Al Presidente della Repubblica Italiana Giovanni Gronchi', 'pixii-dis-', '06 dicembre 1955', '06/12/1955', '1955/12/06'],</v>
      </c>
      <c r="Z1305" s="29" t="str">
        <f t="shared" si="369"/>
        <v>Al Presidente della Repubblica Italiana Giovanni Gronchi (20429) | Pio XII</v>
      </c>
      <c r="AA1305" s="29" t="str">
        <f t="shared" si="370"/>
        <v>Discorso Al Presidente della Repubblica Italiana Giovanni Gronchi</v>
      </c>
      <c r="AB1305" s="29" t="str">
        <f t="shared" si="371"/>
        <v>Discorso Al Presidente della Repubblica Italiana Giovanni Gronchi</v>
      </c>
      <c r="AC1305" s="29" t="str">
        <f t="shared" si="372"/>
        <v>Pio XII, Discorso Al Presidente della Repubblica Italiana Giovanni Gronchi, 06 dicembre 1955</v>
      </c>
      <c r="AD1305" s="29" t="str">
        <f t="shared" si="373"/>
        <v>1955-12-06T08:00:00.000+02:00</v>
      </c>
      <c r="AE1305" s="29" t="str">
        <f t="shared" si="365"/>
        <v>pixii-dis-</v>
      </c>
      <c r="AF1305" s="29" t="str">
        <f t="shared" si="366"/>
        <v>Pio XII - Discorso - Al Presidente della Repubblica Italiana Giovanni Gronchi</v>
      </c>
    </row>
    <row r="1306" spans="2:32" x14ac:dyDescent="0.2">
      <c r="B1306" s="29">
        <v>260</v>
      </c>
      <c r="C1306" s="29" t="s">
        <v>4490</v>
      </c>
      <c r="D1306" s="29" t="s">
        <v>715</v>
      </c>
      <c r="E1306" s="29" t="s">
        <v>724</v>
      </c>
      <c r="F1306" s="29" t="s">
        <v>663</v>
      </c>
      <c r="G1306" s="29" t="s">
        <v>659</v>
      </c>
      <c r="H1306" s="29" t="str">
        <f t="shared" si="367"/>
        <v>Pio XII</v>
      </c>
      <c r="K1306" s="29" t="s">
        <v>827</v>
      </c>
      <c r="L1306" s="29" t="str">
        <f t="shared" si="364"/>
        <v>Discorso</v>
      </c>
      <c r="M1306" s="29" t="s">
        <v>566</v>
      </c>
      <c r="O1306" s="29" t="s">
        <v>4961</v>
      </c>
      <c r="Q1306" s="38">
        <v>20447</v>
      </c>
      <c r="R1306" s="32">
        <f t="shared" si="374"/>
        <v>24</v>
      </c>
      <c r="S1306" s="32"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32">
        <f t="shared" si="375"/>
        <v>1955</v>
      </c>
      <c r="U1306" s="29"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3"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9"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9">
        <v>1333</v>
      </c>
      <c r="Y1306" s="29" t="str">
        <f t="shared" si="368"/>
        <v>['Pio XII', 'Discorso', 'Radiomessaggio a tutto il mondo in occasione del Natale', 'pixii-dis-', '24 dicembre 1955', '24/12/1955', '1955/12/24'],</v>
      </c>
      <c r="Z1306" s="29" t="str">
        <f t="shared" si="369"/>
        <v>Radiomessaggio a tutto il mondo in occasione del Natale (20447) | Pio XII</v>
      </c>
      <c r="AA1306" s="29" t="str">
        <f t="shared" si="370"/>
        <v>Discorso Radiomessaggio a tutto il mondo in occasione del Natale</v>
      </c>
      <c r="AB1306" s="29" t="str">
        <f t="shared" si="371"/>
        <v>Discorso Radiomessaggio a tutto il mondo in occasione del Natale</v>
      </c>
      <c r="AC1306" s="29" t="str">
        <f t="shared" si="372"/>
        <v>Pio XII, Discorso Radiomessaggio a tutto il mondo in occasione del Natale, 24 dicembre 1955</v>
      </c>
      <c r="AD1306" s="29" t="str">
        <f t="shared" si="373"/>
        <v>1955-12-24T08:00:00.000+02:00</v>
      </c>
      <c r="AE1306" s="29" t="str">
        <f t="shared" si="365"/>
        <v>pixii-dis-</v>
      </c>
      <c r="AF1306" s="29" t="str">
        <f t="shared" si="366"/>
        <v>Pio XII - Discorso - Radiomessaggio a tutto il mondo in occasione del Natale</v>
      </c>
    </row>
    <row r="1307" spans="2:32" x14ac:dyDescent="0.2">
      <c r="B1307" s="29">
        <v>260</v>
      </c>
      <c r="C1307" s="29" t="s">
        <v>4491</v>
      </c>
      <c r="D1307" s="29" t="s">
        <v>715</v>
      </c>
      <c r="E1307" s="29" t="s">
        <v>724</v>
      </c>
      <c r="F1307" s="29" t="s">
        <v>663</v>
      </c>
      <c r="G1307" s="29" t="s">
        <v>659</v>
      </c>
      <c r="H1307" s="29" t="str">
        <f t="shared" si="367"/>
        <v>Pio XII</v>
      </c>
      <c r="K1307" s="29" t="s">
        <v>827</v>
      </c>
      <c r="L1307" s="29" t="str">
        <f t="shared" si="364"/>
        <v>Discorso</v>
      </c>
      <c r="M1307" s="29" t="s">
        <v>566</v>
      </c>
      <c r="O1307" s="29" t="s">
        <v>4986</v>
      </c>
      <c r="Q1307" s="38">
        <v>20454</v>
      </c>
      <c r="R1307" s="32">
        <f t="shared" si="374"/>
        <v>31</v>
      </c>
      <c r="S1307" s="32"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32">
        <f t="shared" si="375"/>
        <v>1955</v>
      </c>
      <c r="U1307" s="29"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3"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9"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9">
        <v>1334</v>
      </c>
      <c r="Y1307" s="29" t="str">
        <f t="shared" si="368"/>
        <v>['Pio XII', 'Discorso', 'Ai componenti del «Centro Oratori Romani»', 'pixii-dis-', '31 dicembre 1955', '31/12/1955', '1955/12/31'],</v>
      </c>
      <c r="Z1307" s="29" t="str">
        <f t="shared" si="369"/>
        <v>Ai componenti del «Centro Oratori Romani» (20454) | Pio XII</v>
      </c>
      <c r="AA1307" s="29" t="str">
        <f t="shared" si="370"/>
        <v>Discorso Ai componenti del «Centro Oratori Romani»</v>
      </c>
      <c r="AB1307" s="29" t="str">
        <f t="shared" si="371"/>
        <v>Discorso Ai componenti del «Centro Oratori Romani»</v>
      </c>
      <c r="AC1307" s="29" t="str">
        <f t="shared" si="372"/>
        <v>Pio XII, Discorso Ai componenti del «Centro Oratori Romani», 31 dicembre 1955</v>
      </c>
      <c r="AD1307" s="29" t="str">
        <f t="shared" si="373"/>
        <v>1955-12-31T08:00:00.000+02:00</v>
      </c>
      <c r="AE1307" s="29" t="str">
        <f t="shared" si="365"/>
        <v>pixii-dis-</v>
      </c>
      <c r="AF1307" s="29" t="str">
        <f t="shared" si="366"/>
        <v>Pio XII - Discorso - Ai componenti del «Centro Oratori Romani»</v>
      </c>
    </row>
    <row r="1308" spans="2:32" x14ac:dyDescent="0.2">
      <c r="B1308" s="29">
        <v>260</v>
      </c>
      <c r="C1308" s="29" t="s">
        <v>4492</v>
      </c>
      <c r="D1308" s="29" t="s">
        <v>715</v>
      </c>
      <c r="E1308" s="29" t="s">
        <v>724</v>
      </c>
      <c r="F1308" s="29" t="s">
        <v>663</v>
      </c>
      <c r="G1308" s="29" t="s">
        <v>659</v>
      </c>
      <c r="H1308" s="29" t="str">
        <f t="shared" si="367"/>
        <v>Pio XII</v>
      </c>
      <c r="K1308" s="29" t="s">
        <v>827</v>
      </c>
      <c r="L1308" s="29" t="str">
        <f t="shared" si="364"/>
        <v>Discorso</v>
      </c>
      <c r="M1308" s="29" t="s">
        <v>566</v>
      </c>
      <c r="O1308" s="29" t="s">
        <v>4987</v>
      </c>
      <c r="Q1308" s="38">
        <v>20459</v>
      </c>
      <c r="R1308" s="32">
        <f t="shared" si="374"/>
        <v>5</v>
      </c>
      <c r="S1308" s="32"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32">
        <f t="shared" si="375"/>
        <v>1956</v>
      </c>
      <c r="U1308" s="29"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3"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9"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9">
        <v>1335</v>
      </c>
      <c r="Y1308" s="29" t="str">
        <f t="shared" si="368"/>
        <v>['Pio XII', 'Discorso', 'Nel IV centenario della morte di Sant'Ignazio di Loyola', 'pixii-dis-', '05 gennaio 1956', '05/01/1956', '1956/01/05'],</v>
      </c>
      <c r="Z1308" s="29" t="str">
        <f t="shared" si="369"/>
        <v>Nel IV centenario della morte di Sant'Ignazio di Loyola (20459) | Pio XII</v>
      </c>
      <c r="AA1308" s="29" t="str">
        <f t="shared" si="370"/>
        <v>Discorso Nel IV centenario della morte di Sant'Ignazio di Loyola</v>
      </c>
      <c r="AB1308" s="29" t="str">
        <f t="shared" si="371"/>
        <v>Discorso Nel IV centenario della morte di Sant'Ignazio di Loyola</v>
      </c>
      <c r="AC1308" s="29" t="str">
        <f t="shared" si="372"/>
        <v>Pio XII, Discorso Nel IV centenario della morte di Sant'Ignazio di Loyola, 05 gennaio 1956</v>
      </c>
      <c r="AD1308" s="29" t="str">
        <f t="shared" si="373"/>
        <v>1956-01-05T08:00:00.000+02:00</v>
      </c>
      <c r="AE1308" s="29" t="str">
        <f t="shared" si="365"/>
        <v>pixii-dis-</v>
      </c>
      <c r="AF1308" s="29" t="str">
        <f t="shared" si="366"/>
        <v>Pio XII - Discorso - Nel IV centenario della morte di Sant'Ignazio di Loyola</v>
      </c>
    </row>
    <row r="1309" spans="2:32" x14ac:dyDescent="0.2">
      <c r="B1309" s="29">
        <v>260</v>
      </c>
      <c r="C1309" s="29" t="s">
        <v>4493</v>
      </c>
      <c r="D1309" s="29" t="s">
        <v>715</v>
      </c>
      <c r="E1309" s="29" t="s">
        <v>724</v>
      </c>
      <c r="F1309" s="29" t="s">
        <v>663</v>
      </c>
      <c r="G1309" s="29" t="s">
        <v>659</v>
      </c>
      <c r="H1309" s="29" t="str">
        <f t="shared" si="367"/>
        <v>Pio XII</v>
      </c>
      <c r="K1309" s="29" t="s">
        <v>827</v>
      </c>
      <c r="L1309" s="29" t="str">
        <f t="shared" si="364"/>
        <v>Discorso</v>
      </c>
      <c r="M1309" s="29" t="s">
        <v>566</v>
      </c>
      <c r="O1309" s="29" t="s">
        <v>4988</v>
      </c>
      <c r="Q1309" s="38">
        <v>20475</v>
      </c>
      <c r="R1309" s="32">
        <f t="shared" si="374"/>
        <v>21</v>
      </c>
      <c r="S1309" s="32"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32">
        <f t="shared" si="375"/>
        <v>1956</v>
      </c>
      <c r="U1309" s="29"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3"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9"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9">
        <v>1336</v>
      </c>
      <c r="Y1309" s="29" t="str">
        <f t="shared" si="368"/>
        <v>['Pio XII', 'Discorso', 'Al primo Convegno italiano della piccola industria', 'pixii-dis-', '21 gennaio 1956', '21/01/1956', '1956/01/21'],</v>
      </c>
      <c r="Z1309" s="29" t="str">
        <f t="shared" si="369"/>
        <v>Al primo Convegno italiano della piccola industria (20475) | Pio XII</v>
      </c>
      <c r="AA1309" s="29" t="str">
        <f t="shared" si="370"/>
        <v>Discorso Al primo Convegno italiano della piccola industria</v>
      </c>
      <c r="AB1309" s="29" t="str">
        <f t="shared" si="371"/>
        <v>Discorso Al primo Convegno italiano della piccola industria</v>
      </c>
      <c r="AC1309" s="29" t="str">
        <f t="shared" si="372"/>
        <v>Pio XII, Discorso Al primo Convegno italiano della piccola industria, 21 gennaio 1956</v>
      </c>
      <c r="AD1309" s="29" t="str">
        <f t="shared" si="373"/>
        <v>1956-01-21T08:00:00.000+02:00</v>
      </c>
      <c r="AE1309" s="29" t="str">
        <f t="shared" si="365"/>
        <v>pixii-dis-</v>
      </c>
      <c r="AF1309" s="29" t="str">
        <f t="shared" si="366"/>
        <v>Pio XII - Discorso - Al primo Convegno italiano della piccola industria</v>
      </c>
    </row>
    <row r="1310" spans="2:32" x14ac:dyDescent="0.2">
      <c r="B1310" s="29">
        <v>260</v>
      </c>
      <c r="C1310" s="29" t="s">
        <v>4494</v>
      </c>
      <c r="D1310" s="29" t="s">
        <v>715</v>
      </c>
      <c r="E1310" s="29" t="s">
        <v>724</v>
      </c>
      <c r="F1310" s="29" t="s">
        <v>663</v>
      </c>
      <c r="G1310" s="29" t="s">
        <v>659</v>
      </c>
      <c r="H1310" s="29" t="str">
        <f t="shared" si="367"/>
        <v>Pio XII</v>
      </c>
      <c r="K1310" s="29" t="s">
        <v>827</v>
      </c>
      <c r="L1310" s="29" t="str">
        <f t="shared" si="364"/>
        <v>Discorso</v>
      </c>
      <c r="M1310" s="29" t="s">
        <v>566</v>
      </c>
      <c r="O1310" s="29" t="s">
        <v>4989</v>
      </c>
      <c r="Q1310" s="38">
        <v>20486</v>
      </c>
      <c r="R1310" s="32">
        <f t="shared" si="374"/>
        <v>1</v>
      </c>
      <c r="S1310" s="32"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32">
        <f t="shared" si="375"/>
        <v>1956</v>
      </c>
      <c r="U1310" s="29"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3"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9"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9">
        <v>1337</v>
      </c>
      <c r="Y1310" s="29" t="str">
        <f t="shared" si="368"/>
        <v>['Pio XII', 'Discorso', 'Ai partecipanti al IV Congresso italiano della Associazione Sinistrati e Danneggiati di guerra', 'pixii-dis-', '01 febbraio 1956', '01/02/1956', '1956/02/01'],</v>
      </c>
      <c r="Z1310" s="29" t="str">
        <f t="shared" si="369"/>
        <v>Ai partecipanti al IV Congresso italiano della Associazione Sinistrati e Danneggiati di guerra (20486) | Pio XII</v>
      </c>
      <c r="AA1310" s="29" t="str">
        <f t="shared" si="370"/>
        <v>Discorso Ai partecipanti al IV Congresso italiano della Associazione Sinistrati e Danneggiati di guerra</v>
      </c>
      <c r="AB1310" s="29" t="str">
        <f t="shared" si="371"/>
        <v>Discorso Ai partecipanti al IV Congresso italiano della Associazione Sinistrati e Danneggiati di guerra</v>
      </c>
      <c r="AC1310" s="29" t="str">
        <f t="shared" si="372"/>
        <v>Pio XII, Discorso Ai partecipanti al IV Congresso italiano della Associazione Sinistrati e Danneggiati di guerra, 01 febbraio 1956</v>
      </c>
      <c r="AD1310" s="29" t="str">
        <f t="shared" si="373"/>
        <v>1956-02-01T08:00:00.000+02:00</v>
      </c>
      <c r="AE1310" s="29" t="str">
        <f t="shared" si="365"/>
        <v>pixii-dis-</v>
      </c>
      <c r="AF1310" s="29" t="str">
        <f t="shared" si="366"/>
        <v>Pio XII - Discorso - Ai partecipanti al IV Congresso italiano della Associazione Sinistrati e Danneggiati di guerra</v>
      </c>
    </row>
    <row r="1311" spans="2:32" x14ac:dyDescent="0.2">
      <c r="B1311" s="29">
        <v>260</v>
      </c>
      <c r="C1311" s="29" t="s">
        <v>4495</v>
      </c>
      <c r="D1311" s="29" t="s">
        <v>715</v>
      </c>
      <c r="E1311" s="29" t="s">
        <v>724</v>
      </c>
      <c r="F1311" s="29" t="s">
        <v>663</v>
      </c>
      <c r="G1311" s="29" t="s">
        <v>659</v>
      </c>
      <c r="H1311" s="29" t="str">
        <f t="shared" si="367"/>
        <v>Pio XII</v>
      </c>
      <c r="K1311" s="29" t="s">
        <v>827</v>
      </c>
      <c r="L1311" s="29" t="str">
        <f t="shared" si="364"/>
        <v>Discorso</v>
      </c>
      <c r="M1311" s="29" t="s">
        <v>566</v>
      </c>
      <c r="O1311" s="29" t="s">
        <v>4990</v>
      </c>
      <c r="Q1311" s="38">
        <v>20498</v>
      </c>
      <c r="R1311" s="32">
        <f t="shared" si="374"/>
        <v>13</v>
      </c>
      <c r="S1311" s="32"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32">
        <f t="shared" si="375"/>
        <v>1956</v>
      </c>
      <c r="U1311" s="29"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3"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9"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9">
        <v>1338</v>
      </c>
      <c r="Y1311" s="29" t="str">
        <f t="shared" si="368"/>
        <v>['Pio XII', 'Discorso', 'Ai partecipanti al Convegno del Clero addetto alla censura dei libri', 'pixii-dis-', '13 febbraio 1956', '13/02/1956', '1956/02/13'],</v>
      </c>
      <c r="Z1311" s="29" t="str">
        <f t="shared" si="369"/>
        <v>Ai partecipanti al Convegno del Clero addetto alla censura dei libri (20498) | Pio XII</v>
      </c>
      <c r="AA1311" s="29" t="str">
        <f t="shared" si="370"/>
        <v>Discorso Ai partecipanti al Convegno del Clero addetto alla censura dei libri</v>
      </c>
      <c r="AB1311" s="29" t="str">
        <f t="shared" si="371"/>
        <v>Discorso Ai partecipanti al Convegno del Clero addetto alla censura dei libri</v>
      </c>
      <c r="AC1311" s="29" t="str">
        <f t="shared" si="372"/>
        <v>Pio XII, Discorso Ai partecipanti al Convegno del Clero addetto alla censura dei libri, 13 febbraio 1956</v>
      </c>
      <c r="AD1311" s="29" t="str">
        <f t="shared" si="373"/>
        <v>1956-02-13T08:00:00.000+02:00</v>
      </c>
      <c r="AE1311" s="29" t="str">
        <f t="shared" si="365"/>
        <v>pixii-dis-</v>
      </c>
      <c r="AF1311" s="29" t="str">
        <f t="shared" si="366"/>
        <v>Pio XII - Discorso - Ai partecipanti al Convegno del Clero addetto alla censura dei libri</v>
      </c>
    </row>
    <row r="1312" spans="2:32" x14ac:dyDescent="0.2">
      <c r="B1312" s="29">
        <v>260</v>
      </c>
      <c r="C1312" s="29" t="s">
        <v>4496</v>
      </c>
      <c r="D1312" s="29" t="s">
        <v>715</v>
      </c>
      <c r="E1312" s="29" t="s">
        <v>724</v>
      </c>
      <c r="F1312" s="29" t="s">
        <v>663</v>
      </c>
      <c r="G1312" s="29" t="s">
        <v>659</v>
      </c>
      <c r="H1312" s="29" t="str">
        <f t="shared" si="367"/>
        <v>Pio XII</v>
      </c>
      <c r="K1312" s="29" t="s">
        <v>827</v>
      </c>
      <c r="L1312" s="29" t="str">
        <f t="shared" si="364"/>
        <v>Discorso</v>
      </c>
      <c r="M1312" s="29" t="s">
        <v>566</v>
      </c>
      <c r="O1312" s="29" t="s">
        <v>3127</v>
      </c>
      <c r="Q1312" s="38">
        <v>20499</v>
      </c>
      <c r="R1312" s="32">
        <f t="shared" si="374"/>
        <v>14</v>
      </c>
      <c r="S1312" s="32"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32">
        <f t="shared" si="375"/>
        <v>1956</v>
      </c>
      <c r="U1312" s="29"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3"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9"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9">
        <v>1339</v>
      </c>
      <c r="Y1312" s="29" t="str">
        <f t="shared" si="368"/>
        <v>['Pio XII', 'Discorso', 'Ai parroci e ai predicatori quaresimalisti di Roma', 'pixii-dis-', '14 febbraio 1956', '14/02/1956', '1956/02/14'],</v>
      </c>
      <c r="Z1312" s="29" t="str">
        <f t="shared" si="369"/>
        <v>Ai parroci e ai predicatori quaresimalisti di Roma (20499) | Pio XII</v>
      </c>
      <c r="AA1312" s="29" t="str">
        <f t="shared" si="370"/>
        <v>Discorso Ai parroci e ai predicatori quaresimalisti di Roma</v>
      </c>
      <c r="AB1312" s="29" t="str">
        <f t="shared" si="371"/>
        <v>Discorso Ai parroci e ai predicatori quaresimalisti di Roma</v>
      </c>
      <c r="AC1312" s="29" t="str">
        <f t="shared" si="372"/>
        <v>Pio XII, Discorso Ai parroci e ai predicatori quaresimalisti di Roma, 14 febbraio 1956</v>
      </c>
      <c r="AD1312" s="29" t="str">
        <f t="shared" si="373"/>
        <v>1956-02-14T08:00:00.000+02:00</v>
      </c>
      <c r="AE1312" s="29" t="str">
        <f t="shared" si="365"/>
        <v>pixii-dis-</v>
      </c>
      <c r="AF1312" s="29" t="str">
        <f t="shared" si="366"/>
        <v>Pio XII - Discorso - Ai parroci e ai predicatori quaresimalisti di Roma</v>
      </c>
    </row>
    <row r="1313" spans="2:32" x14ac:dyDescent="0.2">
      <c r="B1313" s="29">
        <v>260</v>
      </c>
      <c r="C1313" s="29" t="s">
        <v>4497</v>
      </c>
      <c r="D1313" s="29" t="s">
        <v>715</v>
      </c>
      <c r="E1313" s="29" t="s">
        <v>724</v>
      </c>
      <c r="F1313" s="29" t="s">
        <v>663</v>
      </c>
      <c r="G1313" s="29" t="s">
        <v>659</v>
      </c>
      <c r="H1313" s="29" t="str">
        <f t="shared" si="367"/>
        <v>Pio XII</v>
      </c>
      <c r="K1313" s="29" t="s">
        <v>827</v>
      </c>
      <c r="L1313" s="29" t="str">
        <f t="shared" si="364"/>
        <v>Discorso</v>
      </c>
      <c r="M1313" s="29" t="s">
        <v>566</v>
      </c>
      <c r="O1313" s="29" t="s">
        <v>4991</v>
      </c>
      <c r="Q1313" s="38">
        <v>20502</v>
      </c>
      <c r="R1313" s="32">
        <f t="shared" si="374"/>
        <v>17</v>
      </c>
      <c r="S1313" s="32"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32">
        <f t="shared" si="375"/>
        <v>1956</v>
      </c>
      <c r="U1313" s="29"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3"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9"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9">
        <v>1340</v>
      </c>
      <c r="Y1313" s="29" t="str">
        <f t="shared" si="368"/>
        <v>['Pio XII', 'Discorso', 'Ai partecipanti al Convegno Nazionale dei Dirigenti della Confederazione generale del Commercio', 'pixii-dis-', '17 febbraio 1956', '17/02/1956', '1956/02/17'],</v>
      </c>
      <c r="Z1313" s="29" t="str">
        <f t="shared" si="369"/>
        <v>Ai partecipanti al Convegno Nazionale dei Dirigenti della Confederazione generale del Commercio (20502) | Pio XII</v>
      </c>
      <c r="AA1313" s="29" t="str">
        <f t="shared" si="370"/>
        <v>Discorso Ai partecipanti al Convegno Nazionale dei Dirigenti della Confederazione generale del Commercio</v>
      </c>
      <c r="AB1313" s="29" t="str">
        <f t="shared" si="371"/>
        <v>Discorso Ai partecipanti al Convegno Nazionale dei Dirigenti della Confederazione generale del Commercio</v>
      </c>
      <c r="AC1313" s="29" t="str">
        <f t="shared" si="372"/>
        <v>Pio XII, Discorso Ai partecipanti al Convegno Nazionale dei Dirigenti della Confederazione generale del Commercio, 17 febbraio 1956</v>
      </c>
      <c r="AD1313" s="29" t="str">
        <f t="shared" si="373"/>
        <v>1956-02-17T08:00:00.000+02:00</v>
      </c>
      <c r="AE1313" s="29" t="str">
        <f t="shared" si="365"/>
        <v>pixii-dis-</v>
      </c>
      <c r="AF1313" s="29" t="str">
        <f t="shared" si="366"/>
        <v>Pio XII - Discorso - Ai partecipanti al Convegno Nazionale dei Dirigenti della Confederazione generale del Commercio</v>
      </c>
    </row>
    <row r="1314" spans="2:32" x14ac:dyDescent="0.2">
      <c r="B1314" s="29">
        <v>260</v>
      </c>
      <c r="C1314" s="29" t="s">
        <v>4498</v>
      </c>
      <c r="D1314" s="29" t="s">
        <v>715</v>
      </c>
      <c r="E1314" s="29" t="s">
        <v>724</v>
      </c>
      <c r="F1314" s="29" t="s">
        <v>663</v>
      </c>
      <c r="G1314" s="29" t="s">
        <v>659</v>
      </c>
      <c r="H1314" s="29" t="str">
        <f t="shared" si="367"/>
        <v>Pio XII</v>
      </c>
      <c r="K1314" s="29" t="s">
        <v>827</v>
      </c>
      <c r="L1314" s="29" t="str">
        <f t="shared" si="364"/>
        <v>Discorso</v>
      </c>
      <c r="M1314" s="29" t="s">
        <v>566</v>
      </c>
      <c r="O1314" s="29" t="s">
        <v>4992</v>
      </c>
      <c r="Q1314" s="38">
        <v>20556</v>
      </c>
      <c r="R1314" s="32">
        <f t="shared" si="374"/>
        <v>11</v>
      </c>
      <c r="S1314" s="32"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32">
        <f t="shared" si="375"/>
        <v>1956</v>
      </c>
      <c r="U1314" s="29"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3"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9"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9">
        <v>1341</v>
      </c>
      <c r="Y1314" s="29" t="str">
        <f t="shared" si="368"/>
        <v>['Pio XII', 'Discorso', 'Ai partecipanti al X Congresso della Confederazione Nazionale Italiana dei Coltivatori Diretti', 'pixii-dis-', '11 aprile 1956', '11/04/1956', '1956/04/11'],</v>
      </c>
      <c r="Z1314" s="29" t="str">
        <f t="shared" si="369"/>
        <v>Ai partecipanti al X Congresso della Confederazione Nazionale Italiana dei Coltivatori Diretti (20556) | Pio XII</v>
      </c>
      <c r="AA1314" s="29" t="str">
        <f t="shared" si="370"/>
        <v>Discorso Ai partecipanti al X Congresso della Confederazione Nazionale Italiana dei Coltivatori Diretti</v>
      </c>
      <c r="AB1314" s="29" t="str">
        <f t="shared" si="371"/>
        <v>Discorso Ai partecipanti al X Congresso della Confederazione Nazionale Italiana dei Coltivatori Diretti</v>
      </c>
      <c r="AC1314" s="29" t="str">
        <f t="shared" si="372"/>
        <v>Pio XII, Discorso Ai partecipanti al X Congresso della Confederazione Nazionale Italiana dei Coltivatori Diretti, 11 aprile 1956</v>
      </c>
      <c r="AD1314" s="29" t="str">
        <f t="shared" si="373"/>
        <v>1956-04-11T08:00:00.000+02:00</v>
      </c>
      <c r="AE1314" s="29" t="str">
        <f t="shared" si="365"/>
        <v>pixii-dis-</v>
      </c>
      <c r="AF1314" s="29" t="str">
        <f t="shared" si="366"/>
        <v>Pio XII - Discorso - Ai partecipanti al X Congresso della Confederazione Nazionale Italiana dei Coltivatori Diretti</v>
      </c>
    </row>
    <row r="1315" spans="2:32" x14ac:dyDescent="0.2">
      <c r="B1315" s="29">
        <v>260</v>
      </c>
      <c r="C1315" s="29" t="s">
        <v>4499</v>
      </c>
      <c r="D1315" s="29" t="s">
        <v>715</v>
      </c>
      <c r="E1315" s="29" t="s">
        <v>724</v>
      </c>
      <c r="F1315" s="29" t="s">
        <v>663</v>
      </c>
      <c r="G1315" s="29" t="s">
        <v>659</v>
      </c>
      <c r="H1315" s="29" t="str">
        <f t="shared" si="367"/>
        <v>Pio XII</v>
      </c>
      <c r="K1315" s="29" t="s">
        <v>827</v>
      </c>
      <c r="L1315" s="29" t="str">
        <f t="shared" si="364"/>
        <v>Discorso</v>
      </c>
      <c r="M1315" s="29" t="s">
        <v>566</v>
      </c>
      <c r="O1315" s="29" t="s">
        <v>4993</v>
      </c>
      <c r="Q1315" s="38">
        <v>20557</v>
      </c>
      <c r="R1315" s="32">
        <f t="shared" si="374"/>
        <v>12</v>
      </c>
      <c r="S1315" s="32"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32">
        <f t="shared" si="375"/>
        <v>1956</v>
      </c>
      <c r="U1315" s="29"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3"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9"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9">
        <v>1342</v>
      </c>
      <c r="Y1315" s="29" t="str">
        <f t="shared" si="368"/>
        <v>['Pio XII', 'Discorso', 'Ai Soci dell'Automobile Club di Roma', 'pixii-dis-', '12 aprile 1956', '12/04/1956', '1956/04/12'],</v>
      </c>
      <c r="Z1315" s="29" t="str">
        <f t="shared" si="369"/>
        <v>Ai Soci dell'Automobile Club di Roma (20557) | Pio XII</v>
      </c>
      <c r="AA1315" s="29" t="str">
        <f t="shared" si="370"/>
        <v>Discorso Ai Soci dell'Automobile Club di Roma</v>
      </c>
      <c r="AB1315" s="29" t="str">
        <f t="shared" si="371"/>
        <v>Discorso Ai Soci dell'Automobile Club di Roma</v>
      </c>
      <c r="AC1315" s="29" t="str">
        <f t="shared" si="372"/>
        <v>Pio XII, Discorso Ai Soci dell'Automobile Club di Roma, 12 aprile 1956</v>
      </c>
      <c r="AD1315" s="29" t="str">
        <f t="shared" si="373"/>
        <v>1956-04-12T08:00:00.000+02:00</v>
      </c>
      <c r="AE1315" s="29" t="str">
        <f t="shared" si="365"/>
        <v>pixii-dis-</v>
      </c>
      <c r="AF1315" s="29" t="str">
        <f t="shared" si="366"/>
        <v>Pio XII - Discorso - Ai Soci dell'Automobile Club di Roma</v>
      </c>
    </row>
    <row r="1316" spans="2:32" x14ac:dyDescent="0.2">
      <c r="B1316" s="29">
        <v>260</v>
      </c>
      <c r="C1316" s="29" t="s">
        <v>4500</v>
      </c>
      <c r="D1316" s="29" t="s">
        <v>715</v>
      </c>
      <c r="E1316" s="29" t="s">
        <v>724</v>
      </c>
      <c r="F1316" s="29" t="s">
        <v>663</v>
      </c>
      <c r="G1316" s="29" t="s">
        <v>659</v>
      </c>
      <c r="H1316" s="29" t="str">
        <f t="shared" si="367"/>
        <v>Pio XII</v>
      </c>
      <c r="K1316" s="29" t="s">
        <v>827</v>
      </c>
      <c r="L1316" s="29" t="str">
        <f t="shared" si="364"/>
        <v>Discorso</v>
      </c>
      <c r="M1316" s="29" t="s">
        <v>566</v>
      </c>
      <c r="O1316" s="29" t="s">
        <v>4994</v>
      </c>
      <c r="Q1316" s="38">
        <v>20558</v>
      </c>
      <c r="R1316" s="32">
        <f t="shared" si="374"/>
        <v>13</v>
      </c>
      <c r="S1316" s="32"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32">
        <f t="shared" si="375"/>
        <v>1956</v>
      </c>
      <c r="U1316" s="29"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3"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9"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9">
        <v>1343</v>
      </c>
      <c r="Y1316" s="29" t="str">
        <f t="shared" si="368"/>
        <v>['Pio XII', 'Discorso', 'Al Consiglio di Amministrazione e alla Direzione della Società Italiana per Condotte d'Acqua', 'pixii-dis-', '13 aprile 1956', '13/04/1956', '1956/04/13'],</v>
      </c>
      <c r="Z1316" s="29" t="str">
        <f t="shared" si="369"/>
        <v>Al Consiglio di Amministrazione e alla Direzione della Società Italiana per Condotte d'Acqua (20558) | Pio XII</v>
      </c>
      <c r="AA1316" s="29" t="str">
        <f t="shared" si="370"/>
        <v>Discorso Al Consiglio di Amministrazione e alla Direzione della Società Italiana per Condotte d'Acqua</v>
      </c>
      <c r="AB1316" s="29" t="str">
        <f t="shared" si="371"/>
        <v>Discorso Al Consiglio di Amministrazione e alla Direzione della Società Italiana per Condotte d'Acqua</v>
      </c>
      <c r="AC1316" s="29" t="str">
        <f t="shared" si="372"/>
        <v>Pio XII, Discorso Al Consiglio di Amministrazione e alla Direzione della Società Italiana per Condotte d'Acqua, 13 aprile 1956</v>
      </c>
      <c r="AD1316" s="29" t="str">
        <f t="shared" si="373"/>
        <v>1956-04-13T08:00:00.000+02:00</v>
      </c>
      <c r="AE1316" s="29" t="str">
        <f t="shared" si="365"/>
        <v>pixii-dis-</v>
      </c>
      <c r="AF1316" s="29" t="str">
        <f t="shared" si="366"/>
        <v>Pio XII - Discorso - Al Consiglio di Amministrazione e alla Direzione della Società Italiana per Condotte d'Acqua</v>
      </c>
    </row>
    <row r="1317" spans="2:32" x14ac:dyDescent="0.2">
      <c r="B1317" s="29">
        <v>260</v>
      </c>
      <c r="C1317" s="29" t="s">
        <v>4501</v>
      </c>
      <c r="D1317" s="29" t="s">
        <v>715</v>
      </c>
      <c r="E1317" s="29" t="s">
        <v>724</v>
      </c>
      <c r="F1317" s="29" t="s">
        <v>663</v>
      </c>
      <c r="G1317" s="29" t="s">
        <v>659</v>
      </c>
      <c r="H1317" s="29" t="str">
        <f t="shared" si="367"/>
        <v>Pio XII</v>
      </c>
      <c r="K1317" s="29" t="s">
        <v>827</v>
      </c>
      <c r="L1317" s="29" t="str">
        <f t="shared" si="364"/>
        <v>Discorso</v>
      </c>
      <c r="M1317" s="29" t="s">
        <v>566</v>
      </c>
      <c r="O1317" s="29" t="s">
        <v>4995</v>
      </c>
      <c r="Q1317" s="38">
        <v>20560</v>
      </c>
      <c r="R1317" s="32">
        <f t="shared" si="374"/>
        <v>15</v>
      </c>
      <c r="S1317" s="32"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32">
        <f t="shared" si="375"/>
        <v>1956</v>
      </c>
      <c r="U1317" s="29"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3"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9"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9">
        <v>1344</v>
      </c>
      <c r="Y1317" s="29" t="str">
        <f t="shared" si="368"/>
        <v>['Pio XII', 'Discorso', 'Ai reduci dai campi di prigionia', 'pixii-dis-', '15 aprile 1956', '15/04/1956', '1956/04/15'],</v>
      </c>
      <c r="Z1317" s="29" t="str">
        <f t="shared" si="369"/>
        <v>Ai reduci dai campi di prigionia (20560) | Pio XII</v>
      </c>
      <c r="AA1317" s="29" t="str">
        <f t="shared" si="370"/>
        <v>Discorso Ai reduci dai campi di prigionia</v>
      </c>
      <c r="AB1317" s="29" t="str">
        <f t="shared" si="371"/>
        <v>Discorso Ai reduci dai campi di prigionia</v>
      </c>
      <c r="AC1317" s="29" t="str">
        <f t="shared" si="372"/>
        <v>Pio XII, Discorso Ai reduci dai campi di prigionia, 15 aprile 1956</v>
      </c>
      <c r="AD1317" s="29" t="str">
        <f t="shared" si="373"/>
        <v>1956-04-15T08:00:00.000+02:00</v>
      </c>
      <c r="AE1317" s="29" t="str">
        <f t="shared" si="365"/>
        <v>pixii-dis-</v>
      </c>
      <c r="AF1317" s="29" t="str">
        <f t="shared" si="366"/>
        <v>Pio XII - Discorso - Ai reduci dai campi di prigionia</v>
      </c>
    </row>
    <row r="1318" spans="2:32" x14ac:dyDescent="0.2">
      <c r="B1318" s="29">
        <v>260</v>
      </c>
      <c r="C1318" s="29" t="s">
        <v>4502</v>
      </c>
      <c r="D1318" s="29" t="s">
        <v>715</v>
      </c>
      <c r="E1318" s="29" t="s">
        <v>724</v>
      </c>
      <c r="F1318" s="29" t="s">
        <v>663</v>
      </c>
      <c r="G1318" s="29" t="s">
        <v>659</v>
      </c>
      <c r="H1318" s="29" t="str">
        <f t="shared" si="367"/>
        <v>Pio XII</v>
      </c>
      <c r="K1318" s="29" t="s">
        <v>827</v>
      </c>
      <c r="L1318" s="29" t="str">
        <f t="shared" ref="L1318:L1381" si="376">IF(J1318&lt;&gt;"",_xlfn.CONCAT(J1318 &amp; " " &amp; K1318),K1318)</f>
        <v>Discorso</v>
      </c>
      <c r="M1318" s="29" t="s">
        <v>566</v>
      </c>
      <c r="O1318" s="29" t="s">
        <v>4996</v>
      </c>
      <c r="Q1318" s="38">
        <v>20565</v>
      </c>
      <c r="R1318" s="32">
        <f t="shared" si="374"/>
        <v>20</v>
      </c>
      <c r="S1318" s="32"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32">
        <f t="shared" si="375"/>
        <v>1956</v>
      </c>
      <c r="U1318" s="29"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3"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9"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9">
        <v>1345</v>
      </c>
      <c r="Y1318" s="29" t="str">
        <f t="shared" si="368"/>
        <v>['Pio XII', 'Discorso', 'Agli alunni e ai docenti del Convitto Nazionale Maschile di Roma', 'pixii-dis-', '20 aprile 1956', '20/04/1956', '1956/04/20'],</v>
      </c>
      <c r="Z1318" s="29" t="str">
        <f t="shared" si="369"/>
        <v>Agli alunni e ai docenti del Convitto Nazionale Maschile di Roma (20565) | Pio XII</v>
      </c>
      <c r="AA1318" s="29" t="str">
        <f t="shared" si="370"/>
        <v>Discorso Agli alunni e ai docenti del Convitto Nazionale Maschile di Roma</v>
      </c>
      <c r="AB1318" s="29" t="str">
        <f t="shared" si="371"/>
        <v>Discorso Agli alunni e ai docenti del Convitto Nazionale Maschile di Roma</v>
      </c>
      <c r="AC1318" s="29" t="str">
        <f t="shared" si="372"/>
        <v>Pio XII, Discorso Agli alunni e ai docenti del Convitto Nazionale Maschile di Roma, 20 aprile 1956</v>
      </c>
      <c r="AD1318" s="29" t="str">
        <f t="shared" si="373"/>
        <v>1956-04-20T08:00:00.000+02:00</v>
      </c>
      <c r="AE1318" s="29" t="str">
        <f t="shared" si="365"/>
        <v>pixii-dis-</v>
      </c>
      <c r="AF1318" s="29" t="str">
        <f t="shared" si="366"/>
        <v>Pio XII - Discorso - Agli alunni e ai docenti del Convitto Nazionale Maschile di Roma</v>
      </c>
    </row>
    <row r="1319" spans="2:32" x14ac:dyDescent="0.2">
      <c r="B1319" s="29">
        <v>260</v>
      </c>
      <c r="C1319" s="29" t="s">
        <v>4503</v>
      </c>
      <c r="D1319" s="29" t="s">
        <v>715</v>
      </c>
      <c r="E1319" s="29" t="s">
        <v>724</v>
      </c>
      <c r="F1319" s="29" t="s">
        <v>663</v>
      </c>
      <c r="G1319" s="29" t="s">
        <v>659</v>
      </c>
      <c r="H1319" s="29" t="str">
        <f t="shared" si="367"/>
        <v>Pio XII</v>
      </c>
      <c r="K1319" s="29" t="s">
        <v>827</v>
      </c>
      <c r="L1319" s="29" t="str">
        <f t="shared" si="376"/>
        <v>Discorso</v>
      </c>
      <c r="M1319" s="29" t="s">
        <v>566</v>
      </c>
      <c r="O1319" s="29" t="s">
        <v>4997</v>
      </c>
      <c r="Q1319" s="38">
        <v>20576</v>
      </c>
      <c r="R1319" s="32">
        <f t="shared" si="374"/>
        <v>1</v>
      </c>
      <c r="S1319" s="32"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32">
        <f t="shared" si="375"/>
        <v>1956</v>
      </c>
      <c r="U1319" s="29"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3"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9"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9">
        <v>1346</v>
      </c>
      <c r="Y1319" s="29" t="str">
        <f t="shared" si="368"/>
        <v>['Pio XII', 'Discorso', 'Radiomessaggio ai partecipanti al Convegno delle A.C.L.I. a Milano', 'pixii-dis-', '01 maggio 1956', '01/05/1956', '1956/05/01'],</v>
      </c>
      <c r="Z1319" s="29" t="str">
        <f t="shared" si="369"/>
        <v>Radiomessaggio ai partecipanti al Convegno delle A.C.L.I. a Milano (20576) | Pio XII</v>
      </c>
      <c r="AA1319" s="29" t="str">
        <f t="shared" si="370"/>
        <v>Discorso Radiomessaggio ai partecipanti al Convegno delle A.C.L.I. a Milano</v>
      </c>
      <c r="AB1319" s="29" t="str">
        <f t="shared" si="371"/>
        <v>Discorso Radiomessaggio ai partecipanti al Convegno delle A.C.L.I. a Milano</v>
      </c>
      <c r="AC1319" s="29" t="str">
        <f t="shared" si="372"/>
        <v>Pio XII, Discorso Radiomessaggio ai partecipanti al Convegno delle A.C.L.I. a Milano, 01 maggio 1956</v>
      </c>
      <c r="AD1319" s="29" t="str">
        <f t="shared" si="373"/>
        <v>1956-05-01T08:00:00.000+02:00</v>
      </c>
      <c r="AE1319" s="29" t="str">
        <f t="shared" ref="AE1319:AE1382" si="377">_xlfn.CONCAT(F1319 &amp; "-" &amp; M1319 &amp; "-" &amp; P1319)</f>
        <v>pixii-dis-</v>
      </c>
      <c r="AF1319" s="29" t="str">
        <f t="shared" ref="AF1319:AF1382" si="378">_xlfn.CONCAT(H1319 &amp; " - " &amp; L1319 &amp; " - " &amp; O1319)</f>
        <v>Pio XII - Discorso - Radiomessaggio ai partecipanti al Convegno delle A.C.L.I. a Milano</v>
      </c>
    </row>
    <row r="1320" spans="2:32" x14ac:dyDescent="0.2">
      <c r="B1320" s="29">
        <v>260</v>
      </c>
      <c r="C1320" s="29" t="s">
        <v>4504</v>
      </c>
      <c r="D1320" s="29" t="s">
        <v>715</v>
      </c>
      <c r="E1320" s="29" t="s">
        <v>724</v>
      </c>
      <c r="F1320" s="29" t="s">
        <v>663</v>
      </c>
      <c r="G1320" s="29" t="s">
        <v>659</v>
      </c>
      <c r="H1320" s="29" t="str">
        <f t="shared" si="367"/>
        <v>Pio XII</v>
      </c>
      <c r="K1320" s="29" t="s">
        <v>827</v>
      </c>
      <c r="L1320" s="29" t="str">
        <f t="shared" si="376"/>
        <v>Discorso</v>
      </c>
      <c r="M1320" s="29" t="s">
        <v>566</v>
      </c>
      <c r="O1320" s="29" t="s">
        <v>4998</v>
      </c>
      <c r="Q1320" s="38">
        <v>20585</v>
      </c>
      <c r="R1320" s="32">
        <f t="shared" si="374"/>
        <v>10</v>
      </c>
      <c r="S1320" s="32"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32">
        <f t="shared" si="375"/>
        <v>1956</v>
      </c>
      <c r="U1320" s="29"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3"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9"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9">
        <v>1347</v>
      </c>
      <c r="Y1320" s="29" t="str">
        <f t="shared" si="368"/>
        <v>['Pio XII', 'Discorso', 'Ai delegati della Confederazione Cooperativa Italiana', 'pixii-dis-', '10 maggio 1956', '10/05/1956', '1956/05/10'],</v>
      </c>
      <c r="Z1320" s="29" t="str">
        <f t="shared" si="369"/>
        <v>Ai delegati della Confederazione Cooperativa Italiana (20585) | Pio XII</v>
      </c>
      <c r="AA1320" s="29" t="str">
        <f t="shared" si="370"/>
        <v>Discorso Ai delegati della Confederazione Cooperativa Italiana</v>
      </c>
      <c r="AB1320" s="29" t="str">
        <f t="shared" si="371"/>
        <v>Discorso Ai delegati della Confederazione Cooperativa Italiana</v>
      </c>
      <c r="AC1320" s="29" t="str">
        <f t="shared" si="372"/>
        <v>Pio XII, Discorso Ai delegati della Confederazione Cooperativa Italiana, 10 maggio 1956</v>
      </c>
      <c r="AD1320" s="29" t="str">
        <f t="shared" si="373"/>
        <v>1956-05-10T08:00:00.000+02:00</v>
      </c>
      <c r="AE1320" s="29" t="str">
        <f t="shared" si="377"/>
        <v>pixii-dis-</v>
      </c>
      <c r="AF1320" s="29" t="str">
        <f t="shared" si="378"/>
        <v>Pio XII - Discorso - Ai delegati della Confederazione Cooperativa Italiana</v>
      </c>
    </row>
    <row r="1321" spans="2:32" x14ac:dyDescent="0.2">
      <c r="B1321" s="29">
        <v>260</v>
      </c>
      <c r="C1321" s="29" t="s">
        <v>4505</v>
      </c>
      <c r="D1321" s="29" t="s">
        <v>715</v>
      </c>
      <c r="E1321" s="29" t="s">
        <v>724</v>
      </c>
      <c r="F1321" s="29" t="s">
        <v>663</v>
      </c>
      <c r="G1321" s="29" t="s">
        <v>659</v>
      </c>
      <c r="H1321" s="29" t="str">
        <f t="shared" si="367"/>
        <v>Pio XII</v>
      </c>
      <c r="K1321" s="29" t="s">
        <v>827</v>
      </c>
      <c r="L1321" s="29" t="str">
        <f t="shared" si="376"/>
        <v>Discorso</v>
      </c>
      <c r="M1321" s="29" t="s">
        <v>566</v>
      </c>
      <c r="O1321" s="29" t="s">
        <v>4999</v>
      </c>
      <c r="Q1321" s="38">
        <v>20590</v>
      </c>
      <c r="R1321" s="32">
        <f t="shared" si="374"/>
        <v>15</v>
      </c>
      <c r="S1321" s="32"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32">
        <f t="shared" si="375"/>
        <v>1956</v>
      </c>
      <c r="U1321" s="29"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3"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9"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9">
        <v>1348</v>
      </c>
      <c r="Y1321" s="29" t="str">
        <f t="shared" si="368"/>
        <v>['Pio XII', 'Discorso', 'Testamento del Santo Padre', 'pixii-dis-', '15 maggio 1956', '15/05/1956', '1956/05/15'],</v>
      </c>
      <c r="Z1321" s="29" t="str">
        <f t="shared" si="369"/>
        <v>Testamento del Santo Padre (20590) | Pio XII</v>
      </c>
      <c r="AA1321" s="29" t="str">
        <f t="shared" si="370"/>
        <v>Discorso Testamento del Santo Padre</v>
      </c>
      <c r="AB1321" s="29" t="str">
        <f t="shared" si="371"/>
        <v>Discorso Testamento del Santo Padre</v>
      </c>
      <c r="AC1321" s="29" t="str">
        <f t="shared" si="372"/>
        <v>Pio XII, Discorso Testamento del Santo Padre, 15 maggio 1956</v>
      </c>
      <c r="AD1321" s="29" t="str">
        <f t="shared" si="373"/>
        <v>1956-05-15T08:00:00.000+02:00</v>
      </c>
      <c r="AE1321" s="29" t="str">
        <f t="shared" si="377"/>
        <v>pixii-dis-</v>
      </c>
      <c r="AF1321" s="29" t="str">
        <f t="shared" si="378"/>
        <v>Pio XII - Discorso - Testamento del Santo Padre</v>
      </c>
    </row>
    <row r="1322" spans="2:32" x14ac:dyDescent="0.2">
      <c r="B1322" s="29">
        <v>260</v>
      </c>
      <c r="C1322" s="29" t="s">
        <v>4506</v>
      </c>
      <c r="D1322" s="29" t="s">
        <v>715</v>
      </c>
      <c r="E1322" s="29" t="s">
        <v>724</v>
      </c>
      <c r="F1322" s="29" t="s">
        <v>663</v>
      </c>
      <c r="G1322" s="29" t="s">
        <v>659</v>
      </c>
      <c r="H1322" s="29" t="str">
        <f t="shared" si="367"/>
        <v>Pio XII</v>
      </c>
      <c r="K1322" s="29" t="s">
        <v>827</v>
      </c>
      <c r="L1322" s="29" t="str">
        <f t="shared" si="376"/>
        <v>Discorso</v>
      </c>
      <c r="M1322" s="29" t="s">
        <v>566</v>
      </c>
      <c r="O1322" s="29" t="s">
        <v>5000</v>
      </c>
      <c r="Q1322" s="38">
        <v>20594</v>
      </c>
      <c r="R1322" s="32">
        <f t="shared" si="374"/>
        <v>19</v>
      </c>
      <c r="S1322" s="32"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32">
        <f t="shared" si="375"/>
        <v>1956</v>
      </c>
      <c r="U1322" s="29"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3"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9"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9">
        <v>1349</v>
      </c>
      <c r="Y1322" s="29" t="str">
        <f t="shared" si="368"/>
        <v>['Pio XII', 'Discorso', 'Ai partecipanti al secondo Congresso mondiale della fertilità e della sterilità', 'pixii-dis-', '19 maggio 1956', '19/05/1956', '1956/05/19'],</v>
      </c>
      <c r="Z1322" s="29" t="str">
        <f t="shared" si="369"/>
        <v>Ai partecipanti al secondo Congresso mondiale della fertilità e della sterilità (20594) | Pio XII</v>
      </c>
      <c r="AA1322" s="29" t="str">
        <f t="shared" si="370"/>
        <v>Discorso Ai partecipanti al secondo Congresso mondiale della fertilità e della sterilità</v>
      </c>
      <c r="AB1322" s="29" t="str">
        <f t="shared" si="371"/>
        <v>Discorso Ai partecipanti al secondo Congresso mondiale della fertilità e della sterilità</v>
      </c>
      <c r="AC1322" s="29" t="str">
        <f t="shared" si="372"/>
        <v>Pio XII, Discorso Ai partecipanti al secondo Congresso mondiale della fertilità e della sterilità, 19 maggio 1956</v>
      </c>
      <c r="AD1322" s="29" t="str">
        <f t="shared" si="373"/>
        <v>1956-05-19T08:00:00.000+02:00</v>
      </c>
      <c r="AE1322" s="29" t="str">
        <f t="shared" si="377"/>
        <v>pixii-dis-</v>
      </c>
      <c r="AF1322" s="29" t="str">
        <f t="shared" si="378"/>
        <v>Pio XII - Discorso - Ai partecipanti al secondo Congresso mondiale della fertilità e della sterilità</v>
      </c>
    </row>
    <row r="1323" spans="2:32" x14ac:dyDescent="0.2">
      <c r="B1323" s="29">
        <v>260</v>
      </c>
      <c r="C1323" s="29" t="s">
        <v>4507</v>
      </c>
      <c r="D1323" s="29" t="s">
        <v>715</v>
      </c>
      <c r="E1323" s="29" t="s">
        <v>724</v>
      </c>
      <c r="F1323" s="29" t="s">
        <v>663</v>
      </c>
      <c r="G1323" s="29" t="s">
        <v>659</v>
      </c>
      <c r="H1323" s="29" t="str">
        <f t="shared" si="367"/>
        <v>Pio XII</v>
      </c>
      <c r="K1323" s="29" t="s">
        <v>827</v>
      </c>
      <c r="L1323" s="29" t="str">
        <f t="shared" si="376"/>
        <v>Discorso</v>
      </c>
      <c r="M1323" s="29" t="s">
        <v>566</v>
      </c>
      <c r="O1323" s="29" t="s">
        <v>5001</v>
      </c>
      <c r="Q1323" s="38">
        <v>20595</v>
      </c>
      <c r="R1323" s="32">
        <f t="shared" si="374"/>
        <v>20</v>
      </c>
      <c r="S1323" s="32"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32">
        <f t="shared" si="375"/>
        <v>1956</v>
      </c>
      <c r="U1323" s="29"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3"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9"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9">
        <v>1350</v>
      </c>
      <c r="Y1323" s="29" t="str">
        <f t="shared" si="368"/>
        <v>['Pio XII', 'Discorso', 'Alla Famiglia Ospedaliera Romana', 'pixii-dis-', '20 maggio 1956', '20/05/1956', '1956/05/20'],</v>
      </c>
      <c r="Z1323" s="29" t="str">
        <f t="shared" si="369"/>
        <v>Alla Famiglia Ospedaliera Romana (20595) | Pio XII</v>
      </c>
      <c r="AA1323" s="29" t="str">
        <f t="shared" si="370"/>
        <v>Discorso Alla Famiglia Ospedaliera Romana</v>
      </c>
      <c r="AB1323" s="29" t="str">
        <f t="shared" si="371"/>
        <v>Discorso Alla Famiglia Ospedaliera Romana</v>
      </c>
      <c r="AC1323" s="29" t="str">
        <f t="shared" si="372"/>
        <v>Pio XII, Discorso Alla Famiglia Ospedaliera Romana, 20 maggio 1956</v>
      </c>
      <c r="AD1323" s="29" t="str">
        <f t="shared" si="373"/>
        <v>1956-05-20T08:00:00.000+02:00</v>
      </c>
      <c r="AE1323" s="29" t="str">
        <f t="shared" si="377"/>
        <v>pixii-dis-</v>
      </c>
      <c r="AF1323" s="29" t="str">
        <f t="shared" si="378"/>
        <v>Pio XII - Discorso - Alla Famiglia Ospedaliera Romana</v>
      </c>
    </row>
    <row r="1324" spans="2:32" x14ac:dyDescent="0.2">
      <c r="B1324" s="29">
        <v>260</v>
      </c>
      <c r="C1324" s="29" t="s">
        <v>4508</v>
      </c>
      <c r="D1324" s="29" t="s">
        <v>715</v>
      </c>
      <c r="E1324" s="29" t="s">
        <v>724</v>
      </c>
      <c r="F1324" s="29" t="s">
        <v>663</v>
      </c>
      <c r="G1324" s="29" t="s">
        <v>659</v>
      </c>
      <c r="H1324" s="29" t="str">
        <f t="shared" si="367"/>
        <v>Pio XII</v>
      </c>
      <c r="K1324" s="29" t="s">
        <v>827</v>
      </c>
      <c r="L1324" s="29" t="str">
        <f t="shared" si="376"/>
        <v>Discorso</v>
      </c>
      <c r="M1324" s="29" t="s">
        <v>566</v>
      </c>
      <c r="O1324" s="29" t="s">
        <v>5002</v>
      </c>
      <c r="Q1324" s="38">
        <v>20600</v>
      </c>
      <c r="R1324" s="32">
        <f t="shared" si="374"/>
        <v>25</v>
      </c>
      <c r="S1324" s="32"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32">
        <f t="shared" si="375"/>
        <v>1956</v>
      </c>
      <c r="U1324" s="29"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3"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9"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9">
        <v>1351</v>
      </c>
      <c r="Y1324" s="29" t="str">
        <f t="shared" si="368"/>
        <v>['Pio XII', 'Discorso', 'Ad un numeroso gruppo di assegnatari dell'Ente Fucino', 'pixii-dis-', '25 maggio 1956', '25/05/1956', '1956/05/25'],</v>
      </c>
      <c r="Z1324" s="29" t="str">
        <f t="shared" si="369"/>
        <v>Ad un numeroso gruppo di assegnatari dell'Ente Fucino (20600) | Pio XII</v>
      </c>
      <c r="AA1324" s="29" t="str">
        <f t="shared" si="370"/>
        <v>Discorso Ad un numeroso gruppo di assegnatari dell'Ente Fucino</v>
      </c>
      <c r="AB1324" s="29" t="str">
        <f t="shared" si="371"/>
        <v>Discorso Ad un numeroso gruppo di assegnatari dell'Ente Fucino</v>
      </c>
      <c r="AC1324" s="29" t="str">
        <f t="shared" si="372"/>
        <v>Pio XII, Discorso Ad un numeroso gruppo di assegnatari dell'Ente Fucino, 25 maggio 1956</v>
      </c>
      <c r="AD1324" s="29" t="str">
        <f t="shared" si="373"/>
        <v>1956-05-25T08:00:00.000+02:00</v>
      </c>
      <c r="AE1324" s="29" t="str">
        <f t="shared" si="377"/>
        <v>pixii-dis-</v>
      </c>
      <c r="AF1324" s="29" t="str">
        <f t="shared" si="378"/>
        <v>Pio XII - Discorso - Ad un numeroso gruppo di assegnatari dell'Ente Fucino</v>
      </c>
    </row>
    <row r="1325" spans="2:32" x14ac:dyDescent="0.2">
      <c r="B1325" s="29">
        <v>260</v>
      </c>
      <c r="C1325" s="29" t="s">
        <v>4509</v>
      </c>
      <c r="D1325" s="29" t="s">
        <v>715</v>
      </c>
      <c r="E1325" s="29" t="s">
        <v>724</v>
      </c>
      <c r="F1325" s="29" t="s">
        <v>663</v>
      </c>
      <c r="G1325" s="29" t="s">
        <v>659</v>
      </c>
      <c r="H1325" s="29" t="str">
        <f t="shared" si="367"/>
        <v>Pio XII</v>
      </c>
      <c r="K1325" s="29" t="s">
        <v>827</v>
      </c>
      <c r="L1325" s="29" t="str">
        <f t="shared" si="376"/>
        <v>Discorso</v>
      </c>
      <c r="M1325" s="29" t="s">
        <v>566</v>
      </c>
      <c r="O1325" s="29" t="s">
        <v>5003</v>
      </c>
      <c r="Q1325" s="38">
        <v>20601</v>
      </c>
      <c r="R1325" s="32">
        <f t="shared" si="374"/>
        <v>26</v>
      </c>
      <c r="S1325" s="32"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32">
        <f t="shared" si="375"/>
        <v>1956</v>
      </c>
      <c r="U1325" s="29"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3"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9"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9">
        <v>1352</v>
      </c>
      <c r="Y1325" s="29" t="str">
        <f t="shared" si="368"/>
        <v>['Pio XII', 'Discorso', 'Al gruppo romano dell'Associazione Internazionale dei Portieri d'albergo', 'pixii-dis-', '26 maggio 1956', '26/05/1956', '1956/05/26'],</v>
      </c>
      <c r="Z1325" s="29" t="str">
        <f t="shared" si="369"/>
        <v>Al gruppo romano dell'Associazione Internazionale dei Portieri d'albergo (20601) | Pio XII</v>
      </c>
      <c r="AA1325" s="29" t="str">
        <f t="shared" si="370"/>
        <v>Discorso Al gruppo romano dell'Associazione Internazionale dei Portieri d'albergo</v>
      </c>
      <c r="AB1325" s="29" t="str">
        <f t="shared" si="371"/>
        <v>Discorso Al gruppo romano dell'Associazione Internazionale dei Portieri d'albergo</v>
      </c>
      <c r="AC1325" s="29" t="str">
        <f t="shared" si="372"/>
        <v>Pio XII, Discorso Al gruppo romano dell'Associazione Internazionale dei Portieri d'albergo, 26 maggio 1956</v>
      </c>
      <c r="AD1325" s="29" t="str">
        <f t="shared" si="373"/>
        <v>1956-05-26T08:00:00.000+02:00</v>
      </c>
      <c r="AE1325" s="29" t="str">
        <f t="shared" si="377"/>
        <v>pixii-dis-</v>
      </c>
      <c r="AF1325" s="29" t="str">
        <f t="shared" si="378"/>
        <v>Pio XII - Discorso - Al gruppo romano dell'Associazione Internazionale dei Portieri d'albergo</v>
      </c>
    </row>
    <row r="1326" spans="2:32" x14ac:dyDescent="0.2">
      <c r="B1326" s="29">
        <v>260</v>
      </c>
      <c r="C1326" s="29" t="s">
        <v>4510</v>
      </c>
      <c r="D1326" s="29" t="s">
        <v>715</v>
      </c>
      <c r="E1326" s="29" t="s">
        <v>724</v>
      </c>
      <c r="F1326" s="29" t="s">
        <v>663</v>
      </c>
      <c r="G1326" s="29" t="s">
        <v>659</v>
      </c>
      <c r="H1326" s="29" t="str">
        <f t="shared" si="367"/>
        <v>Pio XII</v>
      </c>
      <c r="K1326" s="29" t="s">
        <v>827</v>
      </c>
      <c r="L1326" s="29" t="str">
        <f t="shared" si="376"/>
        <v>Discorso</v>
      </c>
      <c r="M1326" s="29" t="s">
        <v>566</v>
      </c>
      <c r="O1326" s="29" t="s">
        <v>5004</v>
      </c>
      <c r="Q1326" s="38">
        <v>20609</v>
      </c>
      <c r="R1326" s="32">
        <f t="shared" si="374"/>
        <v>3</v>
      </c>
      <c r="S1326" s="32"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32">
        <f t="shared" si="375"/>
        <v>1956</v>
      </c>
      <c r="U1326" s="29"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3"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9"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9">
        <v>1353</v>
      </c>
      <c r="Y1326" s="29" t="str">
        <f t="shared" si="368"/>
        <v>['Pio XII', 'Discorso', 'Alle lavoratrici domestiche', 'pixii-dis-', '03 giugno 1956', '03/06/1956', '1956/06/03'],</v>
      </c>
      <c r="Z1326" s="29" t="str">
        <f t="shared" si="369"/>
        <v>Alle lavoratrici domestiche (20609) | Pio XII</v>
      </c>
      <c r="AA1326" s="29" t="str">
        <f t="shared" si="370"/>
        <v>Discorso Alle lavoratrici domestiche</v>
      </c>
      <c r="AB1326" s="29" t="str">
        <f t="shared" si="371"/>
        <v>Discorso Alle lavoratrici domestiche</v>
      </c>
      <c r="AC1326" s="29" t="str">
        <f t="shared" si="372"/>
        <v>Pio XII, Discorso Alle lavoratrici domestiche, 03 giugno 1956</v>
      </c>
      <c r="AD1326" s="29" t="str">
        <f t="shared" si="373"/>
        <v>1956-06-03T08:00:00.000+02:00</v>
      </c>
      <c r="AE1326" s="29" t="str">
        <f t="shared" si="377"/>
        <v>pixii-dis-</v>
      </c>
      <c r="AF1326" s="29" t="str">
        <f t="shared" si="378"/>
        <v>Pio XII - Discorso - Alle lavoratrici domestiche</v>
      </c>
    </row>
    <row r="1327" spans="2:32" x14ac:dyDescent="0.2">
      <c r="B1327" s="29">
        <v>260</v>
      </c>
      <c r="C1327" s="29" t="s">
        <v>4511</v>
      </c>
      <c r="D1327" s="29" t="s">
        <v>715</v>
      </c>
      <c r="E1327" s="29" t="s">
        <v>724</v>
      </c>
      <c r="F1327" s="29" t="s">
        <v>663</v>
      </c>
      <c r="G1327" s="29" t="s">
        <v>659</v>
      </c>
      <c r="H1327" s="29" t="str">
        <f t="shared" si="367"/>
        <v>Pio XII</v>
      </c>
      <c r="K1327" s="29" t="s">
        <v>827</v>
      </c>
      <c r="L1327" s="29" t="str">
        <f t="shared" si="376"/>
        <v>Discorso</v>
      </c>
      <c r="M1327" s="29" t="s">
        <v>566</v>
      </c>
      <c r="O1327" s="29" t="s">
        <v>5005</v>
      </c>
      <c r="Q1327" s="38">
        <v>20632</v>
      </c>
      <c r="R1327" s="32">
        <f t="shared" si="374"/>
        <v>26</v>
      </c>
      <c r="S1327" s="32"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32">
        <f t="shared" si="375"/>
        <v>1956</v>
      </c>
      <c r="U1327" s="29"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3"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9"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9">
        <v>1354</v>
      </c>
      <c r="Y1327" s="29" t="str">
        <f t="shared" si="368"/>
        <v>['Pio XII', 'Discorso', 'Nel V centenario dell'Ospedale Maggiore di Milano', 'pixii-dis-', '26 giugno 1956', '26/06/1956', '1956/06/26'],</v>
      </c>
      <c r="Z1327" s="29" t="str">
        <f t="shared" si="369"/>
        <v>Nel V centenario dell'Ospedale Maggiore di Milano (20632) | Pio XII</v>
      </c>
      <c r="AA1327" s="29" t="str">
        <f t="shared" si="370"/>
        <v>Discorso Nel V centenario dell'Ospedale Maggiore di Milano</v>
      </c>
      <c r="AB1327" s="29" t="str">
        <f t="shared" si="371"/>
        <v>Discorso Nel V centenario dell'Ospedale Maggiore di Milano</v>
      </c>
      <c r="AC1327" s="29" t="str">
        <f t="shared" si="372"/>
        <v>Pio XII, Discorso Nel V centenario dell'Ospedale Maggiore di Milano, 26 giugno 1956</v>
      </c>
      <c r="AD1327" s="29" t="str">
        <f t="shared" si="373"/>
        <v>1956-06-26T08:00:00.000+02:00</v>
      </c>
      <c r="AE1327" s="29" t="str">
        <f t="shared" si="377"/>
        <v>pixii-dis-</v>
      </c>
      <c r="AF1327" s="29" t="str">
        <f t="shared" si="378"/>
        <v>Pio XII - Discorso - Nel V centenario dell'Ospedale Maggiore di Milano</v>
      </c>
    </row>
    <row r="1328" spans="2:32" x14ac:dyDescent="0.2">
      <c r="B1328" s="29">
        <v>260</v>
      </c>
      <c r="C1328" s="29" t="s">
        <v>4512</v>
      </c>
      <c r="D1328" s="29" t="s">
        <v>715</v>
      </c>
      <c r="E1328" s="29" t="s">
        <v>724</v>
      </c>
      <c r="F1328" s="29" t="s">
        <v>663</v>
      </c>
      <c r="G1328" s="29" t="s">
        <v>659</v>
      </c>
      <c r="H1328" s="29" t="str">
        <f t="shared" si="367"/>
        <v>Pio XII</v>
      </c>
      <c r="K1328" s="29" t="s">
        <v>827</v>
      </c>
      <c r="L1328" s="29" t="str">
        <f t="shared" si="376"/>
        <v>Discorso</v>
      </c>
      <c r="M1328" s="29" t="s">
        <v>566</v>
      </c>
      <c r="O1328" s="29" t="s">
        <v>5006</v>
      </c>
      <c r="Q1328" s="38">
        <v>20637</v>
      </c>
      <c r="R1328" s="32">
        <f t="shared" si="374"/>
        <v>1</v>
      </c>
      <c r="S1328" s="32"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32">
        <f t="shared" si="375"/>
        <v>1956</v>
      </c>
      <c r="U1328" s="29"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3"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9"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9">
        <v>1355</v>
      </c>
      <c r="Y1328" s="29" t="str">
        <f t="shared" si="368"/>
        <v>['Pio XII', 'Discorso', 'Ai partecipanti al Convegno del Terz'Ordine Francescano d'Italia', 'pixii-dis-', '01 luglio 1956', '01/07/1956', '1956/07/01'],</v>
      </c>
      <c r="Z1328" s="29" t="str">
        <f t="shared" si="369"/>
        <v>Ai partecipanti al Convegno del Terz'Ordine Francescano d'Italia (20637) | Pio XII</v>
      </c>
      <c r="AA1328" s="29" t="str">
        <f t="shared" si="370"/>
        <v>Discorso Ai partecipanti al Convegno del Terz'Ordine Francescano d'Italia</v>
      </c>
      <c r="AB1328" s="29" t="str">
        <f t="shared" si="371"/>
        <v>Discorso Ai partecipanti al Convegno del Terz'Ordine Francescano d'Italia</v>
      </c>
      <c r="AC1328" s="29" t="str">
        <f t="shared" si="372"/>
        <v>Pio XII, Discorso Ai partecipanti al Convegno del Terz'Ordine Francescano d'Italia, 01 luglio 1956</v>
      </c>
      <c r="AD1328" s="29" t="str">
        <f t="shared" si="373"/>
        <v>1956-07-01T08:00:00.000+02:00</v>
      </c>
      <c r="AE1328" s="29" t="str">
        <f t="shared" si="377"/>
        <v>pixii-dis-</v>
      </c>
      <c r="AF1328" s="29" t="str">
        <f t="shared" si="378"/>
        <v>Pio XII - Discorso - Ai partecipanti al Convegno del Terz'Ordine Francescano d'Italia</v>
      </c>
    </row>
    <row r="1329" spans="2:32" x14ac:dyDescent="0.2">
      <c r="B1329" s="29">
        <v>260</v>
      </c>
      <c r="C1329" s="29" t="s">
        <v>4513</v>
      </c>
      <c r="D1329" s="29" t="s">
        <v>715</v>
      </c>
      <c r="E1329" s="29" t="s">
        <v>724</v>
      </c>
      <c r="F1329" s="29" t="s">
        <v>663</v>
      </c>
      <c r="G1329" s="29" t="s">
        <v>659</v>
      </c>
      <c r="H1329" s="29" t="str">
        <f t="shared" si="367"/>
        <v>Pio XII</v>
      </c>
      <c r="K1329" s="29" t="s">
        <v>827</v>
      </c>
      <c r="L1329" s="29" t="str">
        <f t="shared" si="376"/>
        <v>Discorso</v>
      </c>
      <c r="M1329" s="29" t="s">
        <v>566</v>
      </c>
      <c r="O1329" s="29" t="s">
        <v>5007</v>
      </c>
      <c r="Q1329" s="38">
        <v>20712</v>
      </c>
      <c r="R1329" s="32">
        <f t="shared" si="374"/>
        <v>14</v>
      </c>
      <c r="S1329" s="32"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32">
        <f t="shared" si="375"/>
        <v>1956</v>
      </c>
      <c r="U1329" s="29"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3"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9"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9">
        <v>1356</v>
      </c>
      <c r="Y1329" s="29" t="str">
        <f t="shared" si="368"/>
        <v>['Pio XII', 'Discorso', 'In occasione della VI settimana Nazionale italiana di aggiornamento pastorale', 'pixii-dis-', '14 settembre 1956', '14/09/1956', '1956/09/14'],</v>
      </c>
      <c r="Z1329" s="29" t="str">
        <f t="shared" si="369"/>
        <v>In occasione della VI settimana Nazionale italiana di aggiornamento pastorale (20712) | Pio XII</v>
      </c>
      <c r="AA1329" s="29" t="str">
        <f t="shared" si="370"/>
        <v>Discorso In occasione della VI settimana Nazionale italiana di aggiornamento pastorale</v>
      </c>
      <c r="AB1329" s="29" t="str">
        <f t="shared" si="371"/>
        <v>Discorso In occasione della VI settimana Nazionale italiana di aggiornamento pastorale</v>
      </c>
      <c r="AC1329" s="29" t="str">
        <f t="shared" si="372"/>
        <v>Pio XII, Discorso In occasione della VI settimana Nazionale italiana di aggiornamento pastorale, 14 settembre 1956</v>
      </c>
      <c r="AD1329" s="29" t="str">
        <f t="shared" si="373"/>
        <v>1956-09-14T08:00:00.000+02:00</v>
      </c>
      <c r="AE1329" s="29" t="str">
        <f t="shared" si="377"/>
        <v>pixii-dis-</v>
      </c>
      <c r="AF1329" s="29" t="str">
        <f t="shared" si="378"/>
        <v>Pio XII - Discorso - In occasione della VI settimana Nazionale italiana di aggiornamento pastorale</v>
      </c>
    </row>
    <row r="1330" spans="2:32" x14ac:dyDescent="0.2">
      <c r="B1330" s="29">
        <v>260</v>
      </c>
      <c r="C1330" s="29" t="s">
        <v>4514</v>
      </c>
      <c r="D1330" s="29" t="s">
        <v>715</v>
      </c>
      <c r="E1330" s="29" t="s">
        <v>724</v>
      </c>
      <c r="F1330" s="29" t="s">
        <v>663</v>
      </c>
      <c r="G1330" s="29" t="s">
        <v>659</v>
      </c>
      <c r="H1330" s="29" t="str">
        <f t="shared" si="367"/>
        <v>Pio XII</v>
      </c>
      <c r="K1330" s="29" t="s">
        <v>827</v>
      </c>
      <c r="L1330" s="29" t="str">
        <f t="shared" si="376"/>
        <v>Discorso</v>
      </c>
      <c r="M1330" s="29" t="s">
        <v>566</v>
      </c>
      <c r="O1330" s="29" t="s">
        <v>5008</v>
      </c>
      <c r="Q1330" s="38">
        <v>20735</v>
      </c>
      <c r="R1330" s="32">
        <f t="shared" si="374"/>
        <v>7</v>
      </c>
      <c r="S1330" s="32"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32">
        <f t="shared" si="375"/>
        <v>1956</v>
      </c>
      <c r="U1330" s="29"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3"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9"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9">
        <v>1357</v>
      </c>
      <c r="Y1330" s="29" t="str">
        <f t="shared" si="368"/>
        <v>['Pio XII', 'Discorso', 'In onore del beato Innocenzo XI', 'pixii-dis-', '07 ottobre 1956', '07/10/1956', '1956/10/07'],</v>
      </c>
      <c r="Z1330" s="29" t="str">
        <f t="shared" si="369"/>
        <v>In onore del beato Innocenzo XI (20735) | Pio XII</v>
      </c>
      <c r="AA1330" s="29" t="str">
        <f t="shared" si="370"/>
        <v>Discorso In onore del beato Innocenzo XI</v>
      </c>
      <c r="AB1330" s="29" t="str">
        <f t="shared" si="371"/>
        <v>Discorso In onore del beato Innocenzo XI</v>
      </c>
      <c r="AC1330" s="29" t="str">
        <f t="shared" si="372"/>
        <v>Pio XII, Discorso In onore del beato Innocenzo XI, 07 ottobre 1956</v>
      </c>
      <c r="AD1330" s="29" t="str">
        <f t="shared" si="373"/>
        <v>1956-10-07T08:00:00.000+02:00</v>
      </c>
      <c r="AE1330" s="29" t="str">
        <f t="shared" si="377"/>
        <v>pixii-dis-</v>
      </c>
      <c r="AF1330" s="29" t="str">
        <f t="shared" si="378"/>
        <v>Pio XII - Discorso - In onore del beato Innocenzo XI</v>
      </c>
    </row>
    <row r="1331" spans="2:32" x14ac:dyDescent="0.2">
      <c r="B1331" s="29">
        <v>260</v>
      </c>
      <c r="C1331" s="29" t="s">
        <v>4515</v>
      </c>
      <c r="D1331" s="29" t="s">
        <v>715</v>
      </c>
      <c r="E1331" s="29" t="s">
        <v>724</v>
      </c>
      <c r="F1331" s="29" t="s">
        <v>663</v>
      </c>
      <c r="G1331" s="29" t="s">
        <v>659</v>
      </c>
      <c r="H1331" s="29" t="str">
        <f t="shared" si="367"/>
        <v>Pio XII</v>
      </c>
      <c r="K1331" s="29" t="s">
        <v>827</v>
      </c>
      <c r="L1331" s="29" t="str">
        <f t="shared" si="376"/>
        <v>Discorso</v>
      </c>
      <c r="M1331" s="29" t="s">
        <v>566</v>
      </c>
      <c r="O1331" s="29" t="s">
        <v>5009</v>
      </c>
      <c r="Q1331" s="38">
        <v>20742</v>
      </c>
      <c r="R1331" s="32">
        <f t="shared" si="374"/>
        <v>14</v>
      </c>
      <c r="S1331" s="32"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32">
        <f t="shared" si="375"/>
        <v>1956</v>
      </c>
      <c r="U1331" s="29"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3"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9"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9">
        <v>1358</v>
      </c>
      <c r="Y1331" s="29" t="str">
        <f t="shared" si="368"/>
        <v>['Pio XII', 'Discorso', 'Radiomessaggio alle partecipanti al Pellegrinaggio nazionale al Santuario della Vergine SSma di Loreto', 'pixii-dis-', '14 ottobre 1956', '14/10/1956', '1956/10/14'],</v>
      </c>
      <c r="Z1331" s="29" t="str">
        <f t="shared" si="369"/>
        <v>Radiomessaggio alle partecipanti al Pellegrinaggio nazionale al Santuario della Vergine SSma di Loreto (20742) | Pio XII</v>
      </c>
      <c r="AA1331" s="29" t="str">
        <f t="shared" si="370"/>
        <v>Discorso Radiomessaggio alle partecipanti al Pellegrinaggio nazionale al Santuario della Vergine SSma di Loreto</v>
      </c>
      <c r="AB1331" s="29" t="str">
        <f t="shared" si="371"/>
        <v>Discorso Radiomessaggio alle partecipanti al Pellegrinaggio nazionale al Santuario della Vergine SSma di Loreto</v>
      </c>
      <c r="AC1331" s="29" t="str">
        <f t="shared" si="372"/>
        <v>Pio XII, Discorso Radiomessaggio alle partecipanti al Pellegrinaggio nazionale al Santuario della Vergine SSma di Loreto, 14 ottobre 1956</v>
      </c>
      <c r="AD1331" s="29" t="str">
        <f t="shared" si="373"/>
        <v>1956-10-14T08:00:00.000+02:00</v>
      </c>
      <c r="AE1331" s="29" t="str">
        <f t="shared" si="377"/>
        <v>pixii-dis-</v>
      </c>
      <c r="AF1331" s="29" t="str">
        <f t="shared" si="378"/>
        <v>Pio XII - Discorso - Radiomessaggio alle partecipanti al Pellegrinaggio nazionale al Santuario della Vergine SSma di Loreto</v>
      </c>
    </row>
    <row r="1332" spans="2:32" x14ac:dyDescent="0.2">
      <c r="B1332" s="29">
        <v>260</v>
      </c>
      <c r="C1332" s="29" t="s">
        <v>4516</v>
      </c>
      <c r="D1332" s="29" t="s">
        <v>715</v>
      </c>
      <c r="E1332" s="29" t="s">
        <v>724</v>
      </c>
      <c r="F1332" s="29" t="s">
        <v>663</v>
      </c>
      <c r="G1332" s="29" t="s">
        <v>659</v>
      </c>
      <c r="H1332" s="29" t="str">
        <f t="shared" si="367"/>
        <v>Pio XII</v>
      </c>
      <c r="K1332" s="29" t="s">
        <v>827</v>
      </c>
      <c r="L1332" s="29" t="str">
        <f t="shared" si="376"/>
        <v>Discorso</v>
      </c>
      <c r="M1332" s="29" t="s">
        <v>566</v>
      </c>
      <c r="O1332" s="29" t="s">
        <v>5010</v>
      </c>
      <c r="Q1332" s="38">
        <v>20756</v>
      </c>
      <c r="R1332" s="32">
        <f t="shared" si="374"/>
        <v>28</v>
      </c>
      <c r="S1332" s="32"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32">
        <f t="shared" si="375"/>
        <v>1956</v>
      </c>
      <c r="U1332" s="29"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3"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9"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9">
        <v>1359</v>
      </c>
      <c r="Y1332" s="29" t="str">
        <f t="shared" si="368"/>
        <v>['Pio XII', 'Discorso', 'Ai fedeli della Diocesi di Prato', 'pixii-dis-', '28 ottobre 1956', '28/10/1956', '1956/10/28'],</v>
      </c>
      <c r="Z1332" s="29" t="str">
        <f t="shared" si="369"/>
        <v>Ai fedeli della Diocesi di Prato (20756) | Pio XII</v>
      </c>
      <c r="AA1332" s="29" t="str">
        <f t="shared" si="370"/>
        <v>Discorso Ai fedeli della Diocesi di Prato</v>
      </c>
      <c r="AB1332" s="29" t="str">
        <f t="shared" si="371"/>
        <v>Discorso Ai fedeli della Diocesi di Prato</v>
      </c>
      <c r="AC1332" s="29" t="str">
        <f t="shared" si="372"/>
        <v>Pio XII, Discorso Ai fedeli della Diocesi di Prato, 28 ottobre 1956</v>
      </c>
      <c r="AD1332" s="29" t="str">
        <f t="shared" si="373"/>
        <v>1956-10-28T08:00:00.000+02:00</v>
      </c>
      <c r="AE1332" s="29" t="str">
        <f t="shared" si="377"/>
        <v>pixii-dis-</v>
      </c>
      <c r="AF1332" s="29" t="str">
        <f t="shared" si="378"/>
        <v>Pio XII - Discorso - Ai fedeli della Diocesi di Prato</v>
      </c>
    </row>
    <row r="1333" spans="2:32" x14ac:dyDescent="0.2">
      <c r="B1333" s="29">
        <v>260</v>
      </c>
      <c r="C1333" s="29" t="s">
        <v>4517</v>
      </c>
      <c r="D1333" s="29" t="s">
        <v>715</v>
      </c>
      <c r="E1333" s="29" t="s">
        <v>724</v>
      </c>
      <c r="F1333" s="29" t="s">
        <v>663</v>
      </c>
      <c r="G1333" s="29" t="s">
        <v>659</v>
      </c>
      <c r="H1333" s="29" t="str">
        <f t="shared" si="367"/>
        <v>Pio XII</v>
      </c>
      <c r="K1333" s="29" t="s">
        <v>827</v>
      </c>
      <c r="L1333" s="29" t="str">
        <f t="shared" si="376"/>
        <v>Discorso</v>
      </c>
      <c r="M1333" s="29" t="s">
        <v>566</v>
      </c>
      <c r="O1333" s="29" t="s">
        <v>5011</v>
      </c>
      <c r="Q1333" s="38">
        <v>20756</v>
      </c>
      <c r="R1333" s="32">
        <f t="shared" si="374"/>
        <v>28</v>
      </c>
      <c r="S1333" s="32"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32">
        <f t="shared" si="375"/>
        <v>1956</v>
      </c>
      <c r="U1333" s="29"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3"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9"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9">
        <v>1360</v>
      </c>
      <c r="Y1333" s="29" t="str">
        <f t="shared" si="368"/>
        <v>['Pio XII', 'Discorso', 'Radiomessaggio alle popolazioni dell'Emilia', 'pixii-dis-', '28 ottobre 1956', '28/10/1956', '1956/10/28'],</v>
      </c>
      <c r="Z1333" s="29" t="str">
        <f t="shared" si="369"/>
        <v>Radiomessaggio alle popolazioni dell'Emilia (20756) | Pio XII</v>
      </c>
      <c r="AA1333" s="29" t="str">
        <f t="shared" si="370"/>
        <v>Discorso Radiomessaggio alle popolazioni dell'Emilia</v>
      </c>
      <c r="AB1333" s="29" t="str">
        <f t="shared" si="371"/>
        <v>Discorso Radiomessaggio alle popolazioni dell'Emilia</v>
      </c>
      <c r="AC1333" s="29" t="str">
        <f t="shared" si="372"/>
        <v>Pio XII, Discorso Radiomessaggio alle popolazioni dell'Emilia, 28 ottobre 1956</v>
      </c>
      <c r="AD1333" s="29" t="str">
        <f t="shared" si="373"/>
        <v>1956-10-28T08:00:00.000+02:00</v>
      </c>
      <c r="AE1333" s="29" t="str">
        <f t="shared" si="377"/>
        <v>pixii-dis-</v>
      </c>
      <c r="AF1333" s="29" t="str">
        <f t="shared" si="378"/>
        <v>Pio XII - Discorso - Radiomessaggio alle popolazioni dell'Emilia</v>
      </c>
    </row>
    <row r="1334" spans="2:32" x14ac:dyDescent="0.2">
      <c r="B1334" s="29">
        <v>260</v>
      </c>
      <c r="C1334" s="29" t="s">
        <v>4518</v>
      </c>
      <c r="D1334" s="29" t="s">
        <v>715</v>
      </c>
      <c r="E1334" s="29" t="s">
        <v>724</v>
      </c>
      <c r="F1334" s="29" t="s">
        <v>663</v>
      </c>
      <c r="G1334" s="29" t="s">
        <v>659</v>
      </c>
      <c r="H1334" s="29" t="str">
        <f t="shared" si="367"/>
        <v>Pio XII</v>
      </c>
      <c r="K1334" s="29" t="s">
        <v>827</v>
      </c>
      <c r="L1334" s="29" t="str">
        <f t="shared" si="376"/>
        <v>Discorso</v>
      </c>
      <c r="M1334" s="29" t="s">
        <v>566</v>
      </c>
      <c r="O1334" s="29" t="s">
        <v>5012</v>
      </c>
      <c r="Q1334" s="38">
        <v>20769</v>
      </c>
      <c r="R1334" s="32">
        <f t="shared" si="374"/>
        <v>10</v>
      </c>
      <c r="S1334" s="32"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32">
        <f t="shared" si="375"/>
        <v>1956</v>
      </c>
      <c r="U1334" s="29"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3"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9"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9">
        <v>1361</v>
      </c>
      <c r="Y1334" s="29" t="str">
        <f t="shared" si="368"/>
        <v>['Pio XII', 'Discorso', 'Radiomessaggio ai popoli e ai governanti sulla grave ora che angoscia il mondo', 'pixii-dis-', '10 novembre 1956', '10/11/1956', '1956/11/10'],</v>
      </c>
      <c r="Z1334" s="29" t="str">
        <f t="shared" si="369"/>
        <v>Radiomessaggio ai popoli e ai governanti sulla grave ora che angoscia il mondo (20769) | Pio XII</v>
      </c>
      <c r="AA1334" s="29" t="str">
        <f t="shared" si="370"/>
        <v>Discorso Radiomessaggio ai popoli e ai governanti sulla grave ora che angoscia il mondo</v>
      </c>
      <c r="AB1334" s="29" t="str">
        <f t="shared" si="371"/>
        <v>Discorso Radiomessaggio ai popoli e ai governanti sulla grave ora che angoscia il mondo</v>
      </c>
      <c r="AC1334" s="29" t="str">
        <f t="shared" si="372"/>
        <v>Pio XII, Discorso Radiomessaggio ai popoli e ai governanti sulla grave ora che angoscia il mondo, 10 novembre 1956</v>
      </c>
      <c r="AD1334" s="29" t="str">
        <f t="shared" si="373"/>
        <v>1956-11-10T08:00:00.000+02:00</v>
      </c>
      <c r="AE1334" s="29" t="str">
        <f t="shared" si="377"/>
        <v>pixii-dis-</v>
      </c>
      <c r="AF1334" s="29" t="str">
        <f t="shared" si="378"/>
        <v>Pio XII - Discorso - Radiomessaggio ai popoli e ai governanti sulla grave ora che angoscia il mondo</v>
      </c>
    </row>
    <row r="1335" spans="2:32" x14ac:dyDescent="0.2">
      <c r="B1335" s="29">
        <v>260</v>
      </c>
      <c r="C1335" s="29" t="s">
        <v>4519</v>
      </c>
      <c r="D1335" s="29" t="s">
        <v>715</v>
      </c>
      <c r="E1335" s="29" t="s">
        <v>724</v>
      </c>
      <c r="F1335" s="29" t="s">
        <v>663</v>
      </c>
      <c r="G1335" s="29" t="s">
        <v>659</v>
      </c>
      <c r="H1335" s="29" t="str">
        <f t="shared" si="367"/>
        <v>Pio XII</v>
      </c>
      <c r="K1335" s="29" t="s">
        <v>827</v>
      </c>
      <c r="L1335" s="29" t="str">
        <f t="shared" si="376"/>
        <v>Discorso</v>
      </c>
      <c r="M1335" s="29" t="s">
        <v>566</v>
      </c>
      <c r="O1335" s="29" t="s">
        <v>5013</v>
      </c>
      <c r="Q1335" s="38">
        <v>20777</v>
      </c>
      <c r="R1335" s="32">
        <f t="shared" si="374"/>
        <v>18</v>
      </c>
      <c r="S1335" s="32"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32">
        <f t="shared" si="375"/>
        <v>1956</v>
      </c>
      <c r="U1335" s="29"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3"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9"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9">
        <v>1362</v>
      </c>
      <c r="Y1335" s="29" t="str">
        <f t="shared" si="368"/>
        <v>['Pio XII', 'Discorso', 'Ad un pellegrinaggio di lavoratori di Terni', 'pixii-dis-', '18 novembre 1956', '18/11/1956', '1956/11/18'],</v>
      </c>
      <c r="Z1335" s="29" t="str">
        <f t="shared" si="369"/>
        <v>Ad un pellegrinaggio di lavoratori di Terni (20777) | Pio XII</v>
      </c>
      <c r="AA1335" s="29" t="str">
        <f t="shared" si="370"/>
        <v>Discorso Ad un pellegrinaggio di lavoratori di Terni</v>
      </c>
      <c r="AB1335" s="29" t="str">
        <f t="shared" si="371"/>
        <v>Discorso Ad un pellegrinaggio di lavoratori di Terni</v>
      </c>
      <c r="AC1335" s="29" t="str">
        <f t="shared" si="372"/>
        <v>Pio XII, Discorso Ad un pellegrinaggio di lavoratori di Terni, 18 novembre 1956</v>
      </c>
      <c r="AD1335" s="29" t="str">
        <f t="shared" si="373"/>
        <v>1956-11-18T08:00:00.000+02:00</v>
      </c>
      <c r="AE1335" s="29" t="str">
        <f t="shared" si="377"/>
        <v>pixii-dis-</v>
      </c>
      <c r="AF1335" s="29" t="str">
        <f t="shared" si="378"/>
        <v>Pio XII - Discorso - Ad un pellegrinaggio di lavoratori di Terni</v>
      </c>
    </row>
    <row r="1336" spans="2:32" x14ac:dyDescent="0.2">
      <c r="B1336" s="29">
        <v>260</v>
      </c>
      <c r="C1336" s="29" t="s">
        <v>4520</v>
      </c>
      <c r="D1336" s="29" t="s">
        <v>715</v>
      </c>
      <c r="E1336" s="29" t="s">
        <v>724</v>
      </c>
      <c r="F1336" s="29" t="s">
        <v>663</v>
      </c>
      <c r="G1336" s="29" t="s">
        <v>659</v>
      </c>
      <c r="H1336" s="29" t="str">
        <f t="shared" si="367"/>
        <v>Pio XII</v>
      </c>
      <c r="K1336" s="29" t="s">
        <v>827</v>
      </c>
      <c r="L1336" s="29" t="str">
        <f t="shared" si="376"/>
        <v>Discorso</v>
      </c>
      <c r="M1336" s="29" t="s">
        <v>566</v>
      </c>
      <c r="O1336" s="29" t="s">
        <v>5014</v>
      </c>
      <c r="Q1336" s="38">
        <v>20782</v>
      </c>
      <c r="R1336" s="32">
        <f t="shared" si="374"/>
        <v>23</v>
      </c>
      <c r="S1336" s="32"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32">
        <f t="shared" si="375"/>
        <v>1956</v>
      </c>
      <c r="U1336" s="29"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3"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9"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9">
        <v>1363</v>
      </c>
      <c r="Y1336" s="29" t="str">
        <f t="shared" si="368"/>
        <v>['Pio XII', 'Discorso', 'Ai partecipanti al II Congresso nazionale dell'Unione Comuni ed Enti Montani d'Italia', 'pixii-dis-', '23 novembre 1956', '23/11/1956', '1956/11/23'],</v>
      </c>
      <c r="Z1336" s="29" t="str">
        <f t="shared" si="369"/>
        <v>Ai partecipanti al II Congresso nazionale dell'Unione Comuni ed Enti Montani d'Italia (20782) | Pio XII</v>
      </c>
      <c r="AA1336" s="29" t="str">
        <f t="shared" si="370"/>
        <v>Discorso Ai partecipanti al II Congresso nazionale dell'Unione Comuni ed Enti Montani d'Italia</v>
      </c>
      <c r="AB1336" s="29" t="str">
        <f t="shared" si="371"/>
        <v>Discorso Ai partecipanti al II Congresso nazionale dell'Unione Comuni ed Enti Montani d'Italia</v>
      </c>
      <c r="AC1336" s="29" t="str">
        <f t="shared" si="372"/>
        <v>Pio XII, Discorso Ai partecipanti al II Congresso nazionale dell'Unione Comuni ed Enti Montani d'Italia, 23 novembre 1956</v>
      </c>
      <c r="AD1336" s="29" t="str">
        <f t="shared" si="373"/>
        <v>1956-11-23T08:00:00.000+02:00</v>
      </c>
      <c r="AE1336" s="29" t="str">
        <f t="shared" si="377"/>
        <v>pixii-dis-</v>
      </c>
      <c r="AF1336" s="29" t="str">
        <f t="shared" si="378"/>
        <v>Pio XII - Discorso - Ai partecipanti al II Congresso nazionale dell'Unione Comuni ed Enti Montani d'Italia</v>
      </c>
    </row>
    <row r="1337" spans="2:32" x14ac:dyDescent="0.2">
      <c r="B1337" s="29">
        <v>260</v>
      </c>
      <c r="C1337" s="29" t="s">
        <v>4521</v>
      </c>
      <c r="D1337" s="29" t="s">
        <v>715</v>
      </c>
      <c r="E1337" s="29" t="s">
        <v>724</v>
      </c>
      <c r="F1337" s="29" t="s">
        <v>663</v>
      </c>
      <c r="G1337" s="29" t="s">
        <v>659</v>
      </c>
      <c r="H1337" s="29" t="str">
        <f t="shared" si="367"/>
        <v>Pio XII</v>
      </c>
      <c r="K1337" s="29" t="s">
        <v>827</v>
      </c>
      <c r="L1337" s="29" t="str">
        <f t="shared" si="376"/>
        <v>Discorso</v>
      </c>
      <c r="M1337" s="29" t="s">
        <v>566</v>
      </c>
      <c r="O1337" s="29" t="s">
        <v>5015</v>
      </c>
      <c r="Q1337" s="38">
        <v>20800</v>
      </c>
      <c r="R1337" s="32">
        <f t="shared" si="374"/>
        <v>11</v>
      </c>
      <c r="S1337" s="32"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32">
        <f t="shared" si="375"/>
        <v>1956</v>
      </c>
      <c r="U1337" s="29"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3"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9"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9">
        <v>1364</v>
      </c>
      <c r="Y1337" s="29" t="str">
        <f t="shared" si="368"/>
        <v>['Pio XII', 'Discorso', 'Ai componenti della «Commissione Nazionale Italiana della Lega per la lotta contro i rumori»', 'pixii-dis-', '11 dicembre 1956', '11/12/1956', '1956/12/11'],</v>
      </c>
      <c r="Z1337" s="29" t="str">
        <f t="shared" si="369"/>
        <v>Ai componenti della «Commissione Nazionale Italiana della Lega per la lotta contro i rumori» (20800) | Pio XII</v>
      </c>
      <c r="AA1337" s="29" t="str">
        <f t="shared" si="370"/>
        <v>Discorso Ai componenti della «Commissione Nazionale Italiana della Lega per la lotta contro i rumori»</v>
      </c>
      <c r="AB1337" s="29" t="str">
        <f t="shared" si="371"/>
        <v>Discorso Ai componenti della «Commissione Nazionale Italiana della Lega per la lotta contro i rumori»</v>
      </c>
      <c r="AC1337" s="29" t="str">
        <f t="shared" si="372"/>
        <v>Pio XII, Discorso Ai componenti della «Commissione Nazionale Italiana della Lega per la lotta contro i rumori», 11 dicembre 1956</v>
      </c>
      <c r="AD1337" s="29" t="str">
        <f t="shared" si="373"/>
        <v>1956-12-11T08:00:00.000+02:00</v>
      </c>
      <c r="AE1337" s="29" t="str">
        <f t="shared" si="377"/>
        <v>pixii-dis-</v>
      </c>
      <c r="AF1337" s="29" t="str">
        <f t="shared" si="378"/>
        <v>Pio XII - Discorso - Ai componenti della «Commissione Nazionale Italiana della Lega per la lotta contro i rumori»</v>
      </c>
    </row>
    <row r="1338" spans="2:32" x14ac:dyDescent="0.2">
      <c r="B1338" s="29">
        <v>260</v>
      </c>
      <c r="C1338" s="29" t="s">
        <v>4522</v>
      </c>
      <c r="D1338" s="29" t="s">
        <v>715</v>
      </c>
      <c r="E1338" s="29" t="s">
        <v>724</v>
      </c>
      <c r="F1338" s="29" t="s">
        <v>663</v>
      </c>
      <c r="G1338" s="29" t="s">
        <v>659</v>
      </c>
      <c r="H1338" s="29" t="str">
        <f t="shared" si="367"/>
        <v>Pio XII</v>
      </c>
      <c r="K1338" s="29" t="s">
        <v>827</v>
      </c>
      <c r="L1338" s="29" t="str">
        <f t="shared" si="376"/>
        <v>Discorso</v>
      </c>
      <c r="M1338" s="29" t="s">
        <v>566</v>
      </c>
      <c r="O1338" s="29" t="s">
        <v>5016</v>
      </c>
      <c r="Q1338" s="38">
        <v>20812</v>
      </c>
      <c r="R1338" s="32">
        <f t="shared" si="374"/>
        <v>23</v>
      </c>
      <c r="S1338" s="32"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32">
        <f t="shared" si="375"/>
        <v>1956</v>
      </c>
      <c r="U1338" s="29"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3"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9"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9">
        <v>1365</v>
      </c>
      <c r="Y1338" s="29" t="str">
        <f t="shared" si="368"/>
        <v>['Pio XII', 'Discorso', 'Radiomessaggio natalizio ai fedeli e ai popoli del mondo intero', 'pixii-dis-', '23 dicembre 1956', '23/12/1956', '1956/12/23'],</v>
      </c>
      <c r="Z1338" s="29" t="str">
        <f t="shared" si="369"/>
        <v>Radiomessaggio natalizio ai fedeli e ai popoli del mondo intero (20812) | Pio XII</v>
      </c>
      <c r="AA1338" s="29" t="str">
        <f t="shared" si="370"/>
        <v>Discorso Radiomessaggio natalizio ai fedeli e ai popoli del mondo intero</v>
      </c>
      <c r="AB1338" s="29" t="str">
        <f t="shared" si="371"/>
        <v>Discorso Radiomessaggio natalizio ai fedeli e ai popoli del mondo intero</v>
      </c>
      <c r="AC1338" s="29" t="str">
        <f t="shared" si="372"/>
        <v>Pio XII, Discorso Radiomessaggio natalizio ai fedeli e ai popoli del mondo intero, 23 dicembre 1956</v>
      </c>
      <c r="AD1338" s="29" t="str">
        <f t="shared" si="373"/>
        <v>1956-12-23T08:00:00.000+02:00</v>
      </c>
      <c r="AE1338" s="29" t="str">
        <f t="shared" si="377"/>
        <v>pixii-dis-</v>
      </c>
      <c r="AF1338" s="29" t="str">
        <f t="shared" si="378"/>
        <v>Pio XII - Discorso - Radiomessaggio natalizio ai fedeli e ai popoli del mondo intero</v>
      </c>
    </row>
    <row r="1339" spans="2:32" x14ac:dyDescent="0.2">
      <c r="B1339" s="29">
        <v>260</v>
      </c>
      <c r="C1339" s="29" t="s">
        <v>4523</v>
      </c>
      <c r="D1339" s="29" t="s">
        <v>715</v>
      </c>
      <c r="E1339" s="29" t="s">
        <v>724</v>
      </c>
      <c r="F1339" s="29" t="s">
        <v>663</v>
      </c>
      <c r="G1339" s="29" t="s">
        <v>659</v>
      </c>
      <c r="H1339" s="29" t="str">
        <f t="shared" si="367"/>
        <v>Pio XII</v>
      </c>
      <c r="K1339" s="29" t="s">
        <v>827</v>
      </c>
      <c r="L1339" s="29" t="str">
        <f t="shared" si="376"/>
        <v>Discorso</v>
      </c>
      <c r="M1339" s="29" t="s">
        <v>566</v>
      </c>
      <c r="O1339" s="29" t="s">
        <v>5017</v>
      </c>
      <c r="Q1339" s="38">
        <v>20826</v>
      </c>
      <c r="R1339" s="32">
        <f t="shared" si="374"/>
        <v>6</v>
      </c>
      <c r="S1339" s="32"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32">
        <f t="shared" si="375"/>
        <v>1957</v>
      </c>
      <c r="U1339" s="29"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3"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9"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9">
        <v>1366</v>
      </c>
      <c r="Y1339" s="29" t="str">
        <f t="shared" si="368"/>
        <v>['Pio XII', 'Discorso', 'Radiomessaggio nella «Giornata della Madre e del Bambino»', 'pixii-dis-', '06 gennaio 1957', '06/01/1957', '1957/01/06'],</v>
      </c>
      <c r="Z1339" s="29" t="str">
        <f t="shared" si="369"/>
        <v>Radiomessaggio nella «Giornata della Madre e del Bambino» (20826) | Pio XII</v>
      </c>
      <c r="AA1339" s="29" t="str">
        <f t="shared" si="370"/>
        <v>Discorso Radiomessaggio nella «Giornata della Madre e del Bambino»</v>
      </c>
      <c r="AB1339" s="29" t="str">
        <f t="shared" si="371"/>
        <v>Discorso Radiomessaggio nella «Giornata della Madre e del Bambino»</v>
      </c>
      <c r="AC1339" s="29" t="str">
        <f t="shared" si="372"/>
        <v>Pio XII, Discorso Radiomessaggio nella «Giornata della Madre e del Bambino», 06 gennaio 1957</v>
      </c>
      <c r="AD1339" s="29" t="str">
        <f t="shared" si="373"/>
        <v>1957-01-06T08:00:00.000+02:00</v>
      </c>
      <c r="AE1339" s="29" t="str">
        <f t="shared" si="377"/>
        <v>pixii-dis-</v>
      </c>
      <c r="AF1339" s="29" t="str">
        <f t="shared" si="378"/>
        <v>Pio XII - Discorso - Radiomessaggio nella «Giornata della Madre e del Bambino»</v>
      </c>
    </row>
    <row r="1340" spans="2:32" x14ac:dyDescent="0.2">
      <c r="B1340" s="29">
        <v>260</v>
      </c>
      <c r="C1340" s="29" t="s">
        <v>4524</v>
      </c>
      <c r="D1340" s="29" t="s">
        <v>715</v>
      </c>
      <c r="E1340" s="29" t="s">
        <v>724</v>
      </c>
      <c r="F1340" s="29" t="s">
        <v>663</v>
      </c>
      <c r="G1340" s="29" t="s">
        <v>659</v>
      </c>
      <c r="H1340" s="29" t="str">
        <f t="shared" si="367"/>
        <v>Pio XII</v>
      </c>
      <c r="K1340" s="29" t="s">
        <v>827</v>
      </c>
      <c r="L1340" s="29" t="str">
        <f t="shared" si="376"/>
        <v>Discorso</v>
      </c>
      <c r="M1340" s="29" t="s">
        <v>566</v>
      </c>
      <c r="O1340" s="29" t="s">
        <v>5018</v>
      </c>
      <c r="Q1340" s="38">
        <v>20879</v>
      </c>
      <c r="R1340" s="32">
        <f t="shared" si="374"/>
        <v>28</v>
      </c>
      <c r="S1340" s="32"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32">
        <f t="shared" si="375"/>
        <v>1957</v>
      </c>
      <c r="U1340" s="29"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3"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9"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9">
        <v>1367</v>
      </c>
      <c r="Y1340" s="29" t="str">
        <f t="shared" si="368"/>
        <v>['Pio XII', 'Discorso', 'Ai professori e agli alunni del Liceo-Ginnasio «Ennio Quirino Visconti»', 'pixii-dis-', '28 febbraio 1957', '28/02/1957', '1957/02/28'],</v>
      </c>
      <c r="Z1340" s="29" t="str">
        <f t="shared" si="369"/>
        <v>Ai professori e agli alunni del Liceo-Ginnasio «Ennio Quirino Visconti» (20879) | Pio XII</v>
      </c>
      <c r="AA1340" s="29" t="str">
        <f t="shared" si="370"/>
        <v>Discorso Ai professori e agli alunni del Liceo-Ginnasio «Ennio Quirino Visconti»</v>
      </c>
      <c r="AB1340" s="29" t="str">
        <f t="shared" si="371"/>
        <v>Discorso Ai professori e agli alunni del Liceo-Ginnasio «Ennio Quirino Visconti»</v>
      </c>
      <c r="AC1340" s="29" t="str">
        <f t="shared" si="372"/>
        <v>Pio XII, Discorso Ai professori e agli alunni del Liceo-Ginnasio «Ennio Quirino Visconti», 28 febbraio 1957</v>
      </c>
      <c r="AD1340" s="29" t="str">
        <f t="shared" si="373"/>
        <v>1957-02-28T08:00:00.000+02:00</v>
      </c>
      <c r="AE1340" s="29" t="str">
        <f t="shared" si="377"/>
        <v>pixii-dis-</v>
      </c>
      <c r="AF1340" s="29" t="str">
        <f t="shared" si="378"/>
        <v>Pio XII - Discorso - Ai professori e agli alunni del Liceo-Ginnasio «Ennio Quirino Visconti»</v>
      </c>
    </row>
    <row r="1341" spans="2:32" x14ac:dyDescent="0.2">
      <c r="B1341" s="29">
        <v>260</v>
      </c>
      <c r="C1341" s="29" t="s">
        <v>4525</v>
      </c>
      <c r="D1341" s="29" t="s">
        <v>715</v>
      </c>
      <c r="E1341" s="29" t="s">
        <v>724</v>
      </c>
      <c r="F1341" s="29" t="s">
        <v>663</v>
      </c>
      <c r="G1341" s="29" t="s">
        <v>659</v>
      </c>
      <c r="H1341" s="29" t="str">
        <f t="shared" si="367"/>
        <v>Pio XII</v>
      </c>
      <c r="K1341" s="29" t="s">
        <v>827</v>
      </c>
      <c r="L1341" s="29" t="str">
        <f t="shared" si="376"/>
        <v>Discorso</v>
      </c>
      <c r="M1341" s="29" t="s">
        <v>566</v>
      </c>
      <c r="O1341" s="29" t="s">
        <v>5019</v>
      </c>
      <c r="Q1341" s="38">
        <v>20882</v>
      </c>
      <c r="R1341" s="32">
        <f t="shared" si="374"/>
        <v>3</v>
      </c>
      <c r="S1341" s="32"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32">
        <f t="shared" si="375"/>
        <v>1957</v>
      </c>
      <c r="U1341" s="29"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3"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9"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9">
        <v>1368</v>
      </c>
      <c r="Y1341" s="29" t="str">
        <f t="shared" si="368"/>
        <v>['Pio XII', 'Discorso', 'Al Personale del Pubblico Registro Automobilistico di Roma', 'pixii-dis-', '03 marzo 1957', '03/03/1957', '1957/03/03'],</v>
      </c>
      <c r="Z1341" s="29" t="str">
        <f t="shared" si="369"/>
        <v>Al Personale del Pubblico Registro Automobilistico di Roma (20882) | Pio XII</v>
      </c>
      <c r="AA1341" s="29" t="str">
        <f t="shared" si="370"/>
        <v>Discorso Al Personale del Pubblico Registro Automobilistico di Roma</v>
      </c>
      <c r="AB1341" s="29" t="str">
        <f t="shared" si="371"/>
        <v>Discorso Al Personale del Pubblico Registro Automobilistico di Roma</v>
      </c>
      <c r="AC1341" s="29" t="str">
        <f t="shared" si="372"/>
        <v>Pio XII, Discorso Al Personale del Pubblico Registro Automobilistico di Roma, 03 marzo 1957</v>
      </c>
      <c r="AD1341" s="29" t="str">
        <f t="shared" si="373"/>
        <v>1957-03-03T08:00:00.000+02:00</v>
      </c>
      <c r="AE1341" s="29" t="str">
        <f t="shared" si="377"/>
        <v>pixii-dis-</v>
      </c>
      <c r="AF1341" s="29" t="str">
        <f t="shared" si="378"/>
        <v>Pio XII - Discorso - Al Personale del Pubblico Registro Automobilistico di Roma</v>
      </c>
    </row>
    <row r="1342" spans="2:32" x14ac:dyDescent="0.2">
      <c r="B1342" s="29">
        <v>260</v>
      </c>
      <c r="C1342" s="29" t="s">
        <v>4526</v>
      </c>
      <c r="D1342" s="29" t="s">
        <v>715</v>
      </c>
      <c r="E1342" s="29" t="s">
        <v>724</v>
      </c>
      <c r="F1342" s="29" t="s">
        <v>663</v>
      </c>
      <c r="G1342" s="29" t="s">
        <v>659</v>
      </c>
      <c r="H1342" s="29" t="str">
        <f t="shared" si="367"/>
        <v>Pio XII</v>
      </c>
      <c r="K1342" s="29" t="s">
        <v>827</v>
      </c>
      <c r="L1342" s="29" t="str">
        <f t="shared" si="376"/>
        <v>Discorso</v>
      </c>
      <c r="M1342" s="29" t="s">
        <v>566</v>
      </c>
      <c r="O1342" s="29" t="s">
        <v>5020</v>
      </c>
      <c r="Q1342" s="38">
        <v>20884</v>
      </c>
      <c r="R1342" s="32">
        <f t="shared" si="374"/>
        <v>5</v>
      </c>
      <c r="S1342" s="32"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32">
        <f t="shared" si="375"/>
        <v>1957</v>
      </c>
      <c r="U1342" s="29"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3"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9"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9">
        <v>1369</v>
      </c>
      <c r="Y1342" s="29" t="str">
        <f t="shared" si="368"/>
        <v>['Pio XII', 'Discorso', 'Ai Parroci ed ai Predicatori quaresimalisti di Roma', 'pixii-dis-', '05 marzo 1957', '05/03/1957', '1957/03/05'],</v>
      </c>
      <c r="Z1342" s="29" t="str">
        <f t="shared" si="369"/>
        <v>Ai Parroci ed ai Predicatori quaresimalisti di Roma (20884) | Pio XII</v>
      </c>
      <c r="AA1342" s="29" t="str">
        <f t="shared" si="370"/>
        <v>Discorso Ai Parroci ed ai Predicatori quaresimalisti di Roma</v>
      </c>
      <c r="AB1342" s="29" t="str">
        <f t="shared" si="371"/>
        <v>Discorso Ai Parroci ed ai Predicatori quaresimalisti di Roma</v>
      </c>
      <c r="AC1342" s="29" t="str">
        <f t="shared" si="372"/>
        <v>Pio XII, Discorso Ai Parroci ed ai Predicatori quaresimalisti di Roma, 05 marzo 1957</v>
      </c>
      <c r="AD1342" s="29" t="str">
        <f t="shared" si="373"/>
        <v>1957-03-05T08:00:00.000+02:00</v>
      </c>
      <c r="AE1342" s="29" t="str">
        <f t="shared" si="377"/>
        <v>pixii-dis-</v>
      </c>
      <c r="AF1342" s="29" t="str">
        <f t="shared" si="378"/>
        <v>Pio XII - Discorso - Ai Parroci ed ai Predicatori quaresimalisti di Roma</v>
      </c>
    </row>
    <row r="1343" spans="2:32" x14ac:dyDescent="0.2">
      <c r="B1343" s="29">
        <v>260</v>
      </c>
      <c r="C1343" s="29" t="s">
        <v>4527</v>
      </c>
      <c r="D1343" s="29" t="s">
        <v>715</v>
      </c>
      <c r="E1343" s="29" t="s">
        <v>724</v>
      </c>
      <c r="F1343" s="29" t="s">
        <v>663</v>
      </c>
      <c r="G1343" s="29" t="s">
        <v>659</v>
      </c>
      <c r="H1343" s="29" t="str">
        <f t="shared" ref="H1343:H1385" si="379">_xlfn.CONCAT(D1343 &amp; " " &amp; E1343)</f>
        <v>Pio XII</v>
      </c>
      <c r="K1343" s="29" t="s">
        <v>827</v>
      </c>
      <c r="L1343" s="29" t="str">
        <f t="shared" si="376"/>
        <v>Discorso</v>
      </c>
      <c r="M1343" s="29" t="s">
        <v>566</v>
      </c>
      <c r="O1343" s="29" t="s">
        <v>5021</v>
      </c>
      <c r="Q1343" s="38">
        <v>20886</v>
      </c>
      <c r="R1343" s="32">
        <f t="shared" si="374"/>
        <v>7</v>
      </c>
      <c r="S1343" s="32"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32">
        <f t="shared" si="375"/>
        <v>1957</v>
      </c>
      <c r="U1343" s="29"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3"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9"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9">
        <v>1370</v>
      </c>
      <c r="Y1343" s="29" t="str">
        <f t="shared" si="368"/>
        <v>['Pio XII', 'Discorso', 'Ai partecipanti al Congresso Nazionale dell'Unione Cristiana Imprenditori Dirigenti', 'pixii-dis-', '07 marzo 1957', '07/03/1957', '1957/03/07'],</v>
      </c>
      <c r="Z1343" s="29" t="str">
        <f t="shared" si="369"/>
        <v>Ai partecipanti al Congresso Nazionale dell'Unione Cristiana Imprenditori Dirigenti (20886) | Pio XII</v>
      </c>
      <c r="AA1343" s="29" t="str">
        <f t="shared" si="370"/>
        <v>Discorso Ai partecipanti al Congresso Nazionale dell'Unione Cristiana Imprenditori Dirigenti</v>
      </c>
      <c r="AB1343" s="29" t="str">
        <f t="shared" si="371"/>
        <v>Discorso Ai partecipanti al Congresso Nazionale dell'Unione Cristiana Imprenditori Dirigenti</v>
      </c>
      <c r="AC1343" s="29" t="str">
        <f t="shared" si="372"/>
        <v>Pio XII, Discorso Ai partecipanti al Congresso Nazionale dell'Unione Cristiana Imprenditori Dirigenti, 07 marzo 1957</v>
      </c>
      <c r="AD1343" s="29" t="str">
        <f t="shared" si="373"/>
        <v>1957-03-07T08:00:00.000+02:00</v>
      </c>
      <c r="AE1343" s="29" t="str">
        <f t="shared" si="377"/>
        <v>pixii-dis-</v>
      </c>
      <c r="AF1343" s="29" t="str">
        <f t="shared" si="378"/>
        <v>Pio XII - Discorso - Ai partecipanti al Congresso Nazionale dell'Unione Cristiana Imprenditori Dirigenti</v>
      </c>
    </row>
    <row r="1344" spans="2:32" x14ac:dyDescent="0.2">
      <c r="B1344" s="29">
        <v>260</v>
      </c>
      <c r="C1344" s="29" t="s">
        <v>4528</v>
      </c>
      <c r="D1344" s="29" t="s">
        <v>715</v>
      </c>
      <c r="E1344" s="29" t="s">
        <v>724</v>
      </c>
      <c r="F1344" s="29" t="s">
        <v>663</v>
      </c>
      <c r="G1344" s="29" t="s">
        <v>659</v>
      </c>
      <c r="H1344" s="29" t="str">
        <f t="shared" si="379"/>
        <v>Pio XII</v>
      </c>
      <c r="K1344" s="29" t="s">
        <v>827</v>
      </c>
      <c r="L1344" s="29" t="str">
        <f t="shared" si="376"/>
        <v>Discorso</v>
      </c>
      <c r="M1344" s="29" t="s">
        <v>566</v>
      </c>
      <c r="O1344" s="29" t="s">
        <v>5022</v>
      </c>
      <c r="Q1344" s="38">
        <v>20903</v>
      </c>
      <c r="R1344" s="32">
        <f t="shared" si="374"/>
        <v>24</v>
      </c>
      <c r="S1344" s="32"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32">
        <f t="shared" si="375"/>
        <v>1957</v>
      </c>
      <c r="U1344" s="29"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3"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9"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9">
        <v>1371</v>
      </c>
      <c r="Y1344" s="29" t="str">
        <f t="shared" si="368"/>
        <v>['Pio XII', 'Discorso', 'Agli studenti delle Scuole Medie Statali di Roma', 'pixii-dis-', '24 marzo 1957', '24/03/1957', '1957/03/24'],</v>
      </c>
      <c r="Z1344" s="29" t="str">
        <f t="shared" si="369"/>
        <v>Agli studenti delle Scuole Medie Statali di Roma (20903) | Pio XII</v>
      </c>
      <c r="AA1344" s="29" t="str">
        <f t="shared" si="370"/>
        <v>Discorso Agli studenti delle Scuole Medie Statali di Roma</v>
      </c>
      <c r="AB1344" s="29" t="str">
        <f t="shared" si="371"/>
        <v>Discorso Agli studenti delle Scuole Medie Statali di Roma</v>
      </c>
      <c r="AC1344" s="29" t="str">
        <f t="shared" si="372"/>
        <v>Pio XII, Discorso Agli studenti delle Scuole Medie Statali di Roma, 24 marzo 1957</v>
      </c>
      <c r="AD1344" s="29" t="str">
        <f t="shared" si="373"/>
        <v>1957-03-24T08:00:00.000+02:00</v>
      </c>
      <c r="AE1344" s="29" t="str">
        <f t="shared" si="377"/>
        <v>pixii-dis-</v>
      </c>
      <c r="AF1344" s="29" t="str">
        <f t="shared" si="378"/>
        <v>Pio XII - Discorso - Agli studenti delle Scuole Medie Statali di Roma</v>
      </c>
    </row>
    <row r="1345" spans="2:32" x14ac:dyDescent="0.2">
      <c r="B1345" s="29">
        <v>260</v>
      </c>
      <c r="C1345" s="29" t="s">
        <v>4529</v>
      </c>
      <c r="D1345" s="29" t="s">
        <v>715</v>
      </c>
      <c r="E1345" s="29" t="s">
        <v>724</v>
      </c>
      <c r="F1345" s="29" t="s">
        <v>663</v>
      </c>
      <c r="G1345" s="29" t="s">
        <v>659</v>
      </c>
      <c r="H1345" s="29" t="str">
        <f t="shared" si="379"/>
        <v>Pio XII</v>
      </c>
      <c r="K1345" s="29" t="s">
        <v>827</v>
      </c>
      <c r="L1345" s="29" t="str">
        <f t="shared" si="376"/>
        <v>Discorso</v>
      </c>
      <c r="M1345" s="29" t="s">
        <v>566</v>
      </c>
      <c r="O1345" s="29" t="s">
        <v>5023</v>
      </c>
      <c r="Q1345" s="38">
        <v>20950</v>
      </c>
      <c r="R1345" s="32">
        <f t="shared" si="374"/>
        <v>10</v>
      </c>
      <c r="S1345" s="32"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32">
        <f t="shared" si="375"/>
        <v>1957</v>
      </c>
      <c r="U1345" s="29"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3"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9"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9">
        <v>1372</v>
      </c>
      <c r="Y1345" s="29" t="str">
        <f t="shared" si="368"/>
        <v>['Pio XII', 'Discorso', 'Ad un rappresentanza di vigili urbani', 'pixii-dis-', '10 maggio 1957', '10/05/1957', '1957/05/10'],</v>
      </c>
      <c r="Z1345" s="29" t="str">
        <f t="shared" si="369"/>
        <v>Ad un rappresentanza di vigili urbani (20950) | Pio XII</v>
      </c>
      <c r="AA1345" s="29" t="str">
        <f t="shared" si="370"/>
        <v>Discorso Ad un rappresentanza di vigili urbani</v>
      </c>
      <c r="AB1345" s="29" t="str">
        <f t="shared" si="371"/>
        <v>Discorso Ad un rappresentanza di vigili urbani</v>
      </c>
      <c r="AC1345" s="29" t="str">
        <f t="shared" si="372"/>
        <v>Pio XII, Discorso Ad un rappresentanza di vigili urbani, 10 maggio 1957</v>
      </c>
      <c r="AD1345" s="29" t="str">
        <f t="shared" si="373"/>
        <v>1957-05-10T08:00:00.000+02:00</v>
      </c>
      <c r="AE1345" s="29" t="str">
        <f t="shared" si="377"/>
        <v>pixii-dis-</v>
      </c>
      <c r="AF1345" s="29" t="str">
        <f t="shared" si="378"/>
        <v>Pio XII - Discorso - Ad un rappresentanza di vigili urbani</v>
      </c>
    </row>
    <row r="1346" spans="2:32" x14ac:dyDescent="0.2">
      <c r="B1346" s="29">
        <v>260</v>
      </c>
      <c r="C1346" s="29" t="s">
        <v>4530</v>
      </c>
      <c r="D1346" s="29" t="s">
        <v>715</v>
      </c>
      <c r="E1346" s="29" t="s">
        <v>724</v>
      </c>
      <c r="F1346" s="29" t="s">
        <v>663</v>
      </c>
      <c r="G1346" s="29" t="s">
        <v>659</v>
      </c>
      <c r="H1346" s="29" t="str">
        <f t="shared" si="379"/>
        <v>Pio XII</v>
      </c>
      <c r="K1346" s="29" t="s">
        <v>827</v>
      </c>
      <c r="L1346" s="29" t="str">
        <f t="shared" si="376"/>
        <v>Discorso</v>
      </c>
      <c r="M1346" s="29" t="s">
        <v>566</v>
      </c>
      <c r="O1346" s="29" t="s">
        <v>5024</v>
      </c>
      <c r="Q1346" s="38">
        <v>20956</v>
      </c>
      <c r="R1346" s="32">
        <f t="shared" si="374"/>
        <v>16</v>
      </c>
      <c r="S1346" s="32"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32">
        <f t="shared" si="375"/>
        <v>1957</v>
      </c>
      <c r="U1346" s="29"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3"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9"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9">
        <v>1373</v>
      </c>
      <c r="Y1346" s="29" t="str">
        <f t="shared" ref="Y1346:Y1409" si="380">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9" t="str">
        <f t="shared" ref="Z1346:Z1409" si="381">_xlfn.CONCAT(O1346 &amp; " (" &amp; Q1346 &amp; ") | " &amp; D1346 &amp; " " &amp; E1346)</f>
        <v>Ai partecipanti all' Assemblea generale annuale della Federazione Nazionale Casse Mutue Malattie della Confederazione Italiana dei Coltivatori Diretti (20956) | Pio XII</v>
      </c>
      <c r="AA1346" s="29" t="str">
        <f t="shared" ref="AA1346:AA1409" si="382">_xlfn.CONCAT(K1346 &amp; " " &amp; O1346)</f>
        <v>Discorso Ai partecipanti all' Assemblea generale annuale della Federazione Nazionale Casse Mutue Malattie della Confederazione Italiana dei Coltivatori Diretti</v>
      </c>
      <c r="AB1346" s="29" t="str">
        <f t="shared" ref="AB1346:AB1409" si="383">_xlfn.CONCAT(K1346 &amp; " " &amp; O1346)</f>
        <v>Discorso Ai partecipanti all' Assemblea generale annuale della Federazione Nazionale Casse Mutue Malattie della Confederazione Italiana dei Coltivatori Diretti</v>
      </c>
      <c r="AC1346" s="29" t="str">
        <f t="shared" ref="AC1346:AC1409" si="384">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9" t="str">
        <f t="shared" ref="AD1346:AD1409" si="385">_xlfn.CONCAT(RIGHT(U1346,4) &amp; "-" &amp; MID(U1346,4,2) &amp; "-" &amp; LEFT(U1346,2) &amp; "T08:00:00.000+02:00")</f>
        <v>1957-05-16T08:00:00.000+02:00</v>
      </c>
      <c r="AE1346" s="29" t="str">
        <f t="shared" si="377"/>
        <v>pixii-dis-</v>
      </c>
      <c r="AF1346" s="29" t="str">
        <f t="shared" si="378"/>
        <v>Pio XII - Discorso - Ai partecipanti all' Assemblea generale annuale della Federazione Nazionale Casse Mutue Malattie della Confederazione Italiana dei Coltivatori Diretti</v>
      </c>
    </row>
    <row r="1347" spans="2:32" x14ac:dyDescent="0.2">
      <c r="B1347" s="29">
        <v>260</v>
      </c>
      <c r="C1347" s="29" t="s">
        <v>4531</v>
      </c>
      <c r="D1347" s="29" t="s">
        <v>715</v>
      </c>
      <c r="E1347" s="29" t="s">
        <v>724</v>
      </c>
      <c r="F1347" s="29" t="s">
        <v>663</v>
      </c>
      <c r="G1347" s="29" t="s">
        <v>659</v>
      </c>
      <c r="H1347" s="29" t="str">
        <f t="shared" si="379"/>
        <v>Pio XII</v>
      </c>
      <c r="K1347" s="29" t="s">
        <v>827</v>
      </c>
      <c r="L1347" s="29" t="str">
        <f t="shared" si="376"/>
        <v>Discorso</v>
      </c>
      <c r="M1347" s="29" t="s">
        <v>566</v>
      </c>
      <c r="O1347" s="29" t="s">
        <v>5025</v>
      </c>
      <c r="Q1347" s="38">
        <v>20966</v>
      </c>
      <c r="R1347" s="32">
        <f t="shared" si="374"/>
        <v>26</v>
      </c>
      <c r="S1347" s="32"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32">
        <f t="shared" si="375"/>
        <v>1957</v>
      </c>
      <c r="U1347" s="29"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3"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9"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9">
        <v>1374</v>
      </c>
      <c r="Y1347" s="29" t="str">
        <f t="shared" si="380"/>
        <v>['Pio XII', 'Discorso', 'Ai giuristi cattolici circa l'aiuto ai carcerati', 'pixii-dis-', '26 maggio 1957', '26/05/1957', '1957/05/26'],</v>
      </c>
      <c r="Z1347" s="29" t="str">
        <f t="shared" si="381"/>
        <v>Ai giuristi cattolici circa l'aiuto ai carcerati (20966) | Pio XII</v>
      </c>
      <c r="AA1347" s="29" t="str">
        <f t="shared" si="382"/>
        <v>Discorso Ai giuristi cattolici circa l'aiuto ai carcerati</v>
      </c>
      <c r="AB1347" s="29" t="str">
        <f t="shared" si="383"/>
        <v>Discorso Ai giuristi cattolici circa l'aiuto ai carcerati</v>
      </c>
      <c r="AC1347" s="29" t="str">
        <f t="shared" si="384"/>
        <v>Pio XII, Discorso Ai giuristi cattolici circa l'aiuto ai carcerati, 26 maggio 1957</v>
      </c>
      <c r="AD1347" s="29" t="str">
        <f t="shared" si="385"/>
        <v>1957-05-26T08:00:00.000+02:00</v>
      </c>
      <c r="AE1347" s="29" t="str">
        <f t="shared" si="377"/>
        <v>pixii-dis-</v>
      </c>
      <c r="AF1347" s="29" t="str">
        <f t="shared" si="378"/>
        <v>Pio XII - Discorso - Ai giuristi cattolici circa l'aiuto ai carcerati</v>
      </c>
    </row>
    <row r="1348" spans="2:32" x14ac:dyDescent="0.2">
      <c r="B1348" s="29">
        <v>260</v>
      </c>
      <c r="C1348" s="29" t="s">
        <v>4532</v>
      </c>
      <c r="D1348" s="29" t="s">
        <v>715</v>
      </c>
      <c r="E1348" s="29" t="s">
        <v>724</v>
      </c>
      <c r="F1348" s="29" t="s">
        <v>663</v>
      </c>
      <c r="G1348" s="29" t="s">
        <v>659</v>
      </c>
      <c r="H1348" s="29" t="str">
        <f t="shared" si="379"/>
        <v>Pio XII</v>
      </c>
      <c r="K1348" s="29" t="s">
        <v>827</v>
      </c>
      <c r="L1348" s="29" t="str">
        <f t="shared" si="376"/>
        <v>Discorso</v>
      </c>
      <c r="M1348" s="29" t="s">
        <v>566</v>
      </c>
      <c r="O1348" s="29" t="s">
        <v>5026</v>
      </c>
      <c r="Q1348" s="38">
        <v>20978</v>
      </c>
      <c r="R1348" s="32">
        <f t="shared" si="374"/>
        <v>7</v>
      </c>
      <c r="S1348" s="32"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32">
        <f t="shared" si="375"/>
        <v>1957</v>
      </c>
      <c r="U1348" s="29"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3"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9"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9">
        <v>1375</v>
      </c>
      <c r="Y1348" s="29" t="str">
        <f t="shared" si="380"/>
        <v>['Pio XII', 'Discorso', 'Ai partecipanti ad un Convegno di Studi promosso dalle Associazioni Cristiane Lavoratori Italiani', 'pixii-dis-', '07 giugno 1957', '07/06/1957', '1957/06/07'],</v>
      </c>
      <c r="Z1348" s="29" t="str">
        <f t="shared" si="381"/>
        <v>Ai partecipanti ad un Convegno di Studi promosso dalle Associazioni Cristiane Lavoratori Italiani (20978) | Pio XII</v>
      </c>
      <c r="AA1348" s="29" t="str">
        <f t="shared" si="382"/>
        <v>Discorso Ai partecipanti ad un Convegno di Studi promosso dalle Associazioni Cristiane Lavoratori Italiani</v>
      </c>
      <c r="AB1348" s="29" t="str">
        <f t="shared" si="383"/>
        <v>Discorso Ai partecipanti ad un Convegno di Studi promosso dalle Associazioni Cristiane Lavoratori Italiani</v>
      </c>
      <c r="AC1348" s="29" t="str">
        <f t="shared" si="384"/>
        <v>Pio XII, Discorso Ai partecipanti ad un Convegno di Studi promosso dalle Associazioni Cristiane Lavoratori Italiani, 07 giugno 1957</v>
      </c>
      <c r="AD1348" s="29" t="str">
        <f t="shared" si="385"/>
        <v>1957-06-07T08:00:00.000+02:00</v>
      </c>
      <c r="AE1348" s="29" t="str">
        <f t="shared" si="377"/>
        <v>pixii-dis-</v>
      </c>
      <c r="AF1348" s="29" t="str">
        <f t="shared" si="378"/>
        <v>Pio XII - Discorso - Ai partecipanti ad un Convegno di Studi promosso dalle Associazioni Cristiane Lavoratori Italiani</v>
      </c>
    </row>
    <row r="1349" spans="2:32" x14ac:dyDescent="0.2">
      <c r="B1349" s="29">
        <v>260</v>
      </c>
      <c r="C1349" s="29" t="s">
        <v>4533</v>
      </c>
      <c r="D1349" s="29" t="s">
        <v>715</v>
      </c>
      <c r="E1349" s="29" t="s">
        <v>724</v>
      </c>
      <c r="F1349" s="29" t="s">
        <v>663</v>
      </c>
      <c r="G1349" s="29" t="s">
        <v>659</v>
      </c>
      <c r="H1349" s="29" t="str">
        <f t="shared" si="379"/>
        <v>Pio XII</v>
      </c>
      <c r="K1349" s="29" t="s">
        <v>827</v>
      </c>
      <c r="L1349" s="29" t="str">
        <f t="shared" si="376"/>
        <v>Discorso</v>
      </c>
      <c r="M1349" s="29" t="s">
        <v>566</v>
      </c>
      <c r="O1349" s="29" t="s">
        <v>5027</v>
      </c>
      <c r="Q1349" s="38">
        <v>20987</v>
      </c>
      <c r="R1349" s="32">
        <f t="shared" si="374"/>
        <v>16</v>
      </c>
      <c r="S1349" s="32"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32">
        <f t="shared" si="375"/>
        <v>1957</v>
      </c>
      <c r="U1349" s="29"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3"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9"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9">
        <v>1376</v>
      </c>
      <c r="Y1349" s="29" t="str">
        <f t="shared" si="380"/>
        <v>['Pio XII', 'Discorso', 'Radiomessaggio nel 450 del transito di S. Francesco di Paola', 'pixii-dis-', '16 giugno 1957', '16/06/1957', '1957/06/16'],</v>
      </c>
      <c r="Z1349" s="29" t="str">
        <f t="shared" si="381"/>
        <v>Radiomessaggio nel 450 del transito di S. Francesco di Paola (20987) | Pio XII</v>
      </c>
      <c r="AA1349" s="29" t="str">
        <f t="shared" si="382"/>
        <v>Discorso Radiomessaggio nel 450 del transito di S. Francesco di Paola</v>
      </c>
      <c r="AB1349" s="29" t="str">
        <f t="shared" si="383"/>
        <v>Discorso Radiomessaggio nel 450 del transito di S. Francesco di Paola</v>
      </c>
      <c r="AC1349" s="29" t="str">
        <f t="shared" si="384"/>
        <v>Pio XII, Discorso Radiomessaggio nel 450 del transito di S. Francesco di Paola, 16 giugno 1957</v>
      </c>
      <c r="AD1349" s="29" t="str">
        <f t="shared" si="385"/>
        <v>1957-06-16T08:00:00.000+02:00</v>
      </c>
      <c r="AE1349" s="29" t="str">
        <f t="shared" si="377"/>
        <v>pixii-dis-</v>
      </c>
      <c r="AF1349" s="29" t="str">
        <f t="shared" si="378"/>
        <v>Pio XII - Discorso - Radiomessaggio nel 450 del transito di S. Francesco di Paola</v>
      </c>
    </row>
    <row r="1350" spans="2:32" x14ac:dyDescent="0.2">
      <c r="B1350" s="29">
        <v>260</v>
      </c>
      <c r="C1350" s="29" t="s">
        <v>4534</v>
      </c>
      <c r="D1350" s="29" t="s">
        <v>715</v>
      </c>
      <c r="E1350" s="29" t="s">
        <v>724</v>
      </c>
      <c r="F1350" s="29" t="s">
        <v>663</v>
      </c>
      <c r="G1350" s="29" t="s">
        <v>659</v>
      </c>
      <c r="H1350" s="29" t="str">
        <f t="shared" si="379"/>
        <v>Pio XII</v>
      </c>
      <c r="K1350" s="29" t="s">
        <v>827</v>
      </c>
      <c r="L1350" s="29" t="str">
        <f t="shared" si="376"/>
        <v>Discorso</v>
      </c>
      <c r="M1350" s="29" t="s">
        <v>566</v>
      </c>
      <c r="O1350" s="29" t="s">
        <v>5028</v>
      </c>
      <c r="Q1350" s="38">
        <v>21023</v>
      </c>
      <c r="R1350" s="32">
        <f t="shared" si="374"/>
        <v>22</v>
      </c>
      <c r="S1350" s="32"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32">
        <f t="shared" si="375"/>
        <v>1957</v>
      </c>
      <c r="U1350" s="29"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3"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9"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9">
        <v>1377</v>
      </c>
      <c r="Y1350" s="29" t="str">
        <f t="shared" si="380"/>
        <v>['Pio XII', 'Discorso', 'Agli amministratori civici cristiani d'Italia', 'pixii-dis-', '22 luglio 1957', '22/07/1957', '1957/07/22'],</v>
      </c>
      <c r="Z1350" s="29" t="str">
        <f t="shared" si="381"/>
        <v>Agli amministratori civici cristiani d'Italia (21023) | Pio XII</v>
      </c>
      <c r="AA1350" s="29" t="str">
        <f t="shared" si="382"/>
        <v>Discorso Agli amministratori civici cristiani d'Italia</v>
      </c>
      <c r="AB1350" s="29" t="str">
        <f t="shared" si="383"/>
        <v>Discorso Agli amministratori civici cristiani d'Italia</v>
      </c>
      <c r="AC1350" s="29" t="str">
        <f t="shared" si="384"/>
        <v>Pio XII, Discorso Agli amministratori civici cristiani d'Italia, 22 luglio 1957</v>
      </c>
      <c r="AD1350" s="29" t="str">
        <f t="shared" si="385"/>
        <v>1957-07-22T08:00:00.000+02:00</v>
      </c>
      <c r="AE1350" s="29" t="str">
        <f t="shared" si="377"/>
        <v>pixii-dis-</v>
      </c>
      <c r="AF1350" s="29" t="str">
        <f t="shared" si="378"/>
        <v>Pio XII - Discorso - Agli amministratori civici cristiani d'Italia</v>
      </c>
    </row>
    <row r="1351" spans="2:32" x14ac:dyDescent="0.2">
      <c r="B1351" s="29">
        <v>260</v>
      </c>
      <c r="C1351" s="29" t="s">
        <v>4535</v>
      </c>
      <c r="D1351" s="29" t="s">
        <v>715</v>
      </c>
      <c r="E1351" s="29" t="s">
        <v>724</v>
      </c>
      <c r="F1351" s="29" t="s">
        <v>663</v>
      </c>
      <c r="G1351" s="29" t="s">
        <v>659</v>
      </c>
      <c r="H1351" s="29" t="str">
        <f t="shared" si="379"/>
        <v>Pio XII</v>
      </c>
      <c r="K1351" s="29" t="s">
        <v>827</v>
      </c>
      <c r="L1351" s="29" t="str">
        <f t="shared" si="376"/>
        <v>Discorso</v>
      </c>
      <c r="M1351" s="29" t="s">
        <v>566</v>
      </c>
      <c r="O1351" s="29" t="s">
        <v>5029</v>
      </c>
      <c r="Q1351" s="38">
        <v>21042</v>
      </c>
      <c r="R1351" s="32">
        <f t="shared" si="374"/>
        <v>10</v>
      </c>
      <c r="S1351" s="32"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32">
        <f t="shared" si="375"/>
        <v>1957</v>
      </c>
      <c r="U1351" s="29"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3"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9"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9">
        <v>1378</v>
      </c>
      <c r="Y1351" s="29" t="str">
        <f t="shared" si="380"/>
        <v>['Pio XII', 'Discorso', 'Ai fedeli ungheresi sulle virtù di Santa Margherita d'Ungheria', 'pixii-dis-', '10 agosto 1957', '10/08/1957', '1957/08/10'],</v>
      </c>
      <c r="Z1351" s="29" t="str">
        <f t="shared" si="381"/>
        <v>Ai fedeli ungheresi sulle virtù di Santa Margherita d'Ungheria (21042) | Pio XII</v>
      </c>
      <c r="AA1351" s="29" t="str">
        <f t="shared" si="382"/>
        <v>Discorso Ai fedeli ungheresi sulle virtù di Santa Margherita d'Ungheria</v>
      </c>
      <c r="AB1351" s="29" t="str">
        <f t="shared" si="383"/>
        <v>Discorso Ai fedeli ungheresi sulle virtù di Santa Margherita d'Ungheria</v>
      </c>
      <c r="AC1351" s="29" t="str">
        <f t="shared" si="384"/>
        <v>Pio XII, Discorso Ai fedeli ungheresi sulle virtù di Santa Margherita d'Ungheria, 10 agosto 1957</v>
      </c>
      <c r="AD1351" s="29" t="str">
        <f t="shared" si="385"/>
        <v>1957-08-10T08:00:00.000+02:00</v>
      </c>
      <c r="AE1351" s="29" t="str">
        <f t="shared" si="377"/>
        <v>pixii-dis-</v>
      </c>
      <c r="AF1351" s="29" t="str">
        <f t="shared" si="378"/>
        <v>Pio XII - Discorso - Ai fedeli ungheresi sulle virtù di Santa Margherita d'Ungheria</v>
      </c>
    </row>
    <row r="1352" spans="2:32" x14ac:dyDescent="0.2">
      <c r="B1352" s="29">
        <v>260</v>
      </c>
      <c r="C1352" s="29" t="s">
        <v>4536</v>
      </c>
      <c r="D1352" s="29" t="s">
        <v>715</v>
      </c>
      <c r="E1352" s="29" t="s">
        <v>724</v>
      </c>
      <c r="F1352" s="29" t="s">
        <v>663</v>
      </c>
      <c r="G1352" s="29" t="s">
        <v>659</v>
      </c>
      <c r="H1352" s="29" t="str">
        <f t="shared" si="379"/>
        <v>Pio XII</v>
      </c>
      <c r="K1352" s="29" t="s">
        <v>827</v>
      </c>
      <c r="L1352" s="29" t="str">
        <f t="shared" si="376"/>
        <v>Discorso</v>
      </c>
      <c r="M1352" s="29" t="s">
        <v>566</v>
      </c>
      <c r="O1352" s="29" t="s">
        <v>5030</v>
      </c>
      <c r="Q1352" s="38">
        <v>21100</v>
      </c>
      <c r="R1352" s="32">
        <f t="shared" si="374"/>
        <v>7</v>
      </c>
      <c r="S1352" s="32"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32">
        <f t="shared" si="375"/>
        <v>1957</v>
      </c>
      <c r="U1352" s="29"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3"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9"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9">
        <v>1379</v>
      </c>
      <c r="Y1352" s="29" t="str">
        <f t="shared" si="380"/>
        <v>['Pio XII', 'Discorso', 'A migliaia di infermi del «Centro Volontari della Sofferenza»', 'pixii-dis-', '07 ottobre 1957', '07/10/1957', '1957/10/07'],</v>
      </c>
      <c r="Z1352" s="29" t="str">
        <f t="shared" si="381"/>
        <v>A migliaia di infermi del «Centro Volontari della Sofferenza» (21100) | Pio XII</v>
      </c>
      <c r="AA1352" s="29" t="str">
        <f t="shared" si="382"/>
        <v>Discorso A migliaia di infermi del «Centro Volontari della Sofferenza»</v>
      </c>
      <c r="AB1352" s="29" t="str">
        <f t="shared" si="383"/>
        <v>Discorso A migliaia di infermi del «Centro Volontari della Sofferenza»</v>
      </c>
      <c r="AC1352" s="29" t="str">
        <f t="shared" si="384"/>
        <v>Pio XII, Discorso A migliaia di infermi del «Centro Volontari della Sofferenza», 07 ottobre 1957</v>
      </c>
      <c r="AD1352" s="29" t="str">
        <f t="shared" si="385"/>
        <v>1957-10-07T08:00:00.000+02:00</v>
      </c>
      <c r="AE1352" s="29" t="str">
        <f t="shared" si="377"/>
        <v>pixii-dis-</v>
      </c>
      <c r="AF1352" s="29" t="str">
        <f t="shared" si="378"/>
        <v>Pio XII - Discorso - A migliaia di infermi del «Centro Volontari della Sofferenza»</v>
      </c>
    </row>
    <row r="1353" spans="2:32" x14ac:dyDescent="0.2">
      <c r="B1353" s="29">
        <v>260</v>
      </c>
      <c r="C1353" s="29" t="s">
        <v>4537</v>
      </c>
      <c r="D1353" s="29" t="s">
        <v>715</v>
      </c>
      <c r="E1353" s="29" t="s">
        <v>724</v>
      </c>
      <c r="F1353" s="29" t="s">
        <v>663</v>
      </c>
      <c r="G1353" s="29" t="s">
        <v>659</v>
      </c>
      <c r="H1353" s="29" t="str">
        <f t="shared" si="379"/>
        <v>Pio XII</v>
      </c>
      <c r="K1353" s="29" t="s">
        <v>827</v>
      </c>
      <c r="L1353" s="29" t="str">
        <f t="shared" si="376"/>
        <v>Discorso</v>
      </c>
      <c r="M1353" s="29" t="s">
        <v>566</v>
      </c>
      <c r="O1353" s="29" t="s">
        <v>5031</v>
      </c>
      <c r="Q1353" s="38">
        <v>21106</v>
      </c>
      <c r="R1353" s="32">
        <f t="shared" si="374"/>
        <v>13</v>
      </c>
      <c r="S1353" s="32"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32">
        <f t="shared" si="375"/>
        <v>1957</v>
      </c>
      <c r="U1353" s="29"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3"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9"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9">
        <v>1380</v>
      </c>
      <c r="Y1353" s="29" t="str">
        <f t="shared" si="380"/>
        <v>['Pio XII', 'Discorso', 'Ai partecipanti al III Congresso dell'Associazione Italiana Poeti Dialettali', 'pixii-dis-', '13 ottobre 1957', '13/10/1957', '1957/10/13'],</v>
      </c>
      <c r="Z1353" s="29" t="str">
        <f t="shared" si="381"/>
        <v>Ai partecipanti al III Congresso dell'Associazione Italiana Poeti Dialettali (21106) | Pio XII</v>
      </c>
      <c r="AA1353" s="29" t="str">
        <f t="shared" si="382"/>
        <v>Discorso Ai partecipanti al III Congresso dell'Associazione Italiana Poeti Dialettali</v>
      </c>
      <c r="AB1353" s="29" t="str">
        <f t="shared" si="383"/>
        <v>Discorso Ai partecipanti al III Congresso dell'Associazione Italiana Poeti Dialettali</v>
      </c>
      <c r="AC1353" s="29" t="str">
        <f t="shared" si="384"/>
        <v>Pio XII, Discorso Ai partecipanti al III Congresso dell'Associazione Italiana Poeti Dialettali, 13 ottobre 1957</v>
      </c>
      <c r="AD1353" s="29" t="str">
        <f t="shared" si="385"/>
        <v>1957-10-13T08:00:00.000+02:00</v>
      </c>
      <c r="AE1353" s="29" t="str">
        <f t="shared" si="377"/>
        <v>pixii-dis-</v>
      </c>
      <c r="AF1353" s="29" t="str">
        <f t="shared" si="378"/>
        <v>Pio XII - Discorso - Ai partecipanti al III Congresso dell'Associazione Italiana Poeti Dialettali</v>
      </c>
    </row>
    <row r="1354" spans="2:32" x14ac:dyDescent="0.2">
      <c r="B1354" s="29">
        <v>260</v>
      </c>
      <c r="C1354" s="29" t="s">
        <v>4538</v>
      </c>
      <c r="D1354" s="29" t="s">
        <v>715</v>
      </c>
      <c r="E1354" s="29" t="s">
        <v>724</v>
      </c>
      <c r="F1354" s="29" t="s">
        <v>663</v>
      </c>
      <c r="G1354" s="29" t="s">
        <v>659</v>
      </c>
      <c r="H1354" s="29" t="str">
        <f t="shared" si="379"/>
        <v>Pio XII</v>
      </c>
      <c r="K1354" s="29" t="s">
        <v>827</v>
      </c>
      <c r="L1354" s="29" t="str">
        <f t="shared" si="376"/>
        <v>Discorso</v>
      </c>
      <c r="M1354" s="29" t="s">
        <v>566</v>
      </c>
      <c r="O1354" s="29" t="s">
        <v>5032</v>
      </c>
      <c r="Q1354" s="38">
        <v>21116</v>
      </c>
      <c r="R1354" s="32">
        <f t="shared" si="374"/>
        <v>23</v>
      </c>
      <c r="S1354" s="32"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32">
        <f t="shared" si="375"/>
        <v>1957</v>
      </c>
      <c r="U1354" s="29"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3"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9"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9">
        <v>1381</v>
      </c>
      <c r="Y1354" s="29" t="str">
        <f t="shared" si="380"/>
        <v>['Pio XII', 'Discorso', 'Ai partecipanti alla Sessione del Comitato Europeo di Cooperazione tra Industrie delle Macchine Utensili', 'pixii-dis-', '23 ottobre 1957', '23/10/1957', '1957/10/23'],</v>
      </c>
      <c r="Z1354" s="29" t="str">
        <f t="shared" si="381"/>
        <v>Ai partecipanti alla Sessione del Comitato Europeo di Cooperazione tra Industrie delle Macchine Utensili (21116) | Pio XII</v>
      </c>
      <c r="AA1354" s="29" t="str">
        <f t="shared" si="382"/>
        <v>Discorso Ai partecipanti alla Sessione del Comitato Europeo di Cooperazione tra Industrie delle Macchine Utensili</v>
      </c>
      <c r="AB1354" s="29" t="str">
        <f t="shared" si="383"/>
        <v>Discorso Ai partecipanti alla Sessione del Comitato Europeo di Cooperazione tra Industrie delle Macchine Utensili</v>
      </c>
      <c r="AC1354" s="29" t="str">
        <f t="shared" si="384"/>
        <v>Pio XII, Discorso Ai partecipanti alla Sessione del Comitato Europeo di Cooperazione tra Industrie delle Macchine Utensili, 23 ottobre 1957</v>
      </c>
      <c r="AD1354" s="29" t="str">
        <f t="shared" si="385"/>
        <v>1957-10-23T08:00:00.000+02:00</v>
      </c>
      <c r="AE1354" s="29" t="str">
        <f t="shared" si="377"/>
        <v>pixii-dis-</v>
      </c>
      <c r="AF1354" s="29" t="str">
        <f t="shared" si="378"/>
        <v>Pio XII - Discorso - Ai partecipanti alla Sessione del Comitato Europeo di Cooperazione tra Industrie delle Macchine Utensili</v>
      </c>
    </row>
    <row r="1355" spans="2:32" x14ac:dyDescent="0.2">
      <c r="B1355" s="29">
        <v>260</v>
      </c>
      <c r="C1355" s="29" t="s">
        <v>4539</v>
      </c>
      <c r="D1355" s="29" t="s">
        <v>715</v>
      </c>
      <c r="E1355" s="29" t="s">
        <v>724</v>
      </c>
      <c r="F1355" s="29" t="s">
        <v>663</v>
      </c>
      <c r="G1355" s="29" t="s">
        <v>659</v>
      </c>
      <c r="H1355" s="29" t="str">
        <f t="shared" si="379"/>
        <v>Pio XII</v>
      </c>
      <c r="K1355" s="29" t="s">
        <v>827</v>
      </c>
      <c r="L1355" s="29" t="str">
        <f t="shared" si="376"/>
        <v>Discorso</v>
      </c>
      <c r="M1355" s="29" t="s">
        <v>566</v>
      </c>
      <c r="O1355" s="29" t="s">
        <v>5033</v>
      </c>
      <c r="Q1355" s="38">
        <v>21129</v>
      </c>
      <c r="R1355" s="32">
        <f t="shared" si="374"/>
        <v>5</v>
      </c>
      <c r="S1355" s="32"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32">
        <f t="shared" si="375"/>
        <v>1957</v>
      </c>
      <c r="U1355" s="29"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3"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9"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9">
        <v>1382</v>
      </c>
      <c r="Y1355" s="29" t="str">
        <f t="shared" si="380"/>
        <v>['Pio XII', 'Discorso', 'Ai partecipanti al primo Convegno degli addetti agli Archivi ecclesiastici italiani, svoltosi a Roma', 'pixii-dis-', '05 novembre 1957', '05/11/1957', '1957/11/05'],</v>
      </c>
      <c r="Z1355" s="29" t="str">
        <f t="shared" si="381"/>
        <v>Ai partecipanti al primo Convegno degli addetti agli Archivi ecclesiastici italiani, svoltosi a Roma (21129) | Pio XII</v>
      </c>
      <c r="AA1355" s="29" t="str">
        <f t="shared" si="382"/>
        <v>Discorso Ai partecipanti al primo Convegno degli addetti agli Archivi ecclesiastici italiani, svoltosi a Roma</v>
      </c>
      <c r="AB1355" s="29" t="str">
        <f t="shared" si="383"/>
        <v>Discorso Ai partecipanti al primo Convegno degli addetti agli Archivi ecclesiastici italiani, svoltosi a Roma</v>
      </c>
      <c r="AC1355" s="29" t="str">
        <f t="shared" si="384"/>
        <v>Pio XII, Discorso Ai partecipanti al primo Convegno degli addetti agli Archivi ecclesiastici italiani, svoltosi a Roma, 05 novembre 1957</v>
      </c>
      <c r="AD1355" s="29" t="str">
        <f t="shared" si="385"/>
        <v>1957-11-05T08:00:00.000+02:00</v>
      </c>
      <c r="AE1355" s="29" t="str">
        <f t="shared" si="377"/>
        <v>pixii-dis-</v>
      </c>
      <c r="AF1355" s="29" t="str">
        <f t="shared" si="378"/>
        <v>Pio XII - Discorso - Ai partecipanti al primo Convegno degli addetti agli Archivi ecclesiastici italiani, svoltosi a Roma</v>
      </c>
    </row>
    <row r="1356" spans="2:32" x14ac:dyDescent="0.2">
      <c r="B1356" s="29">
        <v>260</v>
      </c>
      <c r="C1356" s="29" t="s">
        <v>4540</v>
      </c>
      <c r="D1356" s="29" t="s">
        <v>715</v>
      </c>
      <c r="E1356" s="29" t="s">
        <v>724</v>
      </c>
      <c r="F1356" s="29" t="s">
        <v>663</v>
      </c>
      <c r="G1356" s="29" t="s">
        <v>659</v>
      </c>
      <c r="H1356" s="29" t="str">
        <f t="shared" si="379"/>
        <v>Pio XII</v>
      </c>
      <c r="K1356" s="29" t="s">
        <v>827</v>
      </c>
      <c r="L1356" s="29" t="str">
        <f t="shared" si="376"/>
        <v>Discorso</v>
      </c>
      <c r="M1356" s="29" t="s">
        <v>566</v>
      </c>
      <c r="O1356" s="29" t="s">
        <v>5034</v>
      </c>
      <c r="Q1356" s="38">
        <v>21132</v>
      </c>
      <c r="R1356" s="32">
        <f t="shared" si="374"/>
        <v>8</v>
      </c>
      <c r="S1356" s="32"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32">
        <f t="shared" si="375"/>
        <v>1957</v>
      </c>
      <c r="U1356" s="29"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3"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9"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9">
        <v>1383</v>
      </c>
      <c r="Y1356" s="29" t="str">
        <f t="shared" si="380"/>
        <v>['Pio XII', 'Discorso', 'Ai partecipanti al I Congresso Internazionale di Alta Moda', 'pixii-dis-', '08 novembre 1957', '08/11/1957', '1957/11/08'],</v>
      </c>
      <c r="Z1356" s="29" t="str">
        <f t="shared" si="381"/>
        <v>Ai partecipanti al I Congresso Internazionale di Alta Moda (21132) | Pio XII</v>
      </c>
      <c r="AA1356" s="29" t="str">
        <f t="shared" si="382"/>
        <v>Discorso Ai partecipanti al I Congresso Internazionale di Alta Moda</v>
      </c>
      <c r="AB1356" s="29" t="str">
        <f t="shared" si="383"/>
        <v>Discorso Ai partecipanti al I Congresso Internazionale di Alta Moda</v>
      </c>
      <c r="AC1356" s="29" t="str">
        <f t="shared" si="384"/>
        <v>Pio XII, Discorso Ai partecipanti al I Congresso Internazionale di Alta Moda, 08 novembre 1957</v>
      </c>
      <c r="AD1356" s="29" t="str">
        <f t="shared" si="385"/>
        <v>1957-11-08T08:00:00.000+02:00</v>
      </c>
      <c r="AE1356" s="29" t="str">
        <f t="shared" si="377"/>
        <v>pixii-dis-</v>
      </c>
      <c r="AF1356" s="29" t="str">
        <f t="shared" si="378"/>
        <v>Pio XII - Discorso - Ai partecipanti al I Congresso Internazionale di Alta Moda</v>
      </c>
    </row>
    <row r="1357" spans="2:32" x14ac:dyDescent="0.2">
      <c r="B1357" s="29">
        <v>260</v>
      </c>
      <c r="C1357" s="29" t="s">
        <v>4541</v>
      </c>
      <c r="D1357" s="29" t="s">
        <v>715</v>
      </c>
      <c r="E1357" s="29" t="s">
        <v>724</v>
      </c>
      <c r="F1357" s="29" t="s">
        <v>663</v>
      </c>
      <c r="G1357" s="29" t="s">
        <v>659</v>
      </c>
      <c r="H1357" s="29" t="str">
        <f t="shared" si="379"/>
        <v>Pio XII</v>
      </c>
      <c r="K1357" s="29" t="s">
        <v>827</v>
      </c>
      <c r="L1357" s="29" t="str">
        <f t="shared" si="376"/>
        <v>Discorso</v>
      </c>
      <c r="M1357" s="29" t="s">
        <v>566</v>
      </c>
      <c r="O1357" s="29" t="s">
        <v>5035</v>
      </c>
      <c r="Q1357" s="38">
        <v>21141</v>
      </c>
      <c r="R1357" s="32">
        <f t="shared" si="374"/>
        <v>17</v>
      </c>
      <c r="S1357" s="32"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32">
        <f t="shared" si="375"/>
        <v>1957</v>
      </c>
      <c r="U1357" s="29"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3"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9"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9">
        <v>1384</v>
      </c>
      <c r="Y1357" s="29" t="str">
        <f t="shared" si="380"/>
        <v>['Pio XII', 'Discorso', 'Ai lavoratori del mattatoio di Roma', 'pixii-dis-', '17 novembre 1957', '17/11/1957', '1957/11/17'],</v>
      </c>
      <c r="Z1357" s="29" t="str">
        <f t="shared" si="381"/>
        <v>Ai lavoratori del mattatoio di Roma (21141) | Pio XII</v>
      </c>
      <c r="AA1357" s="29" t="str">
        <f t="shared" si="382"/>
        <v>Discorso Ai lavoratori del mattatoio di Roma</v>
      </c>
      <c r="AB1357" s="29" t="str">
        <f t="shared" si="383"/>
        <v>Discorso Ai lavoratori del mattatoio di Roma</v>
      </c>
      <c r="AC1357" s="29" t="str">
        <f t="shared" si="384"/>
        <v>Pio XII, Discorso Ai lavoratori del mattatoio di Roma, 17 novembre 1957</v>
      </c>
      <c r="AD1357" s="29" t="str">
        <f t="shared" si="385"/>
        <v>1957-11-17T08:00:00.000+02:00</v>
      </c>
      <c r="AE1357" s="29" t="str">
        <f t="shared" si="377"/>
        <v>pixii-dis-</v>
      </c>
      <c r="AF1357" s="29" t="str">
        <f t="shared" si="378"/>
        <v>Pio XII - Discorso - Ai lavoratori del mattatoio di Roma</v>
      </c>
    </row>
    <row r="1358" spans="2:32" x14ac:dyDescent="0.2">
      <c r="B1358" s="29">
        <v>260</v>
      </c>
      <c r="C1358" s="29" t="s">
        <v>4542</v>
      </c>
      <c r="D1358" s="29" t="s">
        <v>715</v>
      </c>
      <c r="E1358" s="29" t="s">
        <v>724</v>
      </c>
      <c r="F1358" s="29" t="s">
        <v>663</v>
      </c>
      <c r="G1358" s="29" t="s">
        <v>659</v>
      </c>
      <c r="H1358" s="29" t="str">
        <f t="shared" si="379"/>
        <v>Pio XII</v>
      </c>
      <c r="K1358" s="29" t="s">
        <v>827</v>
      </c>
      <c r="L1358" s="29" t="str">
        <f t="shared" si="376"/>
        <v>Discorso</v>
      </c>
      <c r="M1358" s="29" t="s">
        <v>566</v>
      </c>
      <c r="O1358" s="29" t="s">
        <v>5036</v>
      </c>
      <c r="Q1358" s="38">
        <v>21148</v>
      </c>
      <c r="R1358" s="32">
        <f t="shared" si="374"/>
        <v>24</v>
      </c>
      <c r="S1358" s="32"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32">
        <f t="shared" si="375"/>
        <v>1957</v>
      </c>
      <c r="U1358" s="29"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3"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9"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9">
        <v>1385</v>
      </c>
      <c r="Y1358" s="29" t="str">
        <f t="shared" si="380"/>
        <v>['Pio XII', 'Discorso', 'Radiomessaggio a conclusione della straordinaria missione svoltasi a Milano', 'pixii-dis-', '24 novembre 1957', '24/11/1957', '1957/11/24'],</v>
      </c>
      <c r="Z1358" s="29" t="str">
        <f t="shared" si="381"/>
        <v>Radiomessaggio a conclusione della straordinaria missione svoltasi a Milano (21148) | Pio XII</v>
      </c>
      <c r="AA1358" s="29" t="str">
        <f t="shared" si="382"/>
        <v>Discorso Radiomessaggio a conclusione della straordinaria missione svoltasi a Milano</v>
      </c>
      <c r="AB1358" s="29" t="str">
        <f t="shared" si="383"/>
        <v>Discorso Radiomessaggio a conclusione della straordinaria missione svoltasi a Milano</v>
      </c>
      <c r="AC1358" s="29" t="str">
        <f t="shared" si="384"/>
        <v>Pio XII, Discorso Radiomessaggio a conclusione della straordinaria missione svoltasi a Milano, 24 novembre 1957</v>
      </c>
      <c r="AD1358" s="29" t="str">
        <f t="shared" si="385"/>
        <v>1957-11-24T08:00:00.000+02:00</v>
      </c>
      <c r="AE1358" s="29" t="str">
        <f t="shared" si="377"/>
        <v>pixii-dis-</v>
      </c>
      <c r="AF1358" s="29" t="str">
        <f t="shared" si="378"/>
        <v>Pio XII - Discorso - Radiomessaggio a conclusione della straordinaria missione svoltasi a Milano</v>
      </c>
    </row>
    <row r="1359" spans="2:32" x14ac:dyDescent="0.2">
      <c r="B1359" s="29">
        <v>260</v>
      </c>
      <c r="C1359" s="29" t="s">
        <v>4543</v>
      </c>
      <c r="D1359" s="29" t="s">
        <v>715</v>
      </c>
      <c r="E1359" s="29" t="s">
        <v>724</v>
      </c>
      <c r="F1359" s="29" t="s">
        <v>663</v>
      </c>
      <c r="G1359" s="29" t="s">
        <v>659</v>
      </c>
      <c r="H1359" s="29" t="str">
        <f t="shared" si="379"/>
        <v>Pio XII</v>
      </c>
      <c r="K1359" s="29" t="s">
        <v>827</v>
      </c>
      <c r="L1359" s="29" t="str">
        <f t="shared" si="376"/>
        <v>Discorso</v>
      </c>
      <c r="M1359" s="29" t="s">
        <v>566</v>
      </c>
      <c r="O1359" s="29" t="s">
        <v>5016</v>
      </c>
      <c r="Q1359" s="38">
        <v>21176</v>
      </c>
      <c r="R1359" s="32">
        <f t="shared" si="374"/>
        <v>22</v>
      </c>
      <c r="S1359" s="32"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32">
        <f t="shared" si="375"/>
        <v>1957</v>
      </c>
      <c r="U1359" s="29"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3"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9"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9">
        <v>1386</v>
      </c>
      <c r="Y1359" s="29" t="str">
        <f t="shared" si="380"/>
        <v>['Pio XII', 'Discorso', 'Radiomessaggio natalizio ai fedeli e ai popoli del mondo intero', 'pixii-dis-', '22 dicembre 1957', '22/12/1957', '1957/12/22'],</v>
      </c>
      <c r="Z1359" s="29" t="str">
        <f t="shared" si="381"/>
        <v>Radiomessaggio natalizio ai fedeli e ai popoli del mondo intero (21176) | Pio XII</v>
      </c>
      <c r="AA1359" s="29" t="str">
        <f t="shared" si="382"/>
        <v>Discorso Radiomessaggio natalizio ai fedeli e ai popoli del mondo intero</v>
      </c>
      <c r="AB1359" s="29" t="str">
        <f t="shared" si="383"/>
        <v>Discorso Radiomessaggio natalizio ai fedeli e ai popoli del mondo intero</v>
      </c>
      <c r="AC1359" s="29" t="str">
        <f t="shared" si="384"/>
        <v>Pio XII, Discorso Radiomessaggio natalizio ai fedeli e ai popoli del mondo intero, 22 dicembre 1957</v>
      </c>
      <c r="AD1359" s="29" t="str">
        <f t="shared" si="385"/>
        <v>1957-12-22T08:00:00.000+02:00</v>
      </c>
      <c r="AE1359" s="29" t="str">
        <f t="shared" si="377"/>
        <v>pixii-dis-</v>
      </c>
      <c r="AF1359" s="29" t="str">
        <f t="shared" si="378"/>
        <v>Pio XII - Discorso - Radiomessaggio natalizio ai fedeli e ai popoli del mondo intero</v>
      </c>
    </row>
    <row r="1360" spans="2:32" x14ac:dyDescent="0.2">
      <c r="B1360" s="29">
        <v>260</v>
      </c>
      <c r="C1360" s="29" t="s">
        <v>4544</v>
      </c>
      <c r="D1360" s="29" t="s">
        <v>715</v>
      </c>
      <c r="E1360" s="29" t="s">
        <v>724</v>
      </c>
      <c r="F1360" s="29" t="s">
        <v>663</v>
      </c>
      <c r="G1360" s="29" t="s">
        <v>659</v>
      </c>
      <c r="H1360" s="29" t="str">
        <f t="shared" si="379"/>
        <v>Pio XII</v>
      </c>
      <c r="K1360" s="29" t="s">
        <v>827</v>
      </c>
      <c r="L1360" s="29" t="str">
        <f t="shared" si="376"/>
        <v>Discorso</v>
      </c>
      <c r="M1360" s="29" t="s">
        <v>566</v>
      </c>
      <c r="O1360" s="29" t="s">
        <v>5037</v>
      </c>
      <c r="Q1360" s="38">
        <v>21188</v>
      </c>
      <c r="R1360" s="32">
        <f t="shared" si="374"/>
        <v>3</v>
      </c>
      <c r="S1360" s="32"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32">
        <f t="shared" si="375"/>
        <v>1958</v>
      </c>
      <c r="U1360" s="29"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3"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9"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9">
        <v>1387</v>
      </c>
      <c r="Y1360" s="29" t="str">
        <f t="shared" si="380"/>
        <v>['Pio XII', 'Discorso', 'Alle partecipanti al Corso Nazionale per le religiose Assistenti delle Associazioni parrocchiali ed interne della Gioventù Femminile di Azione Cattolica', 'pixii-dis-', '03 gennaio 1958', '03/01/1958', '1958/01/03'],</v>
      </c>
      <c r="Z1360" s="29" t="str">
        <f t="shared" si="381"/>
        <v>Alle partecipanti al Corso Nazionale per le religiose Assistenti delle Associazioni parrocchiali ed interne della Gioventù Femminile di Azione Cattolica (21188) | Pio XII</v>
      </c>
      <c r="AA1360" s="29" t="str">
        <f t="shared" si="382"/>
        <v>Discorso Alle partecipanti al Corso Nazionale per le religiose Assistenti delle Associazioni parrocchiali ed interne della Gioventù Femminile di Azione Cattolica</v>
      </c>
      <c r="AB1360" s="29" t="str">
        <f t="shared" si="383"/>
        <v>Discorso Alle partecipanti al Corso Nazionale per le religiose Assistenti delle Associazioni parrocchiali ed interne della Gioventù Femminile di Azione Cattolica</v>
      </c>
      <c r="AC1360" s="29" t="str">
        <f t="shared" si="384"/>
        <v>Pio XII, Discorso Alle partecipanti al Corso Nazionale per le religiose Assistenti delle Associazioni parrocchiali ed interne della Gioventù Femminile di Azione Cattolica, 03 gennaio 1958</v>
      </c>
      <c r="AD1360" s="29" t="str">
        <f t="shared" si="385"/>
        <v>1958-01-03T08:00:00.000+02:00</v>
      </c>
      <c r="AE1360" s="29" t="str">
        <f t="shared" si="377"/>
        <v>pixii-dis-</v>
      </c>
      <c r="AF1360" s="29" t="str">
        <f t="shared" si="378"/>
        <v>Pio XII - Discorso - Alle partecipanti al Corso Nazionale per le religiose Assistenti delle Associazioni parrocchiali ed interne della Gioventù Femminile di Azione Cattolica</v>
      </c>
    </row>
    <row r="1361" spans="2:32" x14ac:dyDescent="0.2">
      <c r="B1361" s="29">
        <v>260</v>
      </c>
      <c r="C1361" s="29" t="s">
        <v>4545</v>
      </c>
      <c r="D1361" s="29" t="s">
        <v>715</v>
      </c>
      <c r="E1361" s="29" t="s">
        <v>724</v>
      </c>
      <c r="F1361" s="29" t="s">
        <v>663</v>
      </c>
      <c r="G1361" s="29" t="s">
        <v>659</v>
      </c>
      <c r="H1361" s="29" t="str">
        <f t="shared" si="379"/>
        <v>Pio XII</v>
      </c>
      <c r="K1361" s="29" t="s">
        <v>827</v>
      </c>
      <c r="L1361" s="29" t="str">
        <f t="shared" si="376"/>
        <v>Discorso</v>
      </c>
      <c r="M1361" s="29" t="s">
        <v>566</v>
      </c>
      <c r="O1361" s="29" t="s">
        <v>5038</v>
      </c>
      <c r="Q1361" s="38">
        <v>21194</v>
      </c>
      <c r="R1361" s="32">
        <f t="shared" si="374"/>
        <v>9</v>
      </c>
      <c r="S1361" s="32"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32">
        <f t="shared" si="375"/>
        <v>1958</v>
      </c>
      <c r="U1361" s="29"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3"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9"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9">
        <v>1388</v>
      </c>
      <c r="Y1361" s="29" t="str">
        <f t="shared" si="380"/>
        <v>['Pio XII', 'Discorso', 'Al patriziato e alla nobiltà romana in occasione dello scambio degli auguri per il nuovo anno', 'pixii-dis-', '09 gennaio 1958', '09/01/1958', '1958/01/09'],</v>
      </c>
      <c r="Z1361" s="29" t="str">
        <f t="shared" si="381"/>
        <v>Al patriziato e alla nobiltà romana in occasione dello scambio degli auguri per il nuovo anno (21194) | Pio XII</v>
      </c>
      <c r="AA1361" s="29" t="str">
        <f t="shared" si="382"/>
        <v>Discorso Al patriziato e alla nobiltà romana in occasione dello scambio degli auguri per il nuovo anno</v>
      </c>
      <c r="AB1361" s="29" t="str">
        <f t="shared" si="383"/>
        <v>Discorso Al patriziato e alla nobiltà romana in occasione dello scambio degli auguri per il nuovo anno</v>
      </c>
      <c r="AC1361" s="29" t="str">
        <f t="shared" si="384"/>
        <v>Pio XII, Discorso Al patriziato e alla nobiltà romana in occasione dello scambio degli auguri per il nuovo anno, 09 gennaio 1958</v>
      </c>
      <c r="AD1361" s="29" t="str">
        <f t="shared" si="385"/>
        <v>1958-01-09T08:00:00.000+02:00</v>
      </c>
      <c r="AE1361" s="29" t="str">
        <f t="shared" si="377"/>
        <v>pixii-dis-</v>
      </c>
      <c r="AF1361" s="29" t="str">
        <f t="shared" si="378"/>
        <v>Pio XII - Discorso - Al patriziato e alla nobiltà romana in occasione dello scambio degli auguri per il nuovo anno</v>
      </c>
    </row>
    <row r="1362" spans="2:32" x14ac:dyDescent="0.2">
      <c r="B1362" s="29">
        <v>260</v>
      </c>
      <c r="C1362" s="29" t="s">
        <v>4546</v>
      </c>
      <c r="D1362" s="29" t="s">
        <v>715</v>
      </c>
      <c r="E1362" s="29" t="s">
        <v>724</v>
      </c>
      <c r="F1362" s="29" t="s">
        <v>663</v>
      </c>
      <c r="G1362" s="29" t="s">
        <v>659</v>
      </c>
      <c r="H1362" s="29" t="str">
        <f t="shared" si="379"/>
        <v>Pio XII</v>
      </c>
      <c r="K1362" s="29" t="s">
        <v>827</v>
      </c>
      <c r="L1362" s="29" t="str">
        <f t="shared" si="376"/>
        <v>Discorso</v>
      </c>
      <c r="M1362" s="29" t="s">
        <v>566</v>
      </c>
      <c r="O1362" s="29" t="s">
        <v>5039</v>
      </c>
      <c r="Q1362" s="38">
        <v>21204</v>
      </c>
      <c r="R1362" s="32">
        <f t="shared" ref="R1362:R1425" si="386">IF(ISERROR(DAY(Q1362)),TEXT((LEFT(Q1362,2)),"00"),DAY(Q1362))</f>
        <v>19</v>
      </c>
      <c r="S1362" s="32"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32">
        <f t="shared" ref="T1362:T1425" si="387">IF(ISERROR(DAY(Q1362)),VALUE(RIGHT(Q1362,4)),YEAR(Q1362))</f>
        <v>1958</v>
      </c>
      <c r="U1362" s="29"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3"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9"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9">
        <v>1389</v>
      </c>
      <c r="Y1362" s="29" t="str">
        <f t="shared" si="380"/>
        <v>['Pio XII', 'Discorso', 'Alle Lavoratrici della Casa', 'pixii-dis-', '19 gennaio 1958', '19/01/1958', '1958/01/19'],</v>
      </c>
      <c r="Z1362" s="29" t="str">
        <f t="shared" si="381"/>
        <v>Alle Lavoratrici della Casa (21204) | Pio XII</v>
      </c>
      <c r="AA1362" s="29" t="str">
        <f t="shared" si="382"/>
        <v>Discorso Alle Lavoratrici della Casa</v>
      </c>
      <c r="AB1362" s="29" t="str">
        <f t="shared" si="383"/>
        <v>Discorso Alle Lavoratrici della Casa</v>
      </c>
      <c r="AC1362" s="29" t="str">
        <f t="shared" si="384"/>
        <v>Pio XII, Discorso Alle Lavoratrici della Casa, 19 gennaio 1958</v>
      </c>
      <c r="AD1362" s="29" t="str">
        <f t="shared" si="385"/>
        <v>1958-01-19T08:00:00.000+02:00</v>
      </c>
      <c r="AE1362" s="29" t="str">
        <f t="shared" si="377"/>
        <v>pixii-dis-</v>
      </c>
      <c r="AF1362" s="29" t="str">
        <f t="shared" si="378"/>
        <v>Pio XII - Discorso - Alle Lavoratrici della Casa</v>
      </c>
    </row>
    <row r="1363" spans="2:32" x14ac:dyDescent="0.2">
      <c r="B1363" s="29">
        <v>260</v>
      </c>
      <c r="C1363" s="29" t="s">
        <v>4547</v>
      </c>
      <c r="D1363" s="29" t="s">
        <v>715</v>
      </c>
      <c r="E1363" s="29" t="s">
        <v>724</v>
      </c>
      <c r="F1363" s="29" t="s">
        <v>663</v>
      </c>
      <c r="G1363" s="29" t="s">
        <v>659</v>
      </c>
      <c r="H1363" s="29" t="str">
        <f t="shared" si="379"/>
        <v>Pio XII</v>
      </c>
      <c r="K1363" s="29" t="s">
        <v>827</v>
      </c>
      <c r="L1363" s="29" t="str">
        <f t="shared" si="376"/>
        <v>Discorso</v>
      </c>
      <c r="M1363" s="29" t="s">
        <v>566</v>
      </c>
      <c r="O1363" s="29" t="s">
        <v>5040</v>
      </c>
      <c r="Q1363" s="38">
        <v>21205</v>
      </c>
      <c r="R1363" s="32">
        <f t="shared" si="386"/>
        <v>20</v>
      </c>
      <c r="S1363" s="32"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32">
        <f t="shared" si="387"/>
        <v>1958</v>
      </c>
      <c r="U1363" s="29"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3"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9"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9">
        <v>1390</v>
      </c>
      <c r="Y1363" s="29" t="str">
        <f t="shared" si="380"/>
        <v>['Pio XII', 'Discorso', 'Ai Dirigenti e Rappresentanti delle Associazioni tra le Famiglie Numerose di Roma e d'Italia', 'pixii-dis-', '20 gennaio 1958', '20/01/1958', '1958/01/20'],</v>
      </c>
      <c r="Z1363" s="29" t="str">
        <f t="shared" si="381"/>
        <v>Ai Dirigenti e Rappresentanti delle Associazioni tra le Famiglie Numerose di Roma e d'Italia (21205) | Pio XII</v>
      </c>
      <c r="AA1363" s="29" t="str">
        <f t="shared" si="382"/>
        <v>Discorso Ai Dirigenti e Rappresentanti delle Associazioni tra le Famiglie Numerose di Roma e d'Italia</v>
      </c>
      <c r="AB1363" s="29" t="str">
        <f t="shared" si="383"/>
        <v>Discorso Ai Dirigenti e Rappresentanti delle Associazioni tra le Famiglie Numerose di Roma e d'Italia</v>
      </c>
      <c r="AC1363" s="29" t="str">
        <f t="shared" si="384"/>
        <v>Pio XII, Discorso Ai Dirigenti e Rappresentanti delle Associazioni tra le Famiglie Numerose di Roma e d'Italia, 20 gennaio 1958</v>
      </c>
      <c r="AD1363" s="29" t="str">
        <f t="shared" si="385"/>
        <v>1958-01-20T08:00:00.000+02:00</v>
      </c>
      <c r="AE1363" s="29" t="str">
        <f t="shared" si="377"/>
        <v>pixii-dis-</v>
      </c>
      <c r="AF1363" s="29" t="str">
        <f t="shared" si="378"/>
        <v>Pio XII - Discorso - Ai Dirigenti e Rappresentanti delle Associazioni tra le Famiglie Numerose di Roma e d'Italia</v>
      </c>
    </row>
    <row r="1364" spans="2:32" x14ac:dyDescent="0.2">
      <c r="B1364" s="29">
        <v>260</v>
      </c>
      <c r="C1364" s="29" t="s">
        <v>4548</v>
      </c>
      <c r="D1364" s="29" t="s">
        <v>715</v>
      </c>
      <c r="E1364" s="29" t="s">
        <v>724</v>
      </c>
      <c r="F1364" s="29" t="s">
        <v>663</v>
      </c>
      <c r="G1364" s="29" t="s">
        <v>659</v>
      </c>
      <c r="H1364" s="29" t="str">
        <f t="shared" si="379"/>
        <v>Pio XII</v>
      </c>
      <c r="K1364" s="29" t="s">
        <v>827</v>
      </c>
      <c r="L1364" s="29" t="str">
        <f t="shared" si="376"/>
        <v>Discorso</v>
      </c>
      <c r="M1364" s="29" t="s">
        <v>566</v>
      </c>
      <c r="O1364" s="29" t="s">
        <v>5041</v>
      </c>
      <c r="Q1364" s="38">
        <v>21231</v>
      </c>
      <c r="R1364" s="32">
        <f t="shared" si="386"/>
        <v>15</v>
      </c>
      <c r="S1364" s="32"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32">
        <f t="shared" si="387"/>
        <v>1958</v>
      </c>
      <c r="U1364" s="29"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3"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9"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9">
        <v>1391</v>
      </c>
      <c r="Y1364" s="29" t="str">
        <f t="shared" si="380"/>
        <v>['Pio XII', 'Discorso', 'Ai partecipanti al Convegno Nazionale Artigiano', 'pixii-dis-', '15 febbraio 1958', '15/02/1958', '1958/02/15'],</v>
      </c>
      <c r="Z1364" s="29" t="str">
        <f t="shared" si="381"/>
        <v>Ai partecipanti al Convegno Nazionale Artigiano (21231) | Pio XII</v>
      </c>
      <c r="AA1364" s="29" t="str">
        <f t="shared" si="382"/>
        <v>Discorso Ai partecipanti al Convegno Nazionale Artigiano</v>
      </c>
      <c r="AB1364" s="29" t="str">
        <f t="shared" si="383"/>
        <v>Discorso Ai partecipanti al Convegno Nazionale Artigiano</v>
      </c>
      <c r="AC1364" s="29" t="str">
        <f t="shared" si="384"/>
        <v>Pio XII, Discorso Ai partecipanti al Convegno Nazionale Artigiano, 15 febbraio 1958</v>
      </c>
      <c r="AD1364" s="29" t="str">
        <f t="shared" si="385"/>
        <v>1958-02-15T08:00:00.000+02:00</v>
      </c>
      <c r="AE1364" s="29" t="str">
        <f t="shared" si="377"/>
        <v>pixii-dis-</v>
      </c>
      <c r="AF1364" s="29" t="str">
        <f t="shared" si="378"/>
        <v>Pio XII - Discorso - Ai partecipanti al Convegno Nazionale Artigiano</v>
      </c>
    </row>
    <row r="1365" spans="2:32" x14ac:dyDescent="0.2">
      <c r="B1365" s="29">
        <v>260</v>
      </c>
      <c r="C1365" s="29" t="s">
        <v>4549</v>
      </c>
      <c r="D1365" s="29" t="s">
        <v>715</v>
      </c>
      <c r="E1365" s="29" t="s">
        <v>724</v>
      </c>
      <c r="F1365" s="29" t="s">
        <v>663</v>
      </c>
      <c r="G1365" s="29" t="s">
        <v>659</v>
      </c>
      <c r="H1365" s="29" t="str">
        <f t="shared" si="379"/>
        <v>Pio XII</v>
      </c>
      <c r="K1365" s="29" t="s">
        <v>827</v>
      </c>
      <c r="L1365" s="29" t="str">
        <f t="shared" si="376"/>
        <v>Discorso</v>
      </c>
      <c r="M1365" s="29" t="s">
        <v>566</v>
      </c>
      <c r="O1365" s="29" t="s">
        <v>5020</v>
      </c>
      <c r="Q1365" s="38">
        <v>21234</v>
      </c>
      <c r="R1365" s="32">
        <f t="shared" si="386"/>
        <v>18</v>
      </c>
      <c r="S1365" s="32"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32">
        <f t="shared" si="387"/>
        <v>1958</v>
      </c>
      <c r="U1365" s="29"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3"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9"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9">
        <v>1392</v>
      </c>
      <c r="Y1365" s="29" t="str">
        <f t="shared" si="380"/>
        <v>['Pio XII', 'Discorso', 'Ai Parroci ed ai Predicatori quaresimalisti di Roma', 'pixii-dis-', '18 febbraio 1958', '18/02/1958', '1958/02/18'],</v>
      </c>
      <c r="Z1365" s="29" t="str">
        <f t="shared" si="381"/>
        <v>Ai Parroci ed ai Predicatori quaresimalisti di Roma (21234) | Pio XII</v>
      </c>
      <c r="AA1365" s="29" t="str">
        <f t="shared" si="382"/>
        <v>Discorso Ai Parroci ed ai Predicatori quaresimalisti di Roma</v>
      </c>
      <c r="AB1365" s="29" t="str">
        <f t="shared" si="383"/>
        <v>Discorso Ai Parroci ed ai Predicatori quaresimalisti di Roma</v>
      </c>
      <c r="AC1365" s="29" t="str">
        <f t="shared" si="384"/>
        <v>Pio XII, Discorso Ai Parroci ed ai Predicatori quaresimalisti di Roma, 18 febbraio 1958</v>
      </c>
      <c r="AD1365" s="29" t="str">
        <f t="shared" si="385"/>
        <v>1958-02-18T08:00:00.000+02:00</v>
      </c>
      <c r="AE1365" s="29" t="str">
        <f t="shared" si="377"/>
        <v>pixii-dis-</v>
      </c>
      <c r="AF1365" s="29" t="str">
        <f t="shared" si="378"/>
        <v>Pio XII - Discorso - Ai Parroci ed ai Predicatori quaresimalisti di Roma</v>
      </c>
    </row>
    <row r="1366" spans="2:32" x14ac:dyDescent="0.2">
      <c r="B1366" s="29">
        <v>260</v>
      </c>
      <c r="C1366" s="29" t="s">
        <v>4550</v>
      </c>
      <c r="D1366" s="29" t="s">
        <v>715</v>
      </c>
      <c r="E1366" s="29" t="s">
        <v>724</v>
      </c>
      <c r="F1366" s="29" t="s">
        <v>663</v>
      </c>
      <c r="G1366" s="29" t="s">
        <v>659</v>
      </c>
      <c r="H1366" s="29" t="str">
        <f t="shared" si="379"/>
        <v>Pio XII</v>
      </c>
      <c r="K1366" s="29" t="s">
        <v>827</v>
      </c>
      <c r="L1366" s="29" t="str">
        <f t="shared" si="376"/>
        <v>Discorso</v>
      </c>
      <c r="M1366" s="29" t="s">
        <v>566</v>
      </c>
      <c r="O1366" s="29" t="s">
        <v>5042</v>
      </c>
      <c r="Q1366" s="38">
        <v>21238</v>
      </c>
      <c r="R1366" s="32">
        <f t="shared" si="386"/>
        <v>22</v>
      </c>
      <c r="S1366" s="32"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32">
        <f t="shared" si="387"/>
        <v>1958</v>
      </c>
      <c r="U1366" s="29"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3"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9"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9">
        <v>1393</v>
      </c>
      <c r="Y1366" s="29" t="str">
        <f t="shared" si="380"/>
        <v>['Pio XII', 'Discorso', 'Ad un pellegrinaggio di ferrovieri italiani', 'pixii-dis-', '22 febbraio 1958', '22/02/1958', '1958/02/22'],</v>
      </c>
      <c r="Z1366" s="29" t="str">
        <f t="shared" si="381"/>
        <v>Ad un pellegrinaggio di ferrovieri italiani (21238) | Pio XII</v>
      </c>
      <c r="AA1366" s="29" t="str">
        <f t="shared" si="382"/>
        <v>Discorso Ad un pellegrinaggio di ferrovieri italiani</v>
      </c>
      <c r="AB1366" s="29" t="str">
        <f t="shared" si="383"/>
        <v>Discorso Ad un pellegrinaggio di ferrovieri italiani</v>
      </c>
      <c r="AC1366" s="29" t="str">
        <f t="shared" si="384"/>
        <v>Pio XII, Discorso Ad un pellegrinaggio di ferrovieri italiani, 22 febbraio 1958</v>
      </c>
      <c r="AD1366" s="29" t="str">
        <f t="shared" si="385"/>
        <v>1958-02-22T08:00:00.000+02:00</v>
      </c>
      <c r="AE1366" s="29" t="str">
        <f t="shared" si="377"/>
        <v>pixii-dis-</v>
      </c>
      <c r="AF1366" s="29" t="str">
        <f t="shared" si="378"/>
        <v>Pio XII - Discorso - Ad un pellegrinaggio di ferrovieri italiani</v>
      </c>
    </row>
    <row r="1367" spans="2:32" x14ac:dyDescent="0.2">
      <c r="B1367" s="29">
        <v>260</v>
      </c>
      <c r="C1367" s="29" t="s">
        <v>4551</v>
      </c>
      <c r="D1367" s="29" t="s">
        <v>715</v>
      </c>
      <c r="E1367" s="29" t="s">
        <v>724</v>
      </c>
      <c r="F1367" s="29" t="s">
        <v>663</v>
      </c>
      <c r="G1367" s="29" t="s">
        <v>659</v>
      </c>
      <c r="H1367" s="29" t="str">
        <f t="shared" si="379"/>
        <v>Pio XII</v>
      </c>
      <c r="K1367" s="29" t="s">
        <v>827</v>
      </c>
      <c r="L1367" s="29" t="str">
        <f t="shared" si="376"/>
        <v>Discorso</v>
      </c>
      <c r="M1367" s="29" t="s">
        <v>566</v>
      </c>
      <c r="O1367" s="29" t="s">
        <v>5043</v>
      </c>
      <c r="Q1367" s="38">
        <v>21253</v>
      </c>
      <c r="R1367" s="32">
        <f t="shared" si="386"/>
        <v>9</v>
      </c>
      <c r="S1367" s="32"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32">
        <f t="shared" si="387"/>
        <v>1958</v>
      </c>
      <c r="U1367" s="29"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3"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9"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9">
        <v>1394</v>
      </c>
      <c r="Y1367" s="29" t="str">
        <f t="shared" si="380"/>
        <v>['Pio XII', 'Discorso', 'Ad un pellegrinaggio di lavoratori delle industrie della Campania', 'pixii-dis-', '09 marzo 1958', '09/03/1958', '1958/03/09'],</v>
      </c>
      <c r="Z1367" s="29" t="str">
        <f t="shared" si="381"/>
        <v>Ad un pellegrinaggio di lavoratori delle industrie della Campania (21253) | Pio XII</v>
      </c>
      <c r="AA1367" s="29" t="str">
        <f t="shared" si="382"/>
        <v>Discorso Ad un pellegrinaggio di lavoratori delle industrie della Campania</v>
      </c>
      <c r="AB1367" s="29" t="str">
        <f t="shared" si="383"/>
        <v>Discorso Ad un pellegrinaggio di lavoratori delle industrie della Campania</v>
      </c>
      <c r="AC1367" s="29" t="str">
        <f t="shared" si="384"/>
        <v>Pio XII, Discorso Ad un pellegrinaggio di lavoratori delle industrie della Campania, 09 marzo 1958</v>
      </c>
      <c r="AD1367" s="29" t="str">
        <f t="shared" si="385"/>
        <v>1958-03-09T08:00:00.000+02:00</v>
      </c>
      <c r="AE1367" s="29" t="str">
        <f t="shared" si="377"/>
        <v>pixii-dis-</v>
      </c>
      <c r="AF1367" s="29" t="str">
        <f t="shared" si="378"/>
        <v>Pio XII - Discorso - Ad un pellegrinaggio di lavoratori delle industrie della Campania</v>
      </c>
    </row>
    <row r="1368" spans="2:32" x14ac:dyDescent="0.2">
      <c r="B1368" s="29">
        <v>260</v>
      </c>
      <c r="C1368" s="29" t="s">
        <v>4552</v>
      </c>
      <c r="D1368" s="29" t="s">
        <v>715</v>
      </c>
      <c r="E1368" s="29" t="s">
        <v>724</v>
      </c>
      <c r="F1368" s="29" t="s">
        <v>663</v>
      </c>
      <c r="G1368" s="29" t="s">
        <v>659</v>
      </c>
      <c r="H1368" s="29" t="str">
        <f t="shared" si="379"/>
        <v>Pio XII</v>
      </c>
      <c r="K1368" s="29" t="s">
        <v>827</v>
      </c>
      <c r="L1368" s="29" t="str">
        <f t="shared" si="376"/>
        <v>Discorso</v>
      </c>
      <c r="M1368" s="29" t="s">
        <v>566</v>
      </c>
      <c r="O1368" s="29" t="s">
        <v>5044</v>
      </c>
      <c r="Q1368" s="38">
        <v>21263</v>
      </c>
      <c r="R1368" s="32">
        <f t="shared" si="386"/>
        <v>19</v>
      </c>
      <c r="S1368" s="32"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32">
        <f t="shared" si="387"/>
        <v>1958</v>
      </c>
      <c r="U1368" s="29"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3"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9"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9">
        <v>1395</v>
      </c>
      <c r="Y1368" s="29" t="str">
        <f t="shared" si="380"/>
        <v>['Pio XII', 'Discorso', 'Ai giovani convenuti a Roma in occasione del 90 anniversario della fondazione della Gioventù Italiana di Azione Cattolica', 'pixii-dis-', '19 marzo 1958', '19/03/1958', '1958/03/19'],</v>
      </c>
      <c r="Z1368" s="29" t="str">
        <f t="shared" si="381"/>
        <v>Ai giovani convenuti a Roma in occasione del 90 anniversario della fondazione della Gioventù Italiana di Azione Cattolica (21263) | Pio XII</v>
      </c>
      <c r="AA1368" s="29" t="str">
        <f t="shared" si="382"/>
        <v>Discorso Ai giovani convenuti a Roma in occasione del 90 anniversario della fondazione della Gioventù Italiana di Azione Cattolica</v>
      </c>
      <c r="AB1368" s="29" t="str">
        <f t="shared" si="383"/>
        <v>Discorso Ai giovani convenuti a Roma in occasione del 90 anniversario della fondazione della Gioventù Italiana di Azione Cattolica</v>
      </c>
      <c r="AC1368" s="29" t="str">
        <f t="shared" si="384"/>
        <v>Pio XII, Discorso Ai giovani convenuti a Roma in occasione del 90 anniversario della fondazione della Gioventù Italiana di Azione Cattolica, 19 marzo 1958</v>
      </c>
      <c r="AD1368" s="29" t="str">
        <f t="shared" si="385"/>
        <v>1958-03-19T08:00:00.000+02:00</v>
      </c>
      <c r="AE1368" s="29" t="str">
        <f t="shared" si="377"/>
        <v>pixii-dis-</v>
      </c>
      <c r="AF1368" s="29" t="str">
        <f t="shared" si="378"/>
        <v>Pio XII - Discorso - Ai giovani convenuti a Roma in occasione del 90 anniversario della fondazione della Gioventù Italiana di Azione Cattolica</v>
      </c>
    </row>
    <row r="1369" spans="2:32" x14ac:dyDescent="0.2">
      <c r="B1369" s="29">
        <v>260</v>
      </c>
      <c r="C1369" s="29" t="s">
        <v>4553</v>
      </c>
      <c r="D1369" s="29" t="s">
        <v>715</v>
      </c>
      <c r="E1369" s="29" t="s">
        <v>724</v>
      </c>
      <c r="F1369" s="29" t="s">
        <v>663</v>
      </c>
      <c r="G1369" s="29" t="s">
        <v>659</v>
      </c>
      <c r="H1369" s="29" t="str">
        <f t="shared" si="379"/>
        <v>Pio XII</v>
      </c>
      <c r="K1369" s="29" t="s">
        <v>827</v>
      </c>
      <c r="L1369" s="29" t="str">
        <f t="shared" si="376"/>
        <v>Discorso</v>
      </c>
      <c r="M1369" s="29" t="s">
        <v>566</v>
      </c>
      <c r="O1369" s="29" t="s">
        <v>5045</v>
      </c>
      <c r="Q1369" s="38">
        <v>21267</v>
      </c>
      <c r="R1369" s="32">
        <f t="shared" si="386"/>
        <v>23</v>
      </c>
      <c r="S1369" s="32"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32">
        <f t="shared" si="387"/>
        <v>1958</v>
      </c>
      <c r="U1369" s="29"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3"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9"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9">
        <v>1396</v>
      </c>
      <c r="Y1369" s="29" t="str">
        <f t="shared" si="380"/>
        <v>['Pio XII', 'Discorso', 'Ai marchigiani residenti in Roma', 'pixii-dis-', '23 marzo 1958', '23/03/1958', '1958/03/23'],</v>
      </c>
      <c r="Z1369" s="29" t="str">
        <f t="shared" si="381"/>
        <v>Ai marchigiani residenti in Roma (21267) | Pio XII</v>
      </c>
      <c r="AA1369" s="29" t="str">
        <f t="shared" si="382"/>
        <v>Discorso Ai marchigiani residenti in Roma</v>
      </c>
      <c r="AB1369" s="29" t="str">
        <f t="shared" si="383"/>
        <v>Discorso Ai marchigiani residenti in Roma</v>
      </c>
      <c r="AC1369" s="29" t="str">
        <f t="shared" si="384"/>
        <v>Pio XII, Discorso Ai marchigiani residenti in Roma, 23 marzo 1958</v>
      </c>
      <c r="AD1369" s="29" t="str">
        <f t="shared" si="385"/>
        <v>1958-03-23T08:00:00.000+02:00</v>
      </c>
      <c r="AE1369" s="29" t="str">
        <f t="shared" si="377"/>
        <v>pixii-dis-</v>
      </c>
      <c r="AF1369" s="29" t="str">
        <f t="shared" si="378"/>
        <v>Pio XII - Discorso - Ai marchigiani residenti in Roma</v>
      </c>
    </row>
    <row r="1370" spans="2:32" x14ac:dyDescent="0.2">
      <c r="B1370" s="29">
        <v>260</v>
      </c>
      <c r="C1370" s="29" t="s">
        <v>4554</v>
      </c>
      <c r="D1370" s="29" t="s">
        <v>715</v>
      </c>
      <c r="E1370" s="29" t="s">
        <v>724</v>
      </c>
      <c r="F1370" s="29" t="s">
        <v>663</v>
      </c>
      <c r="G1370" s="29" t="s">
        <v>659</v>
      </c>
      <c r="H1370" s="29" t="str">
        <f t="shared" si="379"/>
        <v>Pio XII</v>
      </c>
      <c r="K1370" s="29" t="s">
        <v>827</v>
      </c>
      <c r="L1370" s="29" t="str">
        <f t="shared" si="376"/>
        <v>Discorso</v>
      </c>
      <c r="M1370" s="29" t="s">
        <v>566</v>
      </c>
      <c r="O1370" s="29" t="s">
        <v>5046</v>
      </c>
      <c r="Q1370" s="38">
        <v>21273</v>
      </c>
      <c r="R1370" s="32">
        <f t="shared" si="386"/>
        <v>29</v>
      </c>
      <c r="S1370" s="32"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32">
        <f t="shared" si="387"/>
        <v>1958</v>
      </c>
      <c r="U1370" s="29"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3"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9"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9">
        <v>1397</v>
      </c>
      <c r="Y1370" s="29" t="str">
        <f t="shared" si="380"/>
        <v>['Pio XII', 'Discorso', 'Ai dirigenti e agli operai dei calzaturifici di Vigevano', 'pixii-dis-', '29 marzo 1958', '29/03/1958', '1958/03/29'],</v>
      </c>
      <c r="Z1370" s="29" t="str">
        <f t="shared" si="381"/>
        <v>Ai dirigenti e agli operai dei calzaturifici di Vigevano (21273) | Pio XII</v>
      </c>
      <c r="AA1370" s="29" t="str">
        <f t="shared" si="382"/>
        <v>Discorso Ai dirigenti e agli operai dei calzaturifici di Vigevano</v>
      </c>
      <c r="AB1370" s="29" t="str">
        <f t="shared" si="383"/>
        <v>Discorso Ai dirigenti e agli operai dei calzaturifici di Vigevano</v>
      </c>
      <c r="AC1370" s="29" t="str">
        <f t="shared" si="384"/>
        <v>Pio XII, Discorso Ai dirigenti e agli operai dei calzaturifici di Vigevano, 29 marzo 1958</v>
      </c>
      <c r="AD1370" s="29" t="str">
        <f t="shared" si="385"/>
        <v>1958-03-29T08:00:00.000+02:00</v>
      </c>
      <c r="AE1370" s="29" t="str">
        <f t="shared" si="377"/>
        <v>pixii-dis-</v>
      </c>
      <c r="AF1370" s="29" t="str">
        <f t="shared" si="378"/>
        <v>Pio XII - Discorso - Ai dirigenti e agli operai dei calzaturifici di Vigevano</v>
      </c>
    </row>
    <row r="1371" spans="2:32" x14ac:dyDescent="0.2">
      <c r="B1371" s="29">
        <v>260</v>
      </c>
      <c r="C1371" s="29" t="s">
        <v>4555</v>
      </c>
      <c r="D1371" s="29" t="s">
        <v>715</v>
      </c>
      <c r="E1371" s="29" t="s">
        <v>724</v>
      </c>
      <c r="F1371" s="29" t="s">
        <v>663</v>
      </c>
      <c r="G1371" s="29" t="s">
        <v>659</v>
      </c>
      <c r="H1371" s="29" t="str">
        <f t="shared" si="379"/>
        <v>Pio XII</v>
      </c>
      <c r="K1371" s="29" t="s">
        <v>827</v>
      </c>
      <c r="L1371" s="29" t="str">
        <f t="shared" si="376"/>
        <v>Discorso</v>
      </c>
      <c r="M1371" s="29" t="s">
        <v>566</v>
      </c>
      <c r="O1371" s="29" t="s">
        <v>5047</v>
      </c>
      <c r="Q1371" s="38">
        <v>21274</v>
      </c>
      <c r="R1371" s="32">
        <f t="shared" si="386"/>
        <v>30</v>
      </c>
      <c r="S1371" s="32"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32">
        <f t="shared" si="387"/>
        <v>1958</v>
      </c>
      <c r="U1371" s="29"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3"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9"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9">
        <v>1398</v>
      </c>
      <c r="Y1371" s="29" t="str">
        <f t="shared" si="380"/>
        <v>['Pio XII', 'Discorso', 'Alle famiglie dei caduti e dei dispersi in guerra', 'pixii-dis-', '30 marzo 1958', '30/03/1958', '1958/03/30'],</v>
      </c>
      <c r="Z1371" s="29" t="str">
        <f t="shared" si="381"/>
        <v>Alle famiglie dei caduti e dei dispersi in guerra (21274) | Pio XII</v>
      </c>
      <c r="AA1371" s="29" t="str">
        <f t="shared" si="382"/>
        <v>Discorso Alle famiglie dei caduti e dei dispersi in guerra</v>
      </c>
      <c r="AB1371" s="29" t="str">
        <f t="shared" si="383"/>
        <v>Discorso Alle famiglie dei caduti e dei dispersi in guerra</v>
      </c>
      <c r="AC1371" s="29" t="str">
        <f t="shared" si="384"/>
        <v>Pio XII, Discorso Alle famiglie dei caduti e dei dispersi in guerra, 30 marzo 1958</v>
      </c>
      <c r="AD1371" s="29" t="str">
        <f t="shared" si="385"/>
        <v>1958-03-30T08:00:00.000+02:00</v>
      </c>
      <c r="AE1371" s="29" t="str">
        <f t="shared" si="377"/>
        <v>pixii-dis-</v>
      </c>
      <c r="AF1371" s="29" t="str">
        <f t="shared" si="378"/>
        <v>Pio XII - Discorso - Alle famiglie dei caduti e dei dispersi in guerra</v>
      </c>
    </row>
    <row r="1372" spans="2:32" x14ac:dyDescent="0.2">
      <c r="B1372" s="29">
        <v>260</v>
      </c>
      <c r="C1372" s="29" t="s">
        <v>4556</v>
      </c>
      <c r="D1372" s="29" t="s">
        <v>715</v>
      </c>
      <c r="E1372" s="29" t="s">
        <v>724</v>
      </c>
      <c r="F1372" s="29" t="s">
        <v>663</v>
      </c>
      <c r="G1372" s="29" t="s">
        <v>659</v>
      </c>
      <c r="H1372" s="29" t="str">
        <f t="shared" si="379"/>
        <v>Pio XII</v>
      </c>
      <c r="K1372" s="29" t="s">
        <v>827</v>
      </c>
      <c r="L1372" s="29" t="str">
        <f t="shared" si="376"/>
        <v>Discorso</v>
      </c>
      <c r="M1372" s="29" t="s">
        <v>566</v>
      </c>
      <c r="O1372" s="29" t="s">
        <v>5048</v>
      </c>
      <c r="Q1372" s="38">
        <v>21291</v>
      </c>
      <c r="R1372" s="32">
        <f t="shared" si="386"/>
        <v>16</v>
      </c>
      <c r="S1372" s="32"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32">
        <f t="shared" si="387"/>
        <v>1958</v>
      </c>
      <c r="U1372" s="29"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3"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9"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9">
        <v>1399</v>
      </c>
      <c r="Y1372" s="29" t="str">
        <f t="shared" si="380"/>
        <v>['Pio XII', 'Discorso', 'Ai partecipanti al XII Congresso dei Coltivatori Diretti', 'pixii-dis-', '16 aprile 1958', '16/04/1958', '1958/04/16'],</v>
      </c>
      <c r="Z1372" s="29" t="str">
        <f t="shared" si="381"/>
        <v>Ai partecipanti al XII Congresso dei Coltivatori Diretti (21291) | Pio XII</v>
      </c>
      <c r="AA1372" s="29" t="str">
        <f t="shared" si="382"/>
        <v>Discorso Ai partecipanti al XII Congresso dei Coltivatori Diretti</v>
      </c>
      <c r="AB1372" s="29" t="str">
        <f t="shared" si="383"/>
        <v>Discorso Ai partecipanti al XII Congresso dei Coltivatori Diretti</v>
      </c>
      <c r="AC1372" s="29" t="str">
        <f t="shared" si="384"/>
        <v>Pio XII, Discorso Ai partecipanti al XII Congresso dei Coltivatori Diretti, 16 aprile 1958</v>
      </c>
      <c r="AD1372" s="29" t="str">
        <f t="shared" si="385"/>
        <v>1958-04-16T08:00:00.000+02:00</v>
      </c>
      <c r="AE1372" s="29" t="str">
        <f t="shared" si="377"/>
        <v>pixii-dis-</v>
      </c>
      <c r="AF1372" s="29" t="str">
        <f t="shared" si="378"/>
        <v>Pio XII - Discorso - Ai partecipanti al XII Congresso dei Coltivatori Diretti</v>
      </c>
    </row>
    <row r="1373" spans="2:32" x14ac:dyDescent="0.2">
      <c r="B1373" s="29">
        <v>260</v>
      </c>
      <c r="C1373" s="29" t="s">
        <v>4557</v>
      </c>
      <c r="D1373" s="29" t="s">
        <v>715</v>
      </c>
      <c r="E1373" s="29" t="s">
        <v>724</v>
      </c>
      <c r="F1373" s="29" t="s">
        <v>663</v>
      </c>
      <c r="G1373" s="29" t="s">
        <v>659</v>
      </c>
      <c r="H1373" s="29" t="str">
        <f t="shared" si="379"/>
        <v>Pio XII</v>
      </c>
      <c r="K1373" s="29" t="s">
        <v>827</v>
      </c>
      <c r="L1373" s="29" t="str">
        <f t="shared" si="376"/>
        <v>Discorso</v>
      </c>
      <c r="M1373" s="29" t="s">
        <v>566</v>
      </c>
      <c r="O1373" s="29" t="s">
        <v>5049</v>
      </c>
      <c r="Q1373" s="38">
        <v>21299</v>
      </c>
      <c r="R1373" s="32">
        <f t="shared" si="386"/>
        <v>24</v>
      </c>
      <c r="S1373" s="32"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32">
        <f t="shared" si="387"/>
        <v>1958</v>
      </c>
      <c r="U1373" s="29"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3"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9"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9">
        <v>1400</v>
      </c>
      <c r="Y1373" s="29" t="str">
        <f t="shared" si="380"/>
        <v>['Pio XII', 'Discorso', 'Radiomessaggio in occasione dell'incoronazione della Vergine SS.ma di Bonaria', 'pixii-dis-', '24 aprile 1958', '24/04/1958', '1958/04/24'],</v>
      </c>
      <c r="Z1373" s="29" t="str">
        <f t="shared" si="381"/>
        <v>Radiomessaggio in occasione dell'incoronazione della Vergine SS.ma di Bonaria (21299) | Pio XII</v>
      </c>
      <c r="AA1373" s="29" t="str">
        <f t="shared" si="382"/>
        <v>Discorso Radiomessaggio in occasione dell'incoronazione della Vergine SS.ma di Bonaria</v>
      </c>
      <c r="AB1373" s="29" t="str">
        <f t="shared" si="383"/>
        <v>Discorso Radiomessaggio in occasione dell'incoronazione della Vergine SS.ma di Bonaria</v>
      </c>
      <c r="AC1373" s="29" t="str">
        <f t="shared" si="384"/>
        <v>Pio XII, Discorso Radiomessaggio in occasione dell'incoronazione della Vergine SS.ma di Bonaria, 24 aprile 1958</v>
      </c>
      <c r="AD1373" s="29" t="str">
        <f t="shared" si="385"/>
        <v>1958-04-24T08:00:00.000+02:00</v>
      </c>
      <c r="AE1373" s="29" t="str">
        <f t="shared" si="377"/>
        <v>pixii-dis-</v>
      </c>
      <c r="AF1373" s="29" t="str">
        <f t="shared" si="378"/>
        <v>Pio XII - Discorso - Radiomessaggio in occasione dell'incoronazione della Vergine SS.ma di Bonaria</v>
      </c>
    </row>
    <row r="1374" spans="2:32" x14ac:dyDescent="0.2">
      <c r="B1374" s="29">
        <v>260</v>
      </c>
      <c r="C1374" s="29" t="s">
        <v>4558</v>
      </c>
      <c r="D1374" s="29" t="s">
        <v>715</v>
      </c>
      <c r="E1374" s="29" t="s">
        <v>724</v>
      </c>
      <c r="F1374" s="29" t="s">
        <v>663</v>
      </c>
      <c r="G1374" s="29" t="s">
        <v>659</v>
      </c>
      <c r="H1374" s="29" t="str">
        <f t="shared" si="379"/>
        <v>Pio XII</v>
      </c>
      <c r="K1374" s="29" t="s">
        <v>827</v>
      </c>
      <c r="L1374" s="29" t="str">
        <f t="shared" si="376"/>
        <v>Discorso</v>
      </c>
      <c r="M1374" s="29" t="s">
        <v>566</v>
      </c>
      <c r="O1374" s="29" t="s">
        <v>5050</v>
      </c>
      <c r="Q1374" s="38">
        <v>21301</v>
      </c>
      <c r="R1374" s="32">
        <f t="shared" si="386"/>
        <v>26</v>
      </c>
      <c r="S1374" s="32"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32">
        <f t="shared" si="387"/>
        <v>1958</v>
      </c>
      <c r="U1374" s="29"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3"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9"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9">
        <v>1401</v>
      </c>
      <c r="Y1374" s="29" t="str">
        <f t="shared" si="380"/>
        <v>['Pio XII', 'Discorso', 'Alle partecipanti al IV Convegno Nazionale della Federazione delle Congregazioni Mariane Femminili d'Italia', 'pixii-dis-', '26 aprile 1958', '26/04/1958', '1958/04/26'],</v>
      </c>
      <c r="Z1374" s="29" t="str">
        <f t="shared" si="381"/>
        <v>Alle partecipanti al IV Convegno Nazionale della Federazione delle Congregazioni Mariane Femminili d'Italia (21301) | Pio XII</v>
      </c>
      <c r="AA1374" s="29" t="str">
        <f t="shared" si="382"/>
        <v>Discorso Alle partecipanti al IV Convegno Nazionale della Federazione delle Congregazioni Mariane Femminili d'Italia</v>
      </c>
      <c r="AB1374" s="29" t="str">
        <f t="shared" si="383"/>
        <v>Discorso Alle partecipanti al IV Convegno Nazionale della Federazione delle Congregazioni Mariane Femminili d'Italia</v>
      </c>
      <c r="AC1374" s="29" t="str">
        <f t="shared" si="384"/>
        <v>Pio XII, Discorso Alle partecipanti al IV Convegno Nazionale della Federazione delle Congregazioni Mariane Femminili d'Italia, 26 aprile 1958</v>
      </c>
      <c r="AD1374" s="29" t="str">
        <f t="shared" si="385"/>
        <v>1958-04-26T08:00:00.000+02:00</v>
      </c>
      <c r="AE1374" s="29" t="str">
        <f t="shared" si="377"/>
        <v>pixii-dis-</v>
      </c>
      <c r="AF1374" s="29" t="str">
        <f t="shared" si="378"/>
        <v>Pio XII - Discorso - Alle partecipanti al IV Convegno Nazionale della Federazione delle Congregazioni Mariane Femminili d'Italia</v>
      </c>
    </row>
    <row r="1375" spans="2:32" x14ac:dyDescent="0.2">
      <c r="B1375" s="29">
        <v>260</v>
      </c>
      <c r="C1375" s="29" t="s">
        <v>4559</v>
      </c>
      <c r="D1375" s="29" t="s">
        <v>715</v>
      </c>
      <c r="E1375" s="29" t="s">
        <v>724</v>
      </c>
      <c r="F1375" s="29" t="s">
        <v>663</v>
      </c>
      <c r="G1375" s="29" t="s">
        <v>659</v>
      </c>
      <c r="H1375" s="29" t="str">
        <f t="shared" si="379"/>
        <v>Pio XII</v>
      </c>
      <c r="K1375" s="29" t="s">
        <v>827</v>
      </c>
      <c r="L1375" s="29" t="str">
        <f t="shared" si="376"/>
        <v>Discorso</v>
      </c>
      <c r="M1375" s="29" t="s">
        <v>566</v>
      </c>
      <c r="O1375" s="29" t="s">
        <v>5051</v>
      </c>
      <c r="Q1375" s="38">
        <v>21304</v>
      </c>
      <c r="R1375" s="32">
        <f t="shared" si="386"/>
        <v>29</v>
      </c>
      <c r="S1375" s="32"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32">
        <f t="shared" si="387"/>
        <v>1958</v>
      </c>
      <c r="U1375" s="29"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3"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9"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9">
        <v>1402</v>
      </c>
      <c r="Y1375" s="29" t="str">
        <f t="shared" si="380"/>
        <v>['Pio XII', 'Discorso', 'Ai Dirigenti dell'Ente Nazionale per l'Assistenza agli Orfani dei Lavoratori Italiani, in occasione del X anniversario di attività', 'pixii-dis-', '29 aprile 1958', '29/04/1958', '1958/04/29'],</v>
      </c>
      <c r="Z1375" s="29" t="str">
        <f t="shared" si="381"/>
        <v>Ai Dirigenti dell'Ente Nazionale per l'Assistenza agli Orfani dei Lavoratori Italiani, in occasione del X anniversario di attività (21304) | Pio XII</v>
      </c>
      <c r="AA1375" s="29" t="str">
        <f t="shared" si="382"/>
        <v>Discorso Ai Dirigenti dell'Ente Nazionale per l'Assistenza agli Orfani dei Lavoratori Italiani, in occasione del X anniversario di attività</v>
      </c>
      <c r="AB1375" s="29" t="str">
        <f t="shared" si="383"/>
        <v>Discorso Ai Dirigenti dell'Ente Nazionale per l'Assistenza agli Orfani dei Lavoratori Italiani, in occasione del X anniversario di attività</v>
      </c>
      <c r="AC1375" s="29" t="str">
        <f t="shared" si="384"/>
        <v>Pio XII, Discorso Ai Dirigenti dell'Ente Nazionale per l'Assistenza agli Orfani dei Lavoratori Italiani, in occasione del X anniversario di attività, 29 aprile 1958</v>
      </c>
      <c r="AD1375" s="29" t="str">
        <f t="shared" si="385"/>
        <v>1958-04-29T08:00:00.000+02:00</v>
      </c>
      <c r="AE1375" s="29" t="str">
        <f t="shared" si="377"/>
        <v>pixii-dis-</v>
      </c>
      <c r="AF1375" s="29" t="str">
        <f t="shared" si="378"/>
        <v>Pio XII - Discorso - Ai Dirigenti dell'Ente Nazionale per l'Assistenza agli Orfani dei Lavoratori Italiani, in occasione del X anniversario di attività</v>
      </c>
    </row>
    <row r="1376" spans="2:32" x14ac:dyDescent="0.2">
      <c r="B1376" s="29">
        <v>260</v>
      </c>
      <c r="C1376" s="29" t="s">
        <v>4560</v>
      </c>
      <c r="D1376" s="29" t="s">
        <v>715</v>
      </c>
      <c r="E1376" s="29" t="s">
        <v>724</v>
      </c>
      <c r="F1376" s="29" t="s">
        <v>663</v>
      </c>
      <c r="G1376" s="29" t="s">
        <v>659</v>
      </c>
      <c r="H1376" s="29" t="str">
        <f t="shared" si="379"/>
        <v>Pio XII</v>
      </c>
      <c r="K1376" s="29" t="s">
        <v>827</v>
      </c>
      <c r="L1376" s="29" t="str">
        <f t="shared" si="376"/>
        <v>Discorso</v>
      </c>
      <c r="M1376" s="29" t="s">
        <v>566</v>
      </c>
      <c r="O1376" s="29" t="s">
        <v>5052</v>
      </c>
      <c r="Q1376" s="38">
        <v>21306</v>
      </c>
      <c r="R1376" s="32">
        <f t="shared" si="386"/>
        <v>1</v>
      </c>
      <c r="S1376" s="32"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32">
        <f t="shared" si="387"/>
        <v>1958</v>
      </c>
      <c r="U1376" s="29"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3"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9"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9">
        <v>1403</v>
      </c>
      <c r="Y1376" s="29" t="str">
        <f t="shared" si="380"/>
        <v>['Pio XII', 'Discorso', 'Ad una rappresentanza delle ACLI', 'pixii-dis-', '01 maggio 1958', '01/05/1958', '1958/05/01'],</v>
      </c>
      <c r="Z1376" s="29" t="str">
        <f t="shared" si="381"/>
        <v>Ad una rappresentanza delle ACLI (21306) | Pio XII</v>
      </c>
      <c r="AA1376" s="29" t="str">
        <f t="shared" si="382"/>
        <v>Discorso Ad una rappresentanza delle ACLI</v>
      </c>
      <c r="AB1376" s="29" t="str">
        <f t="shared" si="383"/>
        <v>Discorso Ad una rappresentanza delle ACLI</v>
      </c>
      <c r="AC1376" s="29" t="str">
        <f t="shared" si="384"/>
        <v>Pio XII, Discorso Ad una rappresentanza delle ACLI, 01 maggio 1958</v>
      </c>
      <c r="AD1376" s="29" t="str">
        <f t="shared" si="385"/>
        <v>1958-05-01T08:00:00.000+02:00</v>
      </c>
      <c r="AE1376" s="29" t="str">
        <f t="shared" si="377"/>
        <v>pixii-dis-</v>
      </c>
      <c r="AF1376" s="29" t="str">
        <f t="shared" si="378"/>
        <v>Pio XII - Discorso - Ad una rappresentanza delle ACLI</v>
      </c>
    </row>
    <row r="1377" spans="2:32" x14ac:dyDescent="0.2">
      <c r="B1377" s="29">
        <v>260</v>
      </c>
      <c r="C1377" s="29" t="s">
        <v>4561</v>
      </c>
      <c r="D1377" s="29" t="s">
        <v>715</v>
      </c>
      <c r="E1377" s="29" t="s">
        <v>724</v>
      </c>
      <c r="F1377" s="29" t="s">
        <v>663</v>
      </c>
      <c r="G1377" s="29" t="s">
        <v>659</v>
      </c>
      <c r="H1377" s="29" t="str">
        <f t="shared" si="379"/>
        <v>Pio XII</v>
      </c>
      <c r="K1377" s="29" t="s">
        <v>827</v>
      </c>
      <c r="L1377" s="29" t="str">
        <f t="shared" si="376"/>
        <v>Discorso</v>
      </c>
      <c r="M1377" s="29" t="s">
        <v>566</v>
      </c>
      <c r="O1377" s="29" t="s">
        <v>5053</v>
      </c>
      <c r="Q1377" s="38">
        <v>21309</v>
      </c>
      <c r="R1377" s="32">
        <f t="shared" si="386"/>
        <v>4</v>
      </c>
      <c r="S1377" s="32"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32">
        <f t="shared" si="387"/>
        <v>1958</v>
      </c>
      <c r="U1377" s="29"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3"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9"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9">
        <v>1404</v>
      </c>
      <c r="Y1377" s="29" t="str">
        <f t="shared" si="380"/>
        <v>['Pio XII', 'Discorso', 'Ad un pellegrinaggio di lavoratori degli stabilimenti Ilva di Bagnoli', 'pixii-dis-', '04 maggio 1958', '04/05/1958', '1958/05/04'],</v>
      </c>
      <c r="Z1377" s="29" t="str">
        <f t="shared" si="381"/>
        <v>Ad un pellegrinaggio di lavoratori degli stabilimenti Ilva di Bagnoli (21309) | Pio XII</v>
      </c>
      <c r="AA1377" s="29" t="str">
        <f t="shared" si="382"/>
        <v>Discorso Ad un pellegrinaggio di lavoratori degli stabilimenti Ilva di Bagnoli</v>
      </c>
      <c r="AB1377" s="29" t="str">
        <f t="shared" si="383"/>
        <v>Discorso Ad un pellegrinaggio di lavoratori degli stabilimenti Ilva di Bagnoli</v>
      </c>
      <c r="AC1377" s="29" t="str">
        <f t="shared" si="384"/>
        <v>Pio XII, Discorso Ad un pellegrinaggio di lavoratori degli stabilimenti Ilva di Bagnoli, 04 maggio 1958</v>
      </c>
      <c r="AD1377" s="29" t="str">
        <f t="shared" si="385"/>
        <v>1958-05-04T08:00:00.000+02:00</v>
      </c>
      <c r="AE1377" s="29" t="str">
        <f t="shared" si="377"/>
        <v>pixii-dis-</v>
      </c>
      <c r="AF1377" s="29" t="str">
        <f t="shared" si="378"/>
        <v>Pio XII - Discorso - Ad un pellegrinaggio di lavoratori degli stabilimenti Ilva di Bagnoli</v>
      </c>
    </row>
    <row r="1378" spans="2:32" x14ac:dyDescent="0.2">
      <c r="B1378" s="29">
        <v>260</v>
      </c>
      <c r="C1378" s="29" t="s">
        <v>4562</v>
      </c>
      <c r="D1378" s="29" t="s">
        <v>715</v>
      </c>
      <c r="E1378" s="29" t="s">
        <v>724</v>
      </c>
      <c r="F1378" s="29" t="s">
        <v>663</v>
      </c>
      <c r="G1378" s="29" t="s">
        <v>659</v>
      </c>
      <c r="H1378" s="29" t="str">
        <f t="shared" si="379"/>
        <v>Pio XII</v>
      </c>
      <c r="K1378" s="29" t="s">
        <v>827</v>
      </c>
      <c r="L1378" s="29" t="str">
        <f t="shared" si="376"/>
        <v>Discorso</v>
      </c>
      <c r="M1378" s="29" t="s">
        <v>566</v>
      </c>
      <c r="O1378" s="29" t="s">
        <v>5054</v>
      </c>
      <c r="Q1378" s="38">
        <v>21326</v>
      </c>
      <c r="R1378" s="32">
        <f t="shared" si="386"/>
        <v>21</v>
      </c>
      <c r="S1378" s="32"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32">
        <f t="shared" si="387"/>
        <v>1958</v>
      </c>
      <c r="U1378" s="29"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3"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9"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9">
        <v>1405</v>
      </c>
      <c r="Y1378" s="29" t="str">
        <f t="shared" si="380"/>
        <v>['Pio XII', 'Discorso', 'Alle appartenenti alla Sezione di Roma del Patronato per l'Assistenza Spirituale alle Forze Armate d'Italia', 'pixii-dis-', '21 maggio 1958', '21/05/1958', '1958/05/21'],</v>
      </c>
      <c r="Z1378" s="29" t="str">
        <f t="shared" si="381"/>
        <v>Alle appartenenti alla Sezione di Roma del Patronato per l'Assistenza Spirituale alle Forze Armate d'Italia (21326) | Pio XII</v>
      </c>
      <c r="AA1378" s="29" t="str">
        <f t="shared" si="382"/>
        <v>Discorso Alle appartenenti alla Sezione di Roma del Patronato per l'Assistenza Spirituale alle Forze Armate d'Italia</v>
      </c>
      <c r="AB1378" s="29" t="str">
        <f t="shared" si="383"/>
        <v>Discorso Alle appartenenti alla Sezione di Roma del Patronato per l'Assistenza Spirituale alle Forze Armate d'Italia</v>
      </c>
      <c r="AC1378" s="29" t="str">
        <f t="shared" si="384"/>
        <v>Pio XII, Discorso Alle appartenenti alla Sezione di Roma del Patronato per l'Assistenza Spirituale alle Forze Armate d'Italia, 21 maggio 1958</v>
      </c>
      <c r="AD1378" s="29" t="str">
        <f t="shared" si="385"/>
        <v>1958-05-21T08:00:00.000+02:00</v>
      </c>
      <c r="AE1378" s="29" t="str">
        <f t="shared" si="377"/>
        <v>pixii-dis-</v>
      </c>
      <c r="AF1378" s="29" t="str">
        <f t="shared" si="378"/>
        <v>Pio XII - Discorso - Alle appartenenti alla Sezione di Roma del Patronato per l'Assistenza Spirituale alle Forze Armate d'Italia</v>
      </c>
    </row>
    <row r="1379" spans="2:32" x14ac:dyDescent="0.2">
      <c r="B1379" s="29">
        <v>260</v>
      </c>
      <c r="C1379" s="29" t="s">
        <v>4563</v>
      </c>
      <c r="D1379" s="29" t="s">
        <v>715</v>
      </c>
      <c r="E1379" s="29" t="s">
        <v>724</v>
      </c>
      <c r="F1379" s="29" t="s">
        <v>663</v>
      </c>
      <c r="G1379" s="29" t="s">
        <v>659</v>
      </c>
      <c r="H1379" s="29" t="str">
        <f t="shared" si="379"/>
        <v>Pio XII</v>
      </c>
      <c r="K1379" s="29" t="s">
        <v>827</v>
      </c>
      <c r="L1379" s="29" t="str">
        <f t="shared" si="376"/>
        <v>Discorso</v>
      </c>
      <c r="M1379" s="29" t="s">
        <v>566</v>
      </c>
      <c r="O1379" s="29" t="s">
        <v>5055</v>
      </c>
      <c r="Q1379" s="38">
        <v>21358</v>
      </c>
      <c r="R1379" s="32">
        <f t="shared" si="386"/>
        <v>22</v>
      </c>
      <c r="S1379" s="32"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32">
        <f t="shared" si="387"/>
        <v>1958</v>
      </c>
      <c r="U1379" s="29"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3"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9"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9">
        <v>1406</v>
      </c>
      <c r="Y1379" s="29" t="str">
        <f t="shared" si="380"/>
        <v>['Pio XII', 'Discorso', 'Ai partecipanti al II Congresso della Federazione Italiana Mediatori e Agenti di Affari', 'pixii-dis-', '22 giugno 1958', '22/06/1958', '1958/06/22'],</v>
      </c>
      <c r="Z1379" s="29" t="str">
        <f t="shared" si="381"/>
        <v>Ai partecipanti al II Congresso della Federazione Italiana Mediatori e Agenti di Affari (21358) | Pio XII</v>
      </c>
      <c r="AA1379" s="29" t="str">
        <f t="shared" si="382"/>
        <v>Discorso Ai partecipanti al II Congresso della Federazione Italiana Mediatori e Agenti di Affari</v>
      </c>
      <c r="AB1379" s="29" t="str">
        <f t="shared" si="383"/>
        <v>Discorso Ai partecipanti al II Congresso della Federazione Italiana Mediatori e Agenti di Affari</v>
      </c>
      <c r="AC1379" s="29" t="str">
        <f t="shared" si="384"/>
        <v>Pio XII, Discorso Ai partecipanti al II Congresso della Federazione Italiana Mediatori e Agenti di Affari, 22 giugno 1958</v>
      </c>
      <c r="AD1379" s="29" t="str">
        <f t="shared" si="385"/>
        <v>1958-06-22T08:00:00.000+02:00</v>
      </c>
      <c r="AE1379" s="29" t="str">
        <f t="shared" si="377"/>
        <v>pixii-dis-</v>
      </c>
      <c r="AF1379" s="29" t="str">
        <f t="shared" si="378"/>
        <v>Pio XII - Discorso - Ai partecipanti al II Congresso della Federazione Italiana Mediatori e Agenti di Affari</v>
      </c>
    </row>
    <row r="1380" spans="2:32" x14ac:dyDescent="0.2">
      <c r="B1380" s="29">
        <v>260</v>
      </c>
      <c r="C1380" s="29" t="s">
        <v>4564</v>
      </c>
      <c r="D1380" s="29" t="s">
        <v>715</v>
      </c>
      <c r="E1380" s="29" t="s">
        <v>724</v>
      </c>
      <c r="F1380" s="29" t="s">
        <v>663</v>
      </c>
      <c r="G1380" s="29" t="s">
        <v>659</v>
      </c>
      <c r="H1380" s="29" t="str">
        <f t="shared" si="379"/>
        <v>Pio XII</v>
      </c>
      <c r="K1380" s="29" t="s">
        <v>827</v>
      </c>
      <c r="L1380" s="29" t="str">
        <f t="shared" si="376"/>
        <v>Discorso</v>
      </c>
      <c r="M1380" s="29" t="s">
        <v>566</v>
      </c>
      <c r="O1380" s="29" t="s">
        <v>5056</v>
      </c>
      <c r="Q1380" s="38">
        <v>21368</v>
      </c>
      <c r="R1380" s="32">
        <f t="shared" si="386"/>
        <v>2</v>
      </c>
      <c r="S1380" s="32"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32">
        <f t="shared" si="387"/>
        <v>1958</v>
      </c>
      <c r="U1380" s="29"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3"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9"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9">
        <v>1407</v>
      </c>
      <c r="Y1380" s="29" t="str">
        <f t="shared" si="380"/>
        <v>['Pio XII', 'Discorso', 'Nel 50 della Unione donne di Azione Cattolica', 'pixii-dis-', '02 luglio 1958', '02/07/1958', '1958/07/02'],</v>
      </c>
      <c r="Z1380" s="29" t="str">
        <f t="shared" si="381"/>
        <v>Nel 50 della Unione donne di Azione Cattolica (21368) | Pio XII</v>
      </c>
      <c r="AA1380" s="29" t="str">
        <f t="shared" si="382"/>
        <v>Discorso Nel 50 della Unione donne di Azione Cattolica</v>
      </c>
      <c r="AB1380" s="29" t="str">
        <f t="shared" si="383"/>
        <v>Discorso Nel 50 della Unione donne di Azione Cattolica</v>
      </c>
      <c r="AC1380" s="29" t="str">
        <f t="shared" si="384"/>
        <v>Pio XII, Discorso Nel 50 della Unione donne di Azione Cattolica, 02 luglio 1958</v>
      </c>
      <c r="AD1380" s="29" t="str">
        <f t="shared" si="385"/>
        <v>1958-07-02T08:00:00.000+02:00</v>
      </c>
      <c r="AE1380" s="29" t="str">
        <f t="shared" si="377"/>
        <v>pixii-dis-</v>
      </c>
      <c r="AF1380" s="29" t="str">
        <f t="shared" si="378"/>
        <v>Pio XII - Discorso - Nel 50 della Unione donne di Azione Cattolica</v>
      </c>
    </row>
    <row r="1381" spans="2:32" x14ac:dyDescent="0.2">
      <c r="B1381" s="29">
        <v>260</v>
      </c>
      <c r="C1381" s="29" t="s">
        <v>4565</v>
      </c>
      <c r="D1381" s="29" t="s">
        <v>715</v>
      </c>
      <c r="E1381" s="29" t="s">
        <v>724</v>
      </c>
      <c r="F1381" s="29" t="s">
        <v>663</v>
      </c>
      <c r="G1381" s="29" t="s">
        <v>659</v>
      </c>
      <c r="H1381" s="29" t="str">
        <f t="shared" si="379"/>
        <v>Pio XII</v>
      </c>
      <c r="K1381" s="29" t="s">
        <v>827</v>
      </c>
      <c r="L1381" s="29" t="str">
        <f t="shared" si="376"/>
        <v>Discorso</v>
      </c>
      <c r="M1381" s="29" t="s">
        <v>566</v>
      </c>
      <c r="O1381" s="29" t="s">
        <v>5057</v>
      </c>
      <c r="Q1381" s="38">
        <v>21379</v>
      </c>
      <c r="R1381" s="32">
        <f t="shared" si="386"/>
        <v>13</v>
      </c>
      <c r="S1381" s="32"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32">
        <f t="shared" si="387"/>
        <v>1958</v>
      </c>
      <c r="U1381" s="29"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3"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9"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9">
        <v>1408</v>
      </c>
      <c r="Y1381" s="29" t="str">
        <f t="shared" si="380"/>
        <v>['Pio XII', 'Discorso', 'Alle giovani convenute a Roma in occasione del quarantennio della Gioventù Femminile di Azione Cattolica Italiana', 'pixii-dis-', '13 luglio 1958', '13/07/1958', '1958/07/13'],</v>
      </c>
      <c r="Z1381" s="29" t="str">
        <f t="shared" si="381"/>
        <v>Alle giovani convenute a Roma in occasione del quarantennio della Gioventù Femminile di Azione Cattolica Italiana (21379) | Pio XII</v>
      </c>
      <c r="AA1381" s="29" t="str">
        <f t="shared" si="382"/>
        <v>Discorso Alle giovani convenute a Roma in occasione del quarantennio della Gioventù Femminile di Azione Cattolica Italiana</v>
      </c>
      <c r="AB1381" s="29" t="str">
        <f t="shared" si="383"/>
        <v>Discorso Alle giovani convenute a Roma in occasione del quarantennio della Gioventù Femminile di Azione Cattolica Italiana</v>
      </c>
      <c r="AC1381" s="29" t="str">
        <f t="shared" si="384"/>
        <v>Pio XII, Discorso Alle giovani convenute a Roma in occasione del quarantennio della Gioventù Femminile di Azione Cattolica Italiana, 13 luglio 1958</v>
      </c>
      <c r="AD1381" s="29" t="str">
        <f t="shared" si="385"/>
        <v>1958-07-13T08:00:00.000+02:00</v>
      </c>
      <c r="AE1381" s="29" t="str">
        <f t="shared" si="377"/>
        <v>pixii-dis-</v>
      </c>
      <c r="AF1381" s="29" t="str">
        <f t="shared" si="378"/>
        <v>Pio XII - Discorso - Alle giovani convenute a Roma in occasione del quarantennio della Gioventù Femminile di Azione Cattolica Italiana</v>
      </c>
    </row>
    <row r="1382" spans="2:32" x14ac:dyDescent="0.2">
      <c r="B1382" s="29">
        <v>260</v>
      </c>
      <c r="C1382" s="29" t="s">
        <v>4566</v>
      </c>
      <c r="D1382" s="29" t="s">
        <v>715</v>
      </c>
      <c r="E1382" s="29" t="s">
        <v>724</v>
      </c>
      <c r="F1382" s="29" t="s">
        <v>663</v>
      </c>
      <c r="G1382" s="29" t="s">
        <v>659</v>
      </c>
      <c r="H1382" s="29" t="str">
        <f t="shared" si="379"/>
        <v>Pio XII</v>
      </c>
      <c r="K1382" s="29" t="s">
        <v>827</v>
      </c>
      <c r="L1382" s="29" t="str">
        <f t="shared" ref="L1382:L1445" si="388">IF(J1382&lt;&gt;"",_xlfn.CONCAT(J1382 &amp; " " &amp; K1382),K1382)</f>
        <v>Discorso</v>
      </c>
      <c r="M1382" s="29" t="s">
        <v>566</v>
      </c>
      <c r="O1382" s="29" t="s">
        <v>5058</v>
      </c>
      <c r="Q1382" s="38">
        <v>21416</v>
      </c>
      <c r="R1382" s="32">
        <f t="shared" si="386"/>
        <v>19</v>
      </c>
      <c r="S1382" s="32"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32">
        <f t="shared" si="387"/>
        <v>1958</v>
      </c>
      <c r="U1382" s="29"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3"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9"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9">
        <v>1409</v>
      </c>
      <c r="Y1382" s="29" t="str">
        <f t="shared" si="380"/>
        <v>['Pio XII', 'Discorso', 'preparata dal Santo Padre in occasione della ricorrenza del cinquantesimo anniversario della fondazione del Seminario Regionale delle Puglie', 'pixii-dis-', '19 agosto 1958', '19/08/1958', '1958/08/19'],</v>
      </c>
      <c r="Z1382" s="29" t="str">
        <f t="shared" si="381"/>
        <v>preparata dal Santo Padre in occasione della ricorrenza del cinquantesimo anniversario della fondazione del Seminario Regionale delle Puglie (21416) | Pio XII</v>
      </c>
      <c r="AA1382" s="29" t="str">
        <f t="shared" si="382"/>
        <v>Discorso preparata dal Santo Padre in occasione della ricorrenza del cinquantesimo anniversario della fondazione del Seminario Regionale delle Puglie</v>
      </c>
      <c r="AB1382" s="29" t="str">
        <f t="shared" si="383"/>
        <v>Discorso preparata dal Santo Padre in occasione della ricorrenza del cinquantesimo anniversario della fondazione del Seminario Regionale delle Puglie</v>
      </c>
      <c r="AC1382" s="29" t="str">
        <f t="shared" si="384"/>
        <v>Pio XII, Discorso preparata dal Santo Padre in occasione della ricorrenza del cinquantesimo anniversario della fondazione del Seminario Regionale delle Puglie, 19 agosto 1958</v>
      </c>
      <c r="AD1382" s="29" t="str">
        <f t="shared" si="385"/>
        <v>1958-08-19T08:00:00.000+02:00</v>
      </c>
      <c r="AE1382" s="29" t="str">
        <f t="shared" si="377"/>
        <v>pixii-dis-</v>
      </c>
      <c r="AF1382" s="29" t="str">
        <f t="shared" si="378"/>
        <v>Pio XII - Discorso - preparata dal Santo Padre in occasione della ricorrenza del cinquantesimo anniversario della fondazione del Seminario Regionale delle Puglie</v>
      </c>
    </row>
    <row r="1383" spans="2:32" x14ac:dyDescent="0.2">
      <c r="B1383" s="29">
        <v>260</v>
      </c>
      <c r="C1383" s="29" t="s">
        <v>4567</v>
      </c>
      <c r="D1383" s="29" t="s">
        <v>715</v>
      </c>
      <c r="E1383" s="29" t="s">
        <v>724</v>
      </c>
      <c r="F1383" s="29" t="s">
        <v>663</v>
      </c>
      <c r="G1383" s="29" t="s">
        <v>659</v>
      </c>
      <c r="H1383" s="29" t="str">
        <f t="shared" si="379"/>
        <v>Pio XII</v>
      </c>
      <c r="K1383" s="29" t="s">
        <v>827</v>
      </c>
      <c r="L1383" s="29" t="str">
        <f t="shared" si="388"/>
        <v>Discorso</v>
      </c>
      <c r="M1383" s="29" t="s">
        <v>566</v>
      </c>
      <c r="O1383" s="29" t="s">
        <v>5059</v>
      </c>
      <c r="Q1383" s="38">
        <v>21416</v>
      </c>
      <c r="R1383" s="32">
        <f t="shared" si="386"/>
        <v>19</v>
      </c>
      <c r="S1383" s="32"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32">
        <f t="shared" si="387"/>
        <v>1958</v>
      </c>
      <c r="U1383" s="29"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3"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9"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9">
        <v>1410</v>
      </c>
      <c r="Y1383" s="29" t="str">
        <f t="shared" si="380"/>
        <v>['Pio XII', 'Discorso', 'commemorativo preparato dal Santo Padre in occasione di una solenne commemorazione di Papa Benedetto XIV', 'pixii-dis-', '19 agosto 1958', '19/08/1958', '1958/08/19'],</v>
      </c>
      <c r="Z1383" s="29" t="str">
        <f t="shared" si="381"/>
        <v>commemorativo preparato dal Santo Padre in occasione di una solenne commemorazione di Papa Benedetto XIV (21416) | Pio XII</v>
      </c>
      <c r="AA1383" s="29" t="str">
        <f t="shared" si="382"/>
        <v>Discorso commemorativo preparato dal Santo Padre in occasione di una solenne commemorazione di Papa Benedetto XIV</v>
      </c>
      <c r="AB1383" s="29" t="str">
        <f t="shared" si="383"/>
        <v>Discorso commemorativo preparato dal Santo Padre in occasione di una solenne commemorazione di Papa Benedetto XIV</v>
      </c>
      <c r="AC1383" s="29" t="str">
        <f t="shared" si="384"/>
        <v>Pio XII, Discorso commemorativo preparato dal Santo Padre in occasione di una solenne commemorazione di Papa Benedetto XIV, 19 agosto 1958</v>
      </c>
      <c r="AD1383" s="29" t="str">
        <f t="shared" si="385"/>
        <v>1958-08-19T08:00:00.000+02:00</v>
      </c>
      <c r="AE1383" s="29" t="str">
        <f t="shared" ref="AE1383:AE1446" si="389">_xlfn.CONCAT(F1383 &amp; "-" &amp; M1383 &amp; "-" &amp; P1383)</f>
        <v>pixii-dis-</v>
      </c>
      <c r="AF1383" s="29" t="str">
        <f t="shared" ref="AF1383:AF1446" si="390">_xlfn.CONCAT(H1383 &amp; " - " &amp; L1383 &amp; " - " &amp; O1383)</f>
        <v>Pio XII - Discorso - commemorativo preparato dal Santo Padre in occasione di una solenne commemorazione di Papa Benedetto XIV</v>
      </c>
    </row>
    <row r="1384" spans="2:32" x14ac:dyDescent="0.2">
      <c r="B1384" s="29">
        <v>260</v>
      </c>
      <c r="C1384" s="29" t="s">
        <v>4568</v>
      </c>
      <c r="D1384" s="29" t="s">
        <v>715</v>
      </c>
      <c r="E1384" s="29" t="s">
        <v>724</v>
      </c>
      <c r="F1384" s="29" t="s">
        <v>663</v>
      </c>
      <c r="G1384" s="29" t="s">
        <v>659</v>
      </c>
      <c r="H1384" s="29" t="str">
        <f t="shared" si="379"/>
        <v>Pio XII</v>
      </c>
      <c r="K1384" s="29" t="s">
        <v>827</v>
      </c>
      <c r="L1384" s="29" t="str">
        <f t="shared" si="388"/>
        <v>Discorso</v>
      </c>
      <c r="M1384" s="29" t="s">
        <v>566</v>
      </c>
      <c r="O1384" s="29" t="s">
        <v>5060</v>
      </c>
      <c r="Q1384" s="38">
        <v>21460</v>
      </c>
      <c r="R1384" s="32">
        <f t="shared" si="386"/>
        <v>2</v>
      </c>
      <c r="S1384" s="32"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32">
        <f t="shared" si="387"/>
        <v>1958</v>
      </c>
      <c r="U1384" s="29"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3"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9"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9">
        <v>1411</v>
      </c>
      <c r="Y1384" s="29" t="str">
        <f t="shared" si="380"/>
        <v>['Pio XII', 'Discorso', 'Ai partecipanti al Congresso dei Concessionari delle Librerie di Stazione', 'pixii-dis-', '02 ottobre 1958', '02/10/1958', '1958/10/02'],</v>
      </c>
      <c r="Z1384" s="29" t="str">
        <f t="shared" si="381"/>
        <v>Ai partecipanti al Congresso dei Concessionari delle Librerie di Stazione (21460) | Pio XII</v>
      </c>
      <c r="AA1384" s="29" t="str">
        <f t="shared" si="382"/>
        <v>Discorso Ai partecipanti al Congresso dei Concessionari delle Librerie di Stazione</v>
      </c>
      <c r="AB1384" s="29" t="str">
        <f t="shared" si="383"/>
        <v>Discorso Ai partecipanti al Congresso dei Concessionari delle Librerie di Stazione</v>
      </c>
      <c r="AC1384" s="29" t="str">
        <f t="shared" si="384"/>
        <v>Pio XII, Discorso Ai partecipanti al Congresso dei Concessionari delle Librerie di Stazione, 02 ottobre 1958</v>
      </c>
      <c r="AD1384" s="29" t="str">
        <f t="shared" si="385"/>
        <v>1958-10-02T08:00:00.000+02:00</v>
      </c>
      <c r="AE1384" s="29" t="str">
        <f t="shared" si="389"/>
        <v>pixii-dis-</v>
      </c>
      <c r="AF1384" s="29" t="str">
        <f t="shared" si="390"/>
        <v>Pio XII - Discorso - Ai partecipanti al Congresso dei Concessionari delle Librerie di Stazione</v>
      </c>
    </row>
    <row r="1385" spans="2:32" x14ac:dyDescent="0.2">
      <c r="B1385" s="29">
        <v>260</v>
      </c>
      <c r="C1385" s="29" t="s">
        <v>4569</v>
      </c>
      <c r="D1385" s="29" t="s">
        <v>715</v>
      </c>
      <c r="E1385" s="29" t="s">
        <v>724</v>
      </c>
      <c r="F1385" s="29" t="s">
        <v>663</v>
      </c>
      <c r="G1385" s="29" t="s">
        <v>659</v>
      </c>
      <c r="H1385" s="29" t="str">
        <f t="shared" si="379"/>
        <v>Pio XII</v>
      </c>
      <c r="K1385" s="29" t="s">
        <v>827</v>
      </c>
      <c r="L1385" s="29" t="str">
        <f t="shared" si="388"/>
        <v>Discorso</v>
      </c>
      <c r="M1385" s="29" t="s">
        <v>566</v>
      </c>
      <c r="O1385" s="29" t="s">
        <v>5061</v>
      </c>
      <c r="Q1385" s="38">
        <v>21462</v>
      </c>
      <c r="R1385" s="32">
        <f t="shared" si="386"/>
        <v>4</v>
      </c>
      <c r="S1385" s="32"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32">
        <f t="shared" si="387"/>
        <v>1958</v>
      </c>
      <c r="U1385" s="29"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3"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9"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9">
        <v>1412</v>
      </c>
      <c r="Y1385" s="29" t="str">
        <f t="shared" si="380"/>
        <v>['Pio XII', 'Discorso', 'Ai partecipanti al X Congresso Nazionale della Società Italiana di Chirurgia Plastica', 'pixii-dis-', '04 ottobre 1958', '04/10/1958', '1958/10/04'],</v>
      </c>
      <c r="Z1385" s="29" t="str">
        <f t="shared" si="381"/>
        <v>Ai partecipanti al X Congresso Nazionale della Società Italiana di Chirurgia Plastica (21462) | Pio XII</v>
      </c>
      <c r="AA1385" s="29" t="str">
        <f t="shared" si="382"/>
        <v>Discorso Ai partecipanti al X Congresso Nazionale della Società Italiana di Chirurgia Plastica</v>
      </c>
      <c r="AB1385" s="29" t="str">
        <f t="shared" si="383"/>
        <v>Discorso Ai partecipanti al X Congresso Nazionale della Società Italiana di Chirurgia Plastica</v>
      </c>
      <c r="AC1385" s="29" t="str">
        <f t="shared" si="384"/>
        <v>Pio XII, Discorso Ai partecipanti al X Congresso Nazionale della Società Italiana di Chirurgia Plastica, 04 ottobre 1958</v>
      </c>
      <c r="AD1385" s="29" t="str">
        <f t="shared" si="385"/>
        <v>1958-10-04T08:00:00.000+02:00</v>
      </c>
      <c r="AE1385" s="29" t="str">
        <f t="shared" si="389"/>
        <v>pixii-dis-</v>
      </c>
      <c r="AF1385" s="29" t="str">
        <f t="shared" si="390"/>
        <v>Pio XII - Discorso - Ai partecipanti al X Congresso Nazionale della Società Italiana di Chirurgia Plastica</v>
      </c>
    </row>
    <row r="1386" spans="2:32" x14ac:dyDescent="0.2">
      <c r="B1386" s="29">
        <v>261</v>
      </c>
      <c r="D1386" s="29" t="s">
        <v>744</v>
      </c>
      <c r="E1386" s="29" t="s">
        <v>740</v>
      </c>
      <c r="H1386" s="29" t="str">
        <f t="shared" ref="H1386:H1439" si="391">_xlfn.CONCAT(D1386 &amp; " " &amp; E1386)</f>
        <v>Giovanni XXIII</v>
      </c>
      <c r="L1386" s="29">
        <f t="shared" si="388"/>
        <v>0</v>
      </c>
      <c r="Q1386" s="38"/>
      <c r="R1386" s="32">
        <f t="shared" si="386"/>
        <v>0</v>
      </c>
      <c r="S1386" s="32" t="str">
        <f>IF(ISERROR(DAY(Q1386)),TEXT(MATCH(TRIM(SUBSTITUTE(SUBSTITUTE(SUBSTITUTE(SUBSTITUTE(SUBSTITUTE(SUBSTITUTE(SUBSTITUTE(SUBSTITUTE(SUBSTITUTE(SUBSTITUTE(SUBSTITUTE(Q1386,1,""),2,""),3,""),4,""),5,""),6,""),7,""),8,""),9,""),0,""),"-","")),{"gennaio","febbraio","marzo","aprile","maggio","giugno","luglio","agosto","settembre","ottobre","novembre","dicembre"},0),"00"),TEXT(MONTH(Q1386)*29,"mmmm"))</f>
        <v>gennaio</v>
      </c>
      <c r="T1386" s="32">
        <f t="shared" si="387"/>
        <v>1900</v>
      </c>
      <c r="U1386" s="29"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00/01/1900</v>
      </c>
      <c r="V1386" s="33"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1900/01/00</v>
      </c>
      <c r="W1386" s="29"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00 gennaio 1900</v>
      </c>
      <c r="X1386" s="29">
        <v>1413</v>
      </c>
      <c r="Y1386" s="29" t="str">
        <f t="shared" si="380"/>
        <v>['Giovanni XXIII', '', '', '--', '00 gennaio 1900', '00/01/1900', '1900/01/00'],</v>
      </c>
      <c r="Z1386" s="29" t="str">
        <f t="shared" si="381"/>
        <v xml:space="preserve"> () | Giovanni XXIII</v>
      </c>
      <c r="AA1386" s="29" t="str">
        <f t="shared" si="382"/>
        <v xml:space="preserve"> </v>
      </c>
      <c r="AB1386" s="29" t="str">
        <f t="shared" si="383"/>
        <v xml:space="preserve"> </v>
      </c>
      <c r="AC1386" s="29" t="str">
        <f t="shared" si="384"/>
        <v>Giovanni XXIII, 0 , 00 gennaio 1900</v>
      </c>
      <c r="AD1386" s="29" t="str">
        <f t="shared" si="385"/>
        <v>1900-01-00T08:00:00.000+02:00</v>
      </c>
      <c r="AE1386" s="29" t="str">
        <f t="shared" si="389"/>
        <v>--</v>
      </c>
      <c r="AF1386" s="29" t="str">
        <f t="shared" si="390"/>
        <v xml:space="preserve">Giovanni XXIII - 0 - </v>
      </c>
    </row>
    <row r="1387" spans="2:32" x14ac:dyDescent="0.2">
      <c r="H1387" s="29" t="str">
        <f t="shared" si="391"/>
        <v xml:space="preserve"> </v>
      </c>
      <c r="L1387" s="29">
        <f t="shared" si="388"/>
        <v>0</v>
      </c>
      <c r="Q1387" s="38"/>
      <c r="R1387" s="32">
        <f t="shared" si="386"/>
        <v>0</v>
      </c>
      <c r="S1387" s="32" t="str">
        <f>IF(ISERROR(DAY(Q1387)),TEXT(MATCH(TRIM(SUBSTITUTE(SUBSTITUTE(SUBSTITUTE(SUBSTITUTE(SUBSTITUTE(SUBSTITUTE(SUBSTITUTE(SUBSTITUTE(SUBSTITUTE(SUBSTITUTE(SUBSTITUTE(Q1387,1,""),2,""),3,""),4,""),5,""),6,""),7,""),8,""),9,""),0,""),"-","")),{"gennaio","febbraio","marzo","aprile","maggio","giugno","luglio","agosto","settembre","ottobre","novembre","dicembre"},0),"00"),TEXT(MONTH(Q1387)*29,"mmmm"))</f>
        <v>gennaio</v>
      </c>
      <c r="T1387" s="32">
        <f t="shared" si="387"/>
        <v>1900</v>
      </c>
      <c r="U1387" s="29"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00/01/1900</v>
      </c>
      <c r="V1387" s="33"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1900/01/00</v>
      </c>
      <c r="W1387" s="29"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00 gennaio 1900</v>
      </c>
      <c r="X1387" s="29">
        <v>1414</v>
      </c>
      <c r="Y1387" s="29" t="str">
        <f t="shared" si="380"/>
        <v>[' ', '', '', '--', '00 gennaio 1900', '00/01/1900', '1900/01/00'],</v>
      </c>
      <c r="Z1387" s="29" t="str">
        <f t="shared" si="381"/>
        <v xml:space="preserve"> () |  </v>
      </c>
      <c r="AA1387" s="29" t="str">
        <f t="shared" si="382"/>
        <v xml:space="preserve"> </v>
      </c>
      <c r="AB1387" s="29" t="str">
        <f t="shared" si="383"/>
        <v xml:space="preserve"> </v>
      </c>
      <c r="AC1387" s="29" t="str">
        <f t="shared" si="384"/>
        <v xml:space="preserve"> , 0 , 00 gennaio 1900</v>
      </c>
      <c r="AD1387" s="29" t="str">
        <f t="shared" si="385"/>
        <v>1900-01-00T08:00:00.000+02:00</v>
      </c>
      <c r="AE1387" s="29" t="str">
        <f t="shared" si="389"/>
        <v>--</v>
      </c>
      <c r="AF1387" s="29" t="str">
        <f t="shared" si="390"/>
        <v xml:space="preserve">  - 0 - </v>
      </c>
    </row>
    <row r="1388" spans="2:32" x14ac:dyDescent="0.2">
      <c r="H1388" s="29" t="str">
        <f t="shared" si="391"/>
        <v xml:space="preserve"> </v>
      </c>
      <c r="L1388" s="29">
        <f t="shared" si="388"/>
        <v>0</v>
      </c>
      <c r="Q1388" s="38"/>
      <c r="R1388" s="32">
        <f t="shared" si="386"/>
        <v>0</v>
      </c>
      <c r="S1388" s="32" t="str">
        <f>IF(ISERROR(DAY(Q1388)),TEXT(MATCH(TRIM(SUBSTITUTE(SUBSTITUTE(SUBSTITUTE(SUBSTITUTE(SUBSTITUTE(SUBSTITUTE(SUBSTITUTE(SUBSTITUTE(SUBSTITUTE(SUBSTITUTE(SUBSTITUTE(Q1388,1,""),2,""),3,""),4,""),5,""),6,""),7,""),8,""),9,""),0,""),"-","")),{"gennaio","febbraio","marzo","aprile","maggio","giugno","luglio","agosto","settembre","ottobre","novembre","dicembre"},0),"00"),TEXT(MONTH(Q1388)*29,"mmmm"))</f>
        <v>gennaio</v>
      </c>
      <c r="T1388" s="32">
        <f t="shared" si="387"/>
        <v>1900</v>
      </c>
      <c r="U1388" s="29"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00/01/1900</v>
      </c>
      <c r="V1388" s="33"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1900/01/00</v>
      </c>
      <c r="W1388" s="29"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00 gennaio 1900</v>
      </c>
      <c r="X1388" s="29">
        <v>1415</v>
      </c>
      <c r="Y1388" s="29" t="str">
        <f t="shared" si="380"/>
        <v>[' ', '', '', '--', '00 gennaio 1900', '00/01/1900', '1900/01/00'],</v>
      </c>
      <c r="Z1388" s="29" t="str">
        <f t="shared" si="381"/>
        <v xml:space="preserve"> () |  </v>
      </c>
      <c r="AA1388" s="29" t="str">
        <f t="shared" si="382"/>
        <v xml:space="preserve"> </v>
      </c>
      <c r="AB1388" s="29" t="str">
        <f t="shared" si="383"/>
        <v xml:space="preserve"> </v>
      </c>
      <c r="AC1388" s="29" t="str">
        <f t="shared" si="384"/>
        <v xml:space="preserve"> , 0 , 00 gennaio 1900</v>
      </c>
      <c r="AD1388" s="29" t="str">
        <f t="shared" si="385"/>
        <v>1900-01-00T08:00:00.000+02:00</v>
      </c>
      <c r="AE1388" s="29" t="str">
        <f t="shared" si="389"/>
        <v>--</v>
      </c>
      <c r="AF1388" s="29" t="str">
        <f t="shared" si="390"/>
        <v xml:space="preserve">  - 0 - </v>
      </c>
    </row>
    <row r="1389" spans="2:32" x14ac:dyDescent="0.2">
      <c r="H1389" s="29" t="str">
        <f t="shared" si="391"/>
        <v xml:space="preserve"> </v>
      </c>
      <c r="L1389" s="29">
        <f t="shared" si="388"/>
        <v>0</v>
      </c>
      <c r="Q1389" s="38"/>
      <c r="R1389" s="32">
        <f t="shared" si="386"/>
        <v>0</v>
      </c>
      <c r="S1389" s="32" t="str">
        <f>IF(ISERROR(DAY(Q1389)),TEXT(MATCH(TRIM(SUBSTITUTE(SUBSTITUTE(SUBSTITUTE(SUBSTITUTE(SUBSTITUTE(SUBSTITUTE(SUBSTITUTE(SUBSTITUTE(SUBSTITUTE(SUBSTITUTE(SUBSTITUTE(Q1389,1,""),2,""),3,""),4,""),5,""),6,""),7,""),8,""),9,""),0,""),"-","")),{"gennaio","febbraio","marzo","aprile","maggio","giugno","luglio","agosto","settembre","ottobre","novembre","dicembre"},0),"00"),TEXT(MONTH(Q1389)*29,"mmmm"))</f>
        <v>gennaio</v>
      </c>
      <c r="T1389" s="32">
        <f t="shared" si="387"/>
        <v>1900</v>
      </c>
      <c r="U1389" s="29"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00/01/1900</v>
      </c>
      <c r="V1389" s="33"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1900/01/00</v>
      </c>
      <c r="W1389" s="29"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00 gennaio 1900</v>
      </c>
      <c r="X1389" s="29">
        <v>1416</v>
      </c>
      <c r="Y1389" s="29" t="str">
        <f t="shared" si="380"/>
        <v>[' ', '', '', '--', '00 gennaio 1900', '00/01/1900', '1900/01/00'],</v>
      </c>
      <c r="Z1389" s="29" t="str">
        <f t="shared" si="381"/>
        <v xml:space="preserve"> () |  </v>
      </c>
      <c r="AA1389" s="29" t="str">
        <f t="shared" si="382"/>
        <v xml:space="preserve"> </v>
      </c>
      <c r="AB1389" s="29" t="str">
        <f t="shared" si="383"/>
        <v xml:space="preserve"> </v>
      </c>
      <c r="AC1389" s="29" t="str">
        <f t="shared" si="384"/>
        <v xml:space="preserve"> , 0 , 00 gennaio 1900</v>
      </c>
      <c r="AD1389" s="29" t="str">
        <f t="shared" si="385"/>
        <v>1900-01-00T08:00:00.000+02:00</v>
      </c>
      <c r="AE1389" s="29" t="str">
        <f t="shared" si="389"/>
        <v>--</v>
      </c>
      <c r="AF1389" s="29" t="str">
        <f t="shared" si="390"/>
        <v xml:space="preserve">  - 0 - </v>
      </c>
    </row>
    <row r="1390" spans="2:32" x14ac:dyDescent="0.2">
      <c r="H1390" s="29" t="str">
        <f t="shared" si="391"/>
        <v xml:space="preserve"> </v>
      </c>
      <c r="L1390" s="29">
        <f t="shared" si="388"/>
        <v>0</v>
      </c>
      <c r="Q1390" s="38"/>
      <c r="R1390" s="32">
        <f t="shared" si="386"/>
        <v>0</v>
      </c>
      <c r="S1390" s="32" t="str">
        <f>IF(ISERROR(DAY(Q1390)),TEXT(MATCH(TRIM(SUBSTITUTE(SUBSTITUTE(SUBSTITUTE(SUBSTITUTE(SUBSTITUTE(SUBSTITUTE(SUBSTITUTE(SUBSTITUTE(SUBSTITUTE(SUBSTITUTE(SUBSTITUTE(Q1390,1,""),2,""),3,""),4,""),5,""),6,""),7,""),8,""),9,""),0,""),"-","")),{"gennaio","febbraio","marzo","aprile","maggio","giugno","luglio","agosto","settembre","ottobre","novembre","dicembre"},0),"00"),TEXT(MONTH(Q1390)*29,"mmmm"))</f>
        <v>gennaio</v>
      </c>
      <c r="T1390" s="32">
        <f t="shared" si="387"/>
        <v>1900</v>
      </c>
      <c r="U1390" s="29"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00/01/1900</v>
      </c>
      <c r="V1390" s="33"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1900/01/00</v>
      </c>
      <c r="W1390" s="29"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00 gennaio 1900</v>
      </c>
      <c r="X1390" s="29">
        <v>1417</v>
      </c>
      <c r="Y1390" s="29" t="str">
        <f t="shared" si="380"/>
        <v>[' ', '', '', '--', '00 gennaio 1900', '00/01/1900', '1900/01/00'],</v>
      </c>
      <c r="Z1390" s="29" t="str">
        <f t="shared" si="381"/>
        <v xml:space="preserve"> () |  </v>
      </c>
      <c r="AA1390" s="29" t="str">
        <f t="shared" si="382"/>
        <v xml:space="preserve"> </v>
      </c>
      <c r="AB1390" s="29" t="str">
        <f t="shared" si="383"/>
        <v xml:space="preserve"> </v>
      </c>
      <c r="AC1390" s="29" t="str">
        <f t="shared" si="384"/>
        <v xml:space="preserve"> , 0 , 00 gennaio 1900</v>
      </c>
      <c r="AD1390" s="29" t="str">
        <f t="shared" si="385"/>
        <v>1900-01-00T08:00:00.000+02:00</v>
      </c>
      <c r="AE1390" s="29" t="str">
        <f t="shared" si="389"/>
        <v>--</v>
      </c>
      <c r="AF1390" s="29" t="str">
        <f t="shared" si="390"/>
        <v xml:space="preserve">  - 0 - </v>
      </c>
    </row>
    <row r="1391" spans="2:32" x14ac:dyDescent="0.2">
      <c r="H1391" s="29" t="str">
        <f t="shared" si="391"/>
        <v xml:space="preserve"> </v>
      </c>
      <c r="L1391" s="29">
        <f t="shared" si="388"/>
        <v>0</v>
      </c>
      <c r="Q1391" s="38"/>
      <c r="R1391" s="32">
        <f t="shared" si="386"/>
        <v>0</v>
      </c>
      <c r="S1391" s="32" t="str">
        <f>IF(ISERROR(DAY(Q1391)),TEXT(MATCH(TRIM(SUBSTITUTE(SUBSTITUTE(SUBSTITUTE(SUBSTITUTE(SUBSTITUTE(SUBSTITUTE(SUBSTITUTE(SUBSTITUTE(SUBSTITUTE(SUBSTITUTE(SUBSTITUTE(Q1391,1,""),2,""),3,""),4,""),5,""),6,""),7,""),8,""),9,""),0,""),"-","")),{"gennaio","febbraio","marzo","aprile","maggio","giugno","luglio","agosto","settembre","ottobre","novembre","dicembre"},0),"00"),TEXT(MONTH(Q1391)*29,"mmmm"))</f>
        <v>gennaio</v>
      </c>
      <c r="T1391" s="32">
        <f t="shared" si="387"/>
        <v>1900</v>
      </c>
      <c r="U1391" s="29"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00/01/1900</v>
      </c>
      <c r="V1391" s="33"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1900/01/00</v>
      </c>
      <c r="W1391" s="29"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00 gennaio 1900</v>
      </c>
      <c r="X1391" s="29">
        <v>1418</v>
      </c>
      <c r="Y1391" s="29" t="str">
        <f t="shared" si="380"/>
        <v>[' ', '', '', '--', '00 gennaio 1900', '00/01/1900', '1900/01/00'],</v>
      </c>
      <c r="Z1391" s="29" t="str">
        <f t="shared" si="381"/>
        <v xml:space="preserve"> () |  </v>
      </c>
      <c r="AA1391" s="29" t="str">
        <f t="shared" si="382"/>
        <v xml:space="preserve"> </v>
      </c>
      <c r="AB1391" s="29" t="str">
        <f t="shared" si="383"/>
        <v xml:space="preserve"> </v>
      </c>
      <c r="AC1391" s="29" t="str">
        <f t="shared" si="384"/>
        <v xml:space="preserve"> , 0 , 00 gennaio 1900</v>
      </c>
      <c r="AD1391" s="29" t="str">
        <f t="shared" si="385"/>
        <v>1900-01-00T08:00:00.000+02:00</v>
      </c>
      <c r="AE1391" s="29" t="str">
        <f t="shared" si="389"/>
        <v>--</v>
      </c>
      <c r="AF1391" s="29" t="str">
        <f t="shared" si="390"/>
        <v xml:space="preserve">  - 0 - </v>
      </c>
    </row>
    <row r="1392" spans="2:32" x14ac:dyDescent="0.2">
      <c r="H1392" s="29" t="str">
        <f t="shared" si="391"/>
        <v xml:space="preserve"> </v>
      </c>
      <c r="L1392" s="29">
        <f t="shared" si="388"/>
        <v>0</v>
      </c>
      <c r="Q1392" s="38"/>
      <c r="R1392" s="32">
        <f t="shared" si="386"/>
        <v>0</v>
      </c>
      <c r="S1392" s="32" t="str">
        <f>IF(ISERROR(DAY(Q1392)),TEXT(MATCH(TRIM(SUBSTITUTE(SUBSTITUTE(SUBSTITUTE(SUBSTITUTE(SUBSTITUTE(SUBSTITUTE(SUBSTITUTE(SUBSTITUTE(SUBSTITUTE(SUBSTITUTE(SUBSTITUTE(Q1392,1,""),2,""),3,""),4,""),5,""),6,""),7,""),8,""),9,""),0,""),"-","")),{"gennaio","febbraio","marzo","aprile","maggio","giugno","luglio","agosto","settembre","ottobre","novembre","dicembre"},0),"00"),TEXT(MONTH(Q1392)*29,"mmmm"))</f>
        <v>gennaio</v>
      </c>
      <c r="T1392" s="32">
        <f t="shared" si="387"/>
        <v>1900</v>
      </c>
      <c r="U1392" s="29"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00/01/1900</v>
      </c>
      <c r="V1392" s="33"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1900/01/00</v>
      </c>
      <c r="W1392" s="29"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00 gennaio 1900</v>
      </c>
      <c r="X1392" s="29">
        <v>1419</v>
      </c>
      <c r="Y1392" s="29" t="str">
        <f t="shared" si="380"/>
        <v>[' ', '', '', '--', '00 gennaio 1900', '00/01/1900', '1900/01/00'],</v>
      </c>
      <c r="Z1392" s="29" t="str">
        <f t="shared" si="381"/>
        <v xml:space="preserve"> () |  </v>
      </c>
      <c r="AA1392" s="29" t="str">
        <f t="shared" si="382"/>
        <v xml:space="preserve"> </v>
      </c>
      <c r="AB1392" s="29" t="str">
        <f t="shared" si="383"/>
        <v xml:space="preserve"> </v>
      </c>
      <c r="AC1392" s="29" t="str">
        <f t="shared" si="384"/>
        <v xml:space="preserve"> , 0 , 00 gennaio 1900</v>
      </c>
      <c r="AD1392" s="29" t="str">
        <f t="shared" si="385"/>
        <v>1900-01-00T08:00:00.000+02:00</v>
      </c>
      <c r="AE1392" s="29" t="str">
        <f t="shared" si="389"/>
        <v>--</v>
      </c>
      <c r="AF1392" s="29" t="str">
        <f t="shared" si="390"/>
        <v xml:space="preserve">  - 0 - </v>
      </c>
    </row>
    <row r="1393" spans="8:32" x14ac:dyDescent="0.2">
      <c r="H1393" s="29" t="str">
        <f t="shared" si="391"/>
        <v xml:space="preserve"> </v>
      </c>
      <c r="L1393" s="29">
        <f t="shared" si="388"/>
        <v>0</v>
      </c>
      <c r="Q1393" s="38"/>
      <c r="R1393" s="32">
        <f t="shared" si="386"/>
        <v>0</v>
      </c>
      <c r="S1393" s="32" t="str">
        <f>IF(ISERROR(DAY(Q1393)),TEXT(MATCH(TRIM(SUBSTITUTE(SUBSTITUTE(SUBSTITUTE(SUBSTITUTE(SUBSTITUTE(SUBSTITUTE(SUBSTITUTE(SUBSTITUTE(SUBSTITUTE(SUBSTITUTE(SUBSTITUTE(Q1393,1,""),2,""),3,""),4,""),5,""),6,""),7,""),8,""),9,""),0,""),"-","")),{"gennaio","febbraio","marzo","aprile","maggio","giugno","luglio","agosto","settembre","ottobre","novembre","dicembre"},0),"00"),TEXT(MONTH(Q1393)*29,"mmmm"))</f>
        <v>gennaio</v>
      </c>
      <c r="T1393" s="32">
        <f t="shared" si="387"/>
        <v>1900</v>
      </c>
      <c r="U1393" s="29"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00/01/1900</v>
      </c>
      <c r="V1393" s="33"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1900/01/00</v>
      </c>
      <c r="W1393" s="29"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00 gennaio 1900</v>
      </c>
      <c r="X1393" s="29">
        <v>1420</v>
      </c>
      <c r="Y1393" s="29" t="str">
        <f t="shared" si="380"/>
        <v>[' ', '', '', '--', '00 gennaio 1900', '00/01/1900', '1900/01/00'],</v>
      </c>
      <c r="Z1393" s="29" t="str">
        <f t="shared" si="381"/>
        <v xml:space="preserve"> () |  </v>
      </c>
      <c r="AA1393" s="29" t="str">
        <f t="shared" si="382"/>
        <v xml:space="preserve"> </v>
      </c>
      <c r="AB1393" s="29" t="str">
        <f t="shared" si="383"/>
        <v xml:space="preserve"> </v>
      </c>
      <c r="AC1393" s="29" t="str">
        <f t="shared" si="384"/>
        <v xml:space="preserve"> , 0 , 00 gennaio 1900</v>
      </c>
      <c r="AD1393" s="29" t="str">
        <f t="shared" si="385"/>
        <v>1900-01-00T08:00:00.000+02:00</v>
      </c>
      <c r="AE1393" s="29" t="str">
        <f t="shared" si="389"/>
        <v>--</v>
      </c>
      <c r="AF1393" s="29" t="str">
        <f t="shared" si="390"/>
        <v xml:space="preserve">  - 0 - </v>
      </c>
    </row>
    <row r="1394" spans="8:32" x14ac:dyDescent="0.2">
      <c r="H1394" s="29" t="str">
        <f t="shared" si="391"/>
        <v xml:space="preserve"> </v>
      </c>
      <c r="L1394" s="29">
        <f t="shared" si="388"/>
        <v>0</v>
      </c>
      <c r="Q1394" s="38"/>
      <c r="R1394" s="32">
        <f t="shared" si="386"/>
        <v>0</v>
      </c>
      <c r="S1394" s="32" t="str">
        <f>IF(ISERROR(DAY(Q1394)),TEXT(MATCH(TRIM(SUBSTITUTE(SUBSTITUTE(SUBSTITUTE(SUBSTITUTE(SUBSTITUTE(SUBSTITUTE(SUBSTITUTE(SUBSTITUTE(SUBSTITUTE(SUBSTITUTE(SUBSTITUTE(Q1394,1,""),2,""),3,""),4,""),5,""),6,""),7,""),8,""),9,""),0,""),"-","")),{"gennaio","febbraio","marzo","aprile","maggio","giugno","luglio","agosto","settembre","ottobre","novembre","dicembre"},0),"00"),TEXT(MONTH(Q1394)*29,"mmmm"))</f>
        <v>gennaio</v>
      </c>
      <c r="T1394" s="32">
        <f t="shared" si="387"/>
        <v>1900</v>
      </c>
      <c r="U1394" s="29"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00/01/1900</v>
      </c>
      <c r="V1394" s="33"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1900/01/00</v>
      </c>
      <c r="W1394" s="29"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00 gennaio 1900</v>
      </c>
      <c r="X1394" s="29">
        <v>1421</v>
      </c>
      <c r="Y1394" s="29" t="str">
        <f t="shared" si="380"/>
        <v>[' ', '', '', '--', '00 gennaio 1900', '00/01/1900', '1900/01/00'],</v>
      </c>
      <c r="Z1394" s="29" t="str">
        <f t="shared" si="381"/>
        <v xml:space="preserve"> () |  </v>
      </c>
      <c r="AA1394" s="29" t="str">
        <f t="shared" si="382"/>
        <v xml:space="preserve"> </v>
      </c>
      <c r="AB1394" s="29" t="str">
        <f t="shared" si="383"/>
        <v xml:space="preserve"> </v>
      </c>
      <c r="AC1394" s="29" t="str">
        <f t="shared" si="384"/>
        <v xml:space="preserve"> , 0 , 00 gennaio 1900</v>
      </c>
      <c r="AD1394" s="29" t="str">
        <f t="shared" si="385"/>
        <v>1900-01-00T08:00:00.000+02:00</v>
      </c>
      <c r="AE1394" s="29" t="str">
        <f t="shared" si="389"/>
        <v>--</v>
      </c>
      <c r="AF1394" s="29" t="str">
        <f t="shared" si="390"/>
        <v xml:space="preserve">  - 0 - </v>
      </c>
    </row>
    <row r="1395" spans="8:32" x14ac:dyDescent="0.2">
      <c r="H1395" s="29" t="str">
        <f t="shared" si="391"/>
        <v xml:space="preserve"> </v>
      </c>
      <c r="L1395" s="29">
        <f t="shared" si="388"/>
        <v>0</v>
      </c>
      <c r="Q1395" s="38"/>
      <c r="R1395" s="32">
        <f t="shared" si="386"/>
        <v>0</v>
      </c>
      <c r="S1395" s="32" t="str">
        <f>IF(ISERROR(DAY(Q1395)),TEXT(MATCH(TRIM(SUBSTITUTE(SUBSTITUTE(SUBSTITUTE(SUBSTITUTE(SUBSTITUTE(SUBSTITUTE(SUBSTITUTE(SUBSTITUTE(SUBSTITUTE(SUBSTITUTE(SUBSTITUTE(Q1395,1,""),2,""),3,""),4,""),5,""),6,""),7,""),8,""),9,""),0,""),"-","")),{"gennaio","febbraio","marzo","aprile","maggio","giugno","luglio","agosto","settembre","ottobre","novembre","dicembre"},0),"00"),TEXT(MONTH(Q1395)*29,"mmmm"))</f>
        <v>gennaio</v>
      </c>
      <c r="T1395" s="32">
        <f t="shared" si="387"/>
        <v>1900</v>
      </c>
      <c r="U1395" s="29"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00/01/1900</v>
      </c>
      <c r="V1395" s="33"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1900/01/00</v>
      </c>
      <c r="W1395" s="29"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00 gennaio 1900</v>
      </c>
      <c r="X1395" s="29">
        <v>1422</v>
      </c>
      <c r="Y1395" s="29" t="str">
        <f t="shared" si="380"/>
        <v>[' ', '', '', '--', '00 gennaio 1900', '00/01/1900', '1900/01/00'],</v>
      </c>
      <c r="Z1395" s="29" t="str">
        <f t="shared" si="381"/>
        <v xml:space="preserve"> () |  </v>
      </c>
      <c r="AA1395" s="29" t="str">
        <f t="shared" si="382"/>
        <v xml:space="preserve"> </v>
      </c>
      <c r="AB1395" s="29" t="str">
        <f t="shared" si="383"/>
        <v xml:space="preserve"> </v>
      </c>
      <c r="AC1395" s="29" t="str">
        <f t="shared" si="384"/>
        <v xml:space="preserve"> , 0 , 00 gennaio 1900</v>
      </c>
      <c r="AD1395" s="29" t="str">
        <f t="shared" si="385"/>
        <v>1900-01-00T08:00:00.000+02:00</v>
      </c>
      <c r="AE1395" s="29" t="str">
        <f t="shared" si="389"/>
        <v>--</v>
      </c>
      <c r="AF1395" s="29" t="str">
        <f t="shared" si="390"/>
        <v xml:space="preserve">  - 0 - </v>
      </c>
    </row>
    <row r="1396" spans="8:32" x14ac:dyDescent="0.2">
      <c r="H1396" s="29" t="str">
        <f t="shared" si="391"/>
        <v xml:space="preserve"> </v>
      </c>
      <c r="L1396" s="29">
        <f t="shared" si="388"/>
        <v>0</v>
      </c>
      <c r="Q1396" s="38"/>
      <c r="R1396" s="32">
        <f t="shared" si="386"/>
        <v>0</v>
      </c>
      <c r="S1396" s="32" t="str">
        <f>IF(ISERROR(DAY(Q1396)),TEXT(MATCH(TRIM(SUBSTITUTE(SUBSTITUTE(SUBSTITUTE(SUBSTITUTE(SUBSTITUTE(SUBSTITUTE(SUBSTITUTE(SUBSTITUTE(SUBSTITUTE(SUBSTITUTE(SUBSTITUTE(Q1396,1,""),2,""),3,""),4,""),5,""),6,""),7,""),8,""),9,""),0,""),"-","")),{"gennaio","febbraio","marzo","aprile","maggio","giugno","luglio","agosto","settembre","ottobre","novembre","dicembre"},0),"00"),TEXT(MONTH(Q1396)*29,"mmmm"))</f>
        <v>gennaio</v>
      </c>
      <c r="T1396" s="32">
        <f t="shared" si="387"/>
        <v>1900</v>
      </c>
      <c r="U1396" s="29"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00/01/1900</v>
      </c>
      <c r="V1396" s="33"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1900/01/00</v>
      </c>
      <c r="W1396" s="29"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00 gennaio 1900</v>
      </c>
      <c r="X1396" s="29">
        <v>1423</v>
      </c>
      <c r="Y1396" s="29" t="str">
        <f t="shared" si="380"/>
        <v>[' ', '', '', '--', '00 gennaio 1900', '00/01/1900', '1900/01/00'],</v>
      </c>
      <c r="Z1396" s="29" t="str">
        <f t="shared" si="381"/>
        <v xml:space="preserve"> () |  </v>
      </c>
      <c r="AA1396" s="29" t="str">
        <f t="shared" si="382"/>
        <v xml:space="preserve"> </v>
      </c>
      <c r="AB1396" s="29" t="str">
        <f t="shared" si="383"/>
        <v xml:space="preserve"> </v>
      </c>
      <c r="AC1396" s="29" t="str">
        <f t="shared" si="384"/>
        <v xml:space="preserve"> , 0 , 00 gennaio 1900</v>
      </c>
      <c r="AD1396" s="29" t="str">
        <f t="shared" si="385"/>
        <v>1900-01-00T08:00:00.000+02:00</v>
      </c>
      <c r="AE1396" s="29" t="str">
        <f t="shared" si="389"/>
        <v>--</v>
      </c>
      <c r="AF1396" s="29" t="str">
        <f t="shared" si="390"/>
        <v xml:space="preserve">  - 0 - </v>
      </c>
    </row>
    <row r="1397" spans="8:32" x14ac:dyDescent="0.2">
      <c r="H1397" s="29" t="str">
        <f t="shared" si="391"/>
        <v xml:space="preserve"> </v>
      </c>
      <c r="L1397" s="29">
        <f t="shared" si="388"/>
        <v>0</v>
      </c>
      <c r="Q1397" s="38"/>
      <c r="R1397" s="32">
        <f t="shared" si="386"/>
        <v>0</v>
      </c>
      <c r="S1397" s="32" t="str">
        <f>IF(ISERROR(DAY(Q1397)),TEXT(MATCH(TRIM(SUBSTITUTE(SUBSTITUTE(SUBSTITUTE(SUBSTITUTE(SUBSTITUTE(SUBSTITUTE(SUBSTITUTE(SUBSTITUTE(SUBSTITUTE(SUBSTITUTE(SUBSTITUTE(Q1397,1,""),2,""),3,""),4,""),5,""),6,""),7,""),8,""),9,""),0,""),"-","")),{"gennaio","febbraio","marzo","aprile","maggio","giugno","luglio","agosto","settembre","ottobre","novembre","dicembre"},0),"00"),TEXT(MONTH(Q1397)*29,"mmmm"))</f>
        <v>gennaio</v>
      </c>
      <c r="T1397" s="32">
        <f t="shared" si="387"/>
        <v>1900</v>
      </c>
      <c r="U1397" s="29"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00/01/1900</v>
      </c>
      <c r="V1397" s="33"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1900/01/00</v>
      </c>
      <c r="W1397" s="29"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00 gennaio 1900</v>
      </c>
      <c r="X1397" s="29">
        <v>1424</v>
      </c>
      <c r="Y1397" s="29" t="str">
        <f t="shared" si="380"/>
        <v>[' ', '', '', '--', '00 gennaio 1900', '00/01/1900', '1900/01/00'],</v>
      </c>
      <c r="Z1397" s="29" t="str">
        <f t="shared" si="381"/>
        <v xml:space="preserve"> () |  </v>
      </c>
      <c r="AA1397" s="29" t="str">
        <f t="shared" si="382"/>
        <v xml:space="preserve"> </v>
      </c>
      <c r="AB1397" s="29" t="str">
        <f t="shared" si="383"/>
        <v xml:space="preserve"> </v>
      </c>
      <c r="AC1397" s="29" t="str">
        <f t="shared" si="384"/>
        <v xml:space="preserve"> , 0 , 00 gennaio 1900</v>
      </c>
      <c r="AD1397" s="29" t="str">
        <f t="shared" si="385"/>
        <v>1900-01-00T08:00:00.000+02:00</v>
      </c>
      <c r="AE1397" s="29" t="str">
        <f t="shared" si="389"/>
        <v>--</v>
      </c>
      <c r="AF1397" s="29" t="str">
        <f t="shared" si="390"/>
        <v xml:space="preserve">  - 0 - </v>
      </c>
    </row>
    <row r="1398" spans="8:32" x14ac:dyDescent="0.2">
      <c r="H1398" s="29" t="str">
        <f t="shared" si="391"/>
        <v xml:space="preserve"> </v>
      </c>
      <c r="L1398" s="29">
        <f t="shared" si="388"/>
        <v>0</v>
      </c>
      <c r="Q1398" s="38"/>
      <c r="R1398" s="32">
        <f t="shared" si="386"/>
        <v>0</v>
      </c>
      <c r="S1398" s="32"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32">
        <f t="shared" si="387"/>
        <v>1900</v>
      </c>
      <c r="U1398" s="29"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00/01/1900</v>
      </c>
      <c r="V1398" s="33"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1900/01/00</v>
      </c>
      <c r="W1398" s="29"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00 gennaio 1900</v>
      </c>
      <c r="X1398" s="29">
        <v>1425</v>
      </c>
      <c r="Y1398" s="29" t="str">
        <f t="shared" si="380"/>
        <v>[' ', '', '', '--', '00 gennaio 1900', '00/01/1900', '1900/01/00'],</v>
      </c>
      <c r="Z1398" s="29" t="str">
        <f t="shared" si="381"/>
        <v xml:space="preserve"> () |  </v>
      </c>
      <c r="AA1398" s="29" t="str">
        <f t="shared" si="382"/>
        <v xml:space="preserve"> </v>
      </c>
      <c r="AB1398" s="29" t="str">
        <f t="shared" si="383"/>
        <v xml:space="preserve"> </v>
      </c>
      <c r="AC1398" s="29" t="str">
        <f t="shared" si="384"/>
        <v xml:space="preserve"> , 0 , 00 gennaio 1900</v>
      </c>
      <c r="AD1398" s="29" t="str">
        <f t="shared" si="385"/>
        <v>1900-01-00T08:00:00.000+02:00</v>
      </c>
      <c r="AE1398" s="29" t="str">
        <f t="shared" si="389"/>
        <v>--</v>
      </c>
      <c r="AF1398" s="29" t="str">
        <f t="shared" si="390"/>
        <v xml:space="preserve">  - 0 - </v>
      </c>
    </row>
    <row r="1399" spans="8:32" x14ac:dyDescent="0.2">
      <c r="H1399" s="29" t="str">
        <f t="shared" si="391"/>
        <v xml:space="preserve"> </v>
      </c>
      <c r="L1399" s="29">
        <f t="shared" si="388"/>
        <v>0</v>
      </c>
      <c r="Q1399" s="38"/>
      <c r="R1399" s="32">
        <f t="shared" si="386"/>
        <v>0</v>
      </c>
      <c r="S1399" s="32"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32">
        <f t="shared" si="387"/>
        <v>1900</v>
      </c>
      <c r="U1399" s="29"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00/01/1900</v>
      </c>
      <c r="V1399" s="33"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1900/01/00</v>
      </c>
      <c r="W1399" s="29"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00 gennaio 1900</v>
      </c>
      <c r="X1399" s="29">
        <v>1426</v>
      </c>
      <c r="Y1399" s="29" t="str">
        <f t="shared" si="380"/>
        <v>[' ', '', '', '--', '00 gennaio 1900', '00/01/1900', '1900/01/00'],</v>
      </c>
      <c r="Z1399" s="29" t="str">
        <f t="shared" si="381"/>
        <v xml:space="preserve"> () |  </v>
      </c>
      <c r="AA1399" s="29" t="str">
        <f t="shared" si="382"/>
        <v xml:space="preserve"> </v>
      </c>
      <c r="AB1399" s="29" t="str">
        <f t="shared" si="383"/>
        <v xml:space="preserve"> </v>
      </c>
      <c r="AC1399" s="29" t="str">
        <f t="shared" si="384"/>
        <v xml:space="preserve"> , 0 , 00 gennaio 1900</v>
      </c>
      <c r="AD1399" s="29" t="str">
        <f t="shared" si="385"/>
        <v>1900-01-00T08:00:00.000+02:00</v>
      </c>
      <c r="AE1399" s="29" t="str">
        <f t="shared" si="389"/>
        <v>--</v>
      </c>
      <c r="AF1399" s="29" t="str">
        <f t="shared" si="390"/>
        <v xml:space="preserve">  - 0 - </v>
      </c>
    </row>
    <row r="1400" spans="8:32" x14ac:dyDescent="0.2">
      <c r="H1400" s="29" t="str">
        <f t="shared" si="391"/>
        <v xml:space="preserve"> </v>
      </c>
      <c r="L1400" s="29">
        <f t="shared" si="388"/>
        <v>0</v>
      </c>
      <c r="Q1400" s="38"/>
      <c r="R1400" s="32">
        <f t="shared" si="386"/>
        <v>0</v>
      </c>
      <c r="S1400" s="32"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32">
        <f t="shared" si="387"/>
        <v>1900</v>
      </c>
      <c r="U1400" s="29"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00/01/1900</v>
      </c>
      <c r="V1400" s="33"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1900/01/00</v>
      </c>
      <c r="W1400" s="29"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00 gennaio 1900</v>
      </c>
      <c r="X1400" s="29">
        <v>1427</v>
      </c>
      <c r="Y1400" s="29" t="str">
        <f t="shared" si="380"/>
        <v>[' ', '', '', '--', '00 gennaio 1900', '00/01/1900', '1900/01/00'],</v>
      </c>
      <c r="Z1400" s="29" t="str">
        <f t="shared" si="381"/>
        <v xml:space="preserve"> () |  </v>
      </c>
      <c r="AA1400" s="29" t="str">
        <f t="shared" si="382"/>
        <v xml:space="preserve"> </v>
      </c>
      <c r="AB1400" s="29" t="str">
        <f t="shared" si="383"/>
        <v xml:space="preserve"> </v>
      </c>
      <c r="AC1400" s="29" t="str">
        <f t="shared" si="384"/>
        <v xml:space="preserve"> , 0 , 00 gennaio 1900</v>
      </c>
      <c r="AD1400" s="29" t="str">
        <f t="shared" si="385"/>
        <v>1900-01-00T08:00:00.000+02:00</v>
      </c>
      <c r="AE1400" s="29" t="str">
        <f t="shared" si="389"/>
        <v>--</v>
      </c>
      <c r="AF1400" s="29" t="str">
        <f t="shared" si="390"/>
        <v xml:space="preserve">  - 0 - </v>
      </c>
    </row>
    <row r="1401" spans="8:32" x14ac:dyDescent="0.2">
      <c r="H1401" s="29" t="str">
        <f t="shared" si="391"/>
        <v xml:space="preserve"> </v>
      </c>
      <c r="L1401" s="29">
        <f t="shared" si="388"/>
        <v>0</v>
      </c>
      <c r="Q1401" s="38"/>
      <c r="R1401" s="32">
        <f t="shared" si="386"/>
        <v>0</v>
      </c>
      <c r="S1401" s="32"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32">
        <f t="shared" si="387"/>
        <v>1900</v>
      </c>
      <c r="U1401" s="29"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00/01/1900</v>
      </c>
      <c r="V1401" s="33"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1900/01/00</v>
      </c>
      <c r="W1401" s="29"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00 gennaio 1900</v>
      </c>
      <c r="X1401" s="29">
        <v>1428</v>
      </c>
      <c r="Y1401" s="29" t="str">
        <f t="shared" si="380"/>
        <v>[' ', '', '', '--', '00 gennaio 1900', '00/01/1900', '1900/01/00'],</v>
      </c>
      <c r="Z1401" s="29" t="str">
        <f t="shared" si="381"/>
        <v xml:space="preserve"> () |  </v>
      </c>
      <c r="AA1401" s="29" t="str">
        <f t="shared" si="382"/>
        <v xml:space="preserve"> </v>
      </c>
      <c r="AB1401" s="29" t="str">
        <f t="shared" si="383"/>
        <v xml:space="preserve"> </v>
      </c>
      <c r="AC1401" s="29" t="str">
        <f t="shared" si="384"/>
        <v xml:space="preserve"> , 0 , 00 gennaio 1900</v>
      </c>
      <c r="AD1401" s="29" t="str">
        <f t="shared" si="385"/>
        <v>1900-01-00T08:00:00.000+02:00</v>
      </c>
      <c r="AE1401" s="29" t="str">
        <f t="shared" si="389"/>
        <v>--</v>
      </c>
      <c r="AF1401" s="29" t="str">
        <f t="shared" si="390"/>
        <v xml:space="preserve">  - 0 - </v>
      </c>
    </row>
    <row r="1402" spans="8:32" x14ac:dyDescent="0.2">
      <c r="H1402" s="29" t="str">
        <f t="shared" si="391"/>
        <v xml:space="preserve"> </v>
      </c>
      <c r="L1402" s="29">
        <f t="shared" si="388"/>
        <v>0</v>
      </c>
      <c r="Q1402" s="38"/>
      <c r="R1402" s="32">
        <f t="shared" si="386"/>
        <v>0</v>
      </c>
      <c r="S1402" s="32"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32">
        <f t="shared" si="387"/>
        <v>1900</v>
      </c>
      <c r="U1402" s="29"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00/01/1900</v>
      </c>
      <c r="V1402" s="33"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1900/01/00</v>
      </c>
      <c r="W1402" s="29"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00 gennaio 1900</v>
      </c>
      <c r="X1402" s="29">
        <v>1429</v>
      </c>
      <c r="Y1402" s="29" t="str">
        <f t="shared" si="380"/>
        <v>[' ', '', '', '--', '00 gennaio 1900', '00/01/1900', '1900/01/00'],</v>
      </c>
      <c r="Z1402" s="29" t="str">
        <f t="shared" si="381"/>
        <v xml:space="preserve"> () |  </v>
      </c>
      <c r="AA1402" s="29" t="str">
        <f t="shared" si="382"/>
        <v xml:space="preserve"> </v>
      </c>
      <c r="AB1402" s="29" t="str">
        <f t="shared" si="383"/>
        <v xml:space="preserve"> </v>
      </c>
      <c r="AC1402" s="29" t="str">
        <f t="shared" si="384"/>
        <v xml:space="preserve"> , 0 , 00 gennaio 1900</v>
      </c>
      <c r="AD1402" s="29" t="str">
        <f t="shared" si="385"/>
        <v>1900-01-00T08:00:00.000+02:00</v>
      </c>
      <c r="AE1402" s="29" t="str">
        <f t="shared" si="389"/>
        <v>--</v>
      </c>
      <c r="AF1402" s="29" t="str">
        <f t="shared" si="390"/>
        <v xml:space="preserve">  - 0 - </v>
      </c>
    </row>
    <row r="1403" spans="8:32" x14ac:dyDescent="0.2">
      <c r="H1403" s="29" t="str">
        <f t="shared" si="391"/>
        <v xml:space="preserve"> </v>
      </c>
      <c r="L1403" s="29">
        <f t="shared" si="388"/>
        <v>0</v>
      </c>
      <c r="Q1403" s="38"/>
      <c r="R1403" s="32">
        <f t="shared" si="386"/>
        <v>0</v>
      </c>
      <c r="S1403" s="32"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32">
        <f t="shared" si="387"/>
        <v>1900</v>
      </c>
      <c r="U1403" s="29"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00/01/1900</v>
      </c>
      <c r="V1403" s="33"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1900/01/00</v>
      </c>
      <c r="W1403" s="29"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00 gennaio 1900</v>
      </c>
      <c r="X1403" s="29">
        <v>1430</v>
      </c>
      <c r="Y1403" s="29" t="str">
        <f t="shared" si="380"/>
        <v>[' ', '', '', '--', '00 gennaio 1900', '00/01/1900', '1900/01/00'],</v>
      </c>
      <c r="Z1403" s="29" t="str">
        <f t="shared" si="381"/>
        <v xml:space="preserve"> () |  </v>
      </c>
      <c r="AA1403" s="29" t="str">
        <f t="shared" si="382"/>
        <v xml:space="preserve"> </v>
      </c>
      <c r="AB1403" s="29" t="str">
        <f t="shared" si="383"/>
        <v xml:space="preserve"> </v>
      </c>
      <c r="AC1403" s="29" t="str">
        <f t="shared" si="384"/>
        <v xml:space="preserve"> , 0 , 00 gennaio 1900</v>
      </c>
      <c r="AD1403" s="29" t="str">
        <f t="shared" si="385"/>
        <v>1900-01-00T08:00:00.000+02:00</v>
      </c>
      <c r="AE1403" s="29" t="str">
        <f t="shared" si="389"/>
        <v>--</v>
      </c>
      <c r="AF1403" s="29" t="str">
        <f t="shared" si="390"/>
        <v xml:space="preserve">  - 0 - </v>
      </c>
    </row>
    <row r="1404" spans="8:32" x14ac:dyDescent="0.2">
      <c r="H1404" s="29" t="str">
        <f t="shared" si="391"/>
        <v xml:space="preserve"> </v>
      </c>
      <c r="L1404" s="29">
        <f t="shared" si="388"/>
        <v>0</v>
      </c>
      <c r="Q1404" s="38"/>
      <c r="R1404" s="32">
        <f t="shared" si="386"/>
        <v>0</v>
      </c>
      <c r="S1404" s="32" t="str">
        <f>IF(ISERROR(DAY(Q1404)),TEXT(MATCH(TRIM(SUBSTITUTE(SUBSTITUTE(SUBSTITUTE(SUBSTITUTE(SUBSTITUTE(SUBSTITUTE(SUBSTITUTE(SUBSTITUTE(SUBSTITUTE(SUBSTITUTE(SUBSTITUTE(Q1404,1,""),2,""),3,""),4,""),5,""),6,""),7,""),8,""),9,""),0,""),"-","")),{"gennaio","febbraio","marzo","aprile","maggio","giugno","luglio","agosto","settembre","ottobre","novembre","dicembre"},0),"00"),TEXT(MONTH(Q1404)*29,"mmmm"))</f>
        <v>gennaio</v>
      </c>
      <c r="T1404" s="32">
        <f t="shared" si="387"/>
        <v>1900</v>
      </c>
      <c r="U1404" s="29"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00/01/1900</v>
      </c>
      <c r="V1404" s="33"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1900/01/00</v>
      </c>
      <c r="W1404" s="29"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00 gennaio 1900</v>
      </c>
      <c r="X1404" s="29">
        <v>1431</v>
      </c>
      <c r="Y1404" s="29" t="str">
        <f t="shared" si="380"/>
        <v>[' ', '', '', '--', '00 gennaio 1900', '00/01/1900', '1900/01/00'],</v>
      </c>
      <c r="Z1404" s="29" t="str">
        <f t="shared" si="381"/>
        <v xml:space="preserve"> () |  </v>
      </c>
      <c r="AA1404" s="29" t="str">
        <f t="shared" si="382"/>
        <v xml:space="preserve"> </v>
      </c>
      <c r="AB1404" s="29" t="str">
        <f t="shared" si="383"/>
        <v xml:space="preserve"> </v>
      </c>
      <c r="AC1404" s="29" t="str">
        <f t="shared" si="384"/>
        <v xml:space="preserve"> , 0 , 00 gennaio 1900</v>
      </c>
      <c r="AD1404" s="29" t="str">
        <f t="shared" si="385"/>
        <v>1900-01-00T08:00:00.000+02:00</v>
      </c>
      <c r="AE1404" s="29" t="str">
        <f t="shared" si="389"/>
        <v>--</v>
      </c>
      <c r="AF1404" s="29" t="str">
        <f t="shared" si="390"/>
        <v xml:space="preserve">  - 0 - </v>
      </c>
    </row>
    <row r="1405" spans="8:32" x14ac:dyDescent="0.2">
      <c r="H1405" s="29" t="str">
        <f t="shared" si="391"/>
        <v xml:space="preserve"> </v>
      </c>
      <c r="L1405" s="29">
        <f t="shared" si="388"/>
        <v>0</v>
      </c>
      <c r="Q1405" s="38"/>
      <c r="R1405" s="32">
        <f t="shared" si="386"/>
        <v>0</v>
      </c>
      <c r="S1405" s="32" t="str">
        <f>IF(ISERROR(DAY(Q1405)),TEXT(MATCH(TRIM(SUBSTITUTE(SUBSTITUTE(SUBSTITUTE(SUBSTITUTE(SUBSTITUTE(SUBSTITUTE(SUBSTITUTE(SUBSTITUTE(SUBSTITUTE(SUBSTITUTE(SUBSTITUTE(Q1405,1,""),2,""),3,""),4,""),5,""),6,""),7,""),8,""),9,""),0,""),"-","")),{"gennaio","febbraio","marzo","aprile","maggio","giugno","luglio","agosto","settembre","ottobre","novembre","dicembre"},0),"00"),TEXT(MONTH(Q1405)*29,"mmmm"))</f>
        <v>gennaio</v>
      </c>
      <c r="T1405" s="32">
        <f t="shared" si="387"/>
        <v>1900</v>
      </c>
      <c r="U1405" s="29"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00/01/1900</v>
      </c>
      <c r="V1405" s="33"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1900/01/00</v>
      </c>
      <c r="W1405" s="29"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00 gennaio 1900</v>
      </c>
      <c r="X1405" s="29">
        <v>1432</v>
      </c>
      <c r="Y1405" s="29" t="str">
        <f t="shared" si="380"/>
        <v>[' ', '', '', '--', '00 gennaio 1900', '00/01/1900', '1900/01/00'],</v>
      </c>
      <c r="Z1405" s="29" t="str">
        <f t="shared" si="381"/>
        <v xml:space="preserve"> () |  </v>
      </c>
      <c r="AA1405" s="29" t="str">
        <f t="shared" si="382"/>
        <v xml:space="preserve"> </v>
      </c>
      <c r="AB1405" s="29" t="str">
        <f t="shared" si="383"/>
        <v xml:space="preserve"> </v>
      </c>
      <c r="AC1405" s="29" t="str">
        <f t="shared" si="384"/>
        <v xml:space="preserve"> , 0 , 00 gennaio 1900</v>
      </c>
      <c r="AD1405" s="29" t="str">
        <f t="shared" si="385"/>
        <v>1900-01-00T08:00:00.000+02:00</v>
      </c>
      <c r="AE1405" s="29" t="str">
        <f t="shared" si="389"/>
        <v>--</v>
      </c>
      <c r="AF1405" s="29" t="str">
        <f t="shared" si="390"/>
        <v xml:space="preserve">  - 0 - </v>
      </c>
    </row>
    <row r="1406" spans="8:32" x14ac:dyDescent="0.2">
      <c r="H1406" s="29" t="str">
        <f t="shared" si="391"/>
        <v xml:space="preserve"> </v>
      </c>
      <c r="L1406" s="29">
        <f t="shared" si="388"/>
        <v>0</v>
      </c>
      <c r="Q1406" s="38"/>
      <c r="R1406" s="32">
        <f t="shared" si="386"/>
        <v>0</v>
      </c>
      <c r="S1406" s="32" t="str">
        <f>IF(ISERROR(DAY(Q1406)),TEXT(MATCH(TRIM(SUBSTITUTE(SUBSTITUTE(SUBSTITUTE(SUBSTITUTE(SUBSTITUTE(SUBSTITUTE(SUBSTITUTE(SUBSTITUTE(SUBSTITUTE(SUBSTITUTE(SUBSTITUTE(Q1406,1,""),2,""),3,""),4,""),5,""),6,""),7,""),8,""),9,""),0,""),"-","")),{"gennaio","febbraio","marzo","aprile","maggio","giugno","luglio","agosto","settembre","ottobre","novembre","dicembre"},0),"00"),TEXT(MONTH(Q1406)*29,"mmmm"))</f>
        <v>gennaio</v>
      </c>
      <c r="T1406" s="32">
        <f t="shared" si="387"/>
        <v>1900</v>
      </c>
      <c r="U1406" s="29"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00/01/1900</v>
      </c>
      <c r="V1406" s="33"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1900/01/00</v>
      </c>
      <c r="W1406" s="29"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00 gennaio 1900</v>
      </c>
      <c r="X1406" s="29">
        <v>1433</v>
      </c>
      <c r="Y1406" s="29" t="str">
        <f t="shared" si="380"/>
        <v>[' ', '', '', '--', '00 gennaio 1900', '00/01/1900', '1900/01/00'],</v>
      </c>
      <c r="Z1406" s="29" t="str">
        <f t="shared" si="381"/>
        <v xml:space="preserve"> () |  </v>
      </c>
      <c r="AA1406" s="29" t="str">
        <f t="shared" si="382"/>
        <v xml:space="preserve"> </v>
      </c>
      <c r="AB1406" s="29" t="str">
        <f t="shared" si="383"/>
        <v xml:space="preserve"> </v>
      </c>
      <c r="AC1406" s="29" t="str">
        <f t="shared" si="384"/>
        <v xml:space="preserve"> , 0 , 00 gennaio 1900</v>
      </c>
      <c r="AD1406" s="29" t="str">
        <f t="shared" si="385"/>
        <v>1900-01-00T08:00:00.000+02:00</v>
      </c>
      <c r="AE1406" s="29" t="str">
        <f t="shared" si="389"/>
        <v>--</v>
      </c>
      <c r="AF1406" s="29" t="str">
        <f t="shared" si="390"/>
        <v xml:space="preserve">  - 0 - </v>
      </c>
    </row>
    <row r="1407" spans="8:32" x14ac:dyDescent="0.2">
      <c r="H1407" s="29" t="str">
        <f t="shared" si="391"/>
        <v xml:space="preserve"> </v>
      </c>
      <c r="L1407" s="29">
        <f t="shared" si="388"/>
        <v>0</v>
      </c>
      <c r="Q1407" s="38"/>
      <c r="R1407" s="32">
        <f t="shared" si="386"/>
        <v>0</v>
      </c>
      <c r="S1407" s="32" t="str">
        <f>IF(ISERROR(DAY(Q1407)),TEXT(MATCH(TRIM(SUBSTITUTE(SUBSTITUTE(SUBSTITUTE(SUBSTITUTE(SUBSTITUTE(SUBSTITUTE(SUBSTITUTE(SUBSTITUTE(SUBSTITUTE(SUBSTITUTE(SUBSTITUTE(Q1407,1,""),2,""),3,""),4,""),5,""),6,""),7,""),8,""),9,""),0,""),"-","")),{"gennaio","febbraio","marzo","aprile","maggio","giugno","luglio","agosto","settembre","ottobre","novembre","dicembre"},0),"00"),TEXT(MONTH(Q1407)*29,"mmmm"))</f>
        <v>gennaio</v>
      </c>
      <c r="T1407" s="32">
        <f t="shared" si="387"/>
        <v>1900</v>
      </c>
      <c r="U1407" s="29"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00/01/1900</v>
      </c>
      <c r="V1407" s="33"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1900/01/00</v>
      </c>
      <c r="W1407" s="29"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00 gennaio 1900</v>
      </c>
      <c r="X1407" s="29">
        <v>1434</v>
      </c>
      <c r="Y1407" s="29" t="str">
        <f t="shared" si="380"/>
        <v>[' ', '', '', '--', '00 gennaio 1900', '00/01/1900', '1900/01/00'],</v>
      </c>
      <c r="Z1407" s="29" t="str">
        <f t="shared" si="381"/>
        <v xml:space="preserve"> () |  </v>
      </c>
      <c r="AA1407" s="29" t="str">
        <f t="shared" si="382"/>
        <v xml:space="preserve"> </v>
      </c>
      <c r="AB1407" s="29" t="str">
        <f t="shared" si="383"/>
        <v xml:space="preserve"> </v>
      </c>
      <c r="AC1407" s="29" t="str">
        <f t="shared" si="384"/>
        <v xml:space="preserve"> , 0 , 00 gennaio 1900</v>
      </c>
      <c r="AD1407" s="29" t="str">
        <f t="shared" si="385"/>
        <v>1900-01-00T08:00:00.000+02:00</v>
      </c>
      <c r="AE1407" s="29" t="str">
        <f t="shared" si="389"/>
        <v>--</v>
      </c>
      <c r="AF1407" s="29" t="str">
        <f t="shared" si="390"/>
        <v xml:space="preserve">  - 0 - </v>
      </c>
    </row>
    <row r="1408" spans="8:32" x14ac:dyDescent="0.2">
      <c r="H1408" s="29" t="str">
        <f t="shared" si="391"/>
        <v xml:space="preserve"> </v>
      </c>
      <c r="L1408" s="29">
        <f t="shared" si="388"/>
        <v>0</v>
      </c>
      <c r="Q1408" s="38"/>
      <c r="R1408" s="32">
        <f t="shared" si="386"/>
        <v>0</v>
      </c>
      <c r="S1408" s="32" t="str">
        <f>IF(ISERROR(DAY(Q1408)),TEXT(MATCH(TRIM(SUBSTITUTE(SUBSTITUTE(SUBSTITUTE(SUBSTITUTE(SUBSTITUTE(SUBSTITUTE(SUBSTITUTE(SUBSTITUTE(SUBSTITUTE(SUBSTITUTE(SUBSTITUTE(Q1408,1,""),2,""),3,""),4,""),5,""),6,""),7,""),8,""),9,""),0,""),"-","")),{"gennaio","febbraio","marzo","aprile","maggio","giugno","luglio","agosto","settembre","ottobre","novembre","dicembre"},0),"00"),TEXT(MONTH(Q1408)*29,"mmmm"))</f>
        <v>gennaio</v>
      </c>
      <c r="T1408" s="32">
        <f t="shared" si="387"/>
        <v>1900</v>
      </c>
      <c r="U1408" s="29"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00/01/1900</v>
      </c>
      <c r="V1408" s="33"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1900/01/00</v>
      </c>
      <c r="W1408" s="29"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00 gennaio 1900</v>
      </c>
      <c r="X1408" s="29">
        <v>1435</v>
      </c>
      <c r="Y1408" s="29" t="str">
        <f t="shared" si="380"/>
        <v>[' ', '', '', '--', '00 gennaio 1900', '00/01/1900', '1900/01/00'],</v>
      </c>
      <c r="Z1408" s="29" t="str">
        <f t="shared" si="381"/>
        <v xml:space="preserve"> () |  </v>
      </c>
      <c r="AA1408" s="29" t="str">
        <f t="shared" si="382"/>
        <v xml:space="preserve"> </v>
      </c>
      <c r="AB1408" s="29" t="str">
        <f t="shared" si="383"/>
        <v xml:space="preserve"> </v>
      </c>
      <c r="AC1408" s="29" t="str">
        <f t="shared" si="384"/>
        <v xml:space="preserve"> , 0 , 00 gennaio 1900</v>
      </c>
      <c r="AD1408" s="29" t="str">
        <f t="shared" si="385"/>
        <v>1900-01-00T08:00:00.000+02:00</v>
      </c>
      <c r="AE1408" s="29" t="str">
        <f t="shared" si="389"/>
        <v>--</v>
      </c>
      <c r="AF1408" s="29" t="str">
        <f t="shared" si="390"/>
        <v xml:space="preserve">  - 0 - </v>
      </c>
    </row>
    <row r="1409" spans="8:32" x14ac:dyDescent="0.2">
      <c r="H1409" s="29" t="str">
        <f t="shared" si="391"/>
        <v xml:space="preserve"> </v>
      </c>
      <c r="L1409" s="29">
        <f t="shared" si="388"/>
        <v>0</v>
      </c>
      <c r="Q1409" s="38"/>
      <c r="R1409" s="32">
        <f t="shared" si="386"/>
        <v>0</v>
      </c>
      <c r="S1409" s="32" t="str">
        <f>IF(ISERROR(DAY(Q1409)),TEXT(MATCH(TRIM(SUBSTITUTE(SUBSTITUTE(SUBSTITUTE(SUBSTITUTE(SUBSTITUTE(SUBSTITUTE(SUBSTITUTE(SUBSTITUTE(SUBSTITUTE(SUBSTITUTE(SUBSTITUTE(Q1409,1,""),2,""),3,""),4,""),5,""),6,""),7,""),8,""),9,""),0,""),"-","")),{"gennaio","febbraio","marzo","aprile","maggio","giugno","luglio","agosto","settembre","ottobre","novembre","dicembre"},0),"00"),TEXT(MONTH(Q1409)*29,"mmmm"))</f>
        <v>gennaio</v>
      </c>
      <c r="T1409" s="32">
        <f t="shared" si="387"/>
        <v>1900</v>
      </c>
      <c r="U1409" s="29"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00/01/1900</v>
      </c>
      <c r="V1409" s="33"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1900/01/00</v>
      </c>
      <c r="W1409" s="29"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00 gennaio 1900</v>
      </c>
      <c r="X1409" s="29">
        <v>1436</v>
      </c>
      <c r="Y1409" s="29" t="str">
        <f t="shared" si="380"/>
        <v>[' ', '', '', '--', '00 gennaio 1900', '00/01/1900', '1900/01/00'],</v>
      </c>
      <c r="Z1409" s="29" t="str">
        <f t="shared" si="381"/>
        <v xml:space="preserve"> () |  </v>
      </c>
      <c r="AA1409" s="29" t="str">
        <f t="shared" si="382"/>
        <v xml:space="preserve"> </v>
      </c>
      <c r="AB1409" s="29" t="str">
        <f t="shared" si="383"/>
        <v xml:space="preserve"> </v>
      </c>
      <c r="AC1409" s="29" t="str">
        <f t="shared" si="384"/>
        <v xml:space="preserve"> , 0 , 00 gennaio 1900</v>
      </c>
      <c r="AD1409" s="29" t="str">
        <f t="shared" si="385"/>
        <v>1900-01-00T08:00:00.000+02:00</v>
      </c>
      <c r="AE1409" s="29" t="str">
        <f t="shared" si="389"/>
        <v>--</v>
      </c>
      <c r="AF1409" s="29" t="str">
        <f t="shared" si="390"/>
        <v xml:space="preserve">  - 0 - </v>
      </c>
    </row>
    <row r="1410" spans="8:32" x14ac:dyDescent="0.2">
      <c r="H1410" s="29" t="str">
        <f t="shared" si="391"/>
        <v xml:space="preserve"> </v>
      </c>
      <c r="L1410" s="29">
        <f t="shared" si="388"/>
        <v>0</v>
      </c>
      <c r="Q1410" s="38"/>
      <c r="R1410" s="32">
        <f t="shared" si="386"/>
        <v>0</v>
      </c>
      <c r="S1410" s="32" t="str">
        <f>IF(ISERROR(DAY(Q1410)),TEXT(MATCH(TRIM(SUBSTITUTE(SUBSTITUTE(SUBSTITUTE(SUBSTITUTE(SUBSTITUTE(SUBSTITUTE(SUBSTITUTE(SUBSTITUTE(SUBSTITUTE(SUBSTITUTE(SUBSTITUTE(Q1410,1,""),2,""),3,""),4,""),5,""),6,""),7,""),8,""),9,""),0,""),"-","")),{"gennaio","febbraio","marzo","aprile","maggio","giugno","luglio","agosto","settembre","ottobre","novembre","dicembre"},0),"00"),TEXT(MONTH(Q1410)*29,"mmmm"))</f>
        <v>gennaio</v>
      </c>
      <c r="T1410" s="32">
        <f t="shared" si="387"/>
        <v>1900</v>
      </c>
      <c r="U1410" s="29"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00/01/1900</v>
      </c>
      <c r="V1410" s="33"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1900/01/00</v>
      </c>
      <c r="W1410" s="29"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00 gennaio 1900</v>
      </c>
      <c r="X1410" s="29">
        <v>1437</v>
      </c>
      <c r="Y1410" s="29" t="str">
        <f t="shared" ref="Y1410:Y1473" si="392">_xlfn.CONCAT("[" &amp; "'" &amp; D1410 &amp; " " &amp; E1410 &amp; "'" &amp; ", " &amp; "'" &amp; K1410 &amp; "'"&amp; ", " &amp; "'" &amp; O1410 &amp; "'" &amp; ", " &amp; "'" &amp; AE1410 &amp; "'" &amp; ", " &amp; "'" &amp; W1410 &amp; "'" &amp; ", " &amp; "'" &amp; U1410 &amp; "'" &amp; ", " &amp; "'" &amp; V1410 &amp; "'" &amp; "],")</f>
        <v>[' ', '', '', '--', '00 gennaio 1900', '00/01/1900', '1900/01/00'],</v>
      </c>
      <c r="Z1410" s="29" t="str">
        <f t="shared" ref="Z1410:Z1473" si="393">_xlfn.CONCAT(O1410 &amp; " (" &amp; Q1410 &amp; ") | " &amp; D1410 &amp; " " &amp; E1410)</f>
        <v xml:space="preserve"> () |  </v>
      </c>
      <c r="AA1410" s="29" t="str">
        <f t="shared" ref="AA1410:AA1473" si="394">_xlfn.CONCAT(K1410 &amp; " " &amp; O1410)</f>
        <v xml:space="preserve"> </v>
      </c>
      <c r="AB1410" s="29" t="str">
        <f t="shared" ref="AB1410:AB1473" si="395">_xlfn.CONCAT(K1410 &amp; " " &amp; O1410)</f>
        <v xml:space="preserve"> </v>
      </c>
      <c r="AC1410" s="29" t="str">
        <f t="shared" ref="AC1410:AC1473" si="396">_xlfn.CONCAT(H1410 &amp; ", " &amp; L1410 &amp; " " &amp; O1410 &amp; ", " &amp; LEFT(U1410,2) &amp; " " &amp; TEXT(VALUE(MID(U1410,4,2))*29,"mmmm") &amp; " " &amp; RIGHT(U1410,4))</f>
        <v xml:space="preserve"> , 0 , 00 gennaio 1900</v>
      </c>
      <c r="AD1410" s="29" t="str">
        <f t="shared" ref="AD1410:AD1473" si="397">_xlfn.CONCAT(RIGHT(U1410,4) &amp; "-" &amp; MID(U1410,4,2) &amp; "-" &amp; LEFT(U1410,2) &amp; "T08:00:00.000+02:00")</f>
        <v>1900-01-00T08:00:00.000+02:00</v>
      </c>
      <c r="AE1410" s="29" t="str">
        <f t="shared" si="389"/>
        <v>--</v>
      </c>
      <c r="AF1410" s="29" t="str">
        <f t="shared" si="390"/>
        <v xml:space="preserve">  - 0 - </v>
      </c>
    </row>
    <row r="1411" spans="8:32" x14ac:dyDescent="0.2">
      <c r="H1411" s="29" t="str">
        <f t="shared" si="391"/>
        <v xml:space="preserve"> </v>
      </c>
      <c r="L1411" s="29">
        <f t="shared" si="388"/>
        <v>0</v>
      </c>
      <c r="Q1411" s="38"/>
      <c r="R1411" s="32">
        <f t="shared" si="386"/>
        <v>0</v>
      </c>
      <c r="S1411" s="32" t="str">
        <f>IF(ISERROR(DAY(Q1411)),TEXT(MATCH(TRIM(SUBSTITUTE(SUBSTITUTE(SUBSTITUTE(SUBSTITUTE(SUBSTITUTE(SUBSTITUTE(SUBSTITUTE(SUBSTITUTE(SUBSTITUTE(SUBSTITUTE(SUBSTITUTE(Q1411,1,""),2,""),3,""),4,""),5,""),6,""),7,""),8,""),9,""),0,""),"-","")),{"gennaio","febbraio","marzo","aprile","maggio","giugno","luglio","agosto","settembre","ottobre","novembre","dicembre"},0),"00"),TEXT(MONTH(Q1411)*29,"mmmm"))</f>
        <v>gennaio</v>
      </c>
      <c r="T1411" s="32">
        <f t="shared" si="387"/>
        <v>1900</v>
      </c>
      <c r="U1411" s="29"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00/01/1900</v>
      </c>
      <c r="V1411" s="33"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1900/01/00</v>
      </c>
      <c r="W1411" s="29"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00 gennaio 1900</v>
      </c>
      <c r="X1411" s="29">
        <v>1438</v>
      </c>
      <c r="Y1411" s="29" t="str">
        <f t="shared" si="392"/>
        <v>[' ', '', '', '--', '00 gennaio 1900', '00/01/1900', '1900/01/00'],</v>
      </c>
      <c r="Z1411" s="29" t="str">
        <f t="shared" si="393"/>
        <v xml:space="preserve"> () |  </v>
      </c>
      <c r="AA1411" s="29" t="str">
        <f t="shared" si="394"/>
        <v xml:space="preserve"> </v>
      </c>
      <c r="AB1411" s="29" t="str">
        <f t="shared" si="395"/>
        <v xml:space="preserve"> </v>
      </c>
      <c r="AC1411" s="29" t="str">
        <f t="shared" si="396"/>
        <v xml:space="preserve"> , 0 , 00 gennaio 1900</v>
      </c>
      <c r="AD1411" s="29" t="str">
        <f t="shared" si="397"/>
        <v>1900-01-00T08:00:00.000+02:00</v>
      </c>
      <c r="AE1411" s="29" t="str">
        <f t="shared" si="389"/>
        <v>--</v>
      </c>
      <c r="AF1411" s="29" t="str">
        <f t="shared" si="390"/>
        <v xml:space="preserve">  - 0 - </v>
      </c>
    </row>
    <row r="1412" spans="8:32" x14ac:dyDescent="0.2">
      <c r="H1412" s="29" t="str">
        <f t="shared" si="391"/>
        <v xml:space="preserve"> </v>
      </c>
      <c r="L1412" s="29">
        <f t="shared" si="388"/>
        <v>0</v>
      </c>
      <c r="Q1412" s="38"/>
      <c r="R1412" s="32">
        <f t="shared" si="386"/>
        <v>0</v>
      </c>
      <c r="S1412" s="32" t="str">
        <f>IF(ISERROR(DAY(Q1412)),TEXT(MATCH(TRIM(SUBSTITUTE(SUBSTITUTE(SUBSTITUTE(SUBSTITUTE(SUBSTITUTE(SUBSTITUTE(SUBSTITUTE(SUBSTITUTE(SUBSTITUTE(SUBSTITUTE(SUBSTITUTE(Q1412,1,""),2,""),3,""),4,""),5,""),6,""),7,""),8,""),9,""),0,""),"-","")),{"gennaio","febbraio","marzo","aprile","maggio","giugno","luglio","agosto","settembre","ottobre","novembre","dicembre"},0),"00"),TEXT(MONTH(Q1412)*29,"mmmm"))</f>
        <v>gennaio</v>
      </c>
      <c r="T1412" s="32">
        <f t="shared" si="387"/>
        <v>1900</v>
      </c>
      <c r="U1412" s="29"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00/01/1900</v>
      </c>
      <c r="V1412" s="33"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1900/01/00</v>
      </c>
      <c r="W1412" s="29"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00 gennaio 1900</v>
      </c>
      <c r="X1412" s="29">
        <v>1439</v>
      </c>
      <c r="Y1412" s="29" t="str">
        <f t="shared" si="392"/>
        <v>[' ', '', '', '--', '00 gennaio 1900', '00/01/1900', '1900/01/00'],</v>
      </c>
      <c r="Z1412" s="29" t="str">
        <f t="shared" si="393"/>
        <v xml:space="preserve"> () |  </v>
      </c>
      <c r="AA1412" s="29" t="str">
        <f t="shared" si="394"/>
        <v xml:space="preserve"> </v>
      </c>
      <c r="AB1412" s="29" t="str">
        <f t="shared" si="395"/>
        <v xml:space="preserve"> </v>
      </c>
      <c r="AC1412" s="29" t="str">
        <f t="shared" si="396"/>
        <v xml:space="preserve"> , 0 , 00 gennaio 1900</v>
      </c>
      <c r="AD1412" s="29" t="str">
        <f t="shared" si="397"/>
        <v>1900-01-00T08:00:00.000+02:00</v>
      </c>
      <c r="AE1412" s="29" t="str">
        <f t="shared" si="389"/>
        <v>--</v>
      </c>
      <c r="AF1412" s="29" t="str">
        <f t="shared" si="390"/>
        <v xml:space="preserve">  - 0 - </v>
      </c>
    </row>
    <row r="1413" spans="8:32" x14ac:dyDescent="0.2">
      <c r="H1413" s="29" t="str">
        <f t="shared" si="391"/>
        <v xml:space="preserve"> </v>
      </c>
      <c r="L1413" s="29">
        <f t="shared" si="388"/>
        <v>0</v>
      </c>
      <c r="Q1413" s="38"/>
      <c r="R1413" s="32">
        <f t="shared" si="386"/>
        <v>0</v>
      </c>
      <c r="S1413" s="32" t="str">
        <f>IF(ISERROR(DAY(Q1413)),TEXT(MATCH(TRIM(SUBSTITUTE(SUBSTITUTE(SUBSTITUTE(SUBSTITUTE(SUBSTITUTE(SUBSTITUTE(SUBSTITUTE(SUBSTITUTE(SUBSTITUTE(SUBSTITUTE(SUBSTITUTE(Q1413,1,""),2,""),3,""),4,""),5,""),6,""),7,""),8,""),9,""),0,""),"-","")),{"gennaio","febbraio","marzo","aprile","maggio","giugno","luglio","agosto","settembre","ottobre","novembre","dicembre"},0),"00"),TEXT(MONTH(Q1413)*29,"mmmm"))</f>
        <v>gennaio</v>
      </c>
      <c r="T1413" s="32">
        <f t="shared" si="387"/>
        <v>1900</v>
      </c>
      <c r="U1413" s="29"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00/01/1900</v>
      </c>
      <c r="V1413" s="33"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1900/01/00</v>
      </c>
      <c r="W1413" s="29"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00 gennaio 1900</v>
      </c>
      <c r="X1413" s="29">
        <v>1440</v>
      </c>
      <c r="Y1413" s="29" t="str">
        <f t="shared" si="392"/>
        <v>[' ', '', '', '--', '00 gennaio 1900', '00/01/1900', '1900/01/00'],</v>
      </c>
      <c r="Z1413" s="29" t="str">
        <f t="shared" si="393"/>
        <v xml:space="preserve"> () |  </v>
      </c>
      <c r="AA1413" s="29" t="str">
        <f t="shared" si="394"/>
        <v xml:space="preserve"> </v>
      </c>
      <c r="AB1413" s="29" t="str">
        <f t="shared" si="395"/>
        <v xml:space="preserve"> </v>
      </c>
      <c r="AC1413" s="29" t="str">
        <f t="shared" si="396"/>
        <v xml:space="preserve"> , 0 , 00 gennaio 1900</v>
      </c>
      <c r="AD1413" s="29" t="str">
        <f t="shared" si="397"/>
        <v>1900-01-00T08:00:00.000+02:00</v>
      </c>
      <c r="AE1413" s="29" t="str">
        <f t="shared" si="389"/>
        <v>--</v>
      </c>
      <c r="AF1413" s="29" t="str">
        <f t="shared" si="390"/>
        <v xml:space="preserve">  - 0 - </v>
      </c>
    </row>
    <row r="1414" spans="8:32" x14ac:dyDescent="0.2">
      <c r="H1414" s="29" t="str">
        <f t="shared" si="391"/>
        <v xml:space="preserve"> </v>
      </c>
      <c r="L1414" s="29">
        <f t="shared" si="388"/>
        <v>0</v>
      </c>
      <c r="Q1414" s="38"/>
      <c r="R1414" s="32">
        <f t="shared" si="386"/>
        <v>0</v>
      </c>
      <c r="S1414" s="32" t="str">
        <f>IF(ISERROR(DAY(Q1414)),TEXT(MATCH(TRIM(SUBSTITUTE(SUBSTITUTE(SUBSTITUTE(SUBSTITUTE(SUBSTITUTE(SUBSTITUTE(SUBSTITUTE(SUBSTITUTE(SUBSTITUTE(SUBSTITUTE(SUBSTITUTE(Q1414,1,""),2,""),3,""),4,""),5,""),6,""),7,""),8,""),9,""),0,""),"-","")),{"gennaio","febbraio","marzo","aprile","maggio","giugno","luglio","agosto","settembre","ottobre","novembre","dicembre"},0),"00"),TEXT(MONTH(Q1414)*29,"mmmm"))</f>
        <v>gennaio</v>
      </c>
      <c r="T1414" s="32">
        <f t="shared" si="387"/>
        <v>1900</v>
      </c>
      <c r="U1414" s="29"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00/01/1900</v>
      </c>
      <c r="V1414" s="33"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1900/01/00</v>
      </c>
      <c r="W1414" s="29"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00 gennaio 1900</v>
      </c>
      <c r="X1414" s="29">
        <v>1441</v>
      </c>
      <c r="Y1414" s="29" t="str">
        <f t="shared" si="392"/>
        <v>[' ', '', '', '--', '00 gennaio 1900', '00/01/1900', '1900/01/00'],</v>
      </c>
      <c r="Z1414" s="29" t="str">
        <f t="shared" si="393"/>
        <v xml:space="preserve"> () |  </v>
      </c>
      <c r="AA1414" s="29" t="str">
        <f t="shared" si="394"/>
        <v xml:space="preserve"> </v>
      </c>
      <c r="AB1414" s="29" t="str">
        <f t="shared" si="395"/>
        <v xml:space="preserve"> </v>
      </c>
      <c r="AC1414" s="29" t="str">
        <f t="shared" si="396"/>
        <v xml:space="preserve"> , 0 , 00 gennaio 1900</v>
      </c>
      <c r="AD1414" s="29" t="str">
        <f t="shared" si="397"/>
        <v>1900-01-00T08:00:00.000+02:00</v>
      </c>
      <c r="AE1414" s="29" t="str">
        <f t="shared" si="389"/>
        <v>--</v>
      </c>
      <c r="AF1414" s="29" t="str">
        <f t="shared" si="390"/>
        <v xml:space="preserve">  - 0 - </v>
      </c>
    </row>
    <row r="1415" spans="8:32" x14ac:dyDescent="0.2">
      <c r="H1415" s="29" t="str">
        <f t="shared" si="391"/>
        <v xml:space="preserve"> </v>
      </c>
      <c r="L1415" s="29">
        <f t="shared" si="388"/>
        <v>0</v>
      </c>
      <c r="Q1415" s="38"/>
      <c r="R1415" s="32">
        <f t="shared" si="386"/>
        <v>0</v>
      </c>
      <c r="S1415" s="32" t="str">
        <f>IF(ISERROR(DAY(Q1415)),TEXT(MATCH(TRIM(SUBSTITUTE(SUBSTITUTE(SUBSTITUTE(SUBSTITUTE(SUBSTITUTE(SUBSTITUTE(SUBSTITUTE(SUBSTITUTE(SUBSTITUTE(SUBSTITUTE(SUBSTITUTE(Q1415,1,""),2,""),3,""),4,""),5,""),6,""),7,""),8,""),9,""),0,""),"-","")),{"gennaio","febbraio","marzo","aprile","maggio","giugno","luglio","agosto","settembre","ottobre","novembre","dicembre"},0),"00"),TEXT(MONTH(Q1415)*29,"mmmm"))</f>
        <v>gennaio</v>
      </c>
      <c r="T1415" s="32">
        <f t="shared" si="387"/>
        <v>1900</v>
      </c>
      <c r="U1415" s="29"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00/01/1900</v>
      </c>
      <c r="V1415" s="33"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1900/01/00</v>
      </c>
      <c r="W1415" s="29"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00 gennaio 1900</v>
      </c>
      <c r="X1415" s="29">
        <v>1442</v>
      </c>
      <c r="Y1415" s="29" t="str">
        <f t="shared" si="392"/>
        <v>[' ', '', '', '--', '00 gennaio 1900', '00/01/1900', '1900/01/00'],</v>
      </c>
      <c r="Z1415" s="29" t="str">
        <f t="shared" si="393"/>
        <v xml:space="preserve"> () |  </v>
      </c>
      <c r="AA1415" s="29" t="str">
        <f t="shared" si="394"/>
        <v xml:space="preserve"> </v>
      </c>
      <c r="AB1415" s="29" t="str">
        <f t="shared" si="395"/>
        <v xml:space="preserve"> </v>
      </c>
      <c r="AC1415" s="29" t="str">
        <f t="shared" si="396"/>
        <v xml:space="preserve"> , 0 , 00 gennaio 1900</v>
      </c>
      <c r="AD1415" s="29" t="str">
        <f t="shared" si="397"/>
        <v>1900-01-00T08:00:00.000+02:00</v>
      </c>
      <c r="AE1415" s="29" t="str">
        <f t="shared" si="389"/>
        <v>--</v>
      </c>
      <c r="AF1415" s="29" t="str">
        <f t="shared" si="390"/>
        <v xml:space="preserve">  - 0 - </v>
      </c>
    </row>
    <row r="1416" spans="8:32" x14ac:dyDescent="0.2">
      <c r="H1416" s="29" t="str">
        <f t="shared" si="391"/>
        <v xml:space="preserve"> </v>
      </c>
      <c r="L1416" s="29">
        <f t="shared" si="388"/>
        <v>0</v>
      </c>
      <c r="Q1416" s="38"/>
      <c r="R1416" s="32">
        <f t="shared" si="386"/>
        <v>0</v>
      </c>
      <c r="S1416" s="32" t="str">
        <f>IF(ISERROR(DAY(Q1416)),TEXT(MATCH(TRIM(SUBSTITUTE(SUBSTITUTE(SUBSTITUTE(SUBSTITUTE(SUBSTITUTE(SUBSTITUTE(SUBSTITUTE(SUBSTITUTE(SUBSTITUTE(SUBSTITUTE(SUBSTITUTE(Q1416,1,""),2,""),3,""),4,""),5,""),6,""),7,""),8,""),9,""),0,""),"-","")),{"gennaio","febbraio","marzo","aprile","maggio","giugno","luglio","agosto","settembre","ottobre","novembre","dicembre"},0),"00"),TEXT(MONTH(Q1416)*29,"mmmm"))</f>
        <v>gennaio</v>
      </c>
      <c r="T1416" s="32">
        <f t="shared" si="387"/>
        <v>1900</v>
      </c>
      <c r="U1416" s="29"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00/01/1900</v>
      </c>
      <c r="V1416" s="33"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1900/01/00</v>
      </c>
      <c r="W1416" s="29"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00 gennaio 1900</v>
      </c>
      <c r="X1416" s="29">
        <v>1443</v>
      </c>
      <c r="Y1416" s="29" t="str">
        <f t="shared" si="392"/>
        <v>[' ', '', '', '--', '00 gennaio 1900', '00/01/1900', '1900/01/00'],</v>
      </c>
      <c r="Z1416" s="29" t="str">
        <f t="shared" si="393"/>
        <v xml:space="preserve"> () |  </v>
      </c>
      <c r="AA1416" s="29" t="str">
        <f t="shared" si="394"/>
        <v xml:space="preserve"> </v>
      </c>
      <c r="AB1416" s="29" t="str">
        <f t="shared" si="395"/>
        <v xml:space="preserve"> </v>
      </c>
      <c r="AC1416" s="29" t="str">
        <f t="shared" si="396"/>
        <v xml:space="preserve"> , 0 , 00 gennaio 1900</v>
      </c>
      <c r="AD1416" s="29" t="str">
        <f t="shared" si="397"/>
        <v>1900-01-00T08:00:00.000+02:00</v>
      </c>
      <c r="AE1416" s="29" t="str">
        <f t="shared" si="389"/>
        <v>--</v>
      </c>
      <c r="AF1416" s="29" t="str">
        <f t="shared" si="390"/>
        <v xml:space="preserve">  - 0 - </v>
      </c>
    </row>
    <row r="1417" spans="8:32" x14ac:dyDescent="0.2">
      <c r="H1417" s="29" t="str">
        <f t="shared" si="391"/>
        <v xml:space="preserve"> </v>
      </c>
      <c r="L1417" s="29">
        <f t="shared" si="388"/>
        <v>0</v>
      </c>
      <c r="Q1417" s="38"/>
      <c r="R1417" s="32">
        <f t="shared" si="386"/>
        <v>0</v>
      </c>
      <c r="S1417" s="32" t="str">
        <f>IF(ISERROR(DAY(Q1417)),TEXT(MATCH(TRIM(SUBSTITUTE(SUBSTITUTE(SUBSTITUTE(SUBSTITUTE(SUBSTITUTE(SUBSTITUTE(SUBSTITUTE(SUBSTITUTE(SUBSTITUTE(SUBSTITUTE(SUBSTITUTE(Q1417,1,""),2,""),3,""),4,""),5,""),6,""),7,""),8,""),9,""),0,""),"-","")),{"gennaio","febbraio","marzo","aprile","maggio","giugno","luglio","agosto","settembre","ottobre","novembre","dicembre"},0),"00"),TEXT(MONTH(Q1417)*29,"mmmm"))</f>
        <v>gennaio</v>
      </c>
      <c r="T1417" s="32">
        <f t="shared" si="387"/>
        <v>1900</v>
      </c>
      <c r="U1417" s="29"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00/01/1900</v>
      </c>
      <c r="V1417" s="33"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1900/01/00</v>
      </c>
      <c r="W1417" s="29"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00 gennaio 1900</v>
      </c>
      <c r="X1417" s="29">
        <v>1444</v>
      </c>
      <c r="Y1417" s="29" t="str">
        <f t="shared" si="392"/>
        <v>[' ', '', '', '--', '00 gennaio 1900', '00/01/1900', '1900/01/00'],</v>
      </c>
      <c r="Z1417" s="29" t="str">
        <f t="shared" si="393"/>
        <v xml:space="preserve"> () |  </v>
      </c>
      <c r="AA1417" s="29" t="str">
        <f t="shared" si="394"/>
        <v xml:space="preserve"> </v>
      </c>
      <c r="AB1417" s="29" t="str">
        <f t="shared" si="395"/>
        <v xml:space="preserve"> </v>
      </c>
      <c r="AC1417" s="29" t="str">
        <f t="shared" si="396"/>
        <v xml:space="preserve"> , 0 , 00 gennaio 1900</v>
      </c>
      <c r="AD1417" s="29" t="str">
        <f t="shared" si="397"/>
        <v>1900-01-00T08:00:00.000+02:00</v>
      </c>
      <c r="AE1417" s="29" t="str">
        <f t="shared" si="389"/>
        <v>--</v>
      </c>
      <c r="AF1417" s="29" t="str">
        <f t="shared" si="390"/>
        <v xml:space="preserve">  - 0 - </v>
      </c>
    </row>
    <row r="1418" spans="8:32" x14ac:dyDescent="0.2">
      <c r="H1418" s="29" t="str">
        <f t="shared" si="391"/>
        <v xml:space="preserve"> </v>
      </c>
      <c r="L1418" s="29">
        <f t="shared" si="388"/>
        <v>0</v>
      </c>
      <c r="Q1418" s="38"/>
      <c r="R1418" s="32">
        <f t="shared" si="386"/>
        <v>0</v>
      </c>
      <c r="S1418" s="32" t="str">
        <f>IF(ISERROR(DAY(Q1418)),TEXT(MATCH(TRIM(SUBSTITUTE(SUBSTITUTE(SUBSTITUTE(SUBSTITUTE(SUBSTITUTE(SUBSTITUTE(SUBSTITUTE(SUBSTITUTE(SUBSTITUTE(SUBSTITUTE(SUBSTITUTE(Q1418,1,""),2,""),3,""),4,""),5,""),6,""),7,""),8,""),9,""),0,""),"-","")),{"gennaio","febbraio","marzo","aprile","maggio","giugno","luglio","agosto","settembre","ottobre","novembre","dicembre"},0),"00"),TEXT(MONTH(Q1418)*29,"mmmm"))</f>
        <v>gennaio</v>
      </c>
      <c r="T1418" s="32">
        <f t="shared" si="387"/>
        <v>1900</v>
      </c>
      <c r="U1418" s="29"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00/01/1900</v>
      </c>
      <c r="V1418" s="33"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1900/01/00</v>
      </c>
      <c r="W1418" s="29"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00 gennaio 1900</v>
      </c>
      <c r="X1418" s="29">
        <v>1445</v>
      </c>
      <c r="Y1418" s="29" t="str">
        <f t="shared" si="392"/>
        <v>[' ', '', '', '--', '00 gennaio 1900', '00/01/1900', '1900/01/00'],</v>
      </c>
      <c r="Z1418" s="29" t="str">
        <f t="shared" si="393"/>
        <v xml:space="preserve"> () |  </v>
      </c>
      <c r="AA1418" s="29" t="str">
        <f t="shared" si="394"/>
        <v xml:space="preserve"> </v>
      </c>
      <c r="AB1418" s="29" t="str">
        <f t="shared" si="395"/>
        <v xml:space="preserve"> </v>
      </c>
      <c r="AC1418" s="29" t="str">
        <f t="shared" si="396"/>
        <v xml:space="preserve"> , 0 , 00 gennaio 1900</v>
      </c>
      <c r="AD1418" s="29" t="str">
        <f t="shared" si="397"/>
        <v>1900-01-00T08:00:00.000+02:00</v>
      </c>
      <c r="AE1418" s="29" t="str">
        <f t="shared" si="389"/>
        <v>--</v>
      </c>
      <c r="AF1418" s="29" t="str">
        <f t="shared" si="390"/>
        <v xml:space="preserve">  - 0 - </v>
      </c>
    </row>
    <row r="1419" spans="8:32" x14ac:dyDescent="0.2">
      <c r="H1419" s="29" t="str">
        <f t="shared" si="391"/>
        <v xml:space="preserve"> </v>
      </c>
      <c r="L1419" s="29">
        <f t="shared" si="388"/>
        <v>0</v>
      </c>
      <c r="Q1419" s="38"/>
      <c r="R1419" s="32">
        <f t="shared" si="386"/>
        <v>0</v>
      </c>
      <c r="S1419" s="32" t="str">
        <f>IF(ISERROR(DAY(Q1419)),TEXT(MATCH(TRIM(SUBSTITUTE(SUBSTITUTE(SUBSTITUTE(SUBSTITUTE(SUBSTITUTE(SUBSTITUTE(SUBSTITUTE(SUBSTITUTE(SUBSTITUTE(SUBSTITUTE(SUBSTITUTE(Q1419,1,""),2,""),3,""),4,""),5,""),6,""),7,""),8,""),9,""),0,""),"-","")),{"gennaio","febbraio","marzo","aprile","maggio","giugno","luglio","agosto","settembre","ottobre","novembre","dicembre"},0),"00"),TEXT(MONTH(Q1419)*29,"mmmm"))</f>
        <v>gennaio</v>
      </c>
      <c r="T1419" s="32">
        <f t="shared" si="387"/>
        <v>1900</v>
      </c>
      <c r="U1419" s="29"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00/01/1900</v>
      </c>
      <c r="V1419" s="33"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1900/01/00</v>
      </c>
      <c r="W1419" s="29"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00 gennaio 1900</v>
      </c>
      <c r="X1419" s="29">
        <v>1446</v>
      </c>
      <c r="Y1419" s="29" t="str">
        <f t="shared" si="392"/>
        <v>[' ', '', '', '--', '00 gennaio 1900', '00/01/1900', '1900/01/00'],</v>
      </c>
      <c r="Z1419" s="29" t="str">
        <f t="shared" si="393"/>
        <v xml:space="preserve"> () |  </v>
      </c>
      <c r="AA1419" s="29" t="str">
        <f t="shared" si="394"/>
        <v xml:space="preserve"> </v>
      </c>
      <c r="AB1419" s="29" t="str">
        <f t="shared" si="395"/>
        <v xml:space="preserve"> </v>
      </c>
      <c r="AC1419" s="29" t="str">
        <f t="shared" si="396"/>
        <v xml:space="preserve"> , 0 , 00 gennaio 1900</v>
      </c>
      <c r="AD1419" s="29" t="str">
        <f t="shared" si="397"/>
        <v>1900-01-00T08:00:00.000+02:00</v>
      </c>
      <c r="AE1419" s="29" t="str">
        <f t="shared" si="389"/>
        <v>--</v>
      </c>
      <c r="AF1419" s="29" t="str">
        <f t="shared" si="390"/>
        <v xml:space="preserve">  - 0 - </v>
      </c>
    </row>
    <row r="1420" spans="8:32" x14ac:dyDescent="0.2">
      <c r="H1420" s="29" t="str">
        <f t="shared" si="391"/>
        <v xml:space="preserve"> </v>
      </c>
      <c r="L1420" s="29">
        <f t="shared" si="388"/>
        <v>0</v>
      </c>
      <c r="Q1420" s="38"/>
      <c r="R1420" s="32">
        <f t="shared" si="386"/>
        <v>0</v>
      </c>
      <c r="S1420" s="32" t="str">
        <f>IF(ISERROR(DAY(Q1420)),TEXT(MATCH(TRIM(SUBSTITUTE(SUBSTITUTE(SUBSTITUTE(SUBSTITUTE(SUBSTITUTE(SUBSTITUTE(SUBSTITUTE(SUBSTITUTE(SUBSTITUTE(SUBSTITUTE(SUBSTITUTE(Q1420,1,""),2,""),3,""),4,""),5,""),6,""),7,""),8,""),9,""),0,""),"-","")),{"gennaio","febbraio","marzo","aprile","maggio","giugno","luglio","agosto","settembre","ottobre","novembre","dicembre"},0),"00"),TEXT(MONTH(Q1420)*29,"mmmm"))</f>
        <v>gennaio</v>
      </c>
      <c r="T1420" s="32">
        <f t="shared" si="387"/>
        <v>1900</v>
      </c>
      <c r="U1420" s="29"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00/01/1900</v>
      </c>
      <c r="V1420" s="33"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1900/01/00</v>
      </c>
      <c r="W1420" s="29"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00 gennaio 1900</v>
      </c>
      <c r="X1420" s="29">
        <v>1447</v>
      </c>
      <c r="Y1420" s="29" t="str">
        <f t="shared" si="392"/>
        <v>[' ', '', '', '--', '00 gennaio 1900', '00/01/1900', '1900/01/00'],</v>
      </c>
      <c r="Z1420" s="29" t="str">
        <f t="shared" si="393"/>
        <v xml:space="preserve"> () |  </v>
      </c>
      <c r="AA1420" s="29" t="str">
        <f t="shared" si="394"/>
        <v xml:space="preserve"> </v>
      </c>
      <c r="AB1420" s="29" t="str">
        <f t="shared" si="395"/>
        <v xml:space="preserve"> </v>
      </c>
      <c r="AC1420" s="29" t="str">
        <f t="shared" si="396"/>
        <v xml:space="preserve"> , 0 , 00 gennaio 1900</v>
      </c>
      <c r="AD1420" s="29" t="str">
        <f t="shared" si="397"/>
        <v>1900-01-00T08:00:00.000+02:00</v>
      </c>
      <c r="AE1420" s="29" t="str">
        <f t="shared" si="389"/>
        <v>--</v>
      </c>
      <c r="AF1420" s="29" t="str">
        <f t="shared" si="390"/>
        <v xml:space="preserve">  - 0 - </v>
      </c>
    </row>
    <row r="1421" spans="8:32" x14ac:dyDescent="0.2">
      <c r="H1421" s="29" t="str">
        <f t="shared" si="391"/>
        <v xml:space="preserve"> </v>
      </c>
      <c r="L1421" s="29">
        <f t="shared" si="388"/>
        <v>0</v>
      </c>
      <c r="Q1421" s="38"/>
      <c r="R1421" s="32">
        <f t="shared" si="386"/>
        <v>0</v>
      </c>
      <c r="S1421" s="32" t="str">
        <f>IF(ISERROR(DAY(Q1421)),TEXT(MATCH(TRIM(SUBSTITUTE(SUBSTITUTE(SUBSTITUTE(SUBSTITUTE(SUBSTITUTE(SUBSTITUTE(SUBSTITUTE(SUBSTITUTE(SUBSTITUTE(SUBSTITUTE(SUBSTITUTE(Q1421,1,""),2,""),3,""),4,""),5,""),6,""),7,""),8,""),9,""),0,""),"-","")),{"gennaio","febbraio","marzo","aprile","maggio","giugno","luglio","agosto","settembre","ottobre","novembre","dicembre"},0),"00"),TEXT(MONTH(Q1421)*29,"mmmm"))</f>
        <v>gennaio</v>
      </c>
      <c r="T1421" s="32">
        <f t="shared" si="387"/>
        <v>1900</v>
      </c>
      <c r="U1421" s="29"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00/01/1900</v>
      </c>
      <c r="V1421" s="33"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1900/01/00</v>
      </c>
      <c r="W1421" s="29"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00 gennaio 1900</v>
      </c>
      <c r="X1421" s="29">
        <v>1448</v>
      </c>
      <c r="Y1421" s="29" t="str">
        <f t="shared" si="392"/>
        <v>[' ', '', '', '--', '00 gennaio 1900', '00/01/1900', '1900/01/00'],</v>
      </c>
      <c r="Z1421" s="29" t="str">
        <f t="shared" si="393"/>
        <v xml:space="preserve"> () |  </v>
      </c>
      <c r="AA1421" s="29" t="str">
        <f t="shared" si="394"/>
        <v xml:space="preserve"> </v>
      </c>
      <c r="AB1421" s="29" t="str">
        <f t="shared" si="395"/>
        <v xml:space="preserve"> </v>
      </c>
      <c r="AC1421" s="29" t="str">
        <f t="shared" si="396"/>
        <v xml:space="preserve"> , 0 , 00 gennaio 1900</v>
      </c>
      <c r="AD1421" s="29" t="str">
        <f t="shared" si="397"/>
        <v>1900-01-00T08:00:00.000+02:00</v>
      </c>
      <c r="AE1421" s="29" t="str">
        <f t="shared" si="389"/>
        <v>--</v>
      </c>
      <c r="AF1421" s="29" t="str">
        <f t="shared" si="390"/>
        <v xml:space="preserve">  - 0 - </v>
      </c>
    </row>
    <row r="1422" spans="8:32" x14ac:dyDescent="0.2">
      <c r="H1422" s="29" t="str">
        <f t="shared" si="391"/>
        <v xml:space="preserve"> </v>
      </c>
      <c r="L1422" s="29">
        <f t="shared" si="388"/>
        <v>0</v>
      </c>
      <c r="Q1422" s="38"/>
      <c r="R1422" s="32">
        <f t="shared" si="386"/>
        <v>0</v>
      </c>
      <c r="S1422" s="32" t="str">
        <f>IF(ISERROR(DAY(Q1422)),TEXT(MATCH(TRIM(SUBSTITUTE(SUBSTITUTE(SUBSTITUTE(SUBSTITUTE(SUBSTITUTE(SUBSTITUTE(SUBSTITUTE(SUBSTITUTE(SUBSTITUTE(SUBSTITUTE(SUBSTITUTE(Q1422,1,""),2,""),3,""),4,""),5,""),6,""),7,""),8,""),9,""),0,""),"-","")),{"gennaio","febbraio","marzo","aprile","maggio","giugno","luglio","agosto","settembre","ottobre","novembre","dicembre"},0),"00"),TEXT(MONTH(Q1422)*29,"mmmm"))</f>
        <v>gennaio</v>
      </c>
      <c r="T1422" s="32">
        <f t="shared" si="387"/>
        <v>1900</v>
      </c>
      <c r="U1422" s="29"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00/01/1900</v>
      </c>
      <c r="V1422" s="33"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1900/01/00</v>
      </c>
      <c r="W1422" s="29"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00 gennaio 1900</v>
      </c>
      <c r="X1422" s="29">
        <v>1449</v>
      </c>
      <c r="Y1422" s="29" t="str">
        <f t="shared" si="392"/>
        <v>[' ', '', '', '--', '00 gennaio 1900', '00/01/1900', '1900/01/00'],</v>
      </c>
      <c r="Z1422" s="29" t="str">
        <f t="shared" si="393"/>
        <v xml:space="preserve"> () |  </v>
      </c>
      <c r="AA1422" s="29" t="str">
        <f t="shared" si="394"/>
        <v xml:space="preserve"> </v>
      </c>
      <c r="AB1422" s="29" t="str">
        <f t="shared" si="395"/>
        <v xml:space="preserve"> </v>
      </c>
      <c r="AC1422" s="29" t="str">
        <f t="shared" si="396"/>
        <v xml:space="preserve"> , 0 , 00 gennaio 1900</v>
      </c>
      <c r="AD1422" s="29" t="str">
        <f t="shared" si="397"/>
        <v>1900-01-00T08:00:00.000+02:00</v>
      </c>
      <c r="AE1422" s="29" t="str">
        <f t="shared" si="389"/>
        <v>--</v>
      </c>
      <c r="AF1422" s="29" t="str">
        <f t="shared" si="390"/>
        <v xml:space="preserve">  - 0 - </v>
      </c>
    </row>
    <row r="1423" spans="8:32" x14ac:dyDescent="0.2">
      <c r="H1423" s="29" t="str">
        <f t="shared" si="391"/>
        <v xml:space="preserve"> </v>
      </c>
      <c r="L1423" s="29">
        <f t="shared" si="388"/>
        <v>0</v>
      </c>
      <c r="Q1423" s="38"/>
      <c r="R1423" s="32">
        <f t="shared" si="386"/>
        <v>0</v>
      </c>
      <c r="S1423" s="32" t="str">
        <f>IF(ISERROR(DAY(Q1423)),TEXT(MATCH(TRIM(SUBSTITUTE(SUBSTITUTE(SUBSTITUTE(SUBSTITUTE(SUBSTITUTE(SUBSTITUTE(SUBSTITUTE(SUBSTITUTE(SUBSTITUTE(SUBSTITUTE(SUBSTITUTE(Q1423,1,""),2,""),3,""),4,""),5,""),6,""),7,""),8,""),9,""),0,""),"-","")),{"gennaio","febbraio","marzo","aprile","maggio","giugno","luglio","agosto","settembre","ottobre","novembre","dicembre"},0),"00"),TEXT(MONTH(Q1423)*29,"mmmm"))</f>
        <v>gennaio</v>
      </c>
      <c r="T1423" s="32">
        <f t="shared" si="387"/>
        <v>1900</v>
      </c>
      <c r="U1423" s="29"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00/01/1900</v>
      </c>
      <c r="V1423" s="33"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1900/01/00</v>
      </c>
      <c r="W1423" s="29"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00 gennaio 1900</v>
      </c>
      <c r="X1423" s="29">
        <v>1450</v>
      </c>
      <c r="Y1423" s="29" t="str">
        <f t="shared" si="392"/>
        <v>[' ', '', '', '--', '00 gennaio 1900', '00/01/1900', '1900/01/00'],</v>
      </c>
      <c r="Z1423" s="29" t="str">
        <f t="shared" si="393"/>
        <v xml:space="preserve"> () |  </v>
      </c>
      <c r="AA1423" s="29" t="str">
        <f t="shared" si="394"/>
        <v xml:space="preserve"> </v>
      </c>
      <c r="AB1423" s="29" t="str">
        <f t="shared" si="395"/>
        <v xml:space="preserve"> </v>
      </c>
      <c r="AC1423" s="29" t="str">
        <f t="shared" si="396"/>
        <v xml:space="preserve"> , 0 , 00 gennaio 1900</v>
      </c>
      <c r="AD1423" s="29" t="str">
        <f t="shared" si="397"/>
        <v>1900-01-00T08:00:00.000+02:00</v>
      </c>
      <c r="AE1423" s="29" t="str">
        <f t="shared" si="389"/>
        <v>--</v>
      </c>
      <c r="AF1423" s="29" t="str">
        <f t="shared" si="390"/>
        <v xml:space="preserve">  - 0 - </v>
      </c>
    </row>
    <row r="1424" spans="8:32" x14ac:dyDescent="0.2">
      <c r="H1424" s="29" t="str">
        <f t="shared" si="391"/>
        <v xml:space="preserve"> </v>
      </c>
      <c r="L1424" s="29">
        <f t="shared" si="388"/>
        <v>0</v>
      </c>
      <c r="Q1424" s="38"/>
      <c r="R1424" s="32">
        <f t="shared" si="386"/>
        <v>0</v>
      </c>
      <c r="S1424" s="32" t="str">
        <f>IF(ISERROR(DAY(Q1424)),TEXT(MATCH(TRIM(SUBSTITUTE(SUBSTITUTE(SUBSTITUTE(SUBSTITUTE(SUBSTITUTE(SUBSTITUTE(SUBSTITUTE(SUBSTITUTE(SUBSTITUTE(SUBSTITUTE(SUBSTITUTE(Q1424,1,""),2,""),3,""),4,""),5,""),6,""),7,""),8,""),9,""),0,""),"-","")),{"gennaio","febbraio","marzo","aprile","maggio","giugno","luglio","agosto","settembre","ottobre","novembre","dicembre"},0),"00"),TEXT(MONTH(Q1424)*29,"mmmm"))</f>
        <v>gennaio</v>
      </c>
      <c r="T1424" s="32">
        <f t="shared" si="387"/>
        <v>1900</v>
      </c>
      <c r="U1424" s="29"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00/01/1900</v>
      </c>
      <c r="V1424" s="33"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1900/01/00</v>
      </c>
      <c r="W1424" s="29"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00 gennaio 1900</v>
      </c>
      <c r="X1424" s="29">
        <v>1451</v>
      </c>
      <c r="Y1424" s="29" t="str">
        <f t="shared" si="392"/>
        <v>[' ', '', '', '--', '00 gennaio 1900', '00/01/1900', '1900/01/00'],</v>
      </c>
      <c r="Z1424" s="29" t="str">
        <f t="shared" si="393"/>
        <v xml:space="preserve"> () |  </v>
      </c>
      <c r="AA1424" s="29" t="str">
        <f t="shared" si="394"/>
        <v xml:space="preserve"> </v>
      </c>
      <c r="AB1424" s="29" t="str">
        <f t="shared" si="395"/>
        <v xml:space="preserve"> </v>
      </c>
      <c r="AC1424" s="29" t="str">
        <f t="shared" si="396"/>
        <v xml:space="preserve"> , 0 , 00 gennaio 1900</v>
      </c>
      <c r="AD1424" s="29" t="str">
        <f t="shared" si="397"/>
        <v>1900-01-00T08:00:00.000+02:00</v>
      </c>
      <c r="AE1424" s="29" t="str">
        <f t="shared" si="389"/>
        <v>--</v>
      </c>
      <c r="AF1424" s="29" t="str">
        <f t="shared" si="390"/>
        <v xml:space="preserve">  - 0 - </v>
      </c>
    </row>
    <row r="1425" spans="8:32" x14ac:dyDescent="0.2">
      <c r="H1425" s="29" t="str">
        <f t="shared" si="391"/>
        <v xml:space="preserve"> </v>
      </c>
      <c r="L1425" s="29">
        <f t="shared" si="388"/>
        <v>0</v>
      </c>
      <c r="Q1425" s="38"/>
      <c r="R1425" s="32">
        <f t="shared" si="386"/>
        <v>0</v>
      </c>
      <c r="S1425" s="32" t="str">
        <f>IF(ISERROR(DAY(Q1425)),TEXT(MATCH(TRIM(SUBSTITUTE(SUBSTITUTE(SUBSTITUTE(SUBSTITUTE(SUBSTITUTE(SUBSTITUTE(SUBSTITUTE(SUBSTITUTE(SUBSTITUTE(SUBSTITUTE(SUBSTITUTE(Q1425,1,""),2,""),3,""),4,""),5,""),6,""),7,""),8,""),9,""),0,""),"-","")),{"gennaio","febbraio","marzo","aprile","maggio","giugno","luglio","agosto","settembre","ottobre","novembre","dicembre"},0),"00"),TEXT(MONTH(Q1425)*29,"mmmm"))</f>
        <v>gennaio</v>
      </c>
      <c r="T1425" s="32">
        <f t="shared" si="387"/>
        <v>1900</v>
      </c>
      <c r="U1425" s="29"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00/01/1900</v>
      </c>
      <c r="V1425" s="33"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1900/01/00</v>
      </c>
      <c r="W1425" s="29"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00 gennaio 1900</v>
      </c>
      <c r="X1425" s="29">
        <v>1452</v>
      </c>
      <c r="Y1425" s="29" t="str">
        <f t="shared" si="392"/>
        <v>[' ', '', '', '--', '00 gennaio 1900', '00/01/1900', '1900/01/00'],</v>
      </c>
      <c r="Z1425" s="29" t="str">
        <f t="shared" si="393"/>
        <v xml:space="preserve"> () |  </v>
      </c>
      <c r="AA1425" s="29" t="str">
        <f t="shared" si="394"/>
        <v xml:space="preserve"> </v>
      </c>
      <c r="AB1425" s="29" t="str">
        <f t="shared" si="395"/>
        <v xml:space="preserve"> </v>
      </c>
      <c r="AC1425" s="29" t="str">
        <f t="shared" si="396"/>
        <v xml:space="preserve"> , 0 , 00 gennaio 1900</v>
      </c>
      <c r="AD1425" s="29" t="str">
        <f t="shared" si="397"/>
        <v>1900-01-00T08:00:00.000+02:00</v>
      </c>
      <c r="AE1425" s="29" t="str">
        <f t="shared" si="389"/>
        <v>--</v>
      </c>
      <c r="AF1425" s="29" t="str">
        <f t="shared" si="390"/>
        <v xml:space="preserve">  - 0 - </v>
      </c>
    </row>
    <row r="1426" spans="8:32" x14ac:dyDescent="0.2">
      <c r="H1426" s="29" t="str">
        <f t="shared" si="391"/>
        <v xml:space="preserve"> </v>
      </c>
      <c r="L1426" s="29">
        <f t="shared" si="388"/>
        <v>0</v>
      </c>
      <c r="Q1426" s="38"/>
      <c r="R1426" s="32">
        <f t="shared" ref="R1426:R1489" si="398">IF(ISERROR(DAY(Q1426)),TEXT((LEFT(Q1426,2)),"00"),DAY(Q1426))</f>
        <v>0</v>
      </c>
      <c r="S1426" s="32" t="str">
        <f>IF(ISERROR(DAY(Q1426)),TEXT(MATCH(TRIM(SUBSTITUTE(SUBSTITUTE(SUBSTITUTE(SUBSTITUTE(SUBSTITUTE(SUBSTITUTE(SUBSTITUTE(SUBSTITUTE(SUBSTITUTE(SUBSTITUTE(SUBSTITUTE(Q1426,1,""),2,""),3,""),4,""),5,""),6,""),7,""),8,""),9,""),0,""),"-","")),{"gennaio","febbraio","marzo","aprile","maggio","giugno","luglio","agosto","settembre","ottobre","novembre","dicembre"},0),"00"),TEXT(MONTH(Q1426)*29,"mmmm"))</f>
        <v>gennaio</v>
      </c>
      <c r="T1426" s="32">
        <f t="shared" ref="T1426:T1489" si="399">IF(ISERROR(DAY(Q1426)),VALUE(RIGHT(Q1426,4)),YEAR(Q1426))</f>
        <v>1900</v>
      </c>
      <c r="U1426" s="29"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00/01/1900</v>
      </c>
      <c r="V1426" s="33"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1900/01/00</v>
      </c>
      <c r="W1426" s="29"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00 gennaio 1900</v>
      </c>
      <c r="X1426" s="29">
        <v>1453</v>
      </c>
      <c r="Y1426" s="29" t="str">
        <f t="shared" si="392"/>
        <v>[' ', '', '', '--', '00 gennaio 1900', '00/01/1900', '1900/01/00'],</v>
      </c>
      <c r="Z1426" s="29" t="str">
        <f t="shared" si="393"/>
        <v xml:space="preserve"> () |  </v>
      </c>
      <c r="AA1426" s="29" t="str">
        <f t="shared" si="394"/>
        <v xml:space="preserve"> </v>
      </c>
      <c r="AB1426" s="29" t="str">
        <f t="shared" si="395"/>
        <v xml:space="preserve"> </v>
      </c>
      <c r="AC1426" s="29" t="str">
        <f t="shared" si="396"/>
        <v xml:space="preserve"> , 0 , 00 gennaio 1900</v>
      </c>
      <c r="AD1426" s="29" t="str">
        <f t="shared" si="397"/>
        <v>1900-01-00T08:00:00.000+02:00</v>
      </c>
      <c r="AE1426" s="29" t="str">
        <f t="shared" si="389"/>
        <v>--</v>
      </c>
      <c r="AF1426" s="29" t="str">
        <f t="shared" si="390"/>
        <v xml:space="preserve">  - 0 - </v>
      </c>
    </row>
    <row r="1427" spans="8:32" x14ac:dyDescent="0.2">
      <c r="H1427" s="29" t="str">
        <f t="shared" si="391"/>
        <v xml:space="preserve"> </v>
      </c>
      <c r="L1427" s="29">
        <f t="shared" si="388"/>
        <v>0</v>
      </c>
      <c r="Q1427" s="38"/>
      <c r="R1427" s="32">
        <f t="shared" si="398"/>
        <v>0</v>
      </c>
      <c r="S1427" s="32" t="str">
        <f>IF(ISERROR(DAY(Q1427)),TEXT(MATCH(TRIM(SUBSTITUTE(SUBSTITUTE(SUBSTITUTE(SUBSTITUTE(SUBSTITUTE(SUBSTITUTE(SUBSTITUTE(SUBSTITUTE(SUBSTITUTE(SUBSTITUTE(SUBSTITUTE(Q1427,1,""),2,""),3,""),4,""),5,""),6,""),7,""),8,""),9,""),0,""),"-","")),{"gennaio","febbraio","marzo","aprile","maggio","giugno","luglio","agosto","settembre","ottobre","novembre","dicembre"},0),"00"),TEXT(MONTH(Q1427)*29,"mmmm"))</f>
        <v>gennaio</v>
      </c>
      <c r="T1427" s="32">
        <f t="shared" si="399"/>
        <v>1900</v>
      </c>
      <c r="U1427" s="29"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00/01/1900</v>
      </c>
      <c r="V1427" s="33"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1900/01/00</v>
      </c>
      <c r="W1427" s="29"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00 gennaio 1900</v>
      </c>
      <c r="X1427" s="29">
        <v>1454</v>
      </c>
      <c r="Y1427" s="29" t="str">
        <f t="shared" si="392"/>
        <v>[' ', '', '', '--', '00 gennaio 1900', '00/01/1900', '1900/01/00'],</v>
      </c>
      <c r="Z1427" s="29" t="str">
        <f t="shared" si="393"/>
        <v xml:space="preserve"> () |  </v>
      </c>
      <c r="AA1427" s="29" t="str">
        <f t="shared" si="394"/>
        <v xml:space="preserve"> </v>
      </c>
      <c r="AB1427" s="29" t="str">
        <f t="shared" si="395"/>
        <v xml:space="preserve"> </v>
      </c>
      <c r="AC1427" s="29" t="str">
        <f t="shared" si="396"/>
        <v xml:space="preserve"> , 0 , 00 gennaio 1900</v>
      </c>
      <c r="AD1427" s="29" t="str">
        <f t="shared" si="397"/>
        <v>1900-01-00T08:00:00.000+02:00</v>
      </c>
      <c r="AE1427" s="29" t="str">
        <f t="shared" si="389"/>
        <v>--</v>
      </c>
      <c r="AF1427" s="29" t="str">
        <f t="shared" si="390"/>
        <v xml:space="preserve">  - 0 - </v>
      </c>
    </row>
    <row r="1428" spans="8:32" x14ac:dyDescent="0.2">
      <c r="H1428" s="29" t="str">
        <f t="shared" si="391"/>
        <v xml:space="preserve"> </v>
      </c>
      <c r="L1428" s="29">
        <f t="shared" si="388"/>
        <v>0</v>
      </c>
      <c r="Q1428" s="38"/>
      <c r="R1428" s="32">
        <f t="shared" si="398"/>
        <v>0</v>
      </c>
      <c r="S1428" s="32" t="str">
        <f>IF(ISERROR(DAY(Q1428)),TEXT(MATCH(TRIM(SUBSTITUTE(SUBSTITUTE(SUBSTITUTE(SUBSTITUTE(SUBSTITUTE(SUBSTITUTE(SUBSTITUTE(SUBSTITUTE(SUBSTITUTE(SUBSTITUTE(SUBSTITUTE(Q1428,1,""),2,""),3,""),4,""),5,""),6,""),7,""),8,""),9,""),0,""),"-","")),{"gennaio","febbraio","marzo","aprile","maggio","giugno","luglio","agosto","settembre","ottobre","novembre","dicembre"},0),"00"),TEXT(MONTH(Q1428)*29,"mmmm"))</f>
        <v>gennaio</v>
      </c>
      <c r="T1428" s="32">
        <f t="shared" si="399"/>
        <v>1900</v>
      </c>
      <c r="U1428" s="29"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00/01/1900</v>
      </c>
      <c r="V1428" s="33"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1900/01/00</v>
      </c>
      <c r="W1428" s="29"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00 gennaio 1900</v>
      </c>
      <c r="X1428" s="29">
        <v>1455</v>
      </c>
      <c r="Y1428" s="29" t="str">
        <f t="shared" si="392"/>
        <v>[' ', '', '', '--', '00 gennaio 1900', '00/01/1900', '1900/01/00'],</v>
      </c>
      <c r="Z1428" s="29" t="str">
        <f t="shared" si="393"/>
        <v xml:space="preserve"> () |  </v>
      </c>
      <c r="AA1428" s="29" t="str">
        <f t="shared" si="394"/>
        <v xml:space="preserve"> </v>
      </c>
      <c r="AB1428" s="29" t="str">
        <f t="shared" si="395"/>
        <v xml:space="preserve"> </v>
      </c>
      <c r="AC1428" s="29" t="str">
        <f t="shared" si="396"/>
        <v xml:space="preserve"> , 0 , 00 gennaio 1900</v>
      </c>
      <c r="AD1428" s="29" t="str">
        <f t="shared" si="397"/>
        <v>1900-01-00T08:00:00.000+02:00</v>
      </c>
      <c r="AE1428" s="29" t="str">
        <f t="shared" si="389"/>
        <v>--</v>
      </c>
      <c r="AF1428" s="29" t="str">
        <f t="shared" si="390"/>
        <v xml:space="preserve">  - 0 - </v>
      </c>
    </row>
    <row r="1429" spans="8:32" x14ac:dyDescent="0.2">
      <c r="H1429" s="29" t="str">
        <f t="shared" si="391"/>
        <v xml:space="preserve"> </v>
      </c>
      <c r="L1429" s="29">
        <f t="shared" si="388"/>
        <v>0</v>
      </c>
      <c r="Q1429" s="38"/>
      <c r="R1429" s="32">
        <f t="shared" si="398"/>
        <v>0</v>
      </c>
      <c r="S1429" s="32" t="str">
        <f>IF(ISERROR(DAY(Q1429)),TEXT(MATCH(TRIM(SUBSTITUTE(SUBSTITUTE(SUBSTITUTE(SUBSTITUTE(SUBSTITUTE(SUBSTITUTE(SUBSTITUTE(SUBSTITUTE(SUBSTITUTE(SUBSTITUTE(SUBSTITUTE(Q1429,1,""),2,""),3,""),4,""),5,""),6,""),7,""),8,""),9,""),0,""),"-","")),{"gennaio","febbraio","marzo","aprile","maggio","giugno","luglio","agosto","settembre","ottobre","novembre","dicembre"},0),"00"),TEXT(MONTH(Q1429)*29,"mmmm"))</f>
        <v>gennaio</v>
      </c>
      <c r="T1429" s="32">
        <f t="shared" si="399"/>
        <v>1900</v>
      </c>
      <c r="U1429" s="29"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00/01/1900</v>
      </c>
      <c r="V1429" s="33"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1900/01/00</v>
      </c>
      <c r="W1429" s="29"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00 gennaio 1900</v>
      </c>
      <c r="X1429" s="29">
        <v>1456</v>
      </c>
      <c r="Y1429" s="29" t="str">
        <f t="shared" si="392"/>
        <v>[' ', '', '', '--', '00 gennaio 1900', '00/01/1900', '1900/01/00'],</v>
      </c>
      <c r="Z1429" s="29" t="str">
        <f t="shared" si="393"/>
        <v xml:space="preserve"> () |  </v>
      </c>
      <c r="AA1429" s="29" t="str">
        <f t="shared" si="394"/>
        <v xml:space="preserve"> </v>
      </c>
      <c r="AB1429" s="29" t="str">
        <f t="shared" si="395"/>
        <v xml:space="preserve"> </v>
      </c>
      <c r="AC1429" s="29" t="str">
        <f t="shared" si="396"/>
        <v xml:space="preserve"> , 0 , 00 gennaio 1900</v>
      </c>
      <c r="AD1429" s="29" t="str">
        <f t="shared" si="397"/>
        <v>1900-01-00T08:00:00.000+02:00</v>
      </c>
      <c r="AE1429" s="29" t="str">
        <f t="shared" si="389"/>
        <v>--</v>
      </c>
      <c r="AF1429" s="29" t="str">
        <f t="shared" si="390"/>
        <v xml:space="preserve">  - 0 - </v>
      </c>
    </row>
    <row r="1430" spans="8:32" x14ac:dyDescent="0.2">
      <c r="H1430" s="29" t="str">
        <f t="shared" si="391"/>
        <v xml:space="preserve"> </v>
      </c>
      <c r="L1430" s="29">
        <f t="shared" si="388"/>
        <v>0</v>
      </c>
      <c r="Q1430" s="38"/>
      <c r="R1430" s="32">
        <f t="shared" si="398"/>
        <v>0</v>
      </c>
      <c r="S1430" s="32" t="str">
        <f>IF(ISERROR(DAY(Q1430)),TEXT(MATCH(TRIM(SUBSTITUTE(SUBSTITUTE(SUBSTITUTE(SUBSTITUTE(SUBSTITUTE(SUBSTITUTE(SUBSTITUTE(SUBSTITUTE(SUBSTITUTE(SUBSTITUTE(SUBSTITUTE(Q1430,1,""),2,""),3,""),4,""),5,""),6,""),7,""),8,""),9,""),0,""),"-","")),{"gennaio","febbraio","marzo","aprile","maggio","giugno","luglio","agosto","settembre","ottobre","novembre","dicembre"},0),"00"),TEXT(MONTH(Q1430)*29,"mmmm"))</f>
        <v>gennaio</v>
      </c>
      <c r="T1430" s="32">
        <f t="shared" si="399"/>
        <v>1900</v>
      </c>
      <c r="U1430" s="29"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00/01/1900</v>
      </c>
      <c r="V1430" s="33"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1900/01/00</v>
      </c>
      <c r="W1430" s="29"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00 gennaio 1900</v>
      </c>
      <c r="X1430" s="29">
        <v>1457</v>
      </c>
      <c r="Y1430" s="29" t="str">
        <f t="shared" si="392"/>
        <v>[' ', '', '', '--', '00 gennaio 1900', '00/01/1900', '1900/01/00'],</v>
      </c>
      <c r="Z1430" s="29" t="str">
        <f t="shared" si="393"/>
        <v xml:space="preserve"> () |  </v>
      </c>
      <c r="AA1430" s="29" t="str">
        <f t="shared" si="394"/>
        <v xml:space="preserve"> </v>
      </c>
      <c r="AB1430" s="29" t="str">
        <f t="shared" si="395"/>
        <v xml:space="preserve"> </v>
      </c>
      <c r="AC1430" s="29" t="str">
        <f t="shared" si="396"/>
        <v xml:space="preserve"> , 0 , 00 gennaio 1900</v>
      </c>
      <c r="AD1430" s="29" t="str">
        <f t="shared" si="397"/>
        <v>1900-01-00T08:00:00.000+02:00</v>
      </c>
      <c r="AE1430" s="29" t="str">
        <f t="shared" si="389"/>
        <v>--</v>
      </c>
      <c r="AF1430" s="29" t="str">
        <f t="shared" si="390"/>
        <v xml:space="preserve">  - 0 - </v>
      </c>
    </row>
    <row r="1431" spans="8:32" x14ac:dyDescent="0.2">
      <c r="H1431" s="29" t="str">
        <f t="shared" si="391"/>
        <v xml:space="preserve"> </v>
      </c>
      <c r="L1431" s="29">
        <f t="shared" si="388"/>
        <v>0</v>
      </c>
      <c r="Q1431" s="38"/>
      <c r="R1431" s="32">
        <f t="shared" si="398"/>
        <v>0</v>
      </c>
      <c r="S1431" s="32" t="str">
        <f>IF(ISERROR(DAY(Q1431)),TEXT(MATCH(TRIM(SUBSTITUTE(SUBSTITUTE(SUBSTITUTE(SUBSTITUTE(SUBSTITUTE(SUBSTITUTE(SUBSTITUTE(SUBSTITUTE(SUBSTITUTE(SUBSTITUTE(SUBSTITUTE(Q1431,1,""),2,""),3,""),4,""),5,""),6,""),7,""),8,""),9,""),0,""),"-","")),{"gennaio","febbraio","marzo","aprile","maggio","giugno","luglio","agosto","settembre","ottobre","novembre","dicembre"},0),"00"),TEXT(MONTH(Q1431)*29,"mmmm"))</f>
        <v>gennaio</v>
      </c>
      <c r="T1431" s="32">
        <f t="shared" si="399"/>
        <v>1900</v>
      </c>
      <c r="U1431" s="29"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00/01/1900</v>
      </c>
      <c r="V1431" s="33"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1900/01/00</v>
      </c>
      <c r="W1431" s="29"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00 gennaio 1900</v>
      </c>
      <c r="X1431" s="29">
        <v>1458</v>
      </c>
      <c r="Y1431" s="29" t="str">
        <f t="shared" si="392"/>
        <v>[' ', '', '', '--', '00 gennaio 1900', '00/01/1900', '1900/01/00'],</v>
      </c>
      <c r="Z1431" s="29" t="str">
        <f t="shared" si="393"/>
        <v xml:space="preserve"> () |  </v>
      </c>
      <c r="AA1431" s="29" t="str">
        <f t="shared" si="394"/>
        <v xml:space="preserve"> </v>
      </c>
      <c r="AB1431" s="29" t="str">
        <f t="shared" si="395"/>
        <v xml:space="preserve"> </v>
      </c>
      <c r="AC1431" s="29" t="str">
        <f t="shared" si="396"/>
        <v xml:space="preserve"> , 0 , 00 gennaio 1900</v>
      </c>
      <c r="AD1431" s="29" t="str">
        <f t="shared" si="397"/>
        <v>1900-01-00T08:00:00.000+02:00</v>
      </c>
      <c r="AE1431" s="29" t="str">
        <f t="shared" si="389"/>
        <v>--</v>
      </c>
      <c r="AF1431" s="29" t="str">
        <f t="shared" si="390"/>
        <v xml:space="preserve">  - 0 - </v>
      </c>
    </row>
    <row r="1432" spans="8:32" x14ac:dyDescent="0.2">
      <c r="H1432" s="29" t="str">
        <f t="shared" si="391"/>
        <v xml:space="preserve"> </v>
      </c>
      <c r="L1432" s="29">
        <f t="shared" si="388"/>
        <v>0</v>
      </c>
      <c r="Q1432" s="38"/>
      <c r="R1432" s="32">
        <f t="shared" si="398"/>
        <v>0</v>
      </c>
      <c r="S1432" s="32" t="str">
        <f>IF(ISERROR(DAY(Q1432)),TEXT(MATCH(TRIM(SUBSTITUTE(SUBSTITUTE(SUBSTITUTE(SUBSTITUTE(SUBSTITUTE(SUBSTITUTE(SUBSTITUTE(SUBSTITUTE(SUBSTITUTE(SUBSTITUTE(SUBSTITUTE(Q1432,1,""),2,""),3,""),4,""),5,""),6,""),7,""),8,""),9,""),0,""),"-","")),{"gennaio","febbraio","marzo","aprile","maggio","giugno","luglio","agosto","settembre","ottobre","novembre","dicembre"},0),"00"),TEXT(MONTH(Q1432)*29,"mmmm"))</f>
        <v>gennaio</v>
      </c>
      <c r="T1432" s="32">
        <f t="shared" si="399"/>
        <v>1900</v>
      </c>
      <c r="U1432" s="29"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00/01/1900</v>
      </c>
      <c r="V1432" s="33"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1900/01/00</v>
      </c>
      <c r="W1432" s="29"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00 gennaio 1900</v>
      </c>
      <c r="X1432" s="29">
        <v>1459</v>
      </c>
      <c r="Y1432" s="29" t="str">
        <f t="shared" si="392"/>
        <v>[' ', '', '', '--', '00 gennaio 1900', '00/01/1900', '1900/01/00'],</v>
      </c>
      <c r="Z1432" s="29" t="str">
        <f t="shared" si="393"/>
        <v xml:space="preserve"> () |  </v>
      </c>
      <c r="AA1432" s="29" t="str">
        <f t="shared" si="394"/>
        <v xml:space="preserve"> </v>
      </c>
      <c r="AB1432" s="29" t="str">
        <f t="shared" si="395"/>
        <v xml:space="preserve"> </v>
      </c>
      <c r="AC1432" s="29" t="str">
        <f t="shared" si="396"/>
        <v xml:space="preserve"> , 0 , 00 gennaio 1900</v>
      </c>
      <c r="AD1432" s="29" t="str">
        <f t="shared" si="397"/>
        <v>1900-01-00T08:00:00.000+02:00</v>
      </c>
      <c r="AE1432" s="29" t="str">
        <f t="shared" si="389"/>
        <v>--</v>
      </c>
      <c r="AF1432" s="29" t="str">
        <f t="shared" si="390"/>
        <v xml:space="preserve">  - 0 - </v>
      </c>
    </row>
    <row r="1433" spans="8:32" x14ac:dyDescent="0.2">
      <c r="H1433" s="29" t="str">
        <f t="shared" si="391"/>
        <v xml:space="preserve"> </v>
      </c>
      <c r="L1433" s="29">
        <f t="shared" si="388"/>
        <v>0</v>
      </c>
      <c r="Q1433" s="38"/>
      <c r="R1433" s="32">
        <f t="shared" si="398"/>
        <v>0</v>
      </c>
      <c r="S1433" s="32" t="str">
        <f>IF(ISERROR(DAY(Q1433)),TEXT(MATCH(TRIM(SUBSTITUTE(SUBSTITUTE(SUBSTITUTE(SUBSTITUTE(SUBSTITUTE(SUBSTITUTE(SUBSTITUTE(SUBSTITUTE(SUBSTITUTE(SUBSTITUTE(SUBSTITUTE(Q1433,1,""),2,""),3,""),4,""),5,""),6,""),7,""),8,""),9,""),0,""),"-","")),{"gennaio","febbraio","marzo","aprile","maggio","giugno","luglio","agosto","settembre","ottobre","novembre","dicembre"},0),"00"),TEXT(MONTH(Q1433)*29,"mmmm"))</f>
        <v>gennaio</v>
      </c>
      <c r="T1433" s="32">
        <f t="shared" si="399"/>
        <v>1900</v>
      </c>
      <c r="U1433" s="29"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00/01/1900</v>
      </c>
      <c r="V1433" s="33"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1900/01/00</v>
      </c>
      <c r="W1433" s="29"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00 gennaio 1900</v>
      </c>
      <c r="X1433" s="29">
        <v>1460</v>
      </c>
      <c r="Y1433" s="29" t="str">
        <f t="shared" si="392"/>
        <v>[' ', '', '', '--', '00 gennaio 1900', '00/01/1900', '1900/01/00'],</v>
      </c>
      <c r="Z1433" s="29" t="str">
        <f t="shared" si="393"/>
        <v xml:space="preserve"> () |  </v>
      </c>
      <c r="AA1433" s="29" t="str">
        <f t="shared" si="394"/>
        <v xml:space="preserve"> </v>
      </c>
      <c r="AB1433" s="29" t="str">
        <f t="shared" si="395"/>
        <v xml:space="preserve"> </v>
      </c>
      <c r="AC1433" s="29" t="str">
        <f t="shared" si="396"/>
        <v xml:space="preserve"> , 0 , 00 gennaio 1900</v>
      </c>
      <c r="AD1433" s="29" t="str">
        <f t="shared" si="397"/>
        <v>1900-01-00T08:00:00.000+02:00</v>
      </c>
      <c r="AE1433" s="29" t="str">
        <f t="shared" si="389"/>
        <v>--</v>
      </c>
      <c r="AF1433" s="29" t="str">
        <f t="shared" si="390"/>
        <v xml:space="preserve">  - 0 - </v>
      </c>
    </row>
    <row r="1434" spans="8:32" x14ac:dyDescent="0.2">
      <c r="H1434" s="29" t="str">
        <f t="shared" si="391"/>
        <v xml:space="preserve"> </v>
      </c>
      <c r="L1434" s="29">
        <f t="shared" si="388"/>
        <v>0</v>
      </c>
      <c r="Q1434" s="38"/>
      <c r="R1434" s="32">
        <f t="shared" si="398"/>
        <v>0</v>
      </c>
      <c r="S1434" s="32" t="str">
        <f>IF(ISERROR(DAY(Q1434)),TEXT(MATCH(TRIM(SUBSTITUTE(SUBSTITUTE(SUBSTITUTE(SUBSTITUTE(SUBSTITUTE(SUBSTITUTE(SUBSTITUTE(SUBSTITUTE(SUBSTITUTE(SUBSTITUTE(SUBSTITUTE(Q1434,1,""),2,""),3,""),4,""),5,""),6,""),7,""),8,""),9,""),0,""),"-","")),{"gennaio","febbraio","marzo","aprile","maggio","giugno","luglio","agosto","settembre","ottobre","novembre","dicembre"},0),"00"),TEXT(MONTH(Q1434)*29,"mmmm"))</f>
        <v>gennaio</v>
      </c>
      <c r="T1434" s="32">
        <f t="shared" si="399"/>
        <v>1900</v>
      </c>
      <c r="U1434" s="29"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00/01/1900</v>
      </c>
      <c r="V1434" s="33"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1900/01/00</v>
      </c>
      <c r="W1434" s="29"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00 gennaio 1900</v>
      </c>
      <c r="X1434" s="29">
        <v>1461</v>
      </c>
      <c r="Y1434" s="29" t="str">
        <f t="shared" si="392"/>
        <v>[' ', '', '', '--', '00 gennaio 1900', '00/01/1900', '1900/01/00'],</v>
      </c>
      <c r="Z1434" s="29" t="str">
        <f t="shared" si="393"/>
        <v xml:space="preserve"> () |  </v>
      </c>
      <c r="AA1434" s="29" t="str">
        <f t="shared" si="394"/>
        <v xml:space="preserve"> </v>
      </c>
      <c r="AB1434" s="29" t="str">
        <f t="shared" si="395"/>
        <v xml:space="preserve"> </v>
      </c>
      <c r="AC1434" s="29" t="str">
        <f t="shared" si="396"/>
        <v xml:space="preserve"> , 0 , 00 gennaio 1900</v>
      </c>
      <c r="AD1434" s="29" t="str">
        <f t="shared" si="397"/>
        <v>1900-01-00T08:00:00.000+02:00</v>
      </c>
      <c r="AE1434" s="29" t="str">
        <f t="shared" si="389"/>
        <v>--</v>
      </c>
      <c r="AF1434" s="29" t="str">
        <f t="shared" si="390"/>
        <v xml:space="preserve">  - 0 - </v>
      </c>
    </row>
    <row r="1435" spans="8:32" x14ac:dyDescent="0.2">
      <c r="H1435" s="29" t="str">
        <f t="shared" si="391"/>
        <v xml:space="preserve"> </v>
      </c>
      <c r="L1435" s="29">
        <f t="shared" si="388"/>
        <v>0</v>
      </c>
      <c r="Q1435" s="38"/>
      <c r="R1435" s="32">
        <f t="shared" si="398"/>
        <v>0</v>
      </c>
      <c r="S1435" s="32" t="str">
        <f>IF(ISERROR(DAY(Q1435)),TEXT(MATCH(TRIM(SUBSTITUTE(SUBSTITUTE(SUBSTITUTE(SUBSTITUTE(SUBSTITUTE(SUBSTITUTE(SUBSTITUTE(SUBSTITUTE(SUBSTITUTE(SUBSTITUTE(SUBSTITUTE(Q1435,1,""),2,""),3,""),4,""),5,""),6,""),7,""),8,""),9,""),0,""),"-","")),{"gennaio","febbraio","marzo","aprile","maggio","giugno","luglio","agosto","settembre","ottobre","novembre","dicembre"},0),"00"),TEXT(MONTH(Q1435)*29,"mmmm"))</f>
        <v>gennaio</v>
      </c>
      <c r="T1435" s="32">
        <f t="shared" si="399"/>
        <v>1900</v>
      </c>
      <c r="U1435" s="29"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00/01/1900</v>
      </c>
      <c r="V1435" s="33"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1900/01/00</v>
      </c>
      <c r="W1435" s="29"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00 gennaio 1900</v>
      </c>
      <c r="X1435" s="29">
        <v>1462</v>
      </c>
      <c r="Y1435" s="29" t="str">
        <f t="shared" si="392"/>
        <v>[' ', '', '', '--', '00 gennaio 1900', '00/01/1900', '1900/01/00'],</v>
      </c>
      <c r="Z1435" s="29" t="str">
        <f t="shared" si="393"/>
        <v xml:space="preserve"> () |  </v>
      </c>
      <c r="AA1435" s="29" t="str">
        <f t="shared" si="394"/>
        <v xml:space="preserve"> </v>
      </c>
      <c r="AB1435" s="29" t="str">
        <f t="shared" si="395"/>
        <v xml:space="preserve"> </v>
      </c>
      <c r="AC1435" s="29" t="str">
        <f t="shared" si="396"/>
        <v xml:space="preserve"> , 0 , 00 gennaio 1900</v>
      </c>
      <c r="AD1435" s="29" t="str">
        <f t="shared" si="397"/>
        <v>1900-01-00T08:00:00.000+02:00</v>
      </c>
      <c r="AE1435" s="29" t="str">
        <f t="shared" si="389"/>
        <v>--</v>
      </c>
      <c r="AF1435" s="29" t="str">
        <f t="shared" si="390"/>
        <v xml:space="preserve">  - 0 - </v>
      </c>
    </row>
    <row r="1436" spans="8:32" x14ac:dyDescent="0.2">
      <c r="H1436" s="29" t="str">
        <f t="shared" si="391"/>
        <v xml:space="preserve"> </v>
      </c>
      <c r="L1436" s="29">
        <f t="shared" si="388"/>
        <v>0</v>
      </c>
      <c r="Q1436" s="38"/>
      <c r="R1436" s="32">
        <f t="shared" si="398"/>
        <v>0</v>
      </c>
      <c r="S1436" s="32" t="str">
        <f>IF(ISERROR(DAY(Q1436)),TEXT(MATCH(TRIM(SUBSTITUTE(SUBSTITUTE(SUBSTITUTE(SUBSTITUTE(SUBSTITUTE(SUBSTITUTE(SUBSTITUTE(SUBSTITUTE(SUBSTITUTE(SUBSTITUTE(SUBSTITUTE(Q1436,1,""),2,""),3,""),4,""),5,""),6,""),7,""),8,""),9,""),0,""),"-","")),{"gennaio","febbraio","marzo","aprile","maggio","giugno","luglio","agosto","settembre","ottobre","novembre","dicembre"},0),"00"),TEXT(MONTH(Q1436)*29,"mmmm"))</f>
        <v>gennaio</v>
      </c>
      <c r="T1436" s="32">
        <f t="shared" si="399"/>
        <v>1900</v>
      </c>
      <c r="U1436" s="29"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00/01/1900</v>
      </c>
      <c r="V1436" s="33"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1900/01/00</v>
      </c>
      <c r="W1436" s="29"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00 gennaio 1900</v>
      </c>
      <c r="X1436" s="29">
        <v>1463</v>
      </c>
      <c r="Y1436" s="29" t="str">
        <f t="shared" si="392"/>
        <v>[' ', '', '', '--', '00 gennaio 1900', '00/01/1900', '1900/01/00'],</v>
      </c>
      <c r="Z1436" s="29" t="str">
        <f t="shared" si="393"/>
        <v xml:space="preserve"> () |  </v>
      </c>
      <c r="AA1436" s="29" t="str">
        <f t="shared" si="394"/>
        <v xml:space="preserve"> </v>
      </c>
      <c r="AB1436" s="29" t="str">
        <f t="shared" si="395"/>
        <v xml:space="preserve"> </v>
      </c>
      <c r="AC1436" s="29" t="str">
        <f t="shared" si="396"/>
        <v xml:space="preserve"> , 0 , 00 gennaio 1900</v>
      </c>
      <c r="AD1436" s="29" t="str">
        <f t="shared" si="397"/>
        <v>1900-01-00T08:00:00.000+02:00</v>
      </c>
      <c r="AE1436" s="29" t="str">
        <f t="shared" si="389"/>
        <v>--</v>
      </c>
      <c r="AF1436" s="29" t="str">
        <f t="shared" si="390"/>
        <v xml:space="preserve">  - 0 - </v>
      </c>
    </row>
    <row r="1437" spans="8:32" x14ac:dyDescent="0.2">
      <c r="H1437" s="29" t="str">
        <f t="shared" si="391"/>
        <v xml:space="preserve"> </v>
      </c>
      <c r="L1437" s="29">
        <f t="shared" si="388"/>
        <v>0</v>
      </c>
      <c r="Q1437" s="38"/>
      <c r="R1437" s="32">
        <f t="shared" si="398"/>
        <v>0</v>
      </c>
      <c r="S1437" s="32" t="str">
        <f>IF(ISERROR(DAY(Q1437)),TEXT(MATCH(TRIM(SUBSTITUTE(SUBSTITUTE(SUBSTITUTE(SUBSTITUTE(SUBSTITUTE(SUBSTITUTE(SUBSTITUTE(SUBSTITUTE(SUBSTITUTE(SUBSTITUTE(SUBSTITUTE(Q1437,1,""),2,""),3,""),4,""),5,""),6,""),7,""),8,""),9,""),0,""),"-","")),{"gennaio","febbraio","marzo","aprile","maggio","giugno","luglio","agosto","settembre","ottobre","novembre","dicembre"},0),"00"),TEXT(MONTH(Q1437)*29,"mmmm"))</f>
        <v>gennaio</v>
      </c>
      <c r="T1437" s="32">
        <f t="shared" si="399"/>
        <v>1900</v>
      </c>
      <c r="U1437" s="29"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00/01/1900</v>
      </c>
      <c r="V1437" s="33"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1900/01/00</v>
      </c>
      <c r="W1437" s="29"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00 gennaio 1900</v>
      </c>
      <c r="X1437" s="29">
        <v>1464</v>
      </c>
      <c r="Y1437" s="29" t="str">
        <f t="shared" si="392"/>
        <v>[' ', '', '', '--', '00 gennaio 1900', '00/01/1900', '1900/01/00'],</v>
      </c>
      <c r="Z1437" s="29" t="str">
        <f t="shared" si="393"/>
        <v xml:space="preserve"> () |  </v>
      </c>
      <c r="AA1437" s="29" t="str">
        <f t="shared" si="394"/>
        <v xml:space="preserve"> </v>
      </c>
      <c r="AB1437" s="29" t="str">
        <f t="shared" si="395"/>
        <v xml:space="preserve"> </v>
      </c>
      <c r="AC1437" s="29" t="str">
        <f t="shared" si="396"/>
        <v xml:space="preserve"> , 0 , 00 gennaio 1900</v>
      </c>
      <c r="AD1437" s="29" t="str">
        <f t="shared" si="397"/>
        <v>1900-01-00T08:00:00.000+02:00</v>
      </c>
      <c r="AE1437" s="29" t="str">
        <f t="shared" si="389"/>
        <v>--</v>
      </c>
      <c r="AF1437" s="29" t="str">
        <f t="shared" si="390"/>
        <v xml:space="preserve">  - 0 - </v>
      </c>
    </row>
    <row r="1438" spans="8:32" x14ac:dyDescent="0.2">
      <c r="H1438" s="29" t="str">
        <f t="shared" si="391"/>
        <v xml:space="preserve"> </v>
      </c>
      <c r="L1438" s="29">
        <f t="shared" si="388"/>
        <v>0</v>
      </c>
      <c r="Q1438" s="38"/>
      <c r="R1438" s="32">
        <f t="shared" si="398"/>
        <v>0</v>
      </c>
      <c r="S1438" s="32" t="str">
        <f>IF(ISERROR(DAY(Q1438)),TEXT(MATCH(TRIM(SUBSTITUTE(SUBSTITUTE(SUBSTITUTE(SUBSTITUTE(SUBSTITUTE(SUBSTITUTE(SUBSTITUTE(SUBSTITUTE(SUBSTITUTE(SUBSTITUTE(SUBSTITUTE(Q1438,1,""),2,""),3,""),4,""),5,""),6,""),7,""),8,""),9,""),0,""),"-","")),{"gennaio","febbraio","marzo","aprile","maggio","giugno","luglio","agosto","settembre","ottobre","novembre","dicembre"},0),"00"),TEXT(MONTH(Q1438)*29,"mmmm"))</f>
        <v>gennaio</v>
      </c>
      <c r="T1438" s="32">
        <f t="shared" si="399"/>
        <v>1900</v>
      </c>
      <c r="U1438" s="29"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00/01/1900</v>
      </c>
      <c r="V1438" s="33"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1900/01/00</v>
      </c>
      <c r="W1438" s="29"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00 gennaio 1900</v>
      </c>
      <c r="X1438" s="29">
        <v>1465</v>
      </c>
      <c r="Y1438" s="29" t="str">
        <f t="shared" si="392"/>
        <v>[' ', '', '', '--', '00 gennaio 1900', '00/01/1900', '1900/01/00'],</v>
      </c>
      <c r="Z1438" s="29" t="str">
        <f t="shared" si="393"/>
        <v xml:space="preserve"> () |  </v>
      </c>
      <c r="AA1438" s="29" t="str">
        <f t="shared" si="394"/>
        <v xml:space="preserve"> </v>
      </c>
      <c r="AB1438" s="29" t="str">
        <f t="shared" si="395"/>
        <v xml:space="preserve"> </v>
      </c>
      <c r="AC1438" s="29" t="str">
        <f t="shared" si="396"/>
        <v xml:space="preserve"> , 0 , 00 gennaio 1900</v>
      </c>
      <c r="AD1438" s="29" t="str">
        <f t="shared" si="397"/>
        <v>1900-01-00T08:00:00.000+02:00</v>
      </c>
      <c r="AE1438" s="29" t="str">
        <f t="shared" si="389"/>
        <v>--</v>
      </c>
      <c r="AF1438" s="29" t="str">
        <f t="shared" si="390"/>
        <v xml:space="preserve">  - 0 - </v>
      </c>
    </row>
    <row r="1439" spans="8:32" x14ac:dyDescent="0.2">
      <c r="H1439" s="29" t="str">
        <f t="shared" si="391"/>
        <v xml:space="preserve"> </v>
      </c>
      <c r="L1439" s="29">
        <f t="shared" si="388"/>
        <v>0</v>
      </c>
      <c r="Q1439" s="38"/>
      <c r="R1439" s="32">
        <f t="shared" si="398"/>
        <v>0</v>
      </c>
      <c r="S1439" s="32" t="str">
        <f>IF(ISERROR(DAY(Q1439)),TEXT(MATCH(TRIM(SUBSTITUTE(SUBSTITUTE(SUBSTITUTE(SUBSTITUTE(SUBSTITUTE(SUBSTITUTE(SUBSTITUTE(SUBSTITUTE(SUBSTITUTE(SUBSTITUTE(SUBSTITUTE(Q1439,1,""),2,""),3,""),4,""),5,""),6,""),7,""),8,""),9,""),0,""),"-","")),{"gennaio","febbraio","marzo","aprile","maggio","giugno","luglio","agosto","settembre","ottobre","novembre","dicembre"},0),"00"),TEXT(MONTH(Q1439)*29,"mmmm"))</f>
        <v>gennaio</v>
      </c>
      <c r="T1439" s="32">
        <f t="shared" si="399"/>
        <v>1900</v>
      </c>
      <c r="U1439" s="29"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00/01/1900</v>
      </c>
      <c r="V1439" s="33"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1900/01/00</v>
      </c>
      <c r="W1439" s="29"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00 gennaio 1900</v>
      </c>
      <c r="X1439" s="29">
        <v>1466</v>
      </c>
      <c r="Y1439" s="29" t="str">
        <f t="shared" si="392"/>
        <v>[' ', '', '', '--', '00 gennaio 1900', '00/01/1900', '1900/01/00'],</v>
      </c>
      <c r="Z1439" s="29" t="str">
        <f t="shared" si="393"/>
        <v xml:space="preserve"> () |  </v>
      </c>
      <c r="AA1439" s="29" t="str">
        <f t="shared" si="394"/>
        <v xml:space="preserve"> </v>
      </c>
      <c r="AB1439" s="29" t="str">
        <f t="shared" si="395"/>
        <v xml:space="preserve"> </v>
      </c>
      <c r="AC1439" s="29" t="str">
        <f t="shared" si="396"/>
        <v xml:space="preserve"> , 0 , 00 gennaio 1900</v>
      </c>
      <c r="AD1439" s="29" t="str">
        <f t="shared" si="397"/>
        <v>1900-01-00T08:00:00.000+02:00</v>
      </c>
      <c r="AE1439" s="29" t="str">
        <f t="shared" si="389"/>
        <v>--</v>
      </c>
      <c r="AF1439" s="29" t="str">
        <f t="shared" si="390"/>
        <v xml:space="preserve">  - 0 - </v>
      </c>
    </row>
    <row r="1440" spans="8:32" x14ac:dyDescent="0.2">
      <c r="H1440" s="29" t="str">
        <f t="shared" ref="H1440:H1503" si="400">_xlfn.CONCAT(D1440 &amp; " " &amp; E1440)</f>
        <v xml:space="preserve"> </v>
      </c>
      <c r="L1440" s="29">
        <f t="shared" si="388"/>
        <v>0</v>
      </c>
      <c r="Q1440" s="38"/>
      <c r="R1440" s="32">
        <f t="shared" si="398"/>
        <v>0</v>
      </c>
      <c r="S1440" s="32" t="str">
        <f>IF(ISERROR(DAY(Q1440)),TEXT(MATCH(TRIM(SUBSTITUTE(SUBSTITUTE(SUBSTITUTE(SUBSTITUTE(SUBSTITUTE(SUBSTITUTE(SUBSTITUTE(SUBSTITUTE(SUBSTITUTE(SUBSTITUTE(SUBSTITUTE(Q1440,1,""),2,""),3,""),4,""),5,""),6,""),7,""),8,""),9,""),0,""),"-","")),{"gennaio","febbraio","marzo","aprile","maggio","giugno","luglio","agosto","settembre","ottobre","novembre","dicembre"},0),"00"),TEXT(MONTH(Q1440)*29,"mmmm"))</f>
        <v>gennaio</v>
      </c>
      <c r="T1440" s="32">
        <f t="shared" si="399"/>
        <v>1900</v>
      </c>
      <c r="U1440" s="29"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00/01/1900</v>
      </c>
      <c r="V1440" s="33"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1900/01/00</v>
      </c>
      <c r="W1440" s="29"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00 gennaio 1900</v>
      </c>
      <c r="X1440" s="29">
        <v>1467</v>
      </c>
      <c r="Y1440" s="29" t="str">
        <f t="shared" si="392"/>
        <v>[' ', '', '', '--', '00 gennaio 1900', '00/01/1900', '1900/01/00'],</v>
      </c>
      <c r="Z1440" s="29" t="str">
        <f t="shared" si="393"/>
        <v xml:space="preserve"> () |  </v>
      </c>
      <c r="AA1440" s="29" t="str">
        <f t="shared" si="394"/>
        <v xml:space="preserve"> </v>
      </c>
      <c r="AB1440" s="29" t="str">
        <f t="shared" si="395"/>
        <v xml:space="preserve"> </v>
      </c>
      <c r="AC1440" s="29" t="str">
        <f t="shared" si="396"/>
        <v xml:space="preserve"> , 0 , 00 gennaio 1900</v>
      </c>
      <c r="AD1440" s="29" t="str">
        <f t="shared" si="397"/>
        <v>1900-01-00T08:00:00.000+02:00</v>
      </c>
      <c r="AE1440" s="29" t="str">
        <f t="shared" si="389"/>
        <v>--</v>
      </c>
      <c r="AF1440" s="29" t="str">
        <f t="shared" si="390"/>
        <v xml:space="preserve">  - 0 - </v>
      </c>
    </row>
    <row r="1441" spans="2:32" x14ac:dyDescent="0.2">
      <c r="H1441" s="29" t="str">
        <f t="shared" si="400"/>
        <v xml:space="preserve"> </v>
      </c>
      <c r="L1441" s="29">
        <f t="shared" si="388"/>
        <v>0</v>
      </c>
      <c r="Q1441" s="38"/>
      <c r="R1441" s="32">
        <f t="shared" si="398"/>
        <v>0</v>
      </c>
      <c r="S1441" s="32" t="str">
        <f>IF(ISERROR(DAY(Q1441)),TEXT(MATCH(TRIM(SUBSTITUTE(SUBSTITUTE(SUBSTITUTE(SUBSTITUTE(SUBSTITUTE(SUBSTITUTE(SUBSTITUTE(SUBSTITUTE(SUBSTITUTE(SUBSTITUTE(SUBSTITUTE(Q1441,1,""),2,""),3,""),4,""),5,""),6,""),7,""),8,""),9,""),0,""),"-","")),{"gennaio","febbraio","marzo","aprile","maggio","giugno","luglio","agosto","settembre","ottobre","novembre","dicembre"},0),"00"),TEXT(MONTH(Q1441)*29,"mmmm"))</f>
        <v>gennaio</v>
      </c>
      <c r="T1441" s="32">
        <f t="shared" si="399"/>
        <v>1900</v>
      </c>
      <c r="U1441" s="29"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00/01/1900</v>
      </c>
      <c r="V1441" s="33"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1900/01/00</v>
      </c>
      <c r="W1441" s="29"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00 gennaio 1900</v>
      </c>
      <c r="X1441" s="29">
        <v>1468</v>
      </c>
      <c r="Y1441" s="29" t="str">
        <f t="shared" si="392"/>
        <v>[' ', '', '', '--', '00 gennaio 1900', '00/01/1900', '1900/01/00'],</v>
      </c>
      <c r="Z1441" s="29" t="str">
        <f t="shared" si="393"/>
        <v xml:space="preserve"> () |  </v>
      </c>
      <c r="AA1441" s="29" t="str">
        <f t="shared" si="394"/>
        <v xml:space="preserve"> </v>
      </c>
      <c r="AB1441" s="29" t="str">
        <f t="shared" si="395"/>
        <v xml:space="preserve"> </v>
      </c>
      <c r="AC1441" s="29" t="str">
        <f t="shared" si="396"/>
        <v xml:space="preserve"> , 0 , 00 gennaio 1900</v>
      </c>
      <c r="AD1441" s="29" t="str">
        <f t="shared" si="397"/>
        <v>1900-01-00T08:00:00.000+02:00</v>
      </c>
      <c r="AE1441" s="29" t="str">
        <f t="shared" si="389"/>
        <v>--</v>
      </c>
      <c r="AF1441" s="29" t="str">
        <f t="shared" si="390"/>
        <v xml:space="preserve">  - 0 - </v>
      </c>
    </row>
    <row r="1442" spans="2:32" x14ac:dyDescent="0.2">
      <c r="H1442" s="29" t="str">
        <f t="shared" si="400"/>
        <v xml:space="preserve"> </v>
      </c>
      <c r="L1442" s="29">
        <f t="shared" si="388"/>
        <v>0</v>
      </c>
      <c r="Q1442" s="38"/>
      <c r="R1442" s="32">
        <f t="shared" si="398"/>
        <v>0</v>
      </c>
      <c r="S1442" s="32" t="str">
        <f>IF(ISERROR(DAY(Q1442)),TEXT(MATCH(TRIM(SUBSTITUTE(SUBSTITUTE(SUBSTITUTE(SUBSTITUTE(SUBSTITUTE(SUBSTITUTE(SUBSTITUTE(SUBSTITUTE(SUBSTITUTE(SUBSTITUTE(SUBSTITUTE(Q1442,1,""),2,""),3,""),4,""),5,""),6,""),7,""),8,""),9,""),0,""),"-","")),{"gennaio","febbraio","marzo","aprile","maggio","giugno","luglio","agosto","settembre","ottobre","novembre","dicembre"},0),"00"),TEXT(MONTH(Q1442)*29,"mmmm"))</f>
        <v>gennaio</v>
      </c>
      <c r="T1442" s="32">
        <f t="shared" si="399"/>
        <v>1900</v>
      </c>
      <c r="U1442" s="29"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00/01/1900</v>
      </c>
      <c r="V1442" s="33"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1900/01/00</v>
      </c>
      <c r="W1442" s="29"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00 gennaio 1900</v>
      </c>
      <c r="X1442" s="29">
        <v>1469</v>
      </c>
      <c r="Y1442" s="29" t="str">
        <f t="shared" si="392"/>
        <v>[' ', '', '', '--', '00 gennaio 1900', '00/01/1900', '1900/01/00'],</v>
      </c>
      <c r="Z1442" s="29" t="str">
        <f t="shared" si="393"/>
        <v xml:space="preserve"> () |  </v>
      </c>
      <c r="AA1442" s="29" t="str">
        <f t="shared" si="394"/>
        <v xml:space="preserve"> </v>
      </c>
      <c r="AB1442" s="29" t="str">
        <f t="shared" si="395"/>
        <v xml:space="preserve"> </v>
      </c>
      <c r="AC1442" s="29" t="str">
        <f t="shared" si="396"/>
        <v xml:space="preserve"> , 0 , 00 gennaio 1900</v>
      </c>
      <c r="AD1442" s="29" t="str">
        <f t="shared" si="397"/>
        <v>1900-01-00T08:00:00.000+02:00</v>
      </c>
      <c r="AE1442" s="29" t="str">
        <f t="shared" si="389"/>
        <v>--</v>
      </c>
      <c r="AF1442" s="29" t="str">
        <f t="shared" si="390"/>
        <v xml:space="preserve">  - 0 - </v>
      </c>
    </row>
    <row r="1443" spans="2:32" x14ac:dyDescent="0.2">
      <c r="H1443" s="29" t="str">
        <f t="shared" si="400"/>
        <v xml:space="preserve"> </v>
      </c>
      <c r="L1443" s="29">
        <f t="shared" si="388"/>
        <v>0</v>
      </c>
      <c r="Q1443" s="38"/>
      <c r="R1443" s="32">
        <f t="shared" si="398"/>
        <v>0</v>
      </c>
      <c r="S1443" s="32" t="str">
        <f>IF(ISERROR(DAY(Q1443)),TEXT(MATCH(TRIM(SUBSTITUTE(SUBSTITUTE(SUBSTITUTE(SUBSTITUTE(SUBSTITUTE(SUBSTITUTE(SUBSTITUTE(SUBSTITUTE(SUBSTITUTE(SUBSTITUTE(SUBSTITUTE(Q1443,1,""),2,""),3,""),4,""),5,""),6,""),7,""),8,""),9,""),0,""),"-","")),{"gennaio","febbraio","marzo","aprile","maggio","giugno","luglio","agosto","settembre","ottobre","novembre","dicembre"},0),"00"),TEXT(MONTH(Q1443)*29,"mmmm"))</f>
        <v>gennaio</v>
      </c>
      <c r="T1443" s="32">
        <f t="shared" si="399"/>
        <v>1900</v>
      </c>
      <c r="U1443" s="29"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00/01/1900</v>
      </c>
      <c r="V1443" s="33"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1900/01/00</v>
      </c>
      <c r="W1443" s="29"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00 gennaio 1900</v>
      </c>
      <c r="X1443" s="29">
        <v>1470</v>
      </c>
      <c r="Y1443" s="29" t="str">
        <f t="shared" si="392"/>
        <v>[' ', '', '', '--', '00 gennaio 1900', '00/01/1900', '1900/01/00'],</v>
      </c>
      <c r="Z1443" s="29" t="str">
        <f t="shared" si="393"/>
        <v xml:space="preserve"> () |  </v>
      </c>
      <c r="AA1443" s="29" t="str">
        <f t="shared" si="394"/>
        <v xml:space="preserve"> </v>
      </c>
      <c r="AB1443" s="29" t="str">
        <f t="shared" si="395"/>
        <v xml:space="preserve"> </v>
      </c>
      <c r="AC1443" s="29" t="str">
        <f t="shared" si="396"/>
        <v xml:space="preserve"> , 0 , 00 gennaio 1900</v>
      </c>
      <c r="AD1443" s="29" t="str">
        <f t="shared" si="397"/>
        <v>1900-01-00T08:00:00.000+02:00</v>
      </c>
      <c r="AE1443" s="29" t="str">
        <f t="shared" si="389"/>
        <v>--</v>
      </c>
      <c r="AF1443" s="29" t="str">
        <f t="shared" si="390"/>
        <v xml:space="preserve">  - 0 - </v>
      </c>
    </row>
    <row r="1444" spans="2:32" x14ac:dyDescent="0.2">
      <c r="H1444" s="29" t="str">
        <f t="shared" si="400"/>
        <v xml:space="preserve"> </v>
      </c>
      <c r="L1444" s="29">
        <f t="shared" si="388"/>
        <v>0</v>
      </c>
      <c r="Q1444" s="38"/>
      <c r="R1444" s="32">
        <f t="shared" si="398"/>
        <v>0</v>
      </c>
      <c r="S1444" s="32" t="str">
        <f>IF(ISERROR(DAY(Q1444)),TEXT(MATCH(TRIM(SUBSTITUTE(SUBSTITUTE(SUBSTITUTE(SUBSTITUTE(SUBSTITUTE(SUBSTITUTE(SUBSTITUTE(SUBSTITUTE(SUBSTITUTE(SUBSTITUTE(SUBSTITUTE(Q1444,1,""),2,""),3,""),4,""),5,""),6,""),7,""),8,""),9,""),0,""),"-","")),{"gennaio","febbraio","marzo","aprile","maggio","giugno","luglio","agosto","settembre","ottobre","novembre","dicembre"},0),"00"),TEXT(MONTH(Q1444)*29,"mmmm"))</f>
        <v>gennaio</v>
      </c>
      <c r="T1444" s="32">
        <f t="shared" si="399"/>
        <v>1900</v>
      </c>
      <c r="U1444" s="29"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00/01/1900</v>
      </c>
      <c r="V1444" s="33"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1900/01/00</v>
      </c>
      <c r="W1444" s="29"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00 gennaio 1900</v>
      </c>
      <c r="X1444" s="29">
        <v>1471</v>
      </c>
      <c r="Y1444" s="29" t="str">
        <f t="shared" si="392"/>
        <v>[' ', '', '', '--', '00 gennaio 1900', '00/01/1900', '1900/01/00'],</v>
      </c>
      <c r="Z1444" s="29" t="str">
        <f t="shared" si="393"/>
        <v xml:space="preserve"> () |  </v>
      </c>
      <c r="AA1444" s="29" t="str">
        <f t="shared" si="394"/>
        <v xml:space="preserve"> </v>
      </c>
      <c r="AB1444" s="29" t="str">
        <f t="shared" si="395"/>
        <v xml:space="preserve"> </v>
      </c>
      <c r="AC1444" s="29" t="str">
        <f t="shared" si="396"/>
        <v xml:space="preserve"> , 0 , 00 gennaio 1900</v>
      </c>
      <c r="AD1444" s="29" t="str">
        <f t="shared" si="397"/>
        <v>1900-01-00T08:00:00.000+02:00</v>
      </c>
      <c r="AE1444" s="29" t="str">
        <f t="shared" si="389"/>
        <v>--</v>
      </c>
      <c r="AF1444" s="29" t="str">
        <f t="shared" si="390"/>
        <v xml:space="preserve">  - 0 - </v>
      </c>
    </row>
    <row r="1445" spans="2:32" x14ac:dyDescent="0.2">
      <c r="H1445" s="29" t="str">
        <f t="shared" si="400"/>
        <v xml:space="preserve"> </v>
      </c>
      <c r="L1445" s="29">
        <f t="shared" si="388"/>
        <v>0</v>
      </c>
      <c r="Q1445" s="38"/>
      <c r="R1445" s="32">
        <f t="shared" si="398"/>
        <v>0</v>
      </c>
      <c r="S1445" s="32" t="str">
        <f>IF(ISERROR(DAY(Q1445)),TEXT(MATCH(TRIM(SUBSTITUTE(SUBSTITUTE(SUBSTITUTE(SUBSTITUTE(SUBSTITUTE(SUBSTITUTE(SUBSTITUTE(SUBSTITUTE(SUBSTITUTE(SUBSTITUTE(SUBSTITUTE(Q1445,1,""),2,""),3,""),4,""),5,""),6,""),7,""),8,""),9,""),0,""),"-","")),{"gennaio","febbraio","marzo","aprile","maggio","giugno","luglio","agosto","settembre","ottobre","novembre","dicembre"},0),"00"),TEXT(MONTH(Q1445)*29,"mmmm"))</f>
        <v>gennaio</v>
      </c>
      <c r="T1445" s="32">
        <f t="shared" si="399"/>
        <v>1900</v>
      </c>
      <c r="U1445" s="29"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00/01/1900</v>
      </c>
      <c r="V1445" s="33"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1900/01/00</v>
      </c>
      <c r="W1445" s="29"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00 gennaio 1900</v>
      </c>
      <c r="X1445" s="29">
        <v>1472</v>
      </c>
      <c r="Y1445" s="29" t="str">
        <f t="shared" si="392"/>
        <v>[' ', '', '', '--', '00 gennaio 1900', '00/01/1900', '1900/01/00'],</v>
      </c>
      <c r="Z1445" s="29" t="str">
        <f t="shared" si="393"/>
        <v xml:space="preserve"> () |  </v>
      </c>
      <c r="AA1445" s="29" t="str">
        <f t="shared" si="394"/>
        <v xml:space="preserve"> </v>
      </c>
      <c r="AB1445" s="29" t="str">
        <f t="shared" si="395"/>
        <v xml:space="preserve"> </v>
      </c>
      <c r="AC1445" s="29" t="str">
        <f t="shared" si="396"/>
        <v xml:space="preserve"> , 0 , 00 gennaio 1900</v>
      </c>
      <c r="AD1445" s="29" t="str">
        <f t="shared" si="397"/>
        <v>1900-01-00T08:00:00.000+02:00</v>
      </c>
      <c r="AE1445" s="29" t="str">
        <f t="shared" si="389"/>
        <v>--</v>
      </c>
      <c r="AF1445" s="29" t="str">
        <f t="shared" si="390"/>
        <v xml:space="preserve">  - 0 - </v>
      </c>
    </row>
    <row r="1446" spans="2:32" x14ac:dyDescent="0.2">
      <c r="H1446" s="29" t="str">
        <f t="shared" si="400"/>
        <v xml:space="preserve"> </v>
      </c>
      <c r="L1446" s="29">
        <f t="shared" ref="L1446:L1509" si="401">IF(J1446&lt;&gt;"",_xlfn.CONCAT(J1446 &amp; " " &amp; K1446),K1446)</f>
        <v>0</v>
      </c>
      <c r="Q1446" s="38"/>
      <c r="R1446" s="32">
        <f t="shared" si="398"/>
        <v>0</v>
      </c>
      <c r="S1446" s="32" t="str">
        <f>IF(ISERROR(DAY(Q1446)),TEXT(MATCH(TRIM(SUBSTITUTE(SUBSTITUTE(SUBSTITUTE(SUBSTITUTE(SUBSTITUTE(SUBSTITUTE(SUBSTITUTE(SUBSTITUTE(SUBSTITUTE(SUBSTITUTE(SUBSTITUTE(Q1446,1,""),2,""),3,""),4,""),5,""),6,""),7,""),8,""),9,""),0,""),"-","")),{"gennaio","febbraio","marzo","aprile","maggio","giugno","luglio","agosto","settembre","ottobre","novembre","dicembre"},0),"00"),TEXT(MONTH(Q1446)*29,"mmmm"))</f>
        <v>gennaio</v>
      </c>
      <c r="T1446" s="32">
        <f t="shared" si="399"/>
        <v>1900</v>
      </c>
      <c r="U1446" s="29"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00/01/1900</v>
      </c>
      <c r="V1446" s="33"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1900/01/00</v>
      </c>
      <c r="W1446" s="29"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00 gennaio 1900</v>
      </c>
      <c r="X1446" s="29">
        <v>1473</v>
      </c>
      <c r="Y1446" s="29" t="str">
        <f t="shared" si="392"/>
        <v>[' ', '', '', '--', '00 gennaio 1900', '00/01/1900', '1900/01/00'],</v>
      </c>
      <c r="Z1446" s="29" t="str">
        <f t="shared" si="393"/>
        <v xml:space="preserve"> () |  </v>
      </c>
      <c r="AA1446" s="29" t="str">
        <f t="shared" si="394"/>
        <v xml:space="preserve"> </v>
      </c>
      <c r="AB1446" s="29" t="str">
        <f t="shared" si="395"/>
        <v xml:space="preserve"> </v>
      </c>
      <c r="AC1446" s="29" t="str">
        <f t="shared" si="396"/>
        <v xml:space="preserve"> , 0 , 00 gennaio 1900</v>
      </c>
      <c r="AD1446" s="29" t="str">
        <f t="shared" si="397"/>
        <v>1900-01-00T08:00:00.000+02:00</v>
      </c>
      <c r="AE1446" s="29" t="str">
        <f t="shared" si="389"/>
        <v>--</v>
      </c>
      <c r="AF1446" s="29" t="str">
        <f t="shared" si="390"/>
        <v xml:space="preserve">  - 0 - </v>
      </c>
    </row>
    <row r="1447" spans="2:32" x14ac:dyDescent="0.2">
      <c r="H1447" s="29" t="str">
        <f t="shared" si="400"/>
        <v xml:space="preserve"> </v>
      </c>
      <c r="L1447" s="29">
        <f t="shared" si="401"/>
        <v>0</v>
      </c>
      <c r="Q1447" s="38"/>
      <c r="R1447" s="32">
        <f t="shared" si="398"/>
        <v>0</v>
      </c>
      <c r="S1447" s="32" t="str">
        <f>IF(ISERROR(DAY(Q1447)),TEXT(MATCH(TRIM(SUBSTITUTE(SUBSTITUTE(SUBSTITUTE(SUBSTITUTE(SUBSTITUTE(SUBSTITUTE(SUBSTITUTE(SUBSTITUTE(SUBSTITUTE(SUBSTITUTE(SUBSTITUTE(Q1447,1,""),2,""),3,""),4,""),5,""),6,""),7,""),8,""),9,""),0,""),"-","")),{"gennaio","febbraio","marzo","aprile","maggio","giugno","luglio","agosto","settembre","ottobre","novembre","dicembre"},0),"00"),TEXT(MONTH(Q1447)*29,"mmmm"))</f>
        <v>gennaio</v>
      </c>
      <c r="T1447" s="32">
        <f t="shared" si="399"/>
        <v>1900</v>
      </c>
      <c r="U1447" s="29"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00/01/1900</v>
      </c>
      <c r="V1447" s="33"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1900/01/00</v>
      </c>
      <c r="W1447" s="29"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00 gennaio 1900</v>
      </c>
      <c r="X1447" s="29">
        <v>1474</v>
      </c>
      <c r="Y1447" s="29" t="str">
        <f t="shared" si="392"/>
        <v>[' ', '', '', '--', '00 gennaio 1900', '00/01/1900', '1900/01/00'],</v>
      </c>
      <c r="Z1447" s="29" t="str">
        <f t="shared" si="393"/>
        <v xml:space="preserve"> () |  </v>
      </c>
      <c r="AA1447" s="29" t="str">
        <f t="shared" si="394"/>
        <v xml:space="preserve"> </v>
      </c>
      <c r="AB1447" s="29" t="str">
        <f t="shared" si="395"/>
        <v xml:space="preserve"> </v>
      </c>
      <c r="AC1447" s="29" t="str">
        <f t="shared" si="396"/>
        <v xml:space="preserve"> , 0 , 00 gennaio 1900</v>
      </c>
      <c r="AD1447" s="29" t="str">
        <f t="shared" si="397"/>
        <v>1900-01-00T08:00:00.000+02:00</v>
      </c>
      <c r="AE1447" s="29" t="str">
        <f t="shared" ref="AE1447:AE1510" si="402">_xlfn.CONCAT(F1447 &amp; "-" &amp; M1447 &amp; "-" &amp; P1447)</f>
        <v>--</v>
      </c>
      <c r="AF1447" s="29" t="str">
        <f t="shared" ref="AF1447:AF1510" si="403">_xlfn.CONCAT(H1447 &amp; " - " &amp; L1447 &amp; " - " &amp; O1447)</f>
        <v xml:space="preserve">  - 0 - </v>
      </c>
    </row>
    <row r="1448" spans="2:32" x14ac:dyDescent="0.2">
      <c r="H1448" s="29" t="str">
        <f t="shared" si="400"/>
        <v xml:space="preserve"> </v>
      </c>
      <c r="L1448" s="29">
        <f t="shared" si="401"/>
        <v>0</v>
      </c>
      <c r="Q1448" s="38"/>
      <c r="R1448" s="32">
        <f t="shared" si="398"/>
        <v>0</v>
      </c>
      <c r="S1448" s="32" t="str">
        <f>IF(ISERROR(DAY(Q1448)),TEXT(MATCH(TRIM(SUBSTITUTE(SUBSTITUTE(SUBSTITUTE(SUBSTITUTE(SUBSTITUTE(SUBSTITUTE(SUBSTITUTE(SUBSTITUTE(SUBSTITUTE(SUBSTITUTE(SUBSTITUTE(Q1448,1,""),2,""),3,""),4,""),5,""),6,""),7,""),8,""),9,""),0,""),"-","")),{"gennaio","febbraio","marzo","aprile","maggio","giugno","luglio","agosto","settembre","ottobre","novembre","dicembre"},0),"00"),TEXT(MONTH(Q1448)*29,"mmmm"))</f>
        <v>gennaio</v>
      </c>
      <c r="T1448" s="32">
        <f t="shared" si="399"/>
        <v>1900</v>
      </c>
      <c r="U1448" s="29"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00/01/1900</v>
      </c>
      <c r="V1448" s="33"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1900/01/00</v>
      </c>
      <c r="W1448" s="29"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00 gennaio 1900</v>
      </c>
      <c r="X1448" s="29">
        <v>1475</v>
      </c>
      <c r="Y1448" s="29" t="str">
        <f t="shared" si="392"/>
        <v>[' ', '', '', '--', '00 gennaio 1900', '00/01/1900', '1900/01/00'],</v>
      </c>
      <c r="Z1448" s="29" t="str">
        <f t="shared" si="393"/>
        <v xml:space="preserve"> () |  </v>
      </c>
      <c r="AA1448" s="29" t="str">
        <f t="shared" si="394"/>
        <v xml:space="preserve"> </v>
      </c>
      <c r="AB1448" s="29" t="str">
        <f t="shared" si="395"/>
        <v xml:space="preserve"> </v>
      </c>
      <c r="AC1448" s="29" t="str">
        <f t="shared" si="396"/>
        <v xml:space="preserve"> , 0 , 00 gennaio 1900</v>
      </c>
      <c r="AD1448" s="29" t="str">
        <f t="shared" si="397"/>
        <v>1900-01-00T08:00:00.000+02:00</v>
      </c>
      <c r="AE1448" s="29" t="str">
        <f t="shared" si="402"/>
        <v>--</v>
      </c>
      <c r="AF1448" s="29" t="str">
        <f t="shared" si="403"/>
        <v xml:space="preserve">  - 0 - </v>
      </c>
    </row>
    <row r="1449" spans="2:32" x14ac:dyDescent="0.2">
      <c r="H1449" s="29" t="str">
        <f t="shared" si="400"/>
        <v xml:space="preserve"> </v>
      </c>
      <c r="L1449" s="29">
        <f t="shared" si="401"/>
        <v>0</v>
      </c>
      <c r="Q1449" s="38"/>
      <c r="R1449" s="32">
        <f t="shared" si="398"/>
        <v>0</v>
      </c>
      <c r="S1449" s="32" t="str">
        <f>IF(ISERROR(DAY(Q1449)),TEXT(MATCH(TRIM(SUBSTITUTE(SUBSTITUTE(SUBSTITUTE(SUBSTITUTE(SUBSTITUTE(SUBSTITUTE(SUBSTITUTE(SUBSTITUTE(SUBSTITUTE(SUBSTITUTE(SUBSTITUTE(Q1449,1,""),2,""),3,""),4,""),5,""),6,""),7,""),8,""),9,""),0,""),"-","")),{"gennaio","febbraio","marzo","aprile","maggio","giugno","luglio","agosto","settembre","ottobre","novembre","dicembre"},0),"00"),TEXT(MONTH(Q1449)*29,"mmmm"))</f>
        <v>gennaio</v>
      </c>
      <c r="T1449" s="32">
        <f t="shared" si="399"/>
        <v>1900</v>
      </c>
      <c r="U1449" s="29"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00/01/1900</v>
      </c>
      <c r="V1449" s="33"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1900/01/00</v>
      </c>
      <c r="W1449" s="29"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00 gennaio 1900</v>
      </c>
      <c r="X1449" s="29">
        <v>1476</v>
      </c>
      <c r="Y1449" s="29" t="str">
        <f t="shared" si="392"/>
        <v>[' ', '', '', '--', '00 gennaio 1900', '00/01/1900', '1900/01/00'],</v>
      </c>
      <c r="Z1449" s="29" t="str">
        <f t="shared" si="393"/>
        <v xml:space="preserve"> () |  </v>
      </c>
      <c r="AA1449" s="29" t="str">
        <f t="shared" si="394"/>
        <v xml:space="preserve"> </v>
      </c>
      <c r="AB1449" s="29" t="str">
        <f t="shared" si="395"/>
        <v xml:space="preserve"> </v>
      </c>
      <c r="AC1449" s="29" t="str">
        <f t="shared" si="396"/>
        <v xml:space="preserve"> , 0 , 00 gennaio 1900</v>
      </c>
      <c r="AD1449" s="29" t="str">
        <f t="shared" si="397"/>
        <v>1900-01-00T08:00:00.000+02:00</v>
      </c>
      <c r="AE1449" s="29" t="str">
        <f t="shared" si="402"/>
        <v>--</v>
      </c>
      <c r="AF1449" s="29" t="str">
        <f t="shared" si="403"/>
        <v xml:space="preserve">  - 0 - </v>
      </c>
    </row>
    <row r="1450" spans="2:32" x14ac:dyDescent="0.2">
      <c r="H1450" s="29" t="str">
        <f t="shared" si="400"/>
        <v xml:space="preserve"> </v>
      </c>
      <c r="L1450" s="29">
        <f t="shared" si="401"/>
        <v>0</v>
      </c>
      <c r="Q1450" s="38"/>
      <c r="R1450" s="32">
        <f t="shared" si="398"/>
        <v>0</v>
      </c>
      <c r="S1450" s="32" t="str">
        <f>IF(ISERROR(DAY(Q1450)),TEXT(MATCH(TRIM(SUBSTITUTE(SUBSTITUTE(SUBSTITUTE(SUBSTITUTE(SUBSTITUTE(SUBSTITUTE(SUBSTITUTE(SUBSTITUTE(SUBSTITUTE(SUBSTITUTE(SUBSTITUTE(Q1450,1,""),2,""),3,""),4,""),5,""),6,""),7,""),8,""),9,""),0,""),"-","")),{"gennaio","febbraio","marzo","aprile","maggio","giugno","luglio","agosto","settembre","ottobre","novembre","dicembre"},0),"00"),TEXT(MONTH(Q1450)*29,"mmmm"))</f>
        <v>gennaio</v>
      </c>
      <c r="T1450" s="32">
        <f t="shared" si="399"/>
        <v>1900</v>
      </c>
      <c r="U1450" s="29"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00/01/1900</v>
      </c>
      <c r="V1450" s="33"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1900/01/00</v>
      </c>
      <c r="W1450" s="29"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00 gennaio 1900</v>
      </c>
      <c r="X1450" s="29">
        <v>1477</v>
      </c>
      <c r="Y1450" s="29" t="str">
        <f t="shared" si="392"/>
        <v>[' ', '', '', '--', '00 gennaio 1900', '00/01/1900', '1900/01/00'],</v>
      </c>
      <c r="Z1450" s="29" t="str">
        <f t="shared" si="393"/>
        <v xml:space="preserve"> () |  </v>
      </c>
      <c r="AA1450" s="29" t="str">
        <f t="shared" si="394"/>
        <v xml:space="preserve"> </v>
      </c>
      <c r="AB1450" s="29" t="str">
        <f t="shared" si="395"/>
        <v xml:space="preserve"> </v>
      </c>
      <c r="AC1450" s="29" t="str">
        <f t="shared" si="396"/>
        <v xml:space="preserve"> , 0 , 00 gennaio 1900</v>
      </c>
      <c r="AD1450" s="29" t="str">
        <f t="shared" si="397"/>
        <v>1900-01-00T08:00:00.000+02:00</v>
      </c>
      <c r="AE1450" s="29" t="str">
        <f t="shared" si="402"/>
        <v>--</v>
      </c>
      <c r="AF1450" s="29" t="str">
        <f t="shared" si="403"/>
        <v xml:space="preserve">  - 0 - </v>
      </c>
    </row>
    <row r="1451" spans="2:32" x14ac:dyDescent="0.2">
      <c r="H1451" s="29" t="str">
        <f t="shared" si="400"/>
        <v xml:space="preserve"> </v>
      </c>
      <c r="L1451" s="29">
        <f t="shared" si="401"/>
        <v>0</v>
      </c>
      <c r="Q1451" s="38"/>
      <c r="R1451" s="32">
        <f t="shared" si="398"/>
        <v>0</v>
      </c>
      <c r="S1451" s="32" t="str">
        <f>IF(ISERROR(DAY(Q1451)),TEXT(MATCH(TRIM(SUBSTITUTE(SUBSTITUTE(SUBSTITUTE(SUBSTITUTE(SUBSTITUTE(SUBSTITUTE(SUBSTITUTE(SUBSTITUTE(SUBSTITUTE(SUBSTITUTE(SUBSTITUTE(Q1451,1,""),2,""),3,""),4,""),5,""),6,""),7,""),8,""),9,""),0,""),"-","")),{"gennaio","febbraio","marzo","aprile","maggio","giugno","luglio","agosto","settembre","ottobre","novembre","dicembre"},0),"00"),TEXT(MONTH(Q1451)*29,"mmmm"))</f>
        <v>gennaio</v>
      </c>
      <c r="T1451" s="32">
        <f t="shared" si="399"/>
        <v>1900</v>
      </c>
      <c r="U1451" s="29"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00/01/1900</v>
      </c>
      <c r="V1451" s="33"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1900/01/00</v>
      </c>
      <c r="W1451" s="29"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00 gennaio 1900</v>
      </c>
      <c r="X1451" s="29">
        <v>1478</v>
      </c>
      <c r="Y1451" s="29" t="str">
        <f t="shared" si="392"/>
        <v>[' ', '', '', '--', '00 gennaio 1900', '00/01/1900', '1900/01/00'],</v>
      </c>
      <c r="Z1451" s="29" t="str">
        <f t="shared" si="393"/>
        <v xml:space="preserve"> () |  </v>
      </c>
      <c r="AA1451" s="29" t="str">
        <f t="shared" si="394"/>
        <v xml:space="preserve"> </v>
      </c>
      <c r="AB1451" s="29" t="str">
        <f t="shared" si="395"/>
        <v xml:space="preserve"> </v>
      </c>
      <c r="AC1451" s="29" t="str">
        <f t="shared" si="396"/>
        <v xml:space="preserve"> , 0 , 00 gennaio 1900</v>
      </c>
      <c r="AD1451" s="29" t="str">
        <f t="shared" si="397"/>
        <v>1900-01-00T08:00:00.000+02:00</v>
      </c>
      <c r="AE1451" s="29" t="str">
        <f t="shared" si="402"/>
        <v>--</v>
      </c>
      <c r="AF1451" s="29" t="str">
        <f t="shared" si="403"/>
        <v xml:space="preserve">  - 0 - </v>
      </c>
    </row>
    <row r="1452" spans="2:32" x14ac:dyDescent="0.2">
      <c r="H1452" s="29" t="str">
        <f t="shared" si="400"/>
        <v xml:space="preserve"> </v>
      </c>
      <c r="L1452" s="29">
        <f t="shared" si="401"/>
        <v>0</v>
      </c>
      <c r="Q1452" s="38"/>
      <c r="R1452" s="32">
        <f t="shared" si="398"/>
        <v>0</v>
      </c>
      <c r="S1452" s="32" t="str">
        <f>IF(ISERROR(DAY(Q1452)),TEXT(MATCH(TRIM(SUBSTITUTE(SUBSTITUTE(SUBSTITUTE(SUBSTITUTE(SUBSTITUTE(SUBSTITUTE(SUBSTITUTE(SUBSTITUTE(SUBSTITUTE(SUBSTITUTE(SUBSTITUTE(Q1452,1,""),2,""),3,""),4,""),5,""),6,""),7,""),8,""),9,""),0,""),"-","")),{"gennaio","febbraio","marzo","aprile","maggio","giugno","luglio","agosto","settembre","ottobre","novembre","dicembre"},0),"00"),TEXT(MONTH(Q1452)*29,"mmmm"))</f>
        <v>gennaio</v>
      </c>
      <c r="T1452" s="32">
        <f t="shared" si="399"/>
        <v>1900</v>
      </c>
      <c r="U1452" s="29"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00/01/1900</v>
      </c>
      <c r="V1452" s="33"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1900/01/00</v>
      </c>
      <c r="W1452" s="29"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00 gennaio 1900</v>
      </c>
      <c r="X1452" s="29">
        <v>1479</v>
      </c>
      <c r="Y1452" s="29" t="str">
        <f t="shared" si="392"/>
        <v>[' ', '', '', '--', '00 gennaio 1900', '00/01/1900', '1900/01/00'],</v>
      </c>
      <c r="Z1452" s="29" t="str">
        <f t="shared" si="393"/>
        <v xml:space="preserve"> () |  </v>
      </c>
      <c r="AA1452" s="29" t="str">
        <f t="shared" si="394"/>
        <v xml:space="preserve"> </v>
      </c>
      <c r="AB1452" s="29" t="str">
        <f t="shared" si="395"/>
        <v xml:space="preserve"> </v>
      </c>
      <c r="AC1452" s="29" t="str">
        <f t="shared" si="396"/>
        <v xml:space="preserve"> , 0 , 00 gennaio 1900</v>
      </c>
      <c r="AD1452" s="29" t="str">
        <f t="shared" si="397"/>
        <v>1900-01-00T08:00:00.000+02:00</v>
      </c>
      <c r="AE1452" s="29" t="str">
        <f t="shared" si="402"/>
        <v>--</v>
      </c>
      <c r="AF1452" s="29" t="str">
        <f t="shared" si="403"/>
        <v xml:space="preserve">  - 0 - </v>
      </c>
    </row>
    <row r="1453" spans="2:32" x14ac:dyDescent="0.2">
      <c r="H1453" s="29" t="str">
        <f t="shared" si="400"/>
        <v xml:space="preserve"> </v>
      </c>
      <c r="L1453" s="29">
        <f t="shared" si="401"/>
        <v>0</v>
      </c>
      <c r="Q1453" s="38"/>
      <c r="R1453" s="32">
        <f t="shared" si="398"/>
        <v>0</v>
      </c>
      <c r="S1453" s="32" t="str">
        <f>IF(ISERROR(DAY(Q1453)),TEXT(MATCH(TRIM(SUBSTITUTE(SUBSTITUTE(SUBSTITUTE(SUBSTITUTE(SUBSTITUTE(SUBSTITUTE(SUBSTITUTE(SUBSTITUTE(SUBSTITUTE(SUBSTITUTE(SUBSTITUTE(Q1453,1,""),2,""),3,""),4,""),5,""),6,""),7,""),8,""),9,""),0,""),"-","")),{"gennaio","febbraio","marzo","aprile","maggio","giugno","luglio","agosto","settembre","ottobre","novembre","dicembre"},0),"00"),TEXT(MONTH(Q1453)*29,"mmmm"))</f>
        <v>gennaio</v>
      </c>
      <c r="T1453" s="32">
        <f t="shared" si="399"/>
        <v>1900</v>
      </c>
      <c r="U1453" s="29"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00/01/1900</v>
      </c>
      <c r="V1453" s="33"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1900/01/00</v>
      </c>
      <c r="W1453" s="29"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00 gennaio 1900</v>
      </c>
      <c r="X1453" s="29">
        <v>1480</v>
      </c>
      <c r="Y1453" s="29" t="str">
        <f t="shared" si="392"/>
        <v>[' ', '', '', '--', '00 gennaio 1900', '00/01/1900', '1900/01/00'],</v>
      </c>
      <c r="Z1453" s="29" t="str">
        <f t="shared" si="393"/>
        <v xml:space="preserve"> () |  </v>
      </c>
      <c r="AA1453" s="29" t="str">
        <f t="shared" si="394"/>
        <v xml:space="preserve"> </v>
      </c>
      <c r="AB1453" s="29" t="str">
        <f t="shared" si="395"/>
        <v xml:space="preserve"> </v>
      </c>
      <c r="AC1453" s="29" t="str">
        <f t="shared" si="396"/>
        <v xml:space="preserve"> , 0 , 00 gennaio 1900</v>
      </c>
      <c r="AD1453" s="29" t="str">
        <f t="shared" si="397"/>
        <v>1900-01-00T08:00:00.000+02:00</v>
      </c>
      <c r="AE1453" s="29" t="str">
        <f t="shared" si="402"/>
        <v>--</v>
      </c>
      <c r="AF1453" s="29" t="str">
        <f t="shared" si="403"/>
        <v xml:space="preserve">  - 0 - </v>
      </c>
    </row>
    <row r="1454" spans="2:32" x14ac:dyDescent="0.2">
      <c r="H1454" s="29" t="str">
        <f t="shared" si="400"/>
        <v xml:space="preserve"> </v>
      </c>
      <c r="L1454" s="29">
        <f t="shared" si="401"/>
        <v>0</v>
      </c>
      <c r="Q1454" s="38"/>
      <c r="R1454" s="32">
        <f t="shared" si="398"/>
        <v>0</v>
      </c>
      <c r="S1454" s="32" t="str">
        <f>IF(ISERROR(DAY(Q1454)),TEXT(MATCH(TRIM(SUBSTITUTE(SUBSTITUTE(SUBSTITUTE(SUBSTITUTE(SUBSTITUTE(SUBSTITUTE(SUBSTITUTE(SUBSTITUTE(SUBSTITUTE(SUBSTITUTE(SUBSTITUTE(Q1454,1,""),2,""),3,""),4,""),5,""),6,""),7,""),8,""),9,""),0,""),"-","")),{"gennaio","febbraio","marzo","aprile","maggio","giugno","luglio","agosto","settembre","ottobre","novembre","dicembre"},0),"00"),TEXT(MONTH(Q1454)*29,"mmmm"))</f>
        <v>gennaio</v>
      </c>
      <c r="T1454" s="32">
        <f t="shared" si="399"/>
        <v>1900</v>
      </c>
      <c r="U1454" s="29"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00/01/1900</v>
      </c>
      <c r="V1454" s="33"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1900/01/00</v>
      </c>
      <c r="W1454" s="29"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00 gennaio 1900</v>
      </c>
      <c r="X1454" s="29">
        <v>1481</v>
      </c>
      <c r="Y1454" s="29" t="str">
        <f t="shared" si="392"/>
        <v>[' ', '', '', '--', '00 gennaio 1900', '00/01/1900', '1900/01/00'],</v>
      </c>
      <c r="Z1454" s="29" t="str">
        <f t="shared" si="393"/>
        <v xml:space="preserve"> () |  </v>
      </c>
      <c r="AA1454" s="29" t="str">
        <f t="shared" si="394"/>
        <v xml:space="preserve"> </v>
      </c>
      <c r="AB1454" s="29" t="str">
        <f t="shared" si="395"/>
        <v xml:space="preserve"> </v>
      </c>
      <c r="AC1454" s="29" t="str">
        <f t="shared" si="396"/>
        <v xml:space="preserve"> , 0 , 00 gennaio 1900</v>
      </c>
      <c r="AD1454" s="29" t="str">
        <f t="shared" si="397"/>
        <v>1900-01-00T08:00:00.000+02:00</v>
      </c>
      <c r="AE1454" s="29" t="str">
        <f t="shared" si="402"/>
        <v>--</v>
      </c>
      <c r="AF1454" s="29" t="str">
        <f t="shared" si="403"/>
        <v xml:space="preserve">  - 0 - </v>
      </c>
    </row>
    <row r="1455" spans="2:32" s="31" customFormat="1" x14ac:dyDescent="0.2">
      <c r="B1455" s="31">
        <v>263</v>
      </c>
      <c r="C1455" s="31" t="s">
        <v>3676</v>
      </c>
      <c r="D1455" s="31" t="s">
        <v>746</v>
      </c>
      <c r="E1455" s="31" t="s">
        <v>741</v>
      </c>
      <c r="F1455" s="31" t="s">
        <v>3674</v>
      </c>
      <c r="G1455" s="31" t="s">
        <v>3675</v>
      </c>
      <c r="H1455" s="31" t="str">
        <f t="shared" si="400"/>
        <v>Giovanni Paolo I</v>
      </c>
      <c r="K1455" s="31" t="s">
        <v>3681</v>
      </c>
      <c r="L1455" s="31" t="str">
        <f t="shared" si="401"/>
        <v>Angelus</v>
      </c>
      <c r="M1455" s="31" t="s">
        <v>563</v>
      </c>
      <c r="O1455" s="31" t="s">
        <v>3681</v>
      </c>
      <c r="P1455" s="31" t="s">
        <v>3687</v>
      </c>
      <c r="Q1455" s="40">
        <v>28757</v>
      </c>
      <c r="R1455" s="35">
        <f t="shared" si="398"/>
        <v>24</v>
      </c>
      <c r="S1455" s="35" t="str">
        <f>IF(ISERROR(DAY(Q1455)),TEXT(MATCH(TRIM(SUBSTITUTE(SUBSTITUTE(SUBSTITUTE(SUBSTITUTE(SUBSTITUTE(SUBSTITUTE(SUBSTITUTE(SUBSTITUTE(SUBSTITUTE(SUBSTITUTE(SUBSTITUTE(Q1455,1,""),2,""),3,""),4,""),5,""),6,""),7,""),8,""),9,""),0,""),"-","")),{"gennaio","febbraio","marzo","aprile","maggio","giugno","luglio","agosto","settembre","ottobre","novembre","dicembre"},0),"00"),TEXT(MONTH(Q1455)*29,"mmmm"))</f>
        <v>settembre</v>
      </c>
      <c r="T1455" s="35">
        <f t="shared" si="399"/>
        <v>1978</v>
      </c>
      <c r="U1455" s="31"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24/09/1978</v>
      </c>
      <c r="V1455" s="36"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1978/09/24</v>
      </c>
      <c r="W1455" s="31"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24 settembre 1978</v>
      </c>
      <c r="X1455" s="31">
        <v>835</v>
      </c>
      <c r="Y1455" s="31" t="str">
        <f t="shared" si="392"/>
        <v>['Giovanni Paolo I', 'Angelus', 'Angelus', 'ipi-arc-elu', '24 settembre 1978', '24/09/1978', '1978/09/24'],</v>
      </c>
      <c r="Z1455" s="31" t="str">
        <f t="shared" si="393"/>
        <v>Angelus (28757) | Giovanni Paolo I</v>
      </c>
      <c r="AA1455" s="31" t="str">
        <f t="shared" si="394"/>
        <v>Angelus Angelus</v>
      </c>
      <c r="AB1455" s="31" t="str">
        <f t="shared" si="395"/>
        <v>Angelus Angelus</v>
      </c>
      <c r="AC1455" s="31" t="str">
        <f t="shared" si="396"/>
        <v>Giovanni Paolo I, Angelus Angelus, 24 settembre 1978</v>
      </c>
      <c r="AD1455" s="31" t="str">
        <f t="shared" si="397"/>
        <v>1978-09-24T08:00:00.000+02:00</v>
      </c>
      <c r="AE1455" s="31" t="str">
        <f t="shared" si="402"/>
        <v>ipi-arc-elu</v>
      </c>
      <c r="AF1455" s="31" t="str">
        <f t="shared" si="403"/>
        <v>Giovanni Paolo I - Angelus - Angelus</v>
      </c>
    </row>
    <row r="1456" spans="2:32" s="31" customFormat="1" x14ac:dyDescent="0.2">
      <c r="B1456" s="31">
        <v>263</v>
      </c>
      <c r="C1456" s="31" t="s">
        <v>3677</v>
      </c>
      <c r="D1456" s="31" t="s">
        <v>746</v>
      </c>
      <c r="E1456" s="31" t="s">
        <v>741</v>
      </c>
      <c r="F1456" s="31" t="s">
        <v>3674</v>
      </c>
      <c r="G1456" s="31" t="s">
        <v>3675</v>
      </c>
      <c r="H1456" s="31" t="str">
        <f t="shared" si="400"/>
        <v>Giovanni Paolo I</v>
      </c>
      <c r="K1456" s="31" t="s">
        <v>3681</v>
      </c>
      <c r="L1456" s="31" t="str">
        <f t="shared" si="401"/>
        <v>Angelus</v>
      </c>
      <c r="M1456" s="31" t="s">
        <v>563</v>
      </c>
      <c r="O1456" s="31" t="s">
        <v>3681</v>
      </c>
      <c r="P1456" s="31" t="s">
        <v>3686</v>
      </c>
      <c r="Q1456" s="40">
        <v>28750</v>
      </c>
      <c r="R1456" s="35">
        <f t="shared" si="398"/>
        <v>17</v>
      </c>
      <c r="S1456" s="35" t="str">
        <f>IF(ISERROR(DAY(Q1456)),TEXT(MATCH(TRIM(SUBSTITUTE(SUBSTITUTE(SUBSTITUTE(SUBSTITUTE(SUBSTITUTE(SUBSTITUTE(SUBSTITUTE(SUBSTITUTE(SUBSTITUTE(SUBSTITUTE(SUBSTITUTE(Q1456,1,""),2,""),3,""),4,""),5,""),6,""),7,""),8,""),9,""),0,""),"-","")),{"gennaio","febbraio","marzo","aprile","maggio","giugno","luglio","agosto","settembre","ottobre","novembre","dicembre"},0),"00"),TEXT(MONTH(Q1456)*29,"mmmm"))</f>
        <v>settembre</v>
      </c>
      <c r="T1456" s="35">
        <f t="shared" si="399"/>
        <v>1978</v>
      </c>
      <c r="U1456" s="31"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17/09/1978</v>
      </c>
      <c r="V1456" s="36"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1978/09/17</v>
      </c>
      <c r="W1456" s="31"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17 settembre 1978</v>
      </c>
      <c r="X1456" s="31">
        <v>836</v>
      </c>
      <c r="Y1456" s="31" t="str">
        <f t="shared" si="392"/>
        <v>['Giovanni Paolo I', 'Angelus', 'Angelus', 'ipi-arc-gel', '17 settembre 1978', '17/09/1978', '1978/09/17'],</v>
      </c>
      <c r="Z1456" s="31" t="str">
        <f t="shared" si="393"/>
        <v>Angelus (28750) | Giovanni Paolo I</v>
      </c>
      <c r="AA1456" s="31" t="str">
        <f t="shared" si="394"/>
        <v>Angelus Angelus</v>
      </c>
      <c r="AB1456" s="31" t="str">
        <f t="shared" si="395"/>
        <v>Angelus Angelus</v>
      </c>
      <c r="AC1456" s="31" t="str">
        <f t="shared" si="396"/>
        <v>Giovanni Paolo I, Angelus Angelus, 17 settembre 1978</v>
      </c>
      <c r="AD1456" s="31" t="str">
        <f t="shared" si="397"/>
        <v>1978-09-17T08:00:00.000+02:00</v>
      </c>
      <c r="AE1456" s="31" t="str">
        <f t="shared" si="402"/>
        <v>ipi-arc-gel</v>
      </c>
      <c r="AF1456" s="31" t="str">
        <f t="shared" si="403"/>
        <v>Giovanni Paolo I - Angelus - Angelus</v>
      </c>
    </row>
    <row r="1457" spans="2:32" s="31" customFormat="1" x14ac:dyDescent="0.2">
      <c r="B1457" s="31">
        <v>263</v>
      </c>
      <c r="C1457" s="31" t="s">
        <v>3678</v>
      </c>
      <c r="D1457" s="31" t="s">
        <v>746</v>
      </c>
      <c r="E1457" s="31" t="s">
        <v>741</v>
      </c>
      <c r="F1457" s="31" t="s">
        <v>3674</v>
      </c>
      <c r="G1457" s="31" t="s">
        <v>3675</v>
      </c>
      <c r="H1457" s="31" t="str">
        <f t="shared" si="400"/>
        <v>Giovanni Paolo I</v>
      </c>
      <c r="K1457" s="31" t="s">
        <v>3681</v>
      </c>
      <c r="L1457" s="31" t="str">
        <f t="shared" si="401"/>
        <v>Angelus</v>
      </c>
      <c r="M1457" s="31" t="s">
        <v>563</v>
      </c>
      <c r="O1457" s="31" t="s">
        <v>3681</v>
      </c>
      <c r="P1457" s="31" t="s">
        <v>3685</v>
      </c>
      <c r="Q1457" s="40">
        <v>28743</v>
      </c>
      <c r="R1457" s="35">
        <f t="shared" si="398"/>
        <v>10</v>
      </c>
      <c r="S1457" s="35" t="str">
        <f>IF(ISERROR(DAY(Q1457)),TEXT(MATCH(TRIM(SUBSTITUTE(SUBSTITUTE(SUBSTITUTE(SUBSTITUTE(SUBSTITUTE(SUBSTITUTE(SUBSTITUTE(SUBSTITUTE(SUBSTITUTE(SUBSTITUTE(SUBSTITUTE(Q1457,1,""),2,""),3,""),4,""),5,""),6,""),7,""),8,""),9,""),0,""),"-","")),{"gennaio","febbraio","marzo","aprile","maggio","giugno","luglio","agosto","settembre","ottobre","novembre","dicembre"},0),"00"),TEXT(MONTH(Q1457)*29,"mmmm"))</f>
        <v>settembre</v>
      </c>
      <c r="T1457" s="35">
        <f t="shared" si="399"/>
        <v>1978</v>
      </c>
      <c r="U1457" s="31"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10/09/1978</v>
      </c>
      <c r="V1457" s="36"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1978/09/10</v>
      </c>
      <c r="W1457" s="31"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10 settembre 1978</v>
      </c>
      <c r="X1457" s="31">
        <v>837</v>
      </c>
      <c r="Y1457" s="31" t="str">
        <f t="shared" si="392"/>
        <v>['Giovanni Paolo I', 'Angelus', 'Angelus', 'ipi-arc-nge', '10 settembre 1978', '10/09/1978', '1978/09/10'],</v>
      </c>
      <c r="Z1457" s="31" t="str">
        <f t="shared" si="393"/>
        <v>Angelus (28743) | Giovanni Paolo I</v>
      </c>
      <c r="AA1457" s="31" t="str">
        <f t="shared" si="394"/>
        <v>Angelus Angelus</v>
      </c>
      <c r="AB1457" s="31" t="str">
        <f t="shared" si="395"/>
        <v>Angelus Angelus</v>
      </c>
      <c r="AC1457" s="31" t="str">
        <f t="shared" si="396"/>
        <v>Giovanni Paolo I, Angelus Angelus, 10 settembre 1978</v>
      </c>
      <c r="AD1457" s="31" t="str">
        <f t="shared" si="397"/>
        <v>1978-09-10T08:00:00.000+02:00</v>
      </c>
      <c r="AE1457" s="31" t="str">
        <f t="shared" si="402"/>
        <v>ipi-arc-nge</v>
      </c>
      <c r="AF1457" s="31" t="str">
        <f t="shared" si="403"/>
        <v>Giovanni Paolo I - Angelus - Angelus</v>
      </c>
    </row>
    <row r="1458" spans="2:32" s="31" customFormat="1" x14ac:dyDescent="0.2">
      <c r="B1458" s="31">
        <v>263</v>
      </c>
      <c r="C1458" s="31" t="s">
        <v>3679</v>
      </c>
      <c r="D1458" s="31" t="s">
        <v>746</v>
      </c>
      <c r="E1458" s="31" t="s">
        <v>741</v>
      </c>
      <c r="F1458" s="31" t="s">
        <v>3674</v>
      </c>
      <c r="G1458" s="31" t="s">
        <v>3675</v>
      </c>
      <c r="H1458" s="31" t="str">
        <f t="shared" si="400"/>
        <v>Giovanni Paolo I</v>
      </c>
      <c r="K1458" s="31" t="s">
        <v>3681</v>
      </c>
      <c r="L1458" s="31" t="str">
        <f t="shared" si="401"/>
        <v>Angelus</v>
      </c>
      <c r="M1458" s="31" t="s">
        <v>563</v>
      </c>
      <c r="O1458" s="31" t="s">
        <v>3682</v>
      </c>
      <c r="P1458" s="31" t="s">
        <v>3684</v>
      </c>
      <c r="Q1458" s="40">
        <v>28736</v>
      </c>
      <c r="R1458" s="35">
        <f t="shared" si="398"/>
        <v>3</v>
      </c>
      <c r="S1458" s="35" t="str">
        <f>IF(ISERROR(DAY(Q1458)),TEXT(MATCH(TRIM(SUBSTITUTE(SUBSTITUTE(SUBSTITUTE(SUBSTITUTE(SUBSTITUTE(SUBSTITUTE(SUBSTITUTE(SUBSTITUTE(SUBSTITUTE(SUBSTITUTE(SUBSTITUTE(Q1458,1,""),2,""),3,""),4,""),5,""),6,""),7,""),8,""),9,""),0,""),"-","")),{"gennaio","febbraio","marzo","aprile","maggio","giugno","luglio","agosto","settembre","ottobre","novembre","dicembre"},0),"00"),TEXT(MONTH(Q1458)*29,"mmmm"))</f>
        <v>settembre</v>
      </c>
      <c r="T1458" s="35">
        <f t="shared" si="399"/>
        <v>1978</v>
      </c>
      <c r="U1458" s="31"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03/09/1978</v>
      </c>
      <c r="V1458" s="36"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1978/09/03</v>
      </c>
      <c r="W1458" s="31"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03 settembre 1978</v>
      </c>
      <c r="X1458" s="31">
        <v>838</v>
      </c>
      <c r="Y1458" s="31" t="str">
        <f t="shared" si="392"/>
        <v>['Giovanni Paolo I', 'Angelus', 'Angelus, Festa di S. Gregorio Magno', 'ipi-arc-sgm', '03 settembre 1978', '03/09/1978', '1978/09/03'],</v>
      </c>
      <c r="Z1458" s="31" t="str">
        <f t="shared" si="393"/>
        <v>Angelus, Festa di S. Gregorio Magno (28736) | Giovanni Paolo I</v>
      </c>
      <c r="AA1458" s="31" t="str">
        <f t="shared" si="394"/>
        <v>Angelus Angelus, Festa di S. Gregorio Magno</v>
      </c>
      <c r="AB1458" s="31" t="str">
        <f t="shared" si="395"/>
        <v>Angelus Angelus, Festa di S. Gregorio Magno</v>
      </c>
      <c r="AC1458" s="31" t="str">
        <f t="shared" si="396"/>
        <v>Giovanni Paolo I, Angelus Angelus, Festa di S. Gregorio Magno, 03 settembre 1978</v>
      </c>
      <c r="AD1458" s="31" t="str">
        <f t="shared" si="397"/>
        <v>1978-09-03T08:00:00.000+02:00</v>
      </c>
      <c r="AE1458" s="31" t="str">
        <f t="shared" si="402"/>
        <v>ipi-arc-sgm</v>
      </c>
      <c r="AF1458" s="31" t="str">
        <f t="shared" si="403"/>
        <v>Giovanni Paolo I - Angelus - Angelus, Festa di S. Gregorio Magno</v>
      </c>
    </row>
    <row r="1459" spans="2:32" s="31" customFormat="1" x14ac:dyDescent="0.2">
      <c r="B1459" s="31">
        <v>263</v>
      </c>
      <c r="C1459" s="31" t="s">
        <v>3680</v>
      </c>
      <c r="D1459" s="31" t="s">
        <v>746</v>
      </c>
      <c r="E1459" s="31" t="s">
        <v>741</v>
      </c>
      <c r="F1459" s="31" t="s">
        <v>3674</v>
      </c>
      <c r="G1459" s="31" t="s">
        <v>3675</v>
      </c>
      <c r="H1459" s="31" t="str">
        <f t="shared" si="400"/>
        <v>Giovanni Paolo I</v>
      </c>
      <c r="K1459" s="31" t="s">
        <v>3681</v>
      </c>
      <c r="L1459" s="31" t="str">
        <f t="shared" si="401"/>
        <v>Angelus</v>
      </c>
      <c r="M1459" s="31" t="s">
        <v>563</v>
      </c>
      <c r="O1459" s="31" t="s">
        <v>3681</v>
      </c>
      <c r="P1459" s="31" t="s">
        <v>3683</v>
      </c>
      <c r="Q1459" s="40">
        <v>28729</v>
      </c>
      <c r="R1459" s="35">
        <f t="shared" si="398"/>
        <v>27</v>
      </c>
      <c r="S1459" s="35" t="str">
        <f>IF(ISERROR(DAY(Q1459)),TEXT(MATCH(TRIM(SUBSTITUTE(SUBSTITUTE(SUBSTITUTE(SUBSTITUTE(SUBSTITUTE(SUBSTITUTE(SUBSTITUTE(SUBSTITUTE(SUBSTITUTE(SUBSTITUTE(SUBSTITUTE(Q1459,1,""),2,""),3,""),4,""),5,""),6,""),7,""),8,""),9,""),0,""),"-","")),{"gennaio","febbraio","marzo","aprile","maggio","giugno","luglio","agosto","settembre","ottobre","novembre","dicembre"},0),"00"),TEXT(MONTH(Q1459)*29,"mmmm"))</f>
        <v>agosto</v>
      </c>
      <c r="T1459" s="35">
        <f t="shared" si="399"/>
        <v>1978</v>
      </c>
      <c r="U1459" s="31"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27/08/1978</v>
      </c>
      <c r="V1459" s="36"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1978/08/27</v>
      </c>
      <c r="W1459" s="31"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27 agosto 1978</v>
      </c>
      <c r="X1459" s="31">
        <v>839</v>
      </c>
      <c r="Y1459" s="31" t="str">
        <f t="shared" si="392"/>
        <v>['Giovanni Paolo I', 'Angelus', 'Angelus', 'ipi-arc-ang', '27 agosto 1978', '27/08/1978', '1978/08/27'],</v>
      </c>
      <c r="Z1459" s="31" t="str">
        <f t="shared" si="393"/>
        <v>Angelus (28729) | Giovanni Paolo I</v>
      </c>
      <c r="AA1459" s="31" t="str">
        <f t="shared" si="394"/>
        <v>Angelus Angelus</v>
      </c>
      <c r="AB1459" s="31" t="str">
        <f t="shared" si="395"/>
        <v>Angelus Angelus</v>
      </c>
      <c r="AC1459" s="31" t="str">
        <f t="shared" si="396"/>
        <v>Giovanni Paolo I, Angelus Angelus, 27 agosto 1978</v>
      </c>
      <c r="AD1459" s="31" t="str">
        <f t="shared" si="397"/>
        <v>1978-08-27T08:00:00.000+02:00</v>
      </c>
      <c r="AE1459" s="31" t="str">
        <f t="shared" si="402"/>
        <v>ipi-arc-ang</v>
      </c>
      <c r="AF1459" s="31" t="str">
        <f t="shared" si="403"/>
        <v>Giovanni Paolo I - Angelus - Angelus</v>
      </c>
    </row>
    <row r="1460" spans="2:32" s="31" customFormat="1" x14ac:dyDescent="0.2">
      <c r="B1460" s="31">
        <v>263</v>
      </c>
      <c r="C1460" s="31" t="s">
        <v>3695</v>
      </c>
      <c r="D1460" s="31" t="s">
        <v>746</v>
      </c>
      <c r="E1460" s="31" t="s">
        <v>741</v>
      </c>
      <c r="F1460" s="31" t="s">
        <v>3674</v>
      </c>
      <c r="G1460" s="31" t="s">
        <v>3675</v>
      </c>
      <c r="H1460" s="31" t="str">
        <f t="shared" si="400"/>
        <v>Giovanni Paolo I</v>
      </c>
      <c r="K1460" s="31" t="s">
        <v>827</v>
      </c>
      <c r="L1460" s="31" t="str">
        <f t="shared" si="401"/>
        <v>Discorso</v>
      </c>
      <c r="M1460" s="31" t="s">
        <v>566</v>
      </c>
      <c r="O1460" s="31" t="s">
        <v>3688</v>
      </c>
      <c r="P1460" s="31" t="s">
        <v>3693</v>
      </c>
      <c r="Q1460" s="40">
        <v>28756</v>
      </c>
      <c r="R1460" s="35">
        <f t="shared" si="398"/>
        <v>23</v>
      </c>
      <c r="S1460" s="35"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35">
        <f t="shared" si="399"/>
        <v>1978</v>
      </c>
      <c r="U1460" s="31"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23/09/1978</v>
      </c>
      <c r="V1460" s="36"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1978/09/23</v>
      </c>
      <c r="W1460" s="31"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23 settembre 1978</v>
      </c>
      <c r="X1460" s="31">
        <v>840</v>
      </c>
      <c r="Y1460" s="31" t="str">
        <f t="shared" si="392"/>
        <v>['Giovanni Paolo I', 'Discorso', 'Al sindaco di Roma', 'ipi-dis-asr', '23 settembre 1978', '23/09/1978', '1978/09/23'],</v>
      </c>
      <c r="Z1460" s="31" t="str">
        <f t="shared" si="393"/>
        <v>Al sindaco di Roma (28756) | Giovanni Paolo I</v>
      </c>
      <c r="AA1460" s="31" t="str">
        <f t="shared" si="394"/>
        <v>Discorso Al sindaco di Roma</v>
      </c>
      <c r="AB1460" s="31" t="str">
        <f t="shared" si="395"/>
        <v>Discorso Al sindaco di Roma</v>
      </c>
      <c r="AC1460" s="31" t="str">
        <f t="shared" si="396"/>
        <v>Giovanni Paolo I, Discorso Al sindaco di Roma, 23 settembre 1978</v>
      </c>
      <c r="AD1460" s="31" t="str">
        <f t="shared" si="397"/>
        <v>1978-09-23T08:00:00.000+02:00</v>
      </c>
      <c r="AE1460" s="31" t="str">
        <f t="shared" si="402"/>
        <v>ipi-dis-asr</v>
      </c>
      <c r="AF1460" s="31" t="str">
        <f t="shared" si="403"/>
        <v>Giovanni Paolo I - Discorso - Al sindaco di Roma</v>
      </c>
    </row>
    <row r="1461" spans="2:32" s="31" customFormat="1" x14ac:dyDescent="0.2">
      <c r="B1461" s="31">
        <v>263</v>
      </c>
      <c r="C1461" s="31" t="s">
        <v>3696</v>
      </c>
      <c r="D1461" s="31" t="s">
        <v>746</v>
      </c>
      <c r="E1461" s="31" t="s">
        <v>741</v>
      </c>
      <c r="F1461" s="31" t="s">
        <v>3674</v>
      </c>
      <c r="G1461" s="31" t="s">
        <v>3675</v>
      </c>
      <c r="H1461" s="31" t="str">
        <f t="shared" si="400"/>
        <v>Giovanni Paolo I</v>
      </c>
      <c r="K1461" s="31" t="s">
        <v>827</v>
      </c>
      <c r="L1461" s="31" t="str">
        <f t="shared" si="401"/>
        <v>Discorso</v>
      </c>
      <c r="M1461" s="31" t="s">
        <v>566</v>
      </c>
      <c r="O1461" s="31" t="s">
        <v>3689</v>
      </c>
      <c r="P1461" s="31" t="s">
        <v>2990</v>
      </c>
      <c r="Q1461" s="40">
        <v>28740</v>
      </c>
      <c r="R1461" s="35">
        <f t="shared" si="398"/>
        <v>7</v>
      </c>
      <c r="S1461" s="35"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35">
        <f t="shared" si="399"/>
        <v>1978</v>
      </c>
      <c r="U1461" s="31"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07/09/1978</v>
      </c>
      <c r="V1461" s="36"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1978/09/07</v>
      </c>
      <c r="W1461" s="31"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07 settembre 1978</v>
      </c>
      <c r="X1461" s="31">
        <v>841</v>
      </c>
      <c r="Y1461" s="31" t="str">
        <f t="shared" si="392"/>
        <v>['Giovanni Paolo I', 'Discorso', 'Al clero romano', 'ipi-dis-acr', '07 settembre 1978', '07/09/1978', '1978/09/07'],</v>
      </c>
      <c r="Z1461" s="31" t="str">
        <f t="shared" si="393"/>
        <v>Al clero romano (28740) | Giovanni Paolo I</v>
      </c>
      <c r="AA1461" s="31" t="str">
        <f t="shared" si="394"/>
        <v>Discorso Al clero romano</v>
      </c>
      <c r="AB1461" s="31" t="str">
        <f t="shared" si="395"/>
        <v>Discorso Al clero romano</v>
      </c>
      <c r="AC1461" s="31" t="str">
        <f t="shared" si="396"/>
        <v>Giovanni Paolo I, Discorso Al clero romano, 07 settembre 1978</v>
      </c>
      <c r="AD1461" s="31" t="str">
        <f t="shared" si="397"/>
        <v>1978-09-07T08:00:00.000+02:00</v>
      </c>
      <c r="AE1461" s="31" t="str">
        <f t="shared" si="402"/>
        <v>ipi-dis-acr</v>
      </c>
      <c r="AF1461" s="31" t="str">
        <f t="shared" si="403"/>
        <v>Giovanni Paolo I - Discorso - Al clero romano</v>
      </c>
    </row>
    <row r="1462" spans="2:32" s="31" customFormat="1" x14ac:dyDescent="0.2">
      <c r="B1462" s="31">
        <v>263</v>
      </c>
      <c r="C1462" s="31" t="s">
        <v>3697</v>
      </c>
      <c r="D1462" s="31" t="s">
        <v>746</v>
      </c>
      <c r="E1462" s="31" t="s">
        <v>741</v>
      </c>
      <c r="F1462" s="31" t="s">
        <v>3674</v>
      </c>
      <c r="G1462" s="31" t="s">
        <v>3675</v>
      </c>
      <c r="H1462" s="31" t="str">
        <f t="shared" si="400"/>
        <v>Giovanni Paolo I</v>
      </c>
      <c r="K1462" s="31" t="s">
        <v>827</v>
      </c>
      <c r="L1462" s="31" t="str">
        <f t="shared" si="401"/>
        <v>Discorso</v>
      </c>
      <c r="M1462" s="31" t="s">
        <v>566</v>
      </c>
      <c r="O1462" s="31" t="s">
        <v>3690</v>
      </c>
      <c r="P1462" s="31" t="s">
        <v>3541</v>
      </c>
      <c r="Q1462" s="40">
        <v>28734</v>
      </c>
      <c r="R1462" s="35">
        <f t="shared" si="398"/>
        <v>1</v>
      </c>
      <c r="S1462" s="35"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35">
        <f t="shared" si="399"/>
        <v>1978</v>
      </c>
      <c r="U1462" s="31"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01/09/1978</v>
      </c>
      <c r="V1462" s="36"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1978/09/01</v>
      </c>
      <c r="W1462" s="31"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01 settembre 1978</v>
      </c>
      <c r="X1462" s="31">
        <v>842</v>
      </c>
      <c r="Y1462" s="31" t="str">
        <f t="shared" si="392"/>
        <v>['Giovanni Paolo I', 'Discorso', 'Ai rappresentanti della stampa internazionale', 'ipi-dis-ars', '01 settembre 1978', '01/09/1978', '1978/09/01'],</v>
      </c>
      <c r="Z1462" s="31" t="str">
        <f t="shared" si="393"/>
        <v>Ai rappresentanti della stampa internazionale (28734) | Giovanni Paolo I</v>
      </c>
      <c r="AA1462" s="31" t="str">
        <f t="shared" si="394"/>
        <v>Discorso Ai rappresentanti della stampa internazionale</v>
      </c>
      <c r="AB1462" s="31" t="str">
        <f t="shared" si="395"/>
        <v>Discorso Ai rappresentanti della stampa internazionale</v>
      </c>
      <c r="AC1462" s="31" t="str">
        <f t="shared" si="396"/>
        <v>Giovanni Paolo I, Discorso Ai rappresentanti della stampa internazionale, 01 settembre 1978</v>
      </c>
      <c r="AD1462" s="31" t="str">
        <f t="shared" si="397"/>
        <v>1978-09-01T08:00:00.000+02:00</v>
      </c>
      <c r="AE1462" s="31" t="str">
        <f t="shared" si="402"/>
        <v>ipi-dis-ars</v>
      </c>
      <c r="AF1462" s="31" t="str">
        <f t="shared" si="403"/>
        <v>Giovanni Paolo I - Discorso - Ai rappresentanti della stampa internazionale</v>
      </c>
    </row>
    <row r="1463" spans="2:32" s="31" customFormat="1" x14ac:dyDescent="0.2">
      <c r="B1463" s="31">
        <v>263</v>
      </c>
      <c r="C1463" s="31" t="s">
        <v>3698</v>
      </c>
      <c r="D1463" s="31" t="s">
        <v>746</v>
      </c>
      <c r="E1463" s="31" t="s">
        <v>741</v>
      </c>
      <c r="F1463" s="31" t="s">
        <v>3674</v>
      </c>
      <c r="G1463" s="31" t="s">
        <v>3675</v>
      </c>
      <c r="H1463" s="31" t="str">
        <f t="shared" si="400"/>
        <v>Giovanni Paolo I</v>
      </c>
      <c r="K1463" s="31" t="s">
        <v>827</v>
      </c>
      <c r="L1463" s="31" t="str">
        <f t="shared" si="401"/>
        <v>Discorso</v>
      </c>
      <c r="M1463" s="31" t="s">
        <v>566</v>
      </c>
      <c r="O1463" s="31" t="s">
        <v>3691</v>
      </c>
      <c r="P1463" s="31" t="s">
        <v>3540</v>
      </c>
      <c r="Q1463" s="40">
        <v>28732</v>
      </c>
      <c r="R1463" s="35">
        <f t="shared" si="398"/>
        <v>30</v>
      </c>
      <c r="S1463" s="35" t="str">
        <f>IF(ISERROR(DAY(Q1463)),TEXT(MATCH(TRIM(SUBSTITUTE(SUBSTITUTE(SUBSTITUTE(SUBSTITUTE(SUBSTITUTE(SUBSTITUTE(SUBSTITUTE(SUBSTITUTE(SUBSTITUTE(SUBSTITUTE(SUBSTITUTE(Q1463,1,""),2,""),3,""),4,""),5,""),6,""),7,""),8,""),9,""),0,""),"-","")),{"gennaio","febbraio","marzo","aprile","maggio","giugno","luglio","agosto","settembre","ottobre","novembre","dicembre"},0),"00"),TEXT(MONTH(Q1463)*29,"mmmm"))</f>
        <v>agosto</v>
      </c>
      <c r="T1463" s="35">
        <f t="shared" si="399"/>
        <v>1978</v>
      </c>
      <c r="U1463" s="31"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30/08/1978</v>
      </c>
      <c r="V1463" s="36"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1978/08/30</v>
      </c>
      <c r="W1463" s="31"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30 agosto 1978</v>
      </c>
      <c r="X1463" s="31">
        <v>843</v>
      </c>
      <c r="Y1463" s="31" t="str">
        <f t="shared" si="392"/>
        <v>['Giovanni Paolo I', 'Discorso', 'Al collegio cardinalizio', 'ipi-dis-acc', '30 agosto 1978', '30/08/1978', '1978/08/30'],</v>
      </c>
      <c r="Z1463" s="31" t="str">
        <f t="shared" si="393"/>
        <v>Al collegio cardinalizio (28732) | Giovanni Paolo I</v>
      </c>
      <c r="AA1463" s="31" t="str">
        <f t="shared" si="394"/>
        <v>Discorso Al collegio cardinalizio</v>
      </c>
      <c r="AB1463" s="31" t="str">
        <f t="shared" si="395"/>
        <v>Discorso Al collegio cardinalizio</v>
      </c>
      <c r="AC1463" s="31" t="str">
        <f t="shared" si="396"/>
        <v>Giovanni Paolo I, Discorso Al collegio cardinalizio, 30 agosto 1978</v>
      </c>
      <c r="AD1463" s="31" t="str">
        <f t="shared" si="397"/>
        <v>1978-08-30T08:00:00.000+02:00</v>
      </c>
      <c r="AE1463" s="31" t="str">
        <f t="shared" si="402"/>
        <v>ipi-dis-acc</v>
      </c>
      <c r="AF1463" s="31" t="str">
        <f t="shared" si="403"/>
        <v>Giovanni Paolo I - Discorso - Al collegio cardinalizio</v>
      </c>
    </row>
    <row r="1464" spans="2:32" s="31" customFormat="1" x14ac:dyDescent="0.2">
      <c r="B1464" s="31">
        <v>263</v>
      </c>
      <c r="C1464" s="31" t="s">
        <v>3699</v>
      </c>
      <c r="D1464" s="31" t="s">
        <v>746</v>
      </c>
      <c r="E1464" s="31" t="s">
        <v>741</v>
      </c>
      <c r="F1464" s="31" t="s">
        <v>3674</v>
      </c>
      <c r="G1464" s="31" t="s">
        <v>3675</v>
      </c>
      <c r="H1464" s="31" t="str">
        <f t="shared" si="400"/>
        <v>Giovanni Paolo I</v>
      </c>
      <c r="K1464" s="31" t="s">
        <v>827</v>
      </c>
      <c r="L1464" s="31" t="str">
        <f t="shared" si="401"/>
        <v>Discorso</v>
      </c>
      <c r="M1464" s="31" t="s">
        <v>566</v>
      </c>
      <c r="O1464" s="31" t="s">
        <v>3692</v>
      </c>
      <c r="P1464" s="31" t="s">
        <v>3694</v>
      </c>
      <c r="Q1464" s="40">
        <v>28729</v>
      </c>
      <c r="R1464" s="35">
        <f t="shared" si="398"/>
        <v>27</v>
      </c>
      <c r="S1464" s="35" t="str">
        <f>IF(ISERROR(DAY(Q1464)),TEXT(MATCH(TRIM(SUBSTITUTE(SUBSTITUTE(SUBSTITUTE(SUBSTITUTE(SUBSTITUTE(SUBSTITUTE(SUBSTITUTE(SUBSTITUTE(SUBSTITUTE(SUBSTITUTE(SUBSTITUTE(Q1464,1,""),2,""),3,""),4,""),5,""),6,""),7,""),8,""),9,""),0,""),"-","")),{"gennaio","febbraio","marzo","aprile","maggio","giugno","luglio","agosto","settembre","ottobre","novembre","dicembre"},0),"00"),TEXT(MONTH(Q1464)*29,"mmmm"))</f>
        <v>agosto</v>
      </c>
      <c r="T1464" s="35">
        <f t="shared" si="399"/>
        <v>1978</v>
      </c>
      <c r="U1464" s="31"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27/08/1978</v>
      </c>
      <c r="V1464" s="36"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1978/08/27</v>
      </c>
      <c r="W1464" s="31"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27 agosto 1978</v>
      </c>
      <c r="X1464" s="31">
        <v>844</v>
      </c>
      <c r="Y1464" s="31" t="str">
        <f t="shared" si="392"/>
        <v>['Giovanni Paolo I', 'Discorso', 'per la nomina del Segretario di Stato', 'ipi-dis-nss', '27 agosto 1978', '27/08/1978', '1978/08/27'],</v>
      </c>
      <c r="Z1464" s="31" t="str">
        <f t="shared" si="393"/>
        <v>per la nomina del Segretario di Stato (28729) | Giovanni Paolo I</v>
      </c>
      <c r="AA1464" s="31" t="str">
        <f t="shared" si="394"/>
        <v>Discorso per la nomina del Segretario di Stato</v>
      </c>
      <c r="AB1464" s="31" t="str">
        <f t="shared" si="395"/>
        <v>Discorso per la nomina del Segretario di Stato</v>
      </c>
      <c r="AC1464" s="31" t="str">
        <f t="shared" si="396"/>
        <v>Giovanni Paolo I, Discorso per la nomina del Segretario di Stato, 27 agosto 1978</v>
      </c>
      <c r="AD1464" s="31" t="str">
        <f t="shared" si="397"/>
        <v>1978-08-27T08:00:00.000+02:00</v>
      </c>
      <c r="AE1464" s="31" t="str">
        <f t="shared" si="402"/>
        <v>ipi-dis-nss</v>
      </c>
      <c r="AF1464" s="31" t="str">
        <f t="shared" si="403"/>
        <v>Giovanni Paolo I - Discorso - per la nomina del Segretario di Stato</v>
      </c>
    </row>
    <row r="1465" spans="2:32" s="31" customFormat="1" x14ac:dyDescent="0.2">
      <c r="B1465" s="31">
        <v>263</v>
      </c>
      <c r="C1465" s="31" t="s">
        <v>3700</v>
      </c>
      <c r="D1465" s="31" t="s">
        <v>746</v>
      </c>
      <c r="E1465" s="31" t="s">
        <v>741</v>
      </c>
      <c r="F1465" s="31" t="s">
        <v>3674</v>
      </c>
      <c r="G1465" s="31" t="s">
        <v>3675</v>
      </c>
      <c r="H1465" s="31" t="str">
        <f t="shared" si="400"/>
        <v>Giovanni Paolo I</v>
      </c>
      <c r="K1465" s="31" t="s">
        <v>832</v>
      </c>
      <c r="L1465" s="31" t="str">
        <f t="shared" si="401"/>
        <v>Messaggio</v>
      </c>
      <c r="M1465" s="31" t="s">
        <v>570</v>
      </c>
      <c r="O1465" s="31" t="s">
        <v>3701</v>
      </c>
      <c r="P1465" s="31" t="s">
        <v>3702</v>
      </c>
      <c r="Q1465" s="40">
        <v>28729</v>
      </c>
      <c r="R1465" s="35">
        <f t="shared" si="398"/>
        <v>27</v>
      </c>
      <c r="S1465" s="35" t="str">
        <f>IF(ISERROR(DAY(Q1465)),TEXT(MATCH(TRIM(SUBSTITUTE(SUBSTITUTE(SUBSTITUTE(SUBSTITUTE(SUBSTITUTE(SUBSTITUTE(SUBSTITUTE(SUBSTITUTE(SUBSTITUTE(SUBSTITUTE(SUBSTITUTE(Q1465,1,""),2,""),3,""),4,""),5,""),6,""),7,""),8,""),9,""),0,""),"-","")),{"gennaio","febbraio","marzo","aprile","maggio","giugno","luglio","agosto","settembre","ottobre","novembre","dicembre"},0),"00"),TEXT(MONTH(Q1465)*29,"mmmm"))</f>
        <v>agosto</v>
      </c>
      <c r="T1465" s="35">
        <f t="shared" si="399"/>
        <v>1978</v>
      </c>
      <c r="U1465" s="31"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27/08/1978</v>
      </c>
      <c r="V1465" s="36"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1978/08/27</v>
      </c>
      <c r="W1465" s="31"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agosto 1978</v>
      </c>
      <c r="X1465" s="31">
        <v>845</v>
      </c>
      <c r="Y1465" s="31" t="str">
        <f t="shared" si="392"/>
        <v>['Giovanni Paolo I', 'Messaggio', 'Radiomessaggio Urbi et Orbi', 'ipi-mes-ruo', '27 agosto 1978', '27/08/1978', '1978/08/27'],</v>
      </c>
      <c r="Z1465" s="31" t="str">
        <f t="shared" si="393"/>
        <v>Radiomessaggio Urbi et Orbi (28729) | Giovanni Paolo I</v>
      </c>
      <c r="AA1465" s="31" t="str">
        <f t="shared" si="394"/>
        <v>Messaggio Radiomessaggio Urbi et Orbi</v>
      </c>
      <c r="AB1465" s="31" t="str">
        <f t="shared" si="395"/>
        <v>Messaggio Radiomessaggio Urbi et Orbi</v>
      </c>
      <c r="AC1465" s="31" t="str">
        <f t="shared" si="396"/>
        <v>Giovanni Paolo I, Messaggio Radiomessaggio Urbi et Orbi, 27 agosto 1978</v>
      </c>
      <c r="AD1465" s="31" t="str">
        <f t="shared" si="397"/>
        <v>1978-08-27T08:00:00.000+02:00</v>
      </c>
      <c r="AE1465" s="31" t="str">
        <f t="shared" si="402"/>
        <v>ipi-mes-ruo</v>
      </c>
      <c r="AF1465" s="31" t="str">
        <f t="shared" si="403"/>
        <v>Giovanni Paolo I - Messaggio - Radiomessaggio Urbi et Orbi</v>
      </c>
    </row>
    <row r="1466" spans="2:32" s="31" customFormat="1" x14ac:dyDescent="0.2">
      <c r="B1466" s="31">
        <v>263</v>
      </c>
      <c r="C1466" s="31" t="s">
        <v>3707</v>
      </c>
      <c r="D1466" s="31" t="s">
        <v>746</v>
      </c>
      <c r="E1466" s="31" t="s">
        <v>741</v>
      </c>
      <c r="F1466" s="31" t="s">
        <v>3674</v>
      </c>
      <c r="G1466" s="31" t="s">
        <v>3675</v>
      </c>
      <c r="H1466" s="31" t="str">
        <f t="shared" si="400"/>
        <v>Giovanni Paolo I</v>
      </c>
      <c r="K1466" s="31" t="s">
        <v>833</v>
      </c>
      <c r="L1466" s="31" t="str">
        <f t="shared" si="401"/>
        <v>Omelia</v>
      </c>
      <c r="M1466" s="31" t="s">
        <v>572</v>
      </c>
      <c r="O1466" s="31" t="s">
        <v>3703</v>
      </c>
      <c r="P1466" s="31" t="s">
        <v>3705</v>
      </c>
      <c r="Q1466" s="40">
        <v>28756</v>
      </c>
      <c r="R1466" s="35">
        <f t="shared" si="398"/>
        <v>23</v>
      </c>
      <c r="S1466" s="35" t="str">
        <f>IF(ISERROR(DAY(Q1466)),TEXT(MATCH(TRIM(SUBSTITUTE(SUBSTITUTE(SUBSTITUTE(SUBSTITUTE(SUBSTITUTE(SUBSTITUTE(SUBSTITUTE(SUBSTITUTE(SUBSTITUTE(SUBSTITUTE(SUBSTITUTE(Q1466,1,""),2,""),3,""),4,""),5,""),6,""),7,""),8,""),9,""),0,""),"-","")),{"gennaio","febbraio","marzo","aprile","maggio","giugno","luglio","agosto","settembre","ottobre","novembre","dicembre"},0),"00"),TEXT(MONTH(Q1466)*29,"mmmm"))</f>
        <v>settembre</v>
      </c>
      <c r="T1466" s="35">
        <f t="shared" si="399"/>
        <v>1978</v>
      </c>
      <c r="U1466" s="31"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23/09/1978</v>
      </c>
      <c r="V1466" s="36"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1978/09/23</v>
      </c>
      <c r="W1466" s="31"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23 settembre 1978</v>
      </c>
      <c r="X1466" s="31">
        <v>846</v>
      </c>
      <c r="Y1466" s="31" t="str">
        <f t="shared" si="392"/>
        <v>['Giovanni Paolo I', 'Omelia', 'Cappella papale per la presa di possesso della Cathedra romana', 'ipi-ome-ppc', '23 settembre 1978', '23/09/1978', '1978/09/23'],</v>
      </c>
      <c r="Z1466" s="31" t="str">
        <f t="shared" si="393"/>
        <v>Cappella papale per la presa di possesso della Cathedra romana (28756) | Giovanni Paolo I</v>
      </c>
      <c r="AA1466" s="31" t="str">
        <f t="shared" si="394"/>
        <v>Omelia Cappella papale per la presa di possesso della Cathedra romana</v>
      </c>
      <c r="AB1466" s="31" t="str">
        <f t="shared" si="395"/>
        <v>Omelia Cappella papale per la presa di possesso della Cathedra romana</v>
      </c>
      <c r="AC1466" s="31" t="str">
        <f t="shared" si="396"/>
        <v>Giovanni Paolo I, Omelia Cappella papale per la presa di possesso della Cathedra romana, 23 settembre 1978</v>
      </c>
      <c r="AD1466" s="31" t="str">
        <f t="shared" si="397"/>
        <v>1978-09-23T08:00:00.000+02:00</v>
      </c>
      <c r="AE1466" s="31" t="str">
        <f t="shared" si="402"/>
        <v>ipi-ome-ppc</v>
      </c>
      <c r="AF1466" s="31" t="str">
        <f t="shared" si="403"/>
        <v>Giovanni Paolo I - Omelia - Cappella papale per la presa di possesso della Cathedra romana</v>
      </c>
    </row>
    <row r="1467" spans="2:32" s="31" customFormat="1" x14ac:dyDescent="0.2">
      <c r="B1467" s="31">
        <v>263</v>
      </c>
      <c r="C1467" s="31" t="s">
        <v>3708</v>
      </c>
      <c r="D1467" s="31" t="s">
        <v>746</v>
      </c>
      <c r="E1467" s="31" t="s">
        <v>741</v>
      </c>
      <c r="F1467" s="31" t="s">
        <v>3674</v>
      </c>
      <c r="G1467" s="31" t="s">
        <v>3675</v>
      </c>
      <c r="H1467" s="31" t="str">
        <f t="shared" si="400"/>
        <v>Giovanni Paolo I</v>
      </c>
      <c r="K1467" s="31" t="s">
        <v>833</v>
      </c>
      <c r="L1467" s="31" t="str">
        <f t="shared" si="401"/>
        <v>Omelia</v>
      </c>
      <c r="M1467" s="31" t="s">
        <v>572</v>
      </c>
      <c r="O1467" s="31" t="s">
        <v>3704</v>
      </c>
      <c r="P1467" s="31" t="s">
        <v>3706</v>
      </c>
      <c r="Q1467" s="40">
        <v>28736</v>
      </c>
      <c r="R1467" s="35">
        <f t="shared" si="398"/>
        <v>3</v>
      </c>
      <c r="S1467" s="35" t="str">
        <f>IF(ISERROR(DAY(Q1467)),TEXT(MATCH(TRIM(SUBSTITUTE(SUBSTITUTE(SUBSTITUTE(SUBSTITUTE(SUBSTITUTE(SUBSTITUTE(SUBSTITUTE(SUBSTITUTE(SUBSTITUTE(SUBSTITUTE(SUBSTITUTE(Q1467,1,""),2,""),3,""),4,""),5,""),6,""),7,""),8,""),9,""),0,""),"-","")),{"gennaio","febbraio","marzo","aprile","maggio","giugno","luglio","agosto","settembre","ottobre","novembre","dicembre"},0),"00"),TEXT(MONTH(Q1467)*29,"mmmm"))</f>
        <v>settembre</v>
      </c>
      <c r="T1467" s="35">
        <f t="shared" si="399"/>
        <v>1978</v>
      </c>
      <c r="U1467" s="31"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03/09/1978</v>
      </c>
      <c r="V1467" s="36"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1978/09/03</v>
      </c>
      <c r="W1467" s="31"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03 settembre 1978</v>
      </c>
      <c r="X1467" s="31">
        <v>847</v>
      </c>
      <c r="Y1467" s="31" t="str">
        <f t="shared" si="392"/>
        <v>['Giovanni Paolo I', 'Omelia', 'Santa Messa per l'inizio del Ministero del Sommo Pontefice Giovanni Paolo I', 'ipi-ome-mim', '03 settembre 1978', '03/09/1978', '1978/09/03'],</v>
      </c>
      <c r="Z1467" s="31" t="str">
        <f t="shared" si="393"/>
        <v>Santa Messa per l'inizio del Ministero del Sommo Pontefice Giovanni Paolo I (28736) | Giovanni Paolo I</v>
      </c>
      <c r="AA1467" s="31" t="str">
        <f t="shared" si="394"/>
        <v>Omelia Santa Messa per l'inizio del Ministero del Sommo Pontefice Giovanni Paolo I</v>
      </c>
      <c r="AB1467" s="31" t="str">
        <f t="shared" si="395"/>
        <v>Omelia Santa Messa per l'inizio del Ministero del Sommo Pontefice Giovanni Paolo I</v>
      </c>
      <c r="AC1467" s="31" t="str">
        <f t="shared" si="396"/>
        <v>Giovanni Paolo I, Omelia Santa Messa per l'inizio del Ministero del Sommo Pontefice Giovanni Paolo I, 03 settembre 1978</v>
      </c>
      <c r="AD1467" s="31" t="str">
        <f t="shared" si="397"/>
        <v>1978-09-03T08:00:00.000+02:00</v>
      </c>
      <c r="AE1467" s="31" t="str">
        <f t="shared" si="402"/>
        <v>ipi-ome-mim</v>
      </c>
      <c r="AF1467" s="31" t="str">
        <f t="shared" si="403"/>
        <v>Giovanni Paolo I - Omelia - Santa Messa per l'inizio del Ministero del Sommo Pontefice Giovanni Paolo I</v>
      </c>
    </row>
    <row r="1468" spans="2:32" s="31" customFormat="1" x14ac:dyDescent="0.2">
      <c r="B1468" s="31">
        <v>263</v>
      </c>
      <c r="C1468" s="31" t="s">
        <v>3709</v>
      </c>
      <c r="D1468" s="31" t="s">
        <v>746</v>
      </c>
      <c r="E1468" s="31" t="s">
        <v>741</v>
      </c>
      <c r="F1468" s="31" t="s">
        <v>3674</v>
      </c>
      <c r="G1468" s="31" t="s">
        <v>3675</v>
      </c>
      <c r="H1468" s="31" t="str">
        <f t="shared" si="400"/>
        <v>Giovanni Paolo I</v>
      </c>
      <c r="K1468" s="31" t="s">
        <v>835</v>
      </c>
      <c r="L1468" s="31" t="str">
        <f t="shared" si="401"/>
        <v>Udienza</v>
      </c>
      <c r="M1468" s="31" t="s">
        <v>574</v>
      </c>
      <c r="O1468" s="31" t="s">
        <v>3713</v>
      </c>
      <c r="P1468" s="31" t="s">
        <v>3720</v>
      </c>
      <c r="Q1468" s="40">
        <v>28760</v>
      </c>
      <c r="R1468" s="35">
        <f t="shared" si="398"/>
        <v>27</v>
      </c>
      <c r="S1468" s="35" t="str">
        <f>IF(ISERROR(DAY(Q1468)),TEXT(MATCH(TRIM(SUBSTITUTE(SUBSTITUTE(SUBSTITUTE(SUBSTITUTE(SUBSTITUTE(SUBSTITUTE(SUBSTITUTE(SUBSTITUTE(SUBSTITUTE(SUBSTITUTE(SUBSTITUTE(Q1468,1,""),2,""),3,""),4,""),5,""),6,""),7,""),8,""),9,""),0,""),"-","")),{"gennaio","febbraio","marzo","aprile","maggio","giugno","luglio","agosto","settembre","ottobre","novembre","dicembre"},0),"00"),TEXT(MONTH(Q1468)*29,"mmmm"))</f>
        <v>settembre</v>
      </c>
      <c r="T1468" s="35">
        <f t="shared" si="399"/>
        <v>1978</v>
      </c>
      <c r="U1468" s="31"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27/09/1978</v>
      </c>
      <c r="V1468" s="36"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1978/09/27</v>
      </c>
      <c r="W1468" s="31"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27 settembre 1978</v>
      </c>
      <c r="X1468" s="31">
        <v>848</v>
      </c>
      <c r="Y1468" s="31" t="str">
        <f t="shared" si="392"/>
        <v>['Giovanni Paolo I', 'Udienza', 'Udienza Generale del 27 settembre 1978', 'ipi-udi-uzg', '27 settembre 1978', '27/09/1978', '1978/09/27'],</v>
      </c>
      <c r="Z1468" s="31" t="str">
        <f t="shared" si="393"/>
        <v>Udienza Generale del 27 settembre 1978 (28760) | Giovanni Paolo I</v>
      </c>
      <c r="AA1468" s="31" t="str">
        <f t="shared" si="394"/>
        <v>Udienza Udienza Generale del 27 settembre 1978</v>
      </c>
      <c r="AB1468" s="31" t="str">
        <f t="shared" si="395"/>
        <v>Udienza Udienza Generale del 27 settembre 1978</v>
      </c>
      <c r="AC1468" s="31" t="str">
        <f t="shared" si="396"/>
        <v>Giovanni Paolo I, Udienza Udienza Generale del 27 settembre 1978, 27 settembre 1978</v>
      </c>
      <c r="AD1468" s="31" t="str">
        <f t="shared" si="397"/>
        <v>1978-09-27T08:00:00.000+02:00</v>
      </c>
      <c r="AE1468" s="31" t="str">
        <f t="shared" si="402"/>
        <v>ipi-udi-uzg</v>
      </c>
      <c r="AF1468" s="31" t="str">
        <f t="shared" si="403"/>
        <v>Giovanni Paolo I - Udienza - Udienza Generale del 27 settembre 1978</v>
      </c>
    </row>
    <row r="1469" spans="2:32" s="31" customFormat="1" x14ac:dyDescent="0.2">
      <c r="B1469" s="31">
        <v>263</v>
      </c>
      <c r="C1469" s="31" t="s">
        <v>3710</v>
      </c>
      <c r="D1469" s="31" t="s">
        <v>746</v>
      </c>
      <c r="E1469" s="31" t="s">
        <v>741</v>
      </c>
      <c r="F1469" s="31" t="s">
        <v>3674</v>
      </c>
      <c r="G1469" s="31" t="s">
        <v>3675</v>
      </c>
      <c r="H1469" s="31" t="str">
        <f t="shared" si="400"/>
        <v>Giovanni Paolo I</v>
      </c>
      <c r="K1469" s="31" t="s">
        <v>835</v>
      </c>
      <c r="L1469" s="31" t="str">
        <f t="shared" si="401"/>
        <v>Udienza</v>
      </c>
      <c r="M1469" s="31" t="s">
        <v>574</v>
      </c>
      <c r="O1469" s="31" t="s">
        <v>3714</v>
      </c>
      <c r="P1469" s="31" t="s">
        <v>3719</v>
      </c>
      <c r="Q1469" s="40">
        <v>28753</v>
      </c>
      <c r="R1469" s="35">
        <f t="shared" si="398"/>
        <v>20</v>
      </c>
      <c r="S1469" s="35" t="str">
        <f>IF(ISERROR(DAY(Q1469)),TEXT(MATCH(TRIM(SUBSTITUTE(SUBSTITUTE(SUBSTITUTE(SUBSTITUTE(SUBSTITUTE(SUBSTITUTE(SUBSTITUTE(SUBSTITUTE(SUBSTITUTE(SUBSTITUTE(SUBSTITUTE(Q1469,1,""),2,""),3,""),4,""),5,""),6,""),7,""),8,""),9,""),0,""),"-","")),{"gennaio","febbraio","marzo","aprile","maggio","giugno","luglio","agosto","settembre","ottobre","novembre","dicembre"},0),"00"),TEXT(MONTH(Q1469)*29,"mmmm"))</f>
        <v>settembre</v>
      </c>
      <c r="T1469" s="35">
        <f t="shared" si="399"/>
        <v>1978</v>
      </c>
      <c r="U1469" s="31"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20/09/1978</v>
      </c>
      <c r="V1469" s="36"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1978/09/20</v>
      </c>
      <c r="W1469" s="31"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20 settembre 1978</v>
      </c>
      <c r="X1469" s="31">
        <v>849</v>
      </c>
      <c r="Y1469" s="31" t="str">
        <f t="shared" si="392"/>
        <v>['Giovanni Paolo I', 'Udienza', 'Udienza Generale del 20 settembre 1978', 'ipi-udi-ugn', '20 settembre 1978', '20/09/1978', '1978/09/20'],</v>
      </c>
      <c r="Z1469" s="31" t="str">
        <f t="shared" si="393"/>
        <v>Udienza Generale del 20 settembre 1978 (28753) | Giovanni Paolo I</v>
      </c>
      <c r="AA1469" s="31" t="str">
        <f t="shared" si="394"/>
        <v>Udienza Udienza Generale del 20 settembre 1978</v>
      </c>
      <c r="AB1469" s="31" t="str">
        <f t="shared" si="395"/>
        <v>Udienza Udienza Generale del 20 settembre 1978</v>
      </c>
      <c r="AC1469" s="31" t="str">
        <f t="shared" si="396"/>
        <v>Giovanni Paolo I, Udienza Udienza Generale del 20 settembre 1978, 20 settembre 1978</v>
      </c>
      <c r="AD1469" s="31" t="str">
        <f t="shared" si="397"/>
        <v>1978-09-20T08:00:00.000+02:00</v>
      </c>
      <c r="AE1469" s="31" t="str">
        <f t="shared" si="402"/>
        <v>ipi-udi-ugn</v>
      </c>
      <c r="AF1469" s="31" t="str">
        <f t="shared" si="403"/>
        <v>Giovanni Paolo I - Udienza - Udienza Generale del 20 settembre 1978</v>
      </c>
    </row>
    <row r="1470" spans="2:32" s="31" customFormat="1" x14ac:dyDescent="0.2">
      <c r="B1470" s="31">
        <v>263</v>
      </c>
      <c r="C1470" s="31" t="s">
        <v>3711</v>
      </c>
      <c r="D1470" s="31" t="s">
        <v>746</v>
      </c>
      <c r="E1470" s="31" t="s">
        <v>741</v>
      </c>
      <c r="F1470" s="31" t="s">
        <v>3674</v>
      </c>
      <c r="G1470" s="31" t="s">
        <v>3675</v>
      </c>
      <c r="H1470" s="31" t="str">
        <f t="shared" si="400"/>
        <v>Giovanni Paolo I</v>
      </c>
      <c r="K1470" s="31" t="s">
        <v>835</v>
      </c>
      <c r="L1470" s="31" t="str">
        <f t="shared" si="401"/>
        <v>Udienza</v>
      </c>
      <c r="M1470" s="31" t="s">
        <v>574</v>
      </c>
      <c r="O1470" s="31" t="s">
        <v>3715</v>
      </c>
      <c r="P1470" s="31" t="s">
        <v>3718</v>
      </c>
      <c r="Q1470" s="40">
        <v>28746</v>
      </c>
      <c r="R1470" s="35">
        <f t="shared" si="398"/>
        <v>13</v>
      </c>
      <c r="S1470" s="35" t="str">
        <f>IF(ISERROR(DAY(Q1470)),TEXT(MATCH(TRIM(SUBSTITUTE(SUBSTITUTE(SUBSTITUTE(SUBSTITUTE(SUBSTITUTE(SUBSTITUTE(SUBSTITUTE(SUBSTITUTE(SUBSTITUTE(SUBSTITUTE(SUBSTITUTE(Q1470,1,""),2,""),3,""),4,""),5,""),6,""),7,""),8,""),9,""),0,""),"-","")),{"gennaio","febbraio","marzo","aprile","maggio","giugno","luglio","agosto","settembre","ottobre","novembre","dicembre"},0),"00"),TEXT(MONTH(Q1470)*29,"mmmm"))</f>
        <v>settembre</v>
      </c>
      <c r="T1470" s="35">
        <f t="shared" si="399"/>
        <v>1978</v>
      </c>
      <c r="U1470" s="31"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13/09/1978</v>
      </c>
      <c r="V1470" s="36"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1978/09/13</v>
      </c>
      <c r="W1470" s="31"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13 settembre 1978</v>
      </c>
      <c r="X1470" s="31">
        <v>850</v>
      </c>
      <c r="Y1470" s="31" t="str">
        <f t="shared" si="392"/>
        <v>['Giovanni Paolo I', 'Udienza', 'Udienza Generale del 13 settembre 1978', 'ipi-udi-uge', '13 settembre 1978', '13/09/1978', '1978/09/13'],</v>
      </c>
      <c r="Z1470" s="31" t="str">
        <f t="shared" si="393"/>
        <v>Udienza Generale del 13 settembre 1978 (28746) | Giovanni Paolo I</v>
      </c>
      <c r="AA1470" s="31" t="str">
        <f t="shared" si="394"/>
        <v>Udienza Udienza Generale del 13 settembre 1978</v>
      </c>
      <c r="AB1470" s="31" t="str">
        <f t="shared" si="395"/>
        <v>Udienza Udienza Generale del 13 settembre 1978</v>
      </c>
      <c r="AC1470" s="31" t="str">
        <f t="shared" si="396"/>
        <v>Giovanni Paolo I, Udienza Udienza Generale del 13 settembre 1978, 13 settembre 1978</v>
      </c>
      <c r="AD1470" s="31" t="str">
        <f t="shared" si="397"/>
        <v>1978-09-13T08:00:00.000+02:00</v>
      </c>
      <c r="AE1470" s="31" t="str">
        <f t="shared" si="402"/>
        <v>ipi-udi-uge</v>
      </c>
      <c r="AF1470" s="31" t="str">
        <f t="shared" si="403"/>
        <v>Giovanni Paolo I - Udienza - Udienza Generale del 13 settembre 1978</v>
      </c>
    </row>
    <row r="1471" spans="2:32" s="31" customFormat="1" x14ac:dyDescent="0.2">
      <c r="B1471" s="31">
        <v>263</v>
      </c>
      <c r="C1471" s="31" t="s">
        <v>3712</v>
      </c>
      <c r="D1471" s="31" t="s">
        <v>746</v>
      </c>
      <c r="E1471" s="31" t="s">
        <v>741</v>
      </c>
      <c r="F1471" s="31" t="s">
        <v>3674</v>
      </c>
      <c r="G1471" s="31" t="s">
        <v>3675</v>
      </c>
      <c r="H1471" s="31" t="str">
        <f t="shared" si="400"/>
        <v>Giovanni Paolo I</v>
      </c>
      <c r="K1471" s="31" t="s">
        <v>835</v>
      </c>
      <c r="L1471" s="31" t="str">
        <f t="shared" si="401"/>
        <v>Udienza</v>
      </c>
      <c r="M1471" s="31" t="s">
        <v>574</v>
      </c>
      <c r="O1471" s="31" t="s">
        <v>3716</v>
      </c>
      <c r="P1471" s="31" t="s">
        <v>3717</v>
      </c>
      <c r="Q1471" s="40">
        <v>28739</v>
      </c>
      <c r="R1471" s="35">
        <f t="shared" si="398"/>
        <v>6</v>
      </c>
      <c r="S1471" s="35" t="str">
        <f>IF(ISERROR(DAY(Q1471)),TEXT(MATCH(TRIM(SUBSTITUTE(SUBSTITUTE(SUBSTITUTE(SUBSTITUTE(SUBSTITUTE(SUBSTITUTE(SUBSTITUTE(SUBSTITUTE(SUBSTITUTE(SUBSTITUTE(SUBSTITUTE(Q1471,1,""),2,""),3,""),4,""),5,""),6,""),7,""),8,""),9,""),0,""),"-","")),{"gennaio","febbraio","marzo","aprile","maggio","giugno","luglio","agosto","settembre","ottobre","novembre","dicembre"},0),"00"),TEXT(MONTH(Q1471)*29,"mmmm"))</f>
        <v>settembre</v>
      </c>
      <c r="T1471" s="35">
        <f t="shared" si="399"/>
        <v>1978</v>
      </c>
      <c r="U1471" s="31"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06/09/1978</v>
      </c>
      <c r="V1471" s="36"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1978/09/06</v>
      </c>
      <c r="W1471" s="31"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06 settembre 1978</v>
      </c>
      <c r="X1471" s="31">
        <v>851</v>
      </c>
      <c r="Y1471" s="31" t="str">
        <f t="shared" si="392"/>
        <v>['Giovanni Paolo I', 'Udienza', 'Udienza Generale del 6 settembre 1978', 'ipi-udi-udg', '06 settembre 1978', '06/09/1978', '1978/09/06'],</v>
      </c>
      <c r="Z1471" s="31" t="str">
        <f t="shared" si="393"/>
        <v>Udienza Generale del 6 settembre 1978 (28739) | Giovanni Paolo I</v>
      </c>
      <c r="AA1471" s="31" t="str">
        <f t="shared" si="394"/>
        <v>Udienza Udienza Generale del 6 settembre 1978</v>
      </c>
      <c r="AB1471" s="31" t="str">
        <f t="shared" si="395"/>
        <v>Udienza Udienza Generale del 6 settembre 1978</v>
      </c>
      <c r="AC1471" s="31" t="str">
        <f t="shared" si="396"/>
        <v>Giovanni Paolo I, Udienza Udienza Generale del 6 settembre 1978, 06 settembre 1978</v>
      </c>
      <c r="AD1471" s="31" t="str">
        <f t="shared" si="397"/>
        <v>1978-09-06T08:00:00.000+02:00</v>
      </c>
      <c r="AE1471" s="31" t="str">
        <f t="shared" si="402"/>
        <v>ipi-udi-udg</v>
      </c>
      <c r="AF1471" s="31" t="str">
        <f t="shared" si="403"/>
        <v>Giovanni Paolo I - Udienza - Udienza Generale del 6 settembre 1978</v>
      </c>
    </row>
    <row r="1472" spans="2:32" x14ac:dyDescent="0.2">
      <c r="H1472" s="29" t="str">
        <f t="shared" si="400"/>
        <v xml:space="preserve"> </v>
      </c>
      <c r="L1472" s="29">
        <f t="shared" si="401"/>
        <v>0</v>
      </c>
      <c r="Q1472" s="38"/>
      <c r="R1472" s="32">
        <f t="shared" si="398"/>
        <v>0</v>
      </c>
      <c r="S1472" s="32" t="str">
        <f>IF(ISERROR(DAY(Q1472)),TEXT(MATCH(TRIM(SUBSTITUTE(SUBSTITUTE(SUBSTITUTE(SUBSTITUTE(SUBSTITUTE(SUBSTITUTE(SUBSTITUTE(SUBSTITUTE(SUBSTITUTE(SUBSTITUTE(SUBSTITUTE(Q1472,1,""),2,""),3,""),4,""),5,""),6,""),7,""),8,""),9,""),0,""),"-","")),{"gennaio","febbraio","marzo","aprile","maggio","giugno","luglio","agosto","settembre","ottobre","novembre","dicembre"},0),"00"),TEXT(MONTH(Q1472)*29,"mmmm"))</f>
        <v>gennaio</v>
      </c>
      <c r="T1472" s="32">
        <f t="shared" si="399"/>
        <v>1900</v>
      </c>
      <c r="U1472" s="29"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00/01/1900</v>
      </c>
      <c r="V1472" s="33"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1900/01/00</v>
      </c>
      <c r="W1472" s="29"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00 gennaio 1900</v>
      </c>
      <c r="X1472" s="29">
        <v>1499</v>
      </c>
      <c r="Y1472" s="29" t="str">
        <f t="shared" si="392"/>
        <v>[' ', '', '', '--', '00 gennaio 1900', '00/01/1900', '1900/01/00'],</v>
      </c>
      <c r="Z1472" s="29" t="str">
        <f t="shared" si="393"/>
        <v xml:space="preserve"> () |  </v>
      </c>
      <c r="AA1472" s="29" t="str">
        <f t="shared" si="394"/>
        <v xml:space="preserve"> </v>
      </c>
      <c r="AB1472" s="29" t="str">
        <f t="shared" si="395"/>
        <v xml:space="preserve"> </v>
      </c>
      <c r="AC1472" s="29" t="str">
        <f t="shared" si="396"/>
        <v xml:space="preserve"> , 0 , 00 gennaio 1900</v>
      </c>
      <c r="AD1472" s="29" t="str">
        <f t="shared" si="397"/>
        <v>1900-01-00T08:00:00.000+02:00</v>
      </c>
      <c r="AE1472" s="29" t="str">
        <f t="shared" si="402"/>
        <v>--</v>
      </c>
      <c r="AF1472" s="29" t="str">
        <f t="shared" si="403"/>
        <v xml:space="preserve">  - 0 - </v>
      </c>
    </row>
    <row r="1473" spans="8:32" x14ac:dyDescent="0.2">
      <c r="H1473" s="29" t="str">
        <f t="shared" si="400"/>
        <v xml:space="preserve"> </v>
      </c>
      <c r="L1473" s="29">
        <f t="shared" si="401"/>
        <v>0</v>
      </c>
      <c r="Q1473" s="38"/>
      <c r="R1473" s="32">
        <f t="shared" si="398"/>
        <v>0</v>
      </c>
      <c r="S1473" s="32" t="str">
        <f>IF(ISERROR(DAY(Q1473)),TEXT(MATCH(TRIM(SUBSTITUTE(SUBSTITUTE(SUBSTITUTE(SUBSTITUTE(SUBSTITUTE(SUBSTITUTE(SUBSTITUTE(SUBSTITUTE(SUBSTITUTE(SUBSTITUTE(SUBSTITUTE(Q1473,1,""),2,""),3,""),4,""),5,""),6,""),7,""),8,""),9,""),0,""),"-","")),{"gennaio","febbraio","marzo","aprile","maggio","giugno","luglio","agosto","settembre","ottobre","novembre","dicembre"},0),"00"),TEXT(MONTH(Q1473)*29,"mmmm"))</f>
        <v>gennaio</v>
      </c>
      <c r="T1473" s="32">
        <f t="shared" si="399"/>
        <v>1900</v>
      </c>
      <c r="U1473" s="29"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00/01/1900</v>
      </c>
      <c r="V1473" s="33"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1900/01/00</v>
      </c>
      <c r="W1473" s="29"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00 gennaio 1900</v>
      </c>
      <c r="X1473" s="29">
        <v>1500</v>
      </c>
      <c r="Y1473" s="29" t="str">
        <f t="shared" si="392"/>
        <v>[' ', '', '', '--', '00 gennaio 1900', '00/01/1900', '1900/01/00'],</v>
      </c>
      <c r="Z1473" s="29" t="str">
        <f t="shared" si="393"/>
        <v xml:space="preserve"> () |  </v>
      </c>
      <c r="AA1473" s="29" t="str">
        <f t="shared" si="394"/>
        <v xml:space="preserve"> </v>
      </c>
      <c r="AB1473" s="29" t="str">
        <f t="shared" si="395"/>
        <v xml:space="preserve"> </v>
      </c>
      <c r="AC1473" s="29" t="str">
        <f t="shared" si="396"/>
        <v xml:space="preserve"> , 0 , 00 gennaio 1900</v>
      </c>
      <c r="AD1473" s="29" t="str">
        <f t="shared" si="397"/>
        <v>1900-01-00T08:00:00.000+02:00</v>
      </c>
      <c r="AE1473" s="29" t="str">
        <f t="shared" si="402"/>
        <v>--</v>
      </c>
      <c r="AF1473" s="29" t="str">
        <f t="shared" si="403"/>
        <v xml:space="preserve">  - 0 - </v>
      </c>
    </row>
    <row r="1474" spans="8:32" x14ac:dyDescent="0.2">
      <c r="H1474" s="29" t="str">
        <f t="shared" si="400"/>
        <v xml:space="preserve"> </v>
      </c>
      <c r="L1474" s="29">
        <f t="shared" si="401"/>
        <v>0</v>
      </c>
      <c r="Q1474" s="38"/>
      <c r="R1474" s="32">
        <f t="shared" si="398"/>
        <v>0</v>
      </c>
      <c r="S1474" s="32" t="str">
        <f>IF(ISERROR(DAY(Q1474)),TEXT(MATCH(TRIM(SUBSTITUTE(SUBSTITUTE(SUBSTITUTE(SUBSTITUTE(SUBSTITUTE(SUBSTITUTE(SUBSTITUTE(SUBSTITUTE(SUBSTITUTE(SUBSTITUTE(SUBSTITUTE(Q1474,1,""),2,""),3,""),4,""),5,""),6,""),7,""),8,""),9,""),0,""),"-","")),{"gennaio","febbraio","marzo","aprile","maggio","giugno","luglio","agosto","settembre","ottobre","novembre","dicembre"},0),"00"),TEXT(MONTH(Q1474)*29,"mmmm"))</f>
        <v>gennaio</v>
      </c>
      <c r="T1474" s="32">
        <f t="shared" si="399"/>
        <v>1900</v>
      </c>
      <c r="U1474" s="29"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00/01/1900</v>
      </c>
      <c r="V1474" s="33"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1900/01/00</v>
      </c>
      <c r="W1474" s="29"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00 gennaio 1900</v>
      </c>
      <c r="X1474" s="29">
        <v>1501</v>
      </c>
      <c r="Y1474" s="29" t="str">
        <f t="shared" ref="Y1474:Y1537" si="404">_xlfn.CONCAT("[" &amp; "'" &amp; D1474 &amp; " " &amp; E1474 &amp; "'" &amp; ", " &amp; "'" &amp; K1474 &amp; "'"&amp; ", " &amp; "'" &amp; O1474 &amp; "'" &amp; ", " &amp; "'" &amp; AE1474 &amp; "'" &amp; ", " &amp; "'" &amp; W1474 &amp; "'" &amp; ", " &amp; "'" &amp; U1474 &amp; "'" &amp; ", " &amp; "'" &amp; V1474 &amp; "'" &amp; "],")</f>
        <v>[' ', '', '', '--', '00 gennaio 1900', '00/01/1900', '1900/01/00'],</v>
      </c>
      <c r="Z1474" s="29" t="str">
        <f t="shared" ref="Z1474:Z1537" si="405">_xlfn.CONCAT(O1474 &amp; " (" &amp; Q1474 &amp; ") | " &amp; D1474 &amp; " " &amp; E1474)</f>
        <v xml:space="preserve"> () |  </v>
      </c>
      <c r="AA1474" s="29" t="str">
        <f t="shared" ref="AA1474:AA1537" si="406">_xlfn.CONCAT(K1474 &amp; " " &amp; O1474)</f>
        <v xml:space="preserve"> </v>
      </c>
      <c r="AB1474" s="29" t="str">
        <f t="shared" ref="AB1474:AB1537" si="407">_xlfn.CONCAT(K1474 &amp; " " &amp; O1474)</f>
        <v xml:space="preserve"> </v>
      </c>
      <c r="AC1474" s="29" t="str">
        <f t="shared" ref="AC1474:AC1537" si="408">_xlfn.CONCAT(H1474 &amp; ", " &amp; L1474 &amp; " " &amp; O1474 &amp; ", " &amp; LEFT(U1474,2) &amp; " " &amp; TEXT(VALUE(MID(U1474,4,2))*29,"mmmm") &amp; " " &amp; RIGHT(U1474,4))</f>
        <v xml:space="preserve"> , 0 , 00 gennaio 1900</v>
      </c>
      <c r="AD1474" s="29" t="str">
        <f t="shared" ref="AD1474:AD1537" si="409">_xlfn.CONCAT(RIGHT(U1474,4) &amp; "-" &amp; MID(U1474,4,2) &amp; "-" &amp; LEFT(U1474,2) &amp; "T08:00:00.000+02:00")</f>
        <v>1900-01-00T08:00:00.000+02:00</v>
      </c>
      <c r="AE1474" s="29" t="str">
        <f t="shared" si="402"/>
        <v>--</v>
      </c>
      <c r="AF1474" s="29" t="str">
        <f t="shared" si="403"/>
        <v xml:space="preserve">  - 0 - </v>
      </c>
    </row>
    <row r="1475" spans="8:32" x14ac:dyDescent="0.2">
      <c r="H1475" s="29" t="str">
        <f t="shared" si="400"/>
        <v xml:space="preserve"> </v>
      </c>
      <c r="L1475" s="29">
        <f t="shared" si="401"/>
        <v>0</v>
      </c>
      <c r="Q1475" s="38"/>
      <c r="R1475" s="32">
        <f t="shared" si="398"/>
        <v>0</v>
      </c>
      <c r="S1475" s="32" t="str">
        <f>IF(ISERROR(DAY(Q1475)),TEXT(MATCH(TRIM(SUBSTITUTE(SUBSTITUTE(SUBSTITUTE(SUBSTITUTE(SUBSTITUTE(SUBSTITUTE(SUBSTITUTE(SUBSTITUTE(SUBSTITUTE(SUBSTITUTE(SUBSTITUTE(Q1475,1,""),2,""),3,""),4,""),5,""),6,""),7,""),8,""),9,""),0,""),"-","")),{"gennaio","febbraio","marzo","aprile","maggio","giugno","luglio","agosto","settembre","ottobre","novembre","dicembre"},0),"00"),TEXT(MONTH(Q1475)*29,"mmmm"))</f>
        <v>gennaio</v>
      </c>
      <c r="T1475" s="32">
        <f t="shared" si="399"/>
        <v>1900</v>
      </c>
      <c r="U1475" s="29"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00/01/1900</v>
      </c>
      <c r="V1475" s="33"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1900/01/00</v>
      </c>
      <c r="W1475" s="29"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00 gennaio 1900</v>
      </c>
      <c r="X1475" s="29">
        <v>1502</v>
      </c>
      <c r="Y1475" s="29" t="str">
        <f t="shared" si="404"/>
        <v>[' ', '', '', '--', '00 gennaio 1900', '00/01/1900', '1900/01/00'],</v>
      </c>
      <c r="Z1475" s="29" t="str">
        <f t="shared" si="405"/>
        <v xml:space="preserve"> () |  </v>
      </c>
      <c r="AA1475" s="29" t="str">
        <f t="shared" si="406"/>
        <v xml:space="preserve"> </v>
      </c>
      <c r="AB1475" s="29" t="str">
        <f t="shared" si="407"/>
        <v xml:space="preserve"> </v>
      </c>
      <c r="AC1475" s="29" t="str">
        <f t="shared" si="408"/>
        <v xml:space="preserve"> , 0 , 00 gennaio 1900</v>
      </c>
      <c r="AD1475" s="29" t="str">
        <f t="shared" si="409"/>
        <v>1900-01-00T08:00:00.000+02:00</v>
      </c>
      <c r="AE1475" s="29" t="str">
        <f t="shared" si="402"/>
        <v>--</v>
      </c>
      <c r="AF1475" s="29" t="str">
        <f t="shared" si="403"/>
        <v xml:space="preserve">  - 0 - </v>
      </c>
    </row>
    <row r="1476" spans="8:32" x14ac:dyDescent="0.2">
      <c r="H1476" s="29" t="str">
        <f t="shared" si="400"/>
        <v xml:space="preserve"> </v>
      </c>
      <c r="L1476" s="29">
        <f t="shared" si="401"/>
        <v>0</v>
      </c>
      <c r="Q1476" s="38"/>
      <c r="R1476" s="32">
        <f t="shared" si="398"/>
        <v>0</v>
      </c>
      <c r="S1476" s="32" t="str">
        <f>IF(ISERROR(DAY(Q1476)),TEXT(MATCH(TRIM(SUBSTITUTE(SUBSTITUTE(SUBSTITUTE(SUBSTITUTE(SUBSTITUTE(SUBSTITUTE(SUBSTITUTE(SUBSTITUTE(SUBSTITUTE(SUBSTITUTE(SUBSTITUTE(Q1476,1,""),2,""),3,""),4,""),5,""),6,""),7,""),8,""),9,""),0,""),"-","")),{"gennaio","febbraio","marzo","aprile","maggio","giugno","luglio","agosto","settembre","ottobre","novembre","dicembre"},0),"00"),TEXT(MONTH(Q1476)*29,"mmmm"))</f>
        <v>gennaio</v>
      </c>
      <c r="T1476" s="32">
        <f t="shared" si="399"/>
        <v>1900</v>
      </c>
      <c r="U1476" s="29"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00/01/1900</v>
      </c>
      <c r="V1476" s="33"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1900/01/00</v>
      </c>
      <c r="W1476" s="29"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00 gennaio 1900</v>
      </c>
      <c r="X1476" s="29">
        <v>1503</v>
      </c>
      <c r="Y1476" s="29" t="str">
        <f t="shared" si="404"/>
        <v>[' ', '', '', '--', '00 gennaio 1900', '00/01/1900', '1900/01/00'],</v>
      </c>
      <c r="Z1476" s="29" t="str">
        <f t="shared" si="405"/>
        <v xml:space="preserve"> () |  </v>
      </c>
      <c r="AA1476" s="29" t="str">
        <f t="shared" si="406"/>
        <v xml:space="preserve"> </v>
      </c>
      <c r="AB1476" s="29" t="str">
        <f t="shared" si="407"/>
        <v xml:space="preserve"> </v>
      </c>
      <c r="AC1476" s="29" t="str">
        <f t="shared" si="408"/>
        <v xml:space="preserve"> , 0 , 00 gennaio 1900</v>
      </c>
      <c r="AD1476" s="29" t="str">
        <f t="shared" si="409"/>
        <v>1900-01-00T08:00:00.000+02:00</v>
      </c>
      <c r="AE1476" s="29" t="str">
        <f t="shared" si="402"/>
        <v>--</v>
      </c>
      <c r="AF1476" s="29" t="str">
        <f t="shared" si="403"/>
        <v xml:space="preserve">  - 0 - </v>
      </c>
    </row>
    <row r="1477" spans="8:32" x14ac:dyDescent="0.2">
      <c r="H1477" s="29" t="str">
        <f t="shared" si="400"/>
        <v xml:space="preserve"> </v>
      </c>
      <c r="L1477" s="29">
        <f t="shared" si="401"/>
        <v>0</v>
      </c>
      <c r="Q1477" s="38"/>
      <c r="R1477" s="32">
        <f t="shared" si="398"/>
        <v>0</v>
      </c>
      <c r="S1477" s="32" t="str">
        <f>IF(ISERROR(DAY(Q1477)),TEXT(MATCH(TRIM(SUBSTITUTE(SUBSTITUTE(SUBSTITUTE(SUBSTITUTE(SUBSTITUTE(SUBSTITUTE(SUBSTITUTE(SUBSTITUTE(SUBSTITUTE(SUBSTITUTE(SUBSTITUTE(Q1477,1,""),2,""),3,""),4,""),5,""),6,""),7,""),8,""),9,""),0,""),"-","")),{"gennaio","febbraio","marzo","aprile","maggio","giugno","luglio","agosto","settembre","ottobre","novembre","dicembre"},0),"00"),TEXT(MONTH(Q1477)*29,"mmmm"))</f>
        <v>gennaio</v>
      </c>
      <c r="T1477" s="32">
        <f t="shared" si="399"/>
        <v>1900</v>
      </c>
      <c r="U1477" s="29"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00/01/1900</v>
      </c>
      <c r="V1477" s="33"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1900/01/00</v>
      </c>
      <c r="W1477" s="29"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00 gennaio 1900</v>
      </c>
      <c r="X1477" s="29">
        <v>1504</v>
      </c>
      <c r="Y1477" s="29" t="str">
        <f t="shared" si="404"/>
        <v>[' ', '', '', '--', '00 gennaio 1900', '00/01/1900', '1900/01/00'],</v>
      </c>
      <c r="Z1477" s="29" t="str">
        <f t="shared" si="405"/>
        <v xml:space="preserve"> () |  </v>
      </c>
      <c r="AA1477" s="29" t="str">
        <f t="shared" si="406"/>
        <v xml:space="preserve"> </v>
      </c>
      <c r="AB1477" s="29" t="str">
        <f t="shared" si="407"/>
        <v xml:space="preserve"> </v>
      </c>
      <c r="AC1477" s="29" t="str">
        <f t="shared" si="408"/>
        <v xml:space="preserve"> , 0 , 00 gennaio 1900</v>
      </c>
      <c r="AD1477" s="29" t="str">
        <f t="shared" si="409"/>
        <v>1900-01-00T08:00:00.000+02:00</v>
      </c>
      <c r="AE1477" s="29" t="str">
        <f t="shared" si="402"/>
        <v>--</v>
      </c>
      <c r="AF1477" s="29" t="str">
        <f t="shared" si="403"/>
        <v xml:space="preserve">  - 0 - </v>
      </c>
    </row>
    <row r="1478" spans="8:32" x14ac:dyDescent="0.2">
      <c r="H1478" s="29" t="str">
        <f t="shared" si="400"/>
        <v xml:space="preserve"> </v>
      </c>
      <c r="L1478" s="29">
        <f t="shared" si="401"/>
        <v>0</v>
      </c>
      <c r="Q1478" s="38"/>
      <c r="R1478" s="32">
        <f t="shared" si="398"/>
        <v>0</v>
      </c>
      <c r="S1478" s="32" t="str">
        <f>IF(ISERROR(DAY(Q1478)),TEXT(MATCH(TRIM(SUBSTITUTE(SUBSTITUTE(SUBSTITUTE(SUBSTITUTE(SUBSTITUTE(SUBSTITUTE(SUBSTITUTE(SUBSTITUTE(SUBSTITUTE(SUBSTITUTE(SUBSTITUTE(Q1478,1,""),2,""),3,""),4,""),5,""),6,""),7,""),8,""),9,""),0,""),"-","")),{"gennaio","febbraio","marzo","aprile","maggio","giugno","luglio","agosto","settembre","ottobre","novembre","dicembre"},0),"00"),TEXT(MONTH(Q1478)*29,"mmmm"))</f>
        <v>gennaio</v>
      </c>
      <c r="T1478" s="32">
        <f t="shared" si="399"/>
        <v>1900</v>
      </c>
      <c r="U1478" s="29"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00/01/1900</v>
      </c>
      <c r="V1478" s="33"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1900/01/00</v>
      </c>
      <c r="W1478" s="29"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00 gennaio 1900</v>
      </c>
      <c r="X1478" s="29">
        <v>1505</v>
      </c>
      <c r="Y1478" s="29" t="str">
        <f t="shared" si="404"/>
        <v>[' ', '', '', '--', '00 gennaio 1900', '00/01/1900', '1900/01/00'],</v>
      </c>
      <c r="Z1478" s="29" t="str">
        <f t="shared" si="405"/>
        <v xml:space="preserve"> () |  </v>
      </c>
      <c r="AA1478" s="29" t="str">
        <f t="shared" si="406"/>
        <v xml:space="preserve"> </v>
      </c>
      <c r="AB1478" s="29" t="str">
        <f t="shared" si="407"/>
        <v xml:space="preserve"> </v>
      </c>
      <c r="AC1478" s="29" t="str">
        <f t="shared" si="408"/>
        <v xml:space="preserve"> , 0 , 00 gennaio 1900</v>
      </c>
      <c r="AD1478" s="29" t="str">
        <f t="shared" si="409"/>
        <v>1900-01-00T08:00:00.000+02:00</v>
      </c>
      <c r="AE1478" s="29" t="str">
        <f t="shared" si="402"/>
        <v>--</v>
      </c>
      <c r="AF1478" s="29" t="str">
        <f t="shared" si="403"/>
        <v xml:space="preserve">  - 0 - </v>
      </c>
    </row>
    <row r="1479" spans="8:32" x14ac:dyDescent="0.2">
      <c r="H1479" s="29" t="str">
        <f t="shared" si="400"/>
        <v xml:space="preserve"> </v>
      </c>
      <c r="L1479" s="29">
        <f t="shared" si="401"/>
        <v>0</v>
      </c>
      <c r="Q1479" s="38"/>
      <c r="R1479" s="32">
        <f t="shared" si="398"/>
        <v>0</v>
      </c>
      <c r="S1479" s="32" t="str">
        <f>IF(ISERROR(DAY(Q1479)),TEXT(MATCH(TRIM(SUBSTITUTE(SUBSTITUTE(SUBSTITUTE(SUBSTITUTE(SUBSTITUTE(SUBSTITUTE(SUBSTITUTE(SUBSTITUTE(SUBSTITUTE(SUBSTITUTE(SUBSTITUTE(Q1479,1,""),2,""),3,""),4,""),5,""),6,""),7,""),8,""),9,""),0,""),"-","")),{"gennaio","febbraio","marzo","aprile","maggio","giugno","luglio","agosto","settembre","ottobre","novembre","dicembre"},0),"00"),TEXT(MONTH(Q1479)*29,"mmmm"))</f>
        <v>gennaio</v>
      </c>
      <c r="T1479" s="32">
        <f t="shared" si="399"/>
        <v>1900</v>
      </c>
      <c r="U1479" s="29"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00/01/1900</v>
      </c>
      <c r="V1479" s="33"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1900/01/00</v>
      </c>
      <c r="W1479" s="29"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00 gennaio 1900</v>
      </c>
      <c r="X1479" s="29">
        <v>1506</v>
      </c>
      <c r="Y1479" s="29" t="str">
        <f t="shared" si="404"/>
        <v>[' ', '', '', '--', '00 gennaio 1900', '00/01/1900', '1900/01/00'],</v>
      </c>
      <c r="Z1479" s="29" t="str">
        <f t="shared" si="405"/>
        <v xml:space="preserve"> () |  </v>
      </c>
      <c r="AA1479" s="29" t="str">
        <f t="shared" si="406"/>
        <v xml:space="preserve"> </v>
      </c>
      <c r="AB1479" s="29" t="str">
        <f t="shared" si="407"/>
        <v xml:space="preserve"> </v>
      </c>
      <c r="AC1479" s="29" t="str">
        <f t="shared" si="408"/>
        <v xml:space="preserve"> , 0 , 00 gennaio 1900</v>
      </c>
      <c r="AD1479" s="29" t="str">
        <f t="shared" si="409"/>
        <v>1900-01-00T08:00:00.000+02:00</v>
      </c>
      <c r="AE1479" s="29" t="str">
        <f t="shared" si="402"/>
        <v>--</v>
      </c>
      <c r="AF1479" s="29" t="str">
        <f t="shared" si="403"/>
        <v xml:space="preserve">  - 0 - </v>
      </c>
    </row>
    <row r="1480" spans="8:32" x14ac:dyDescent="0.2">
      <c r="H1480" s="29" t="str">
        <f t="shared" si="400"/>
        <v xml:space="preserve"> </v>
      </c>
      <c r="L1480" s="29">
        <f t="shared" si="401"/>
        <v>0</v>
      </c>
      <c r="Q1480" s="38"/>
      <c r="R1480" s="32">
        <f t="shared" si="398"/>
        <v>0</v>
      </c>
      <c r="S1480" s="32" t="str">
        <f>IF(ISERROR(DAY(Q1480)),TEXT(MATCH(TRIM(SUBSTITUTE(SUBSTITUTE(SUBSTITUTE(SUBSTITUTE(SUBSTITUTE(SUBSTITUTE(SUBSTITUTE(SUBSTITUTE(SUBSTITUTE(SUBSTITUTE(SUBSTITUTE(Q1480,1,""),2,""),3,""),4,""),5,""),6,""),7,""),8,""),9,""),0,""),"-","")),{"gennaio","febbraio","marzo","aprile","maggio","giugno","luglio","agosto","settembre","ottobre","novembre","dicembre"},0),"00"),TEXT(MONTH(Q1480)*29,"mmmm"))</f>
        <v>gennaio</v>
      </c>
      <c r="T1480" s="32">
        <f t="shared" si="399"/>
        <v>1900</v>
      </c>
      <c r="U1480" s="29"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00/01/1900</v>
      </c>
      <c r="V1480" s="33"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1900/01/00</v>
      </c>
      <c r="W1480" s="29"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00 gennaio 1900</v>
      </c>
      <c r="X1480" s="29">
        <v>1507</v>
      </c>
      <c r="Y1480" s="29" t="str">
        <f t="shared" si="404"/>
        <v>[' ', '', '', '--', '00 gennaio 1900', '00/01/1900', '1900/01/00'],</v>
      </c>
      <c r="Z1480" s="29" t="str">
        <f t="shared" si="405"/>
        <v xml:space="preserve"> () |  </v>
      </c>
      <c r="AA1480" s="29" t="str">
        <f t="shared" si="406"/>
        <v xml:space="preserve"> </v>
      </c>
      <c r="AB1480" s="29" t="str">
        <f t="shared" si="407"/>
        <v xml:space="preserve"> </v>
      </c>
      <c r="AC1480" s="29" t="str">
        <f t="shared" si="408"/>
        <v xml:space="preserve"> , 0 , 00 gennaio 1900</v>
      </c>
      <c r="AD1480" s="29" t="str">
        <f t="shared" si="409"/>
        <v>1900-01-00T08:00:00.000+02:00</v>
      </c>
      <c r="AE1480" s="29" t="str">
        <f t="shared" si="402"/>
        <v>--</v>
      </c>
      <c r="AF1480" s="29" t="str">
        <f t="shared" si="403"/>
        <v xml:space="preserve">  - 0 - </v>
      </c>
    </row>
    <row r="1481" spans="8:32" x14ac:dyDescent="0.2">
      <c r="H1481" s="29" t="str">
        <f t="shared" si="400"/>
        <v xml:space="preserve"> </v>
      </c>
      <c r="L1481" s="29">
        <f t="shared" si="401"/>
        <v>0</v>
      </c>
      <c r="Q1481" s="38"/>
      <c r="R1481" s="32">
        <f t="shared" si="398"/>
        <v>0</v>
      </c>
      <c r="S1481" s="32" t="str">
        <f>IF(ISERROR(DAY(Q1481)),TEXT(MATCH(TRIM(SUBSTITUTE(SUBSTITUTE(SUBSTITUTE(SUBSTITUTE(SUBSTITUTE(SUBSTITUTE(SUBSTITUTE(SUBSTITUTE(SUBSTITUTE(SUBSTITUTE(SUBSTITUTE(Q1481,1,""),2,""),3,""),4,""),5,""),6,""),7,""),8,""),9,""),0,""),"-","")),{"gennaio","febbraio","marzo","aprile","maggio","giugno","luglio","agosto","settembre","ottobre","novembre","dicembre"},0),"00"),TEXT(MONTH(Q1481)*29,"mmmm"))</f>
        <v>gennaio</v>
      </c>
      <c r="T1481" s="32">
        <f t="shared" si="399"/>
        <v>1900</v>
      </c>
      <c r="U1481" s="29"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00/01/1900</v>
      </c>
      <c r="V1481" s="33"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1900/01/00</v>
      </c>
      <c r="W1481" s="29"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00 gennaio 1900</v>
      </c>
      <c r="X1481" s="29">
        <v>1508</v>
      </c>
      <c r="Y1481" s="29" t="str">
        <f t="shared" si="404"/>
        <v>[' ', '', '', '--', '00 gennaio 1900', '00/01/1900', '1900/01/00'],</v>
      </c>
      <c r="Z1481" s="29" t="str">
        <f t="shared" si="405"/>
        <v xml:space="preserve"> () |  </v>
      </c>
      <c r="AA1481" s="29" t="str">
        <f t="shared" si="406"/>
        <v xml:space="preserve"> </v>
      </c>
      <c r="AB1481" s="29" t="str">
        <f t="shared" si="407"/>
        <v xml:space="preserve"> </v>
      </c>
      <c r="AC1481" s="29" t="str">
        <f t="shared" si="408"/>
        <v xml:space="preserve"> , 0 , 00 gennaio 1900</v>
      </c>
      <c r="AD1481" s="29" t="str">
        <f t="shared" si="409"/>
        <v>1900-01-00T08:00:00.000+02:00</v>
      </c>
      <c r="AE1481" s="29" t="str">
        <f t="shared" si="402"/>
        <v>--</v>
      </c>
      <c r="AF1481" s="29" t="str">
        <f t="shared" si="403"/>
        <v xml:space="preserve">  - 0 - </v>
      </c>
    </row>
    <row r="1482" spans="8:32" x14ac:dyDescent="0.2">
      <c r="H1482" s="29" t="str">
        <f t="shared" si="400"/>
        <v xml:space="preserve"> </v>
      </c>
      <c r="L1482" s="29">
        <f t="shared" si="401"/>
        <v>0</v>
      </c>
      <c r="Q1482" s="38"/>
      <c r="R1482" s="32">
        <f t="shared" si="398"/>
        <v>0</v>
      </c>
      <c r="S1482" s="32" t="str">
        <f>IF(ISERROR(DAY(Q1482)),TEXT(MATCH(TRIM(SUBSTITUTE(SUBSTITUTE(SUBSTITUTE(SUBSTITUTE(SUBSTITUTE(SUBSTITUTE(SUBSTITUTE(SUBSTITUTE(SUBSTITUTE(SUBSTITUTE(SUBSTITUTE(Q1482,1,""),2,""),3,""),4,""),5,""),6,""),7,""),8,""),9,""),0,""),"-","")),{"gennaio","febbraio","marzo","aprile","maggio","giugno","luglio","agosto","settembre","ottobre","novembre","dicembre"},0),"00"),TEXT(MONTH(Q1482)*29,"mmmm"))</f>
        <v>gennaio</v>
      </c>
      <c r="T1482" s="32">
        <f t="shared" si="399"/>
        <v>1900</v>
      </c>
      <c r="U1482" s="29"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00/01/1900</v>
      </c>
      <c r="V1482" s="33"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1900/01/00</v>
      </c>
      <c r="W1482" s="29"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00 gennaio 1900</v>
      </c>
      <c r="X1482" s="29">
        <v>1509</v>
      </c>
      <c r="Y1482" s="29" t="str">
        <f t="shared" si="404"/>
        <v>[' ', '', '', '--', '00 gennaio 1900', '00/01/1900', '1900/01/00'],</v>
      </c>
      <c r="Z1482" s="29" t="str">
        <f t="shared" si="405"/>
        <v xml:space="preserve"> () |  </v>
      </c>
      <c r="AA1482" s="29" t="str">
        <f t="shared" si="406"/>
        <v xml:space="preserve"> </v>
      </c>
      <c r="AB1482" s="29" t="str">
        <f t="shared" si="407"/>
        <v xml:space="preserve"> </v>
      </c>
      <c r="AC1482" s="29" t="str">
        <f t="shared" si="408"/>
        <v xml:space="preserve"> , 0 , 00 gennaio 1900</v>
      </c>
      <c r="AD1482" s="29" t="str">
        <f t="shared" si="409"/>
        <v>1900-01-00T08:00:00.000+02:00</v>
      </c>
      <c r="AE1482" s="29" t="str">
        <f t="shared" si="402"/>
        <v>--</v>
      </c>
      <c r="AF1482" s="29" t="str">
        <f t="shared" si="403"/>
        <v xml:space="preserve">  - 0 - </v>
      </c>
    </row>
    <row r="1483" spans="8:32" x14ac:dyDescent="0.2">
      <c r="H1483" s="29" t="str">
        <f t="shared" si="400"/>
        <v xml:space="preserve"> </v>
      </c>
      <c r="L1483" s="29">
        <f t="shared" si="401"/>
        <v>0</v>
      </c>
      <c r="Q1483" s="38"/>
      <c r="R1483" s="32">
        <f t="shared" si="398"/>
        <v>0</v>
      </c>
      <c r="S1483" s="32" t="str">
        <f>IF(ISERROR(DAY(Q1483)),TEXT(MATCH(TRIM(SUBSTITUTE(SUBSTITUTE(SUBSTITUTE(SUBSTITUTE(SUBSTITUTE(SUBSTITUTE(SUBSTITUTE(SUBSTITUTE(SUBSTITUTE(SUBSTITUTE(SUBSTITUTE(Q1483,1,""),2,""),3,""),4,""),5,""),6,""),7,""),8,""),9,""),0,""),"-","")),{"gennaio","febbraio","marzo","aprile","maggio","giugno","luglio","agosto","settembre","ottobre","novembre","dicembre"},0),"00"),TEXT(MONTH(Q1483)*29,"mmmm"))</f>
        <v>gennaio</v>
      </c>
      <c r="T1483" s="32">
        <f t="shared" si="399"/>
        <v>1900</v>
      </c>
      <c r="U1483" s="29"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00/01/1900</v>
      </c>
      <c r="V1483" s="33"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1900/01/00</v>
      </c>
      <c r="W1483" s="29"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00 gennaio 1900</v>
      </c>
      <c r="X1483" s="29">
        <v>1510</v>
      </c>
      <c r="Y1483" s="29" t="str">
        <f t="shared" si="404"/>
        <v>[' ', '', '', '--', '00 gennaio 1900', '00/01/1900', '1900/01/00'],</v>
      </c>
      <c r="Z1483" s="29" t="str">
        <f t="shared" si="405"/>
        <v xml:space="preserve"> () |  </v>
      </c>
      <c r="AA1483" s="29" t="str">
        <f t="shared" si="406"/>
        <v xml:space="preserve"> </v>
      </c>
      <c r="AB1483" s="29" t="str">
        <f t="shared" si="407"/>
        <v xml:space="preserve"> </v>
      </c>
      <c r="AC1483" s="29" t="str">
        <f t="shared" si="408"/>
        <v xml:space="preserve"> , 0 , 00 gennaio 1900</v>
      </c>
      <c r="AD1483" s="29" t="str">
        <f t="shared" si="409"/>
        <v>1900-01-00T08:00:00.000+02:00</v>
      </c>
      <c r="AE1483" s="29" t="str">
        <f t="shared" si="402"/>
        <v>--</v>
      </c>
      <c r="AF1483" s="29" t="str">
        <f t="shared" si="403"/>
        <v xml:space="preserve">  - 0 - </v>
      </c>
    </row>
    <row r="1484" spans="8:32" x14ac:dyDescent="0.2">
      <c r="H1484" s="29" t="str">
        <f t="shared" si="400"/>
        <v xml:space="preserve"> </v>
      </c>
      <c r="L1484" s="29">
        <f t="shared" si="401"/>
        <v>0</v>
      </c>
      <c r="Q1484" s="38"/>
      <c r="R1484" s="32">
        <f t="shared" si="398"/>
        <v>0</v>
      </c>
      <c r="S1484" s="32" t="str">
        <f>IF(ISERROR(DAY(Q1484)),TEXT(MATCH(TRIM(SUBSTITUTE(SUBSTITUTE(SUBSTITUTE(SUBSTITUTE(SUBSTITUTE(SUBSTITUTE(SUBSTITUTE(SUBSTITUTE(SUBSTITUTE(SUBSTITUTE(SUBSTITUTE(Q1484,1,""),2,""),3,""),4,""),5,""),6,""),7,""),8,""),9,""),0,""),"-","")),{"gennaio","febbraio","marzo","aprile","maggio","giugno","luglio","agosto","settembre","ottobre","novembre","dicembre"},0),"00"),TEXT(MONTH(Q1484)*29,"mmmm"))</f>
        <v>gennaio</v>
      </c>
      <c r="T1484" s="32">
        <f t="shared" si="399"/>
        <v>1900</v>
      </c>
      <c r="U1484" s="29"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00/01/1900</v>
      </c>
      <c r="V1484" s="33"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1900/01/00</v>
      </c>
      <c r="W1484" s="29"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00 gennaio 1900</v>
      </c>
      <c r="X1484" s="29">
        <v>1511</v>
      </c>
      <c r="Y1484" s="29" t="str">
        <f t="shared" si="404"/>
        <v>[' ', '', '', '--', '00 gennaio 1900', '00/01/1900', '1900/01/00'],</v>
      </c>
      <c r="Z1484" s="29" t="str">
        <f t="shared" si="405"/>
        <v xml:space="preserve"> () |  </v>
      </c>
      <c r="AA1484" s="29" t="str">
        <f t="shared" si="406"/>
        <v xml:space="preserve"> </v>
      </c>
      <c r="AB1484" s="29" t="str">
        <f t="shared" si="407"/>
        <v xml:space="preserve"> </v>
      </c>
      <c r="AC1484" s="29" t="str">
        <f t="shared" si="408"/>
        <v xml:space="preserve"> , 0 , 00 gennaio 1900</v>
      </c>
      <c r="AD1484" s="29" t="str">
        <f t="shared" si="409"/>
        <v>1900-01-00T08:00:00.000+02:00</v>
      </c>
      <c r="AE1484" s="29" t="str">
        <f t="shared" si="402"/>
        <v>--</v>
      </c>
      <c r="AF1484" s="29" t="str">
        <f t="shared" si="403"/>
        <v xml:space="preserve">  - 0 - </v>
      </c>
    </row>
    <row r="1485" spans="8:32" x14ac:dyDescent="0.2">
      <c r="H1485" s="29" t="str">
        <f t="shared" si="400"/>
        <v xml:space="preserve"> </v>
      </c>
      <c r="L1485" s="29">
        <f t="shared" si="401"/>
        <v>0</v>
      </c>
      <c r="Q1485" s="38"/>
      <c r="R1485" s="32">
        <f t="shared" si="398"/>
        <v>0</v>
      </c>
      <c r="S1485" s="32" t="str">
        <f>IF(ISERROR(DAY(Q1485)),TEXT(MATCH(TRIM(SUBSTITUTE(SUBSTITUTE(SUBSTITUTE(SUBSTITUTE(SUBSTITUTE(SUBSTITUTE(SUBSTITUTE(SUBSTITUTE(SUBSTITUTE(SUBSTITUTE(SUBSTITUTE(Q1485,1,""),2,""),3,""),4,""),5,""),6,""),7,""),8,""),9,""),0,""),"-","")),{"gennaio","febbraio","marzo","aprile","maggio","giugno","luglio","agosto","settembre","ottobre","novembre","dicembre"},0),"00"),TEXT(MONTH(Q1485)*29,"mmmm"))</f>
        <v>gennaio</v>
      </c>
      <c r="T1485" s="32">
        <f t="shared" si="399"/>
        <v>1900</v>
      </c>
      <c r="U1485" s="29"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00/01/1900</v>
      </c>
      <c r="V1485" s="33"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1900/01/00</v>
      </c>
      <c r="W1485" s="29"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00 gennaio 1900</v>
      </c>
      <c r="X1485" s="29">
        <v>1512</v>
      </c>
      <c r="Y1485" s="29" t="str">
        <f t="shared" si="404"/>
        <v>[' ', '', '', '--', '00 gennaio 1900', '00/01/1900', '1900/01/00'],</v>
      </c>
      <c r="Z1485" s="29" t="str">
        <f t="shared" si="405"/>
        <v xml:space="preserve"> () |  </v>
      </c>
      <c r="AA1485" s="29" t="str">
        <f t="shared" si="406"/>
        <v xml:space="preserve"> </v>
      </c>
      <c r="AB1485" s="29" t="str">
        <f t="shared" si="407"/>
        <v xml:space="preserve"> </v>
      </c>
      <c r="AC1485" s="29" t="str">
        <f t="shared" si="408"/>
        <v xml:space="preserve"> , 0 , 00 gennaio 1900</v>
      </c>
      <c r="AD1485" s="29" t="str">
        <f t="shared" si="409"/>
        <v>1900-01-00T08:00:00.000+02:00</v>
      </c>
      <c r="AE1485" s="29" t="str">
        <f t="shared" si="402"/>
        <v>--</v>
      </c>
      <c r="AF1485" s="29" t="str">
        <f t="shared" si="403"/>
        <v xml:space="preserve">  - 0 - </v>
      </c>
    </row>
    <row r="1486" spans="8:32" x14ac:dyDescent="0.2">
      <c r="H1486" s="29" t="str">
        <f t="shared" si="400"/>
        <v xml:space="preserve"> </v>
      </c>
      <c r="L1486" s="29">
        <f t="shared" si="401"/>
        <v>0</v>
      </c>
      <c r="Q1486" s="38"/>
      <c r="R1486" s="32">
        <f t="shared" si="398"/>
        <v>0</v>
      </c>
      <c r="S1486" s="32" t="str">
        <f>IF(ISERROR(DAY(Q1486)),TEXT(MATCH(TRIM(SUBSTITUTE(SUBSTITUTE(SUBSTITUTE(SUBSTITUTE(SUBSTITUTE(SUBSTITUTE(SUBSTITUTE(SUBSTITUTE(SUBSTITUTE(SUBSTITUTE(SUBSTITUTE(Q1486,1,""),2,""),3,""),4,""),5,""),6,""),7,""),8,""),9,""),0,""),"-","")),{"gennaio","febbraio","marzo","aprile","maggio","giugno","luglio","agosto","settembre","ottobre","novembre","dicembre"},0),"00"),TEXT(MONTH(Q1486)*29,"mmmm"))</f>
        <v>gennaio</v>
      </c>
      <c r="T1486" s="32">
        <f t="shared" si="399"/>
        <v>1900</v>
      </c>
      <c r="U1486" s="29"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00/01/1900</v>
      </c>
      <c r="V1486" s="33"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1900/01/00</v>
      </c>
      <c r="W1486" s="29"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00 gennaio 1900</v>
      </c>
      <c r="X1486" s="29">
        <v>1513</v>
      </c>
      <c r="Y1486" s="29" t="str">
        <f t="shared" si="404"/>
        <v>[' ', '', '', '--', '00 gennaio 1900', '00/01/1900', '1900/01/00'],</v>
      </c>
      <c r="Z1486" s="29" t="str">
        <f t="shared" si="405"/>
        <v xml:space="preserve"> () |  </v>
      </c>
      <c r="AA1486" s="29" t="str">
        <f t="shared" si="406"/>
        <v xml:space="preserve"> </v>
      </c>
      <c r="AB1486" s="29" t="str">
        <f t="shared" si="407"/>
        <v xml:space="preserve"> </v>
      </c>
      <c r="AC1486" s="29" t="str">
        <f t="shared" si="408"/>
        <v xml:space="preserve"> , 0 , 00 gennaio 1900</v>
      </c>
      <c r="AD1486" s="29" t="str">
        <f t="shared" si="409"/>
        <v>1900-01-00T08:00:00.000+02:00</v>
      </c>
      <c r="AE1486" s="29" t="str">
        <f t="shared" si="402"/>
        <v>--</v>
      </c>
      <c r="AF1486" s="29" t="str">
        <f t="shared" si="403"/>
        <v xml:space="preserve">  - 0 - </v>
      </c>
    </row>
    <row r="1487" spans="8:32" x14ac:dyDescent="0.2">
      <c r="H1487" s="29" t="str">
        <f t="shared" si="400"/>
        <v xml:space="preserve"> </v>
      </c>
      <c r="L1487" s="29">
        <f t="shared" si="401"/>
        <v>0</v>
      </c>
      <c r="Q1487" s="38"/>
      <c r="R1487" s="32">
        <f t="shared" si="398"/>
        <v>0</v>
      </c>
      <c r="S1487" s="32" t="str">
        <f>IF(ISERROR(DAY(Q1487)),TEXT(MATCH(TRIM(SUBSTITUTE(SUBSTITUTE(SUBSTITUTE(SUBSTITUTE(SUBSTITUTE(SUBSTITUTE(SUBSTITUTE(SUBSTITUTE(SUBSTITUTE(SUBSTITUTE(SUBSTITUTE(Q1487,1,""),2,""),3,""),4,""),5,""),6,""),7,""),8,""),9,""),0,""),"-","")),{"gennaio","febbraio","marzo","aprile","maggio","giugno","luglio","agosto","settembre","ottobre","novembre","dicembre"},0),"00"),TEXT(MONTH(Q1487)*29,"mmmm"))</f>
        <v>gennaio</v>
      </c>
      <c r="T1487" s="32">
        <f t="shared" si="399"/>
        <v>1900</v>
      </c>
      <c r="U1487" s="29"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00/01/1900</v>
      </c>
      <c r="V1487" s="33"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1900/01/00</v>
      </c>
      <c r="W1487" s="29"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00 gennaio 1900</v>
      </c>
      <c r="X1487" s="29">
        <v>1514</v>
      </c>
      <c r="Y1487" s="29" t="str">
        <f t="shared" si="404"/>
        <v>[' ', '', '', '--', '00 gennaio 1900', '00/01/1900', '1900/01/00'],</v>
      </c>
      <c r="Z1487" s="29" t="str">
        <f t="shared" si="405"/>
        <v xml:space="preserve"> () |  </v>
      </c>
      <c r="AA1487" s="29" t="str">
        <f t="shared" si="406"/>
        <v xml:space="preserve"> </v>
      </c>
      <c r="AB1487" s="29" t="str">
        <f t="shared" si="407"/>
        <v xml:space="preserve"> </v>
      </c>
      <c r="AC1487" s="29" t="str">
        <f t="shared" si="408"/>
        <v xml:space="preserve"> , 0 , 00 gennaio 1900</v>
      </c>
      <c r="AD1487" s="29" t="str">
        <f t="shared" si="409"/>
        <v>1900-01-00T08:00:00.000+02:00</v>
      </c>
      <c r="AE1487" s="29" t="str">
        <f t="shared" si="402"/>
        <v>--</v>
      </c>
      <c r="AF1487" s="29" t="str">
        <f t="shared" si="403"/>
        <v xml:space="preserve">  - 0 - </v>
      </c>
    </row>
    <row r="1488" spans="8:32" x14ac:dyDescent="0.2">
      <c r="H1488" s="29" t="str">
        <f t="shared" si="400"/>
        <v xml:space="preserve"> </v>
      </c>
      <c r="L1488" s="29">
        <f t="shared" si="401"/>
        <v>0</v>
      </c>
      <c r="Q1488" s="38"/>
      <c r="R1488" s="32">
        <f t="shared" si="398"/>
        <v>0</v>
      </c>
      <c r="S1488" s="32" t="str">
        <f>IF(ISERROR(DAY(Q1488)),TEXT(MATCH(TRIM(SUBSTITUTE(SUBSTITUTE(SUBSTITUTE(SUBSTITUTE(SUBSTITUTE(SUBSTITUTE(SUBSTITUTE(SUBSTITUTE(SUBSTITUTE(SUBSTITUTE(SUBSTITUTE(Q1488,1,""),2,""),3,""),4,""),5,""),6,""),7,""),8,""),9,""),0,""),"-","")),{"gennaio","febbraio","marzo","aprile","maggio","giugno","luglio","agosto","settembre","ottobre","novembre","dicembre"},0),"00"),TEXT(MONTH(Q1488)*29,"mmmm"))</f>
        <v>gennaio</v>
      </c>
      <c r="T1488" s="32">
        <f t="shared" si="399"/>
        <v>1900</v>
      </c>
      <c r="U1488" s="29"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00/01/1900</v>
      </c>
      <c r="V1488" s="33"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1900/01/00</v>
      </c>
      <c r="W1488" s="29"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00 gennaio 1900</v>
      </c>
      <c r="X1488" s="29">
        <v>1515</v>
      </c>
      <c r="Y1488" s="29" t="str">
        <f t="shared" si="404"/>
        <v>[' ', '', '', '--', '00 gennaio 1900', '00/01/1900', '1900/01/00'],</v>
      </c>
      <c r="Z1488" s="29" t="str">
        <f t="shared" si="405"/>
        <v xml:space="preserve"> () |  </v>
      </c>
      <c r="AA1488" s="29" t="str">
        <f t="shared" si="406"/>
        <v xml:space="preserve"> </v>
      </c>
      <c r="AB1488" s="29" t="str">
        <f t="shared" si="407"/>
        <v xml:space="preserve"> </v>
      </c>
      <c r="AC1488" s="29" t="str">
        <f t="shared" si="408"/>
        <v xml:space="preserve"> , 0 , 00 gennaio 1900</v>
      </c>
      <c r="AD1488" s="29" t="str">
        <f t="shared" si="409"/>
        <v>1900-01-00T08:00:00.000+02:00</v>
      </c>
      <c r="AE1488" s="29" t="str">
        <f t="shared" si="402"/>
        <v>--</v>
      </c>
      <c r="AF1488" s="29" t="str">
        <f t="shared" si="403"/>
        <v xml:space="preserve">  - 0 - </v>
      </c>
    </row>
    <row r="1489" spans="8:32" x14ac:dyDescent="0.2">
      <c r="H1489" s="29" t="str">
        <f t="shared" si="400"/>
        <v xml:space="preserve"> </v>
      </c>
      <c r="L1489" s="29">
        <f t="shared" si="401"/>
        <v>0</v>
      </c>
      <c r="Q1489" s="38"/>
      <c r="R1489" s="32">
        <f t="shared" si="398"/>
        <v>0</v>
      </c>
      <c r="S1489" s="32" t="str">
        <f>IF(ISERROR(DAY(Q1489)),TEXT(MATCH(TRIM(SUBSTITUTE(SUBSTITUTE(SUBSTITUTE(SUBSTITUTE(SUBSTITUTE(SUBSTITUTE(SUBSTITUTE(SUBSTITUTE(SUBSTITUTE(SUBSTITUTE(SUBSTITUTE(Q1489,1,""),2,""),3,""),4,""),5,""),6,""),7,""),8,""),9,""),0,""),"-","")),{"gennaio","febbraio","marzo","aprile","maggio","giugno","luglio","agosto","settembre","ottobre","novembre","dicembre"},0),"00"),TEXT(MONTH(Q1489)*29,"mmmm"))</f>
        <v>gennaio</v>
      </c>
      <c r="T1489" s="32">
        <f t="shared" si="399"/>
        <v>1900</v>
      </c>
      <c r="U1489" s="29"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00/01/1900</v>
      </c>
      <c r="V1489" s="33"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1900/01/00</v>
      </c>
      <c r="W1489" s="29"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00 gennaio 1900</v>
      </c>
      <c r="X1489" s="29">
        <v>1516</v>
      </c>
      <c r="Y1489" s="29" t="str">
        <f t="shared" si="404"/>
        <v>[' ', '', '', '--', '00 gennaio 1900', '00/01/1900', '1900/01/00'],</v>
      </c>
      <c r="Z1489" s="29" t="str">
        <f t="shared" si="405"/>
        <v xml:space="preserve"> () |  </v>
      </c>
      <c r="AA1489" s="29" t="str">
        <f t="shared" si="406"/>
        <v xml:space="preserve"> </v>
      </c>
      <c r="AB1489" s="29" t="str">
        <f t="shared" si="407"/>
        <v xml:space="preserve"> </v>
      </c>
      <c r="AC1489" s="29" t="str">
        <f t="shared" si="408"/>
        <v xml:space="preserve"> , 0 , 00 gennaio 1900</v>
      </c>
      <c r="AD1489" s="29" t="str">
        <f t="shared" si="409"/>
        <v>1900-01-00T08:00:00.000+02:00</v>
      </c>
      <c r="AE1489" s="29" t="str">
        <f t="shared" si="402"/>
        <v>--</v>
      </c>
      <c r="AF1489" s="29" t="str">
        <f t="shared" si="403"/>
        <v xml:space="preserve">  - 0 - </v>
      </c>
    </row>
    <row r="1490" spans="8:32" x14ac:dyDescent="0.2">
      <c r="H1490" s="29" t="str">
        <f t="shared" si="400"/>
        <v xml:space="preserve"> </v>
      </c>
      <c r="L1490" s="29">
        <f t="shared" si="401"/>
        <v>0</v>
      </c>
      <c r="Q1490" s="38"/>
      <c r="R1490" s="32">
        <f t="shared" ref="R1490:R1553" si="410">IF(ISERROR(DAY(Q1490)),TEXT((LEFT(Q1490,2)),"00"),DAY(Q1490))</f>
        <v>0</v>
      </c>
      <c r="S1490" s="32" t="str">
        <f>IF(ISERROR(DAY(Q1490)),TEXT(MATCH(TRIM(SUBSTITUTE(SUBSTITUTE(SUBSTITUTE(SUBSTITUTE(SUBSTITUTE(SUBSTITUTE(SUBSTITUTE(SUBSTITUTE(SUBSTITUTE(SUBSTITUTE(SUBSTITUTE(Q1490,1,""),2,""),3,""),4,""),5,""),6,""),7,""),8,""),9,""),0,""),"-","")),{"gennaio","febbraio","marzo","aprile","maggio","giugno","luglio","agosto","settembre","ottobre","novembre","dicembre"},0),"00"),TEXT(MONTH(Q1490)*29,"mmmm"))</f>
        <v>gennaio</v>
      </c>
      <c r="T1490" s="32">
        <f t="shared" ref="T1490:T1553" si="411">IF(ISERROR(DAY(Q1490)),VALUE(RIGHT(Q1490,4)),YEAR(Q1490))</f>
        <v>1900</v>
      </c>
      <c r="U1490" s="29"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00/01/1900</v>
      </c>
      <c r="V1490" s="33"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1900/01/00</v>
      </c>
      <c r="W1490" s="29"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00 gennaio 1900</v>
      </c>
      <c r="X1490" s="29">
        <v>1517</v>
      </c>
      <c r="Y1490" s="29" t="str">
        <f t="shared" si="404"/>
        <v>[' ', '', '', '--', '00 gennaio 1900', '00/01/1900', '1900/01/00'],</v>
      </c>
      <c r="Z1490" s="29" t="str">
        <f t="shared" si="405"/>
        <v xml:space="preserve"> () |  </v>
      </c>
      <c r="AA1490" s="29" t="str">
        <f t="shared" si="406"/>
        <v xml:space="preserve"> </v>
      </c>
      <c r="AB1490" s="29" t="str">
        <f t="shared" si="407"/>
        <v xml:space="preserve"> </v>
      </c>
      <c r="AC1490" s="29" t="str">
        <f t="shared" si="408"/>
        <v xml:space="preserve"> , 0 , 00 gennaio 1900</v>
      </c>
      <c r="AD1490" s="29" t="str">
        <f t="shared" si="409"/>
        <v>1900-01-00T08:00:00.000+02:00</v>
      </c>
      <c r="AE1490" s="29" t="str">
        <f t="shared" si="402"/>
        <v>--</v>
      </c>
      <c r="AF1490" s="29" t="str">
        <f t="shared" si="403"/>
        <v xml:space="preserve">  - 0 - </v>
      </c>
    </row>
    <row r="1491" spans="8:32" x14ac:dyDescent="0.2">
      <c r="H1491" s="29" t="str">
        <f t="shared" si="400"/>
        <v xml:space="preserve"> </v>
      </c>
      <c r="L1491" s="29">
        <f t="shared" si="401"/>
        <v>0</v>
      </c>
      <c r="Q1491" s="38"/>
      <c r="R1491" s="32">
        <f t="shared" si="410"/>
        <v>0</v>
      </c>
      <c r="S1491" s="32" t="str">
        <f>IF(ISERROR(DAY(Q1491)),TEXT(MATCH(TRIM(SUBSTITUTE(SUBSTITUTE(SUBSTITUTE(SUBSTITUTE(SUBSTITUTE(SUBSTITUTE(SUBSTITUTE(SUBSTITUTE(SUBSTITUTE(SUBSTITUTE(SUBSTITUTE(Q1491,1,""),2,""),3,""),4,""),5,""),6,""),7,""),8,""),9,""),0,""),"-","")),{"gennaio","febbraio","marzo","aprile","maggio","giugno","luglio","agosto","settembre","ottobre","novembre","dicembre"},0),"00"),TEXT(MONTH(Q1491)*29,"mmmm"))</f>
        <v>gennaio</v>
      </c>
      <c r="T1491" s="32">
        <f t="shared" si="411"/>
        <v>1900</v>
      </c>
      <c r="U1491" s="29"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00/01/1900</v>
      </c>
      <c r="V1491" s="33"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1900/01/00</v>
      </c>
      <c r="W1491" s="29"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00 gennaio 1900</v>
      </c>
      <c r="X1491" s="29">
        <v>1518</v>
      </c>
      <c r="Y1491" s="29" t="str">
        <f t="shared" si="404"/>
        <v>[' ', '', '', '--', '00 gennaio 1900', '00/01/1900', '1900/01/00'],</v>
      </c>
      <c r="Z1491" s="29" t="str">
        <f t="shared" si="405"/>
        <v xml:space="preserve"> () |  </v>
      </c>
      <c r="AA1491" s="29" t="str">
        <f t="shared" si="406"/>
        <v xml:space="preserve"> </v>
      </c>
      <c r="AB1491" s="29" t="str">
        <f t="shared" si="407"/>
        <v xml:space="preserve"> </v>
      </c>
      <c r="AC1491" s="29" t="str">
        <f t="shared" si="408"/>
        <v xml:space="preserve"> , 0 , 00 gennaio 1900</v>
      </c>
      <c r="AD1491" s="29" t="str">
        <f t="shared" si="409"/>
        <v>1900-01-00T08:00:00.000+02:00</v>
      </c>
      <c r="AE1491" s="29" t="str">
        <f t="shared" si="402"/>
        <v>--</v>
      </c>
      <c r="AF1491" s="29" t="str">
        <f t="shared" si="403"/>
        <v xml:space="preserve">  - 0 - </v>
      </c>
    </row>
    <row r="1492" spans="8:32" x14ac:dyDescent="0.2">
      <c r="H1492" s="29" t="str">
        <f t="shared" si="400"/>
        <v xml:space="preserve"> </v>
      </c>
      <c r="L1492" s="29">
        <f t="shared" si="401"/>
        <v>0</v>
      </c>
      <c r="Q1492" s="38"/>
      <c r="R1492" s="32">
        <f t="shared" si="410"/>
        <v>0</v>
      </c>
      <c r="S1492" s="32" t="str">
        <f>IF(ISERROR(DAY(Q1492)),TEXT(MATCH(TRIM(SUBSTITUTE(SUBSTITUTE(SUBSTITUTE(SUBSTITUTE(SUBSTITUTE(SUBSTITUTE(SUBSTITUTE(SUBSTITUTE(SUBSTITUTE(SUBSTITUTE(SUBSTITUTE(Q1492,1,""),2,""),3,""),4,""),5,""),6,""),7,""),8,""),9,""),0,""),"-","")),{"gennaio","febbraio","marzo","aprile","maggio","giugno","luglio","agosto","settembre","ottobre","novembre","dicembre"},0),"00"),TEXT(MONTH(Q1492)*29,"mmmm"))</f>
        <v>gennaio</v>
      </c>
      <c r="T1492" s="32">
        <f t="shared" si="411"/>
        <v>1900</v>
      </c>
      <c r="U1492" s="29"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00/01/1900</v>
      </c>
      <c r="V1492" s="33"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1900/01/00</v>
      </c>
      <c r="W1492" s="29"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00 gennaio 1900</v>
      </c>
      <c r="X1492" s="29">
        <v>1519</v>
      </c>
      <c r="Y1492" s="29" t="str">
        <f t="shared" si="404"/>
        <v>[' ', '', '', '--', '00 gennaio 1900', '00/01/1900', '1900/01/00'],</v>
      </c>
      <c r="Z1492" s="29" t="str">
        <f t="shared" si="405"/>
        <v xml:space="preserve"> () |  </v>
      </c>
      <c r="AA1492" s="29" t="str">
        <f t="shared" si="406"/>
        <v xml:space="preserve"> </v>
      </c>
      <c r="AB1492" s="29" t="str">
        <f t="shared" si="407"/>
        <v xml:space="preserve"> </v>
      </c>
      <c r="AC1492" s="29" t="str">
        <f t="shared" si="408"/>
        <v xml:space="preserve"> , 0 , 00 gennaio 1900</v>
      </c>
      <c r="AD1492" s="29" t="str">
        <f t="shared" si="409"/>
        <v>1900-01-00T08:00:00.000+02:00</v>
      </c>
      <c r="AE1492" s="29" t="str">
        <f t="shared" si="402"/>
        <v>--</v>
      </c>
      <c r="AF1492" s="29" t="str">
        <f t="shared" si="403"/>
        <v xml:space="preserve">  - 0 - </v>
      </c>
    </row>
    <row r="1493" spans="8:32" x14ac:dyDescent="0.2">
      <c r="H1493" s="29" t="str">
        <f t="shared" si="400"/>
        <v xml:space="preserve"> </v>
      </c>
      <c r="L1493" s="29">
        <f t="shared" si="401"/>
        <v>0</v>
      </c>
      <c r="Q1493" s="38"/>
      <c r="R1493" s="32">
        <f t="shared" si="410"/>
        <v>0</v>
      </c>
      <c r="S1493" s="32"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32">
        <f t="shared" si="411"/>
        <v>1900</v>
      </c>
      <c r="U1493" s="29"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00/01/1900</v>
      </c>
      <c r="V1493" s="33"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1900/01/00</v>
      </c>
      <c r="W1493" s="29"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00 gennaio 1900</v>
      </c>
      <c r="X1493" s="29">
        <v>1520</v>
      </c>
      <c r="Y1493" s="29" t="str">
        <f t="shared" si="404"/>
        <v>[' ', '', '', '--', '00 gennaio 1900', '00/01/1900', '1900/01/00'],</v>
      </c>
      <c r="Z1493" s="29" t="str">
        <f t="shared" si="405"/>
        <v xml:space="preserve"> () |  </v>
      </c>
      <c r="AA1493" s="29" t="str">
        <f t="shared" si="406"/>
        <v xml:space="preserve"> </v>
      </c>
      <c r="AB1493" s="29" t="str">
        <f t="shared" si="407"/>
        <v xml:space="preserve"> </v>
      </c>
      <c r="AC1493" s="29" t="str">
        <f t="shared" si="408"/>
        <v xml:space="preserve"> , 0 , 00 gennaio 1900</v>
      </c>
      <c r="AD1493" s="29" t="str">
        <f t="shared" si="409"/>
        <v>1900-01-00T08:00:00.000+02:00</v>
      </c>
      <c r="AE1493" s="29" t="str">
        <f t="shared" si="402"/>
        <v>--</v>
      </c>
      <c r="AF1493" s="29" t="str">
        <f t="shared" si="403"/>
        <v xml:space="preserve">  - 0 - </v>
      </c>
    </row>
    <row r="1494" spans="8:32" x14ac:dyDescent="0.2">
      <c r="H1494" s="29" t="str">
        <f t="shared" si="400"/>
        <v xml:space="preserve"> </v>
      </c>
      <c r="L1494" s="29">
        <f t="shared" si="401"/>
        <v>0</v>
      </c>
      <c r="Q1494" s="38"/>
      <c r="R1494" s="32">
        <f t="shared" si="410"/>
        <v>0</v>
      </c>
      <c r="S1494" s="32"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32">
        <f t="shared" si="411"/>
        <v>1900</v>
      </c>
      <c r="U1494" s="29"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00/01/1900</v>
      </c>
      <c r="V1494" s="33"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1900/01/00</v>
      </c>
      <c r="W1494" s="29"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00 gennaio 1900</v>
      </c>
      <c r="X1494" s="29">
        <v>1521</v>
      </c>
      <c r="Y1494" s="29" t="str">
        <f t="shared" si="404"/>
        <v>[' ', '', '', '--', '00 gennaio 1900', '00/01/1900', '1900/01/00'],</v>
      </c>
      <c r="Z1494" s="29" t="str">
        <f t="shared" si="405"/>
        <v xml:space="preserve"> () |  </v>
      </c>
      <c r="AA1494" s="29" t="str">
        <f t="shared" si="406"/>
        <v xml:space="preserve"> </v>
      </c>
      <c r="AB1494" s="29" t="str">
        <f t="shared" si="407"/>
        <v xml:space="preserve"> </v>
      </c>
      <c r="AC1494" s="29" t="str">
        <f t="shared" si="408"/>
        <v xml:space="preserve"> , 0 , 00 gennaio 1900</v>
      </c>
      <c r="AD1494" s="29" t="str">
        <f t="shared" si="409"/>
        <v>1900-01-00T08:00:00.000+02:00</v>
      </c>
      <c r="AE1494" s="29" t="str">
        <f t="shared" si="402"/>
        <v>--</v>
      </c>
      <c r="AF1494" s="29" t="str">
        <f t="shared" si="403"/>
        <v xml:space="preserve">  - 0 - </v>
      </c>
    </row>
    <row r="1495" spans="8:32" x14ac:dyDescent="0.2">
      <c r="H1495" s="29" t="str">
        <f t="shared" si="400"/>
        <v xml:space="preserve"> </v>
      </c>
      <c r="L1495" s="29">
        <f t="shared" si="401"/>
        <v>0</v>
      </c>
      <c r="Q1495" s="38"/>
      <c r="R1495" s="32">
        <f t="shared" si="410"/>
        <v>0</v>
      </c>
      <c r="S1495" s="32"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32">
        <f t="shared" si="411"/>
        <v>1900</v>
      </c>
      <c r="U1495" s="29"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00/01/1900</v>
      </c>
      <c r="V1495" s="33"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1900/01/00</v>
      </c>
      <c r="W1495" s="29"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00 gennaio 1900</v>
      </c>
      <c r="X1495" s="29">
        <v>1522</v>
      </c>
      <c r="Y1495" s="29" t="str">
        <f t="shared" si="404"/>
        <v>[' ', '', '', '--', '00 gennaio 1900', '00/01/1900', '1900/01/00'],</v>
      </c>
      <c r="Z1495" s="29" t="str">
        <f t="shared" si="405"/>
        <v xml:space="preserve"> () |  </v>
      </c>
      <c r="AA1495" s="29" t="str">
        <f t="shared" si="406"/>
        <v xml:space="preserve"> </v>
      </c>
      <c r="AB1495" s="29" t="str">
        <f t="shared" si="407"/>
        <v xml:space="preserve"> </v>
      </c>
      <c r="AC1495" s="29" t="str">
        <f t="shared" si="408"/>
        <v xml:space="preserve"> , 0 , 00 gennaio 1900</v>
      </c>
      <c r="AD1495" s="29" t="str">
        <f t="shared" si="409"/>
        <v>1900-01-00T08:00:00.000+02:00</v>
      </c>
      <c r="AE1495" s="29" t="str">
        <f t="shared" si="402"/>
        <v>--</v>
      </c>
      <c r="AF1495" s="29" t="str">
        <f t="shared" si="403"/>
        <v xml:space="preserve">  - 0 - </v>
      </c>
    </row>
    <row r="1496" spans="8:32" x14ac:dyDescent="0.2">
      <c r="H1496" s="29" t="str">
        <f t="shared" si="400"/>
        <v xml:space="preserve"> </v>
      </c>
      <c r="L1496" s="29">
        <f t="shared" si="401"/>
        <v>0</v>
      </c>
      <c r="Q1496" s="38"/>
      <c r="R1496" s="32">
        <f t="shared" si="410"/>
        <v>0</v>
      </c>
      <c r="S1496" s="32"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32">
        <f t="shared" si="411"/>
        <v>1900</v>
      </c>
      <c r="U1496" s="29"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00/01/1900</v>
      </c>
      <c r="V1496" s="33"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1900/01/00</v>
      </c>
      <c r="W1496" s="29"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00 gennaio 1900</v>
      </c>
      <c r="X1496" s="29">
        <v>1523</v>
      </c>
      <c r="Y1496" s="29" t="str">
        <f t="shared" si="404"/>
        <v>[' ', '', '', '--', '00 gennaio 1900', '00/01/1900', '1900/01/00'],</v>
      </c>
      <c r="Z1496" s="29" t="str">
        <f t="shared" si="405"/>
        <v xml:space="preserve"> () |  </v>
      </c>
      <c r="AA1496" s="29" t="str">
        <f t="shared" si="406"/>
        <v xml:space="preserve"> </v>
      </c>
      <c r="AB1496" s="29" t="str">
        <f t="shared" si="407"/>
        <v xml:space="preserve"> </v>
      </c>
      <c r="AC1496" s="29" t="str">
        <f t="shared" si="408"/>
        <v xml:space="preserve"> , 0 , 00 gennaio 1900</v>
      </c>
      <c r="AD1496" s="29" t="str">
        <f t="shared" si="409"/>
        <v>1900-01-00T08:00:00.000+02:00</v>
      </c>
      <c r="AE1496" s="29" t="str">
        <f t="shared" si="402"/>
        <v>--</v>
      </c>
      <c r="AF1496" s="29" t="str">
        <f t="shared" si="403"/>
        <v xml:space="preserve">  - 0 - </v>
      </c>
    </row>
    <row r="1497" spans="8:32" x14ac:dyDescent="0.2">
      <c r="H1497" s="29" t="str">
        <f t="shared" si="400"/>
        <v xml:space="preserve"> </v>
      </c>
      <c r="L1497" s="29">
        <f t="shared" si="401"/>
        <v>0</v>
      </c>
      <c r="Q1497" s="38"/>
      <c r="R1497" s="32">
        <f t="shared" si="410"/>
        <v>0</v>
      </c>
      <c r="S1497" s="32"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32">
        <f t="shared" si="411"/>
        <v>1900</v>
      </c>
      <c r="U1497" s="29"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00/01/1900</v>
      </c>
      <c r="V1497" s="33"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1900/01/00</v>
      </c>
      <c r="W1497" s="29"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00 gennaio 1900</v>
      </c>
      <c r="X1497" s="29">
        <v>1524</v>
      </c>
      <c r="Y1497" s="29" t="str">
        <f t="shared" si="404"/>
        <v>[' ', '', '', '--', '00 gennaio 1900', '00/01/1900', '1900/01/00'],</v>
      </c>
      <c r="Z1497" s="29" t="str">
        <f t="shared" si="405"/>
        <v xml:space="preserve"> () |  </v>
      </c>
      <c r="AA1497" s="29" t="str">
        <f t="shared" si="406"/>
        <v xml:space="preserve"> </v>
      </c>
      <c r="AB1497" s="29" t="str">
        <f t="shared" si="407"/>
        <v xml:space="preserve"> </v>
      </c>
      <c r="AC1497" s="29" t="str">
        <f t="shared" si="408"/>
        <v xml:space="preserve"> , 0 , 00 gennaio 1900</v>
      </c>
      <c r="AD1497" s="29" t="str">
        <f t="shared" si="409"/>
        <v>1900-01-00T08:00:00.000+02:00</v>
      </c>
      <c r="AE1497" s="29" t="str">
        <f t="shared" si="402"/>
        <v>--</v>
      </c>
      <c r="AF1497" s="29" t="str">
        <f t="shared" si="403"/>
        <v xml:space="preserve">  - 0 - </v>
      </c>
    </row>
    <row r="1498" spans="8:32" x14ac:dyDescent="0.2">
      <c r="H1498" s="29" t="str">
        <f t="shared" si="400"/>
        <v xml:space="preserve"> </v>
      </c>
      <c r="L1498" s="29">
        <f t="shared" si="401"/>
        <v>0</v>
      </c>
      <c r="Q1498" s="38"/>
      <c r="R1498" s="32">
        <f t="shared" si="410"/>
        <v>0</v>
      </c>
      <c r="S1498" s="32"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32">
        <f t="shared" si="411"/>
        <v>1900</v>
      </c>
      <c r="U1498" s="29"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00/01/1900</v>
      </c>
      <c r="V1498" s="33"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1900/01/00</v>
      </c>
      <c r="W1498" s="29"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00 gennaio 1900</v>
      </c>
      <c r="X1498" s="29">
        <v>1525</v>
      </c>
      <c r="Y1498" s="29" t="str">
        <f t="shared" si="404"/>
        <v>[' ', '', '', '--', '00 gennaio 1900', '00/01/1900', '1900/01/00'],</v>
      </c>
      <c r="Z1498" s="29" t="str">
        <f t="shared" si="405"/>
        <v xml:space="preserve"> () |  </v>
      </c>
      <c r="AA1498" s="29" t="str">
        <f t="shared" si="406"/>
        <v xml:space="preserve"> </v>
      </c>
      <c r="AB1498" s="29" t="str">
        <f t="shared" si="407"/>
        <v xml:space="preserve"> </v>
      </c>
      <c r="AC1498" s="29" t="str">
        <f t="shared" si="408"/>
        <v xml:space="preserve"> , 0 , 00 gennaio 1900</v>
      </c>
      <c r="AD1498" s="29" t="str">
        <f t="shared" si="409"/>
        <v>1900-01-00T08:00:00.000+02:00</v>
      </c>
      <c r="AE1498" s="29" t="str">
        <f t="shared" si="402"/>
        <v>--</v>
      </c>
      <c r="AF1498" s="29" t="str">
        <f t="shared" si="403"/>
        <v xml:space="preserve">  - 0 - </v>
      </c>
    </row>
    <row r="1499" spans="8:32" x14ac:dyDescent="0.2">
      <c r="H1499" s="29" t="str">
        <f t="shared" si="400"/>
        <v xml:space="preserve"> </v>
      </c>
      <c r="L1499" s="29">
        <f t="shared" si="401"/>
        <v>0</v>
      </c>
      <c r="Q1499" s="38"/>
      <c r="R1499" s="32">
        <f t="shared" si="410"/>
        <v>0</v>
      </c>
      <c r="S1499" s="32"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32">
        <f t="shared" si="411"/>
        <v>1900</v>
      </c>
      <c r="U1499" s="29"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00/01/1900</v>
      </c>
      <c r="V1499" s="33"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1900/01/00</v>
      </c>
      <c r="W1499" s="29"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00 gennaio 1900</v>
      </c>
      <c r="X1499" s="29">
        <v>1526</v>
      </c>
      <c r="Y1499" s="29" t="str">
        <f t="shared" si="404"/>
        <v>[' ', '', '', '--', '00 gennaio 1900', '00/01/1900', '1900/01/00'],</v>
      </c>
      <c r="Z1499" s="29" t="str">
        <f t="shared" si="405"/>
        <v xml:space="preserve"> () |  </v>
      </c>
      <c r="AA1499" s="29" t="str">
        <f t="shared" si="406"/>
        <v xml:space="preserve"> </v>
      </c>
      <c r="AB1499" s="29" t="str">
        <f t="shared" si="407"/>
        <v xml:space="preserve"> </v>
      </c>
      <c r="AC1499" s="29" t="str">
        <f t="shared" si="408"/>
        <v xml:space="preserve"> , 0 , 00 gennaio 1900</v>
      </c>
      <c r="AD1499" s="29" t="str">
        <f t="shared" si="409"/>
        <v>1900-01-00T08:00:00.000+02:00</v>
      </c>
      <c r="AE1499" s="29" t="str">
        <f t="shared" si="402"/>
        <v>--</v>
      </c>
      <c r="AF1499" s="29" t="str">
        <f t="shared" si="403"/>
        <v xml:space="preserve">  - 0 - </v>
      </c>
    </row>
    <row r="1500" spans="8:32" x14ac:dyDescent="0.2">
      <c r="H1500" s="29" t="str">
        <f t="shared" si="400"/>
        <v xml:space="preserve"> </v>
      </c>
      <c r="L1500" s="29">
        <f t="shared" si="401"/>
        <v>0</v>
      </c>
      <c r="Q1500" s="38"/>
      <c r="R1500" s="32">
        <f t="shared" si="410"/>
        <v>0</v>
      </c>
      <c r="S1500" s="32"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32">
        <f t="shared" si="411"/>
        <v>1900</v>
      </c>
      <c r="U1500" s="29"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00/01/1900</v>
      </c>
      <c r="V1500" s="33"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1900/01/00</v>
      </c>
      <c r="W1500" s="29"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00 gennaio 1900</v>
      </c>
      <c r="X1500" s="29">
        <v>1527</v>
      </c>
      <c r="Y1500" s="29" t="str">
        <f t="shared" si="404"/>
        <v>[' ', '', '', '--', '00 gennaio 1900', '00/01/1900', '1900/01/00'],</v>
      </c>
      <c r="Z1500" s="29" t="str">
        <f t="shared" si="405"/>
        <v xml:space="preserve"> () |  </v>
      </c>
      <c r="AA1500" s="29" t="str">
        <f t="shared" si="406"/>
        <v xml:space="preserve"> </v>
      </c>
      <c r="AB1500" s="29" t="str">
        <f t="shared" si="407"/>
        <v xml:space="preserve"> </v>
      </c>
      <c r="AC1500" s="29" t="str">
        <f t="shared" si="408"/>
        <v xml:space="preserve"> , 0 , 00 gennaio 1900</v>
      </c>
      <c r="AD1500" s="29" t="str">
        <f t="shared" si="409"/>
        <v>1900-01-00T08:00:00.000+02:00</v>
      </c>
      <c r="AE1500" s="29" t="str">
        <f t="shared" si="402"/>
        <v>--</v>
      </c>
      <c r="AF1500" s="29" t="str">
        <f t="shared" si="403"/>
        <v xml:space="preserve">  - 0 - </v>
      </c>
    </row>
    <row r="1501" spans="8:32" x14ac:dyDescent="0.2">
      <c r="H1501" s="29" t="str">
        <f t="shared" si="400"/>
        <v xml:space="preserve"> </v>
      </c>
      <c r="L1501" s="29">
        <f t="shared" si="401"/>
        <v>0</v>
      </c>
      <c r="Q1501" s="38"/>
      <c r="R1501" s="32">
        <f t="shared" si="410"/>
        <v>0</v>
      </c>
      <c r="S1501" s="32"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32">
        <f t="shared" si="411"/>
        <v>1900</v>
      </c>
      <c r="U1501" s="29"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00/01/1900</v>
      </c>
      <c r="V1501" s="33"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1900/01/00</v>
      </c>
      <c r="W1501" s="29"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00 gennaio 1900</v>
      </c>
      <c r="X1501" s="29">
        <v>1528</v>
      </c>
      <c r="Y1501" s="29" t="str">
        <f t="shared" si="404"/>
        <v>[' ', '', '', '--', '00 gennaio 1900', '00/01/1900', '1900/01/00'],</v>
      </c>
      <c r="Z1501" s="29" t="str">
        <f t="shared" si="405"/>
        <v xml:space="preserve"> () |  </v>
      </c>
      <c r="AA1501" s="29" t="str">
        <f t="shared" si="406"/>
        <v xml:space="preserve"> </v>
      </c>
      <c r="AB1501" s="29" t="str">
        <f t="shared" si="407"/>
        <v xml:space="preserve"> </v>
      </c>
      <c r="AC1501" s="29" t="str">
        <f t="shared" si="408"/>
        <v xml:space="preserve"> , 0 , 00 gennaio 1900</v>
      </c>
      <c r="AD1501" s="29" t="str">
        <f t="shared" si="409"/>
        <v>1900-01-00T08:00:00.000+02:00</v>
      </c>
      <c r="AE1501" s="29" t="str">
        <f t="shared" si="402"/>
        <v>--</v>
      </c>
      <c r="AF1501" s="29" t="str">
        <f t="shared" si="403"/>
        <v xml:space="preserve">  - 0 - </v>
      </c>
    </row>
    <row r="1502" spans="8:32" x14ac:dyDescent="0.2">
      <c r="H1502" s="29" t="str">
        <f t="shared" si="400"/>
        <v xml:space="preserve"> </v>
      </c>
      <c r="L1502" s="29">
        <f t="shared" si="401"/>
        <v>0</v>
      </c>
      <c r="Q1502" s="38"/>
      <c r="R1502" s="32">
        <f t="shared" si="410"/>
        <v>0</v>
      </c>
      <c r="S1502" s="32"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32">
        <f t="shared" si="411"/>
        <v>1900</v>
      </c>
      <c r="U1502" s="29"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00/01/1900</v>
      </c>
      <c r="V1502" s="33"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1900/01/00</v>
      </c>
      <c r="W1502" s="29"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00 gennaio 1900</v>
      </c>
      <c r="X1502" s="29">
        <v>1529</v>
      </c>
      <c r="Y1502" s="29" t="str">
        <f t="shared" si="404"/>
        <v>[' ', '', '', '--', '00 gennaio 1900', '00/01/1900', '1900/01/00'],</v>
      </c>
      <c r="Z1502" s="29" t="str">
        <f t="shared" si="405"/>
        <v xml:space="preserve"> () |  </v>
      </c>
      <c r="AA1502" s="29" t="str">
        <f t="shared" si="406"/>
        <v xml:space="preserve"> </v>
      </c>
      <c r="AB1502" s="29" t="str">
        <f t="shared" si="407"/>
        <v xml:space="preserve"> </v>
      </c>
      <c r="AC1502" s="29" t="str">
        <f t="shared" si="408"/>
        <v xml:space="preserve"> , 0 , 00 gennaio 1900</v>
      </c>
      <c r="AD1502" s="29" t="str">
        <f t="shared" si="409"/>
        <v>1900-01-00T08:00:00.000+02:00</v>
      </c>
      <c r="AE1502" s="29" t="str">
        <f t="shared" si="402"/>
        <v>--</v>
      </c>
      <c r="AF1502" s="29" t="str">
        <f t="shared" si="403"/>
        <v xml:space="preserve">  - 0 - </v>
      </c>
    </row>
    <row r="1503" spans="8:32" x14ac:dyDescent="0.2">
      <c r="H1503" s="29" t="str">
        <f t="shared" si="400"/>
        <v xml:space="preserve"> </v>
      </c>
      <c r="L1503" s="29">
        <f t="shared" si="401"/>
        <v>0</v>
      </c>
      <c r="Q1503" s="38"/>
      <c r="R1503" s="32">
        <f t="shared" si="410"/>
        <v>0</v>
      </c>
      <c r="S1503" s="32"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32">
        <f t="shared" si="411"/>
        <v>1900</v>
      </c>
      <c r="U1503" s="29"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00/01/1900</v>
      </c>
      <c r="V1503" s="33"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1900/01/00</v>
      </c>
      <c r="W1503" s="29"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00 gennaio 1900</v>
      </c>
      <c r="X1503" s="29">
        <v>1530</v>
      </c>
      <c r="Y1503" s="29" t="str">
        <f t="shared" si="404"/>
        <v>[' ', '', '', '--', '00 gennaio 1900', '00/01/1900', '1900/01/00'],</v>
      </c>
      <c r="Z1503" s="29" t="str">
        <f t="shared" si="405"/>
        <v xml:space="preserve"> () |  </v>
      </c>
      <c r="AA1503" s="29" t="str">
        <f t="shared" si="406"/>
        <v xml:space="preserve"> </v>
      </c>
      <c r="AB1503" s="29" t="str">
        <f t="shared" si="407"/>
        <v xml:space="preserve"> </v>
      </c>
      <c r="AC1503" s="29" t="str">
        <f t="shared" si="408"/>
        <v xml:space="preserve"> , 0 , 00 gennaio 1900</v>
      </c>
      <c r="AD1503" s="29" t="str">
        <f t="shared" si="409"/>
        <v>1900-01-00T08:00:00.000+02:00</v>
      </c>
      <c r="AE1503" s="29" t="str">
        <f t="shared" si="402"/>
        <v>--</v>
      </c>
      <c r="AF1503" s="29" t="str">
        <f t="shared" si="403"/>
        <v xml:space="preserve">  - 0 - </v>
      </c>
    </row>
    <row r="1504" spans="8:32" x14ac:dyDescent="0.2">
      <c r="H1504" s="29" t="str">
        <f t="shared" ref="H1504:H1567" si="412">_xlfn.CONCAT(D1504 &amp; " " &amp; E1504)</f>
        <v xml:space="preserve"> </v>
      </c>
      <c r="L1504" s="29">
        <f t="shared" si="401"/>
        <v>0</v>
      </c>
      <c r="Q1504" s="38"/>
      <c r="R1504" s="32">
        <f t="shared" si="410"/>
        <v>0</v>
      </c>
      <c r="S1504" s="32"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32">
        <f t="shared" si="411"/>
        <v>1900</v>
      </c>
      <c r="U1504" s="29"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00/01/1900</v>
      </c>
      <c r="V1504" s="33"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1900/01/00</v>
      </c>
      <c r="W1504" s="29"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00 gennaio 1900</v>
      </c>
      <c r="X1504" s="29">
        <v>1531</v>
      </c>
      <c r="Y1504" s="29" t="str">
        <f t="shared" si="404"/>
        <v>[' ', '', '', '--', '00 gennaio 1900', '00/01/1900', '1900/01/00'],</v>
      </c>
      <c r="Z1504" s="29" t="str">
        <f t="shared" si="405"/>
        <v xml:space="preserve"> () |  </v>
      </c>
      <c r="AA1504" s="29" t="str">
        <f t="shared" si="406"/>
        <v xml:space="preserve"> </v>
      </c>
      <c r="AB1504" s="29" t="str">
        <f t="shared" si="407"/>
        <v xml:space="preserve"> </v>
      </c>
      <c r="AC1504" s="29" t="str">
        <f t="shared" si="408"/>
        <v xml:space="preserve"> , 0 , 00 gennaio 1900</v>
      </c>
      <c r="AD1504" s="29" t="str">
        <f t="shared" si="409"/>
        <v>1900-01-00T08:00:00.000+02:00</v>
      </c>
      <c r="AE1504" s="29" t="str">
        <f t="shared" si="402"/>
        <v>--</v>
      </c>
      <c r="AF1504" s="29" t="str">
        <f t="shared" si="403"/>
        <v xml:space="preserve">  - 0 - </v>
      </c>
    </row>
    <row r="1505" spans="8:32" x14ac:dyDescent="0.2">
      <c r="H1505" s="29" t="str">
        <f t="shared" si="412"/>
        <v xml:space="preserve"> </v>
      </c>
      <c r="L1505" s="29">
        <f t="shared" si="401"/>
        <v>0</v>
      </c>
      <c r="Q1505" s="38"/>
      <c r="R1505" s="32">
        <f t="shared" si="410"/>
        <v>0</v>
      </c>
      <c r="S1505" s="32" t="str">
        <f>IF(ISERROR(DAY(Q1505)),TEXT(MATCH(TRIM(SUBSTITUTE(SUBSTITUTE(SUBSTITUTE(SUBSTITUTE(SUBSTITUTE(SUBSTITUTE(SUBSTITUTE(SUBSTITUTE(SUBSTITUTE(SUBSTITUTE(SUBSTITUTE(Q1505,1,""),2,""),3,""),4,""),5,""),6,""),7,""),8,""),9,""),0,""),"-","")),{"gennaio","febbraio","marzo","aprile","maggio","giugno","luglio","agosto","settembre","ottobre","novembre","dicembre"},0),"00"),TEXT(MONTH(Q1505)*29,"mmmm"))</f>
        <v>gennaio</v>
      </c>
      <c r="T1505" s="32">
        <f t="shared" si="411"/>
        <v>1900</v>
      </c>
      <c r="U1505" s="29"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00/01/1900</v>
      </c>
      <c r="V1505" s="33"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1900/01/00</v>
      </c>
      <c r="W1505" s="29"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00 gennaio 1900</v>
      </c>
      <c r="X1505" s="29">
        <v>1532</v>
      </c>
      <c r="Y1505" s="29" t="str">
        <f t="shared" si="404"/>
        <v>[' ', '', '', '--', '00 gennaio 1900', '00/01/1900', '1900/01/00'],</v>
      </c>
      <c r="Z1505" s="29" t="str">
        <f t="shared" si="405"/>
        <v xml:space="preserve"> () |  </v>
      </c>
      <c r="AA1505" s="29" t="str">
        <f t="shared" si="406"/>
        <v xml:space="preserve"> </v>
      </c>
      <c r="AB1505" s="29" t="str">
        <f t="shared" si="407"/>
        <v xml:space="preserve"> </v>
      </c>
      <c r="AC1505" s="29" t="str">
        <f t="shared" si="408"/>
        <v xml:space="preserve"> , 0 , 00 gennaio 1900</v>
      </c>
      <c r="AD1505" s="29" t="str">
        <f t="shared" si="409"/>
        <v>1900-01-00T08:00:00.000+02:00</v>
      </c>
      <c r="AE1505" s="29" t="str">
        <f t="shared" si="402"/>
        <v>--</v>
      </c>
      <c r="AF1505" s="29" t="str">
        <f t="shared" si="403"/>
        <v xml:space="preserve">  - 0 - </v>
      </c>
    </row>
    <row r="1506" spans="8:32" x14ac:dyDescent="0.2">
      <c r="H1506" s="29" t="str">
        <f t="shared" si="412"/>
        <v xml:space="preserve"> </v>
      </c>
      <c r="L1506" s="29">
        <f t="shared" si="401"/>
        <v>0</v>
      </c>
      <c r="Q1506" s="38"/>
      <c r="R1506" s="32">
        <f t="shared" si="410"/>
        <v>0</v>
      </c>
      <c r="S1506" s="32" t="str">
        <f>IF(ISERROR(DAY(Q1506)),TEXT(MATCH(TRIM(SUBSTITUTE(SUBSTITUTE(SUBSTITUTE(SUBSTITUTE(SUBSTITUTE(SUBSTITUTE(SUBSTITUTE(SUBSTITUTE(SUBSTITUTE(SUBSTITUTE(SUBSTITUTE(Q1506,1,""),2,""),3,""),4,""),5,""),6,""),7,""),8,""),9,""),0,""),"-","")),{"gennaio","febbraio","marzo","aprile","maggio","giugno","luglio","agosto","settembre","ottobre","novembre","dicembre"},0),"00"),TEXT(MONTH(Q1506)*29,"mmmm"))</f>
        <v>gennaio</v>
      </c>
      <c r="T1506" s="32">
        <f t="shared" si="411"/>
        <v>1900</v>
      </c>
      <c r="U1506" s="29"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00/01/1900</v>
      </c>
      <c r="V1506" s="33"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1900/01/00</v>
      </c>
      <c r="W1506" s="29"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00 gennaio 1900</v>
      </c>
      <c r="X1506" s="29">
        <v>1533</v>
      </c>
      <c r="Y1506" s="29" t="str">
        <f t="shared" si="404"/>
        <v>[' ', '', '', '--', '00 gennaio 1900', '00/01/1900', '1900/01/00'],</v>
      </c>
      <c r="Z1506" s="29" t="str">
        <f t="shared" si="405"/>
        <v xml:space="preserve"> () |  </v>
      </c>
      <c r="AA1506" s="29" t="str">
        <f t="shared" si="406"/>
        <v xml:space="preserve"> </v>
      </c>
      <c r="AB1506" s="29" t="str">
        <f t="shared" si="407"/>
        <v xml:space="preserve"> </v>
      </c>
      <c r="AC1506" s="29" t="str">
        <f t="shared" si="408"/>
        <v xml:space="preserve"> , 0 , 00 gennaio 1900</v>
      </c>
      <c r="AD1506" s="29" t="str">
        <f t="shared" si="409"/>
        <v>1900-01-00T08:00:00.000+02:00</v>
      </c>
      <c r="AE1506" s="29" t="str">
        <f t="shared" si="402"/>
        <v>--</v>
      </c>
      <c r="AF1506" s="29" t="str">
        <f t="shared" si="403"/>
        <v xml:space="preserve">  - 0 - </v>
      </c>
    </row>
    <row r="1507" spans="8:32" x14ac:dyDescent="0.2">
      <c r="H1507" s="29" t="str">
        <f t="shared" si="412"/>
        <v xml:space="preserve"> </v>
      </c>
      <c r="L1507" s="29">
        <f t="shared" si="401"/>
        <v>0</v>
      </c>
      <c r="Q1507" s="38"/>
      <c r="R1507" s="32">
        <f t="shared" si="410"/>
        <v>0</v>
      </c>
      <c r="S1507" s="32" t="str">
        <f>IF(ISERROR(DAY(Q1507)),TEXT(MATCH(TRIM(SUBSTITUTE(SUBSTITUTE(SUBSTITUTE(SUBSTITUTE(SUBSTITUTE(SUBSTITUTE(SUBSTITUTE(SUBSTITUTE(SUBSTITUTE(SUBSTITUTE(SUBSTITUTE(Q1507,1,""),2,""),3,""),4,""),5,""),6,""),7,""),8,""),9,""),0,""),"-","")),{"gennaio","febbraio","marzo","aprile","maggio","giugno","luglio","agosto","settembre","ottobre","novembre","dicembre"},0),"00"),TEXT(MONTH(Q1507)*29,"mmmm"))</f>
        <v>gennaio</v>
      </c>
      <c r="T1507" s="32">
        <f t="shared" si="411"/>
        <v>1900</v>
      </c>
      <c r="U1507" s="29"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00/01/1900</v>
      </c>
      <c r="V1507" s="33"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1900/01/00</v>
      </c>
      <c r="W1507" s="29"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00 gennaio 1900</v>
      </c>
      <c r="X1507" s="29">
        <v>1534</v>
      </c>
      <c r="Y1507" s="29" t="str">
        <f t="shared" si="404"/>
        <v>[' ', '', '', '--', '00 gennaio 1900', '00/01/1900', '1900/01/00'],</v>
      </c>
      <c r="Z1507" s="29" t="str">
        <f t="shared" si="405"/>
        <v xml:space="preserve"> () |  </v>
      </c>
      <c r="AA1507" s="29" t="str">
        <f t="shared" si="406"/>
        <v xml:space="preserve"> </v>
      </c>
      <c r="AB1507" s="29" t="str">
        <f t="shared" si="407"/>
        <v xml:space="preserve"> </v>
      </c>
      <c r="AC1507" s="29" t="str">
        <f t="shared" si="408"/>
        <v xml:space="preserve"> , 0 , 00 gennaio 1900</v>
      </c>
      <c r="AD1507" s="29" t="str">
        <f t="shared" si="409"/>
        <v>1900-01-00T08:00:00.000+02:00</v>
      </c>
      <c r="AE1507" s="29" t="str">
        <f t="shared" si="402"/>
        <v>--</v>
      </c>
      <c r="AF1507" s="29" t="str">
        <f t="shared" si="403"/>
        <v xml:space="preserve">  - 0 - </v>
      </c>
    </row>
    <row r="1508" spans="8:32" x14ac:dyDescent="0.2">
      <c r="H1508" s="29" t="str">
        <f t="shared" si="412"/>
        <v xml:space="preserve"> </v>
      </c>
      <c r="L1508" s="29">
        <f t="shared" si="401"/>
        <v>0</v>
      </c>
      <c r="Q1508" s="38"/>
      <c r="R1508" s="32">
        <f t="shared" si="410"/>
        <v>0</v>
      </c>
      <c r="S1508" s="32" t="str">
        <f>IF(ISERROR(DAY(Q1508)),TEXT(MATCH(TRIM(SUBSTITUTE(SUBSTITUTE(SUBSTITUTE(SUBSTITUTE(SUBSTITUTE(SUBSTITUTE(SUBSTITUTE(SUBSTITUTE(SUBSTITUTE(SUBSTITUTE(SUBSTITUTE(Q1508,1,""),2,""),3,""),4,""),5,""),6,""),7,""),8,""),9,""),0,""),"-","")),{"gennaio","febbraio","marzo","aprile","maggio","giugno","luglio","agosto","settembre","ottobre","novembre","dicembre"},0),"00"),TEXT(MONTH(Q1508)*29,"mmmm"))</f>
        <v>gennaio</v>
      </c>
      <c r="T1508" s="32">
        <f t="shared" si="411"/>
        <v>1900</v>
      </c>
      <c r="U1508" s="29"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00/01/1900</v>
      </c>
      <c r="V1508" s="33"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1900/01/00</v>
      </c>
      <c r="W1508" s="29"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00 gennaio 1900</v>
      </c>
      <c r="X1508" s="29">
        <v>1535</v>
      </c>
      <c r="Y1508" s="29" t="str">
        <f t="shared" si="404"/>
        <v>[' ', '', '', '--', '00 gennaio 1900', '00/01/1900', '1900/01/00'],</v>
      </c>
      <c r="Z1508" s="29" t="str">
        <f t="shared" si="405"/>
        <v xml:space="preserve"> () |  </v>
      </c>
      <c r="AA1508" s="29" t="str">
        <f t="shared" si="406"/>
        <v xml:space="preserve"> </v>
      </c>
      <c r="AB1508" s="29" t="str">
        <f t="shared" si="407"/>
        <v xml:space="preserve"> </v>
      </c>
      <c r="AC1508" s="29" t="str">
        <f t="shared" si="408"/>
        <v xml:space="preserve"> , 0 , 00 gennaio 1900</v>
      </c>
      <c r="AD1508" s="29" t="str">
        <f t="shared" si="409"/>
        <v>1900-01-00T08:00:00.000+02:00</v>
      </c>
      <c r="AE1508" s="29" t="str">
        <f t="shared" si="402"/>
        <v>--</v>
      </c>
      <c r="AF1508" s="29" t="str">
        <f t="shared" si="403"/>
        <v xml:space="preserve">  - 0 - </v>
      </c>
    </row>
    <row r="1509" spans="8:32" x14ac:dyDescent="0.2">
      <c r="H1509" s="29" t="str">
        <f t="shared" si="412"/>
        <v xml:space="preserve"> </v>
      </c>
      <c r="L1509" s="29">
        <f t="shared" si="401"/>
        <v>0</v>
      </c>
      <c r="Q1509" s="38"/>
      <c r="R1509" s="32">
        <f t="shared" si="410"/>
        <v>0</v>
      </c>
      <c r="S1509" s="32" t="str">
        <f>IF(ISERROR(DAY(Q1509)),TEXT(MATCH(TRIM(SUBSTITUTE(SUBSTITUTE(SUBSTITUTE(SUBSTITUTE(SUBSTITUTE(SUBSTITUTE(SUBSTITUTE(SUBSTITUTE(SUBSTITUTE(SUBSTITUTE(SUBSTITUTE(Q1509,1,""),2,""),3,""),4,""),5,""),6,""),7,""),8,""),9,""),0,""),"-","")),{"gennaio","febbraio","marzo","aprile","maggio","giugno","luglio","agosto","settembre","ottobre","novembre","dicembre"},0),"00"),TEXT(MONTH(Q1509)*29,"mmmm"))</f>
        <v>gennaio</v>
      </c>
      <c r="T1509" s="32">
        <f t="shared" si="411"/>
        <v>1900</v>
      </c>
      <c r="U1509" s="29"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00/01/1900</v>
      </c>
      <c r="V1509" s="33"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1900/01/00</v>
      </c>
      <c r="W1509" s="29"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00 gennaio 1900</v>
      </c>
      <c r="X1509" s="29">
        <v>1536</v>
      </c>
      <c r="Y1509" s="29" t="str">
        <f t="shared" si="404"/>
        <v>[' ', '', '', '--', '00 gennaio 1900', '00/01/1900', '1900/01/00'],</v>
      </c>
      <c r="Z1509" s="29" t="str">
        <f t="shared" si="405"/>
        <v xml:space="preserve"> () |  </v>
      </c>
      <c r="AA1509" s="29" t="str">
        <f t="shared" si="406"/>
        <v xml:space="preserve"> </v>
      </c>
      <c r="AB1509" s="29" t="str">
        <f t="shared" si="407"/>
        <v xml:space="preserve"> </v>
      </c>
      <c r="AC1509" s="29" t="str">
        <f t="shared" si="408"/>
        <v xml:space="preserve"> , 0 , 00 gennaio 1900</v>
      </c>
      <c r="AD1509" s="29" t="str">
        <f t="shared" si="409"/>
        <v>1900-01-00T08:00:00.000+02:00</v>
      </c>
      <c r="AE1509" s="29" t="str">
        <f t="shared" si="402"/>
        <v>--</v>
      </c>
      <c r="AF1509" s="29" t="str">
        <f t="shared" si="403"/>
        <v xml:space="preserve">  - 0 - </v>
      </c>
    </row>
    <row r="1510" spans="8:32" x14ac:dyDescent="0.2">
      <c r="H1510" s="29" t="str">
        <f t="shared" si="412"/>
        <v xml:space="preserve"> </v>
      </c>
      <c r="L1510" s="29">
        <f t="shared" ref="L1510:L1573" si="413">IF(J1510&lt;&gt;"",_xlfn.CONCAT(J1510 &amp; " " &amp; K1510),K1510)</f>
        <v>0</v>
      </c>
      <c r="Q1510" s="38"/>
      <c r="R1510" s="32">
        <f t="shared" si="410"/>
        <v>0</v>
      </c>
      <c r="S1510" s="32" t="str">
        <f>IF(ISERROR(DAY(Q1510)),TEXT(MATCH(TRIM(SUBSTITUTE(SUBSTITUTE(SUBSTITUTE(SUBSTITUTE(SUBSTITUTE(SUBSTITUTE(SUBSTITUTE(SUBSTITUTE(SUBSTITUTE(SUBSTITUTE(SUBSTITUTE(Q1510,1,""),2,""),3,""),4,""),5,""),6,""),7,""),8,""),9,""),0,""),"-","")),{"gennaio","febbraio","marzo","aprile","maggio","giugno","luglio","agosto","settembre","ottobre","novembre","dicembre"},0),"00"),TEXT(MONTH(Q1510)*29,"mmmm"))</f>
        <v>gennaio</v>
      </c>
      <c r="T1510" s="32">
        <f t="shared" si="411"/>
        <v>1900</v>
      </c>
      <c r="U1510" s="29"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00/01/1900</v>
      </c>
      <c r="V1510" s="33"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1900/01/00</v>
      </c>
      <c r="W1510" s="29"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00 gennaio 1900</v>
      </c>
      <c r="X1510" s="29">
        <v>1537</v>
      </c>
      <c r="Y1510" s="29" t="str">
        <f t="shared" si="404"/>
        <v>[' ', '', '', '--', '00 gennaio 1900', '00/01/1900', '1900/01/00'],</v>
      </c>
      <c r="Z1510" s="29" t="str">
        <f t="shared" si="405"/>
        <v xml:space="preserve"> () |  </v>
      </c>
      <c r="AA1510" s="29" t="str">
        <f t="shared" si="406"/>
        <v xml:space="preserve"> </v>
      </c>
      <c r="AB1510" s="29" t="str">
        <f t="shared" si="407"/>
        <v xml:space="preserve"> </v>
      </c>
      <c r="AC1510" s="29" t="str">
        <f t="shared" si="408"/>
        <v xml:space="preserve"> , 0 , 00 gennaio 1900</v>
      </c>
      <c r="AD1510" s="29" t="str">
        <f t="shared" si="409"/>
        <v>1900-01-00T08:00:00.000+02:00</v>
      </c>
      <c r="AE1510" s="29" t="str">
        <f t="shared" si="402"/>
        <v>--</v>
      </c>
      <c r="AF1510" s="29" t="str">
        <f t="shared" si="403"/>
        <v xml:space="preserve">  - 0 - </v>
      </c>
    </row>
    <row r="1511" spans="8:32" x14ac:dyDescent="0.2">
      <c r="H1511" s="29" t="str">
        <f t="shared" si="412"/>
        <v xml:space="preserve"> </v>
      </c>
      <c r="L1511" s="29">
        <f t="shared" si="413"/>
        <v>0</v>
      </c>
      <c r="Q1511" s="38"/>
      <c r="R1511" s="32">
        <f t="shared" si="410"/>
        <v>0</v>
      </c>
      <c r="S1511" s="32" t="str">
        <f>IF(ISERROR(DAY(Q1511)),TEXT(MATCH(TRIM(SUBSTITUTE(SUBSTITUTE(SUBSTITUTE(SUBSTITUTE(SUBSTITUTE(SUBSTITUTE(SUBSTITUTE(SUBSTITUTE(SUBSTITUTE(SUBSTITUTE(SUBSTITUTE(Q1511,1,""),2,""),3,""),4,""),5,""),6,""),7,""),8,""),9,""),0,""),"-","")),{"gennaio","febbraio","marzo","aprile","maggio","giugno","luglio","agosto","settembre","ottobre","novembre","dicembre"},0),"00"),TEXT(MONTH(Q1511)*29,"mmmm"))</f>
        <v>gennaio</v>
      </c>
      <c r="T1511" s="32">
        <f t="shared" si="411"/>
        <v>1900</v>
      </c>
      <c r="U1511" s="29"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00/01/1900</v>
      </c>
      <c r="V1511" s="33"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1900/01/00</v>
      </c>
      <c r="W1511" s="29"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00 gennaio 1900</v>
      </c>
      <c r="X1511" s="29">
        <v>1538</v>
      </c>
      <c r="Y1511" s="29" t="str">
        <f t="shared" si="404"/>
        <v>[' ', '', '', '--', '00 gennaio 1900', '00/01/1900', '1900/01/00'],</v>
      </c>
      <c r="Z1511" s="29" t="str">
        <f t="shared" si="405"/>
        <v xml:space="preserve"> () |  </v>
      </c>
      <c r="AA1511" s="29" t="str">
        <f t="shared" si="406"/>
        <v xml:space="preserve"> </v>
      </c>
      <c r="AB1511" s="29" t="str">
        <f t="shared" si="407"/>
        <v xml:space="preserve"> </v>
      </c>
      <c r="AC1511" s="29" t="str">
        <f t="shared" si="408"/>
        <v xml:space="preserve"> , 0 , 00 gennaio 1900</v>
      </c>
      <c r="AD1511" s="29" t="str">
        <f t="shared" si="409"/>
        <v>1900-01-00T08:00:00.000+02:00</v>
      </c>
      <c r="AE1511" s="29" t="str">
        <f t="shared" ref="AE1511:AE1574" si="414">_xlfn.CONCAT(F1511 &amp; "-" &amp; M1511 &amp; "-" &amp; P1511)</f>
        <v>--</v>
      </c>
      <c r="AF1511" s="29" t="str">
        <f t="shared" ref="AF1511:AF1574" si="415">_xlfn.CONCAT(H1511 &amp; " - " &amp; L1511 &amp; " - " &amp; O1511)</f>
        <v xml:space="preserve">  - 0 - </v>
      </c>
    </row>
    <row r="1512" spans="8:32" x14ac:dyDescent="0.2">
      <c r="H1512" s="29" t="str">
        <f t="shared" si="412"/>
        <v xml:space="preserve"> </v>
      </c>
      <c r="L1512" s="29">
        <f t="shared" si="413"/>
        <v>0</v>
      </c>
      <c r="Q1512" s="38"/>
      <c r="R1512" s="32">
        <f t="shared" si="410"/>
        <v>0</v>
      </c>
      <c r="S1512" s="32" t="str">
        <f>IF(ISERROR(DAY(Q1512)),TEXT(MATCH(TRIM(SUBSTITUTE(SUBSTITUTE(SUBSTITUTE(SUBSTITUTE(SUBSTITUTE(SUBSTITUTE(SUBSTITUTE(SUBSTITUTE(SUBSTITUTE(SUBSTITUTE(SUBSTITUTE(Q1512,1,""),2,""),3,""),4,""),5,""),6,""),7,""),8,""),9,""),0,""),"-","")),{"gennaio","febbraio","marzo","aprile","maggio","giugno","luglio","agosto","settembre","ottobre","novembre","dicembre"},0),"00"),TEXT(MONTH(Q1512)*29,"mmmm"))</f>
        <v>gennaio</v>
      </c>
      <c r="T1512" s="32">
        <f t="shared" si="411"/>
        <v>1900</v>
      </c>
      <c r="U1512" s="29"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00/01/1900</v>
      </c>
      <c r="V1512" s="33"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1900/01/00</v>
      </c>
      <c r="W1512" s="29"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00 gennaio 1900</v>
      </c>
      <c r="X1512" s="29">
        <v>1539</v>
      </c>
      <c r="Y1512" s="29" t="str">
        <f t="shared" si="404"/>
        <v>[' ', '', '', '--', '00 gennaio 1900', '00/01/1900', '1900/01/00'],</v>
      </c>
      <c r="Z1512" s="29" t="str">
        <f t="shared" si="405"/>
        <v xml:space="preserve"> () |  </v>
      </c>
      <c r="AA1512" s="29" t="str">
        <f t="shared" si="406"/>
        <v xml:space="preserve"> </v>
      </c>
      <c r="AB1512" s="29" t="str">
        <f t="shared" si="407"/>
        <v xml:space="preserve"> </v>
      </c>
      <c r="AC1512" s="29" t="str">
        <f t="shared" si="408"/>
        <v xml:space="preserve"> , 0 , 00 gennaio 1900</v>
      </c>
      <c r="AD1512" s="29" t="str">
        <f t="shared" si="409"/>
        <v>1900-01-00T08:00:00.000+02:00</v>
      </c>
      <c r="AE1512" s="29" t="str">
        <f t="shared" si="414"/>
        <v>--</v>
      </c>
      <c r="AF1512" s="29" t="str">
        <f t="shared" si="415"/>
        <v xml:space="preserve">  - 0 - </v>
      </c>
    </row>
    <row r="1513" spans="8:32" x14ac:dyDescent="0.2">
      <c r="H1513" s="29" t="str">
        <f t="shared" si="412"/>
        <v xml:space="preserve"> </v>
      </c>
      <c r="L1513" s="29">
        <f t="shared" si="413"/>
        <v>0</v>
      </c>
      <c r="Q1513" s="38"/>
      <c r="R1513" s="32">
        <f t="shared" si="410"/>
        <v>0</v>
      </c>
      <c r="S1513" s="32" t="str">
        <f>IF(ISERROR(DAY(Q1513)),TEXT(MATCH(TRIM(SUBSTITUTE(SUBSTITUTE(SUBSTITUTE(SUBSTITUTE(SUBSTITUTE(SUBSTITUTE(SUBSTITUTE(SUBSTITUTE(SUBSTITUTE(SUBSTITUTE(SUBSTITUTE(Q1513,1,""),2,""),3,""),4,""),5,""),6,""),7,""),8,""),9,""),0,""),"-","")),{"gennaio","febbraio","marzo","aprile","maggio","giugno","luglio","agosto","settembre","ottobre","novembre","dicembre"},0),"00"),TEXT(MONTH(Q1513)*29,"mmmm"))</f>
        <v>gennaio</v>
      </c>
      <c r="T1513" s="32">
        <f t="shared" si="411"/>
        <v>1900</v>
      </c>
      <c r="U1513" s="29"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00/01/1900</v>
      </c>
      <c r="V1513" s="33"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1900/01/00</v>
      </c>
      <c r="W1513" s="29"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00 gennaio 1900</v>
      </c>
      <c r="X1513" s="29">
        <v>1540</v>
      </c>
      <c r="Y1513" s="29" t="str">
        <f t="shared" si="404"/>
        <v>[' ', '', '', '--', '00 gennaio 1900', '00/01/1900', '1900/01/00'],</v>
      </c>
      <c r="Z1513" s="29" t="str">
        <f t="shared" si="405"/>
        <v xml:space="preserve"> () |  </v>
      </c>
      <c r="AA1513" s="29" t="str">
        <f t="shared" si="406"/>
        <v xml:space="preserve"> </v>
      </c>
      <c r="AB1513" s="29" t="str">
        <f t="shared" si="407"/>
        <v xml:space="preserve"> </v>
      </c>
      <c r="AC1513" s="29" t="str">
        <f t="shared" si="408"/>
        <v xml:space="preserve"> , 0 , 00 gennaio 1900</v>
      </c>
      <c r="AD1513" s="29" t="str">
        <f t="shared" si="409"/>
        <v>1900-01-00T08:00:00.000+02:00</v>
      </c>
      <c r="AE1513" s="29" t="str">
        <f t="shared" si="414"/>
        <v>--</v>
      </c>
      <c r="AF1513" s="29" t="str">
        <f t="shared" si="415"/>
        <v xml:space="preserve">  - 0 - </v>
      </c>
    </row>
    <row r="1514" spans="8:32" x14ac:dyDescent="0.2">
      <c r="H1514" s="29" t="str">
        <f t="shared" si="412"/>
        <v xml:space="preserve"> </v>
      </c>
      <c r="L1514" s="29">
        <f t="shared" si="413"/>
        <v>0</v>
      </c>
      <c r="Q1514" s="38"/>
      <c r="R1514" s="32">
        <f t="shared" si="410"/>
        <v>0</v>
      </c>
      <c r="S1514" s="32" t="str">
        <f>IF(ISERROR(DAY(Q1514)),TEXT(MATCH(TRIM(SUBSTITUTE(SUBSTITUTE(SUBSTITUTE(SUBSTITUTE(SUBSTITUTE(SUBSTITUTE(SUBSTITUTE(SUBSTITUTE(SUBSTITUTE(SUBSTITUTE(SUBSTITUTE(Q1514,1,""),2,""),3,""),4,""),5,""),6,""),7,""),8,""),9,""),0,""),"-","")),{"gennaio","febbraio","marzo","aprile","maggio","giugno","luglio","agosto","settembre","ottobre","novembre","dicembre"},0),"00"),TEXT(MONTH(Q1514)*29,"mmmm"))</f>
        <v>gennaio</v>
      </c>
      <c r="T1514" s="32">
        <f t="shared" si="411"/>
        <v>1900</v>
      </c>
      <c r="U1514" s="29"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00/01/1900</v>
      </c>
      <c r="V1514" s="33"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1900/01/00</v>
      </c>
      <c r="W1514" s="29"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00 gennaio 1900</v>
      </c>
      <c r="X1514" s="29">
        <v>1541</v>
      </c>
      <c r="Y1514" s="29" t="str">
        <f t="shared" si="404"/>
        <v>[' ', '', '', '--', '00 gennaio 1900', '00/01/1900', '1900/01/00'],</v>
      </c>
      <c r="Z1514" s="29" t="str">
        <f t="shared" si="405"/>
        <v xml:space="preserve"> () |  </v>
      </c>
      <c r="AA1514" s="29" t="str">
        <f t="shared" si="406"/>
        <v xml:space="preserve"> </v>
      </c>
      <c r="AB1514" s="29" t="str">
        <f t="shared" si="407"/>
        <v xml:space="preserve"> </v>
      </c>
      <c r="AC1514" s="29" t="str">
        <f t="shared" si="408"/>
        <v xml:space="preserve"> , 0 , 00 gennaio 1900</v>
      </c>
      <c r="AD1514" s="29" t="str">
        <f t="shared" si="409"/>
        <v>1900-01-00T08:00:00.000+02:00</v>
      </c>
      <c r="AE1514" s="29" t="str">
        <f t="shared" si="414"/>
        <v>--</v>
      </c>
      <c r="AF1514" s="29" t="str">
        <f t="shared" si="415"/>
        <v xml:space="preserve">  - 0 - </v>
      </c>
    </row>
    <row r="1515" spans="8:32" x14ac:dyDescent="0.2">
      <c r="H1515" s="29" t="str">
        <f t="shared" si="412"/>
        <v xml:space="preserve"> </v>
      </c>
      <c r="L1515" s="29">
        <f t="shared" si="413"/>
        <v>0</v>
      </c>
      <c r="Q1515" s="38"/>
      <c r="R1515" s="32">
        <f t="shared" si="410"/>
        <v>0</v>
      </c>
      <c r="S1515" s="32" t="str">
        <f>IF(ISERROR(DAY(Q1515)),TEXT(MATCH(TRIM(SUBSTITUTE(SUBSTITUTE(SUBSTITUTE(SUBSTITUTE(SUBSTITUTE(SUBSTITUTE(SUBSTITUTE(SUBSTITUTE(SUBSTITUTE(SUBSTITUTE(SUBSTITUTE(Q1515,1,""),2,""),3,""),4,""),5,""),6,""),7,""),8,""),9,""),0,""),"-","")),{"gennaio","febbraio","marzo","aprile","maggio","giugno","luglio","agosto","settembre","ottobre","novembre","dicembre"},0),"00"),TEXT(MONTH(Q1515)*29,"mmmm"))</f>
        <v>gennaio</v>
      </c>
      <c r="T1515" s="32">
        <f t="shared" si="411"/>
        <v>1900</v>
      </c>
      <c r="U1515" s="29"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00/01/1900</v>
      </c>
      <c r="V1515" s="33"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1900/01/00</v>
      </c>
      <c r="W1515" s="29"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00 gennaio 1900</v>
      </c>
      <c r="X1515" s="29">
        <v>1542</v>
      </c>
      <c r="Y1515" s="29" t="str">
        <f t="shared" si="404"/>
        <v>[' ', '', '', '--', '00 gennaio 1900', '00/01/1900', '1900/01/00'],</v>
      </c>
      <c r="Z1515" s="29" t="str">
        <f t="shared" si="405"/>
        <v xml:space="preserve"> () |  </v>
      </c>
      <c r="AA1515" s="29" t="str">
        <f t="shared" si="406"/>
        <v xml:space="preserve"> </v>
      </c>
      <c r="AB1515" s="29" t="str">
        <f t="shared" si="407"/>
        <v xml:space="preserve"> </v>
      </c>
      <c r="AC1515" s="29" t="str">
        <f t="shared" si="408"/>
        <v xml:space="preserve"> , 0 , 00 gennaio 1900</v>
      </c>
      <c r="AD1515" s="29" t="str">
        <f t="shared" si="409"/>
        <v>1900-01-00T08:00:00.000+02:00</v>
      </c>
      <c r="AE1515" s="29" t="str">
        <f t="shared" si="414"/>
        <v>--</v>
      </c>
      <c r="AF1515" s="29" t="str">
        <f t="shared" si="415"/>
        <v xml:space="preserve">  - 0 - </v>
      </c>
    </row>
    <row r="1516" spans="8:32" x14ac:dyDescent="0.2">
      <c r="H1516" s="29" t="str">
        <f t="shared" si="412"/>
        <v xml:space="preserve"> </v>
      </c>
      <c r="L1516" s="29">
        <f t="shared" si="413"/>
        <v>0</v>
      </c>
      <c r="Q1516" s="38"/>
      <c r="R1516" s="32">
        <f t="shared" si="410"/>
        <v>0</v>
      </c>
      <c r="S1516" s="32" t="str">
        <f>IF(ISERROR(DAY(Q1516)),TEXT(MATCH(TRIM(SUBSTITUTE(SUBSTITUTE(SUBSTITUTE(SUBSTITUTE(SUBSTITUTE(SUBSTITUTE(SUBSTITUTE(SUBSTITUTE(SUBSTITUTE(SUBSTITUTE(SUBSTITUTE(Q1516,1,""),2,""),3,""),4,""),5,""),6,""),7,""),8,""),9,""),0,""),"-","")),{"gennaio","febbraio","marzo","aprile","maggio","giugno","luglio","agosto","settembre","ottobre","novembre","dicembre"},0),"00"),TEXT(MONTH(Q1516)*29,"mmmm"))</f>
        <v>gennaio</v>
      </c>
      <c r="T1516" s="32">
        <f t="shared" si="411"/>
        <v>1900</v>
      </c>
      <c r="U1516" s="29"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00/01/1900</v>
      </c>
      <c r="V1516" s="33"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1900/01/00</v>
      </c>
      <c r="W1516" s="29"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00 gennaio 1900</v>
      </c>
      <c r="X1516" s="29">
        <v>1543</v>
      </c>
      <c r="Y1516" s="29" t="str">
        <f t="shared" si="404"/>
        <v>[' ', '', '', '--', '00 gennaio 1900', '00/01/1900', '1900/01/00'],</v>
      </c>
      <c r="Z1516" s="29" t="str">
        <f t="shared" si="405"/>
        <v xml:space="preserve"> () |  </v>
      </c>
      <c r="AA1516" s="29" t="str">
        <f t="shared" si="406"/>
        <v xml:space="preserve"> </v>
      </c>
      <c r="AB1516" s="29" t="str">
        <f t="shared" si="407"/>
        <v xml:space="preserve"> </v>
      </c>
      <c r="AC1516" s="29" t="str">
        <f t="shared" si="408"/>
        <v xml:space="preserve"> , 0 , 00 gennaio 1900</v>
      </c>
      <c r="AD1516" s="29" t="str">
        <f t="shared" si="409"/>
        <v>1900-01-00T08:00:00.000+02:00</v>
      </c>
      <c r="AE1516" s="29" t="str">
        <f t="shared" si="414"/>
        <v>--</v>
      </c>
      <c r="AF1516" s="29" t="str">
        <f t="shared" si="415"/>
        <v xml:space="preserve">  - 0 - </v>
      </c>
    </row>
    <row r="1517" spans="8:32" x14ac:dyDescent="0.2">
      <c r="H1517" s="29" t="str">
        <f t="shared" si="412"/>
        <v xml:space="preserve"> </v>
      </c>
      <c r="L1517" s="29">
        <f t="shared" si="413"/>
        <v>0</v>
      </c>
      <c r="Q1517" s="38"/>
      <c r="R1517" s="32">
        <f t="shared" si="410"/>
        <v>0</v>
      </c>
      <c r="S1517" s="32" t="str">
        <f>IF(ISERROR(DAY(Q1517)),TEXT(MATCH(TRIM(SUBSTITUTE(SUBSTITUTE(SUBSTITUTE(SUBSTITUTE(SUBSTITUTE(SUBSTITUTE(SUBSTITUTE(SUBSTITUTE(SUBSTITUTE(SUBSTITUTE(SUBSTITUTE(Q1517,1,""),2,""),3,""),4,""),5,""),6,""),7,""),8,""),9,""),0,""),"-","")),{"gennaio","febbraio","marzo","aprile","maggio","giugno","luglio","agosto","settembre","ottobre","novembre","dicembre"},0),"00"),TEXT(MONTH(Q1517)*29,"mmmm"))</f>
        <v>gennaio</v>
      </c>
      <c r="T1517" s="32">
        <f t="shared" si="411"/>
        <v>1900</v>
      </c>
      <c r="U1517" s="29"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00/01/1900</v>
      </c>
      <c r="V1517" s="33"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1900/01/00</v>
      </c>
      <c r="W1517" s="29"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00 gennaio 1900</v>
      </c>
      <c r="X1517" s="29">
        <v>1544</v>
      </c>
      <c r="Y1517" s="29" t="str">
        <f t="shared" si="404"/>
        <v>[' ', '', '', '--', '00 gennaio 1900', '00/01/1900', '1900/01/00'],</v>
      </c>
      <c r="Z1517" s="29" t="str">
        <f t="shared" si="405"/>
        <v xml:space="preserve"> () |  </v>
      </c>
      <c r="AA1517" s="29" t="str">
        <f t="shared" si="406"/>
        <v xml:space="preserve"> </v>
      </c>
      <c r="AB1517" s="29" t="str">
        <f t="shared" si="407"/>
        <v xml:space="preserve"> </v>
      </c>
      <c r="AC1517" s="29" t="str">
        <f t="shared" si="408"/>
        <v xml:space="preserve"> , 0 , 00 gennaio 1900</v>
      </c>
      <c r="AD1517" s="29" t="str">
        <f t="shared" si="409"/>
        <v>1900-01-00T08:00:00.000+02:00</v>
      </c>
      <c r="AE1517" s="29" t="str">
        <f t="shared" si="414"/>
        <v>--</v>
      </c>
      <c r="AF1517" s="29" t="str">
        <f t="shared" si="415"/>
        <v xml:space="preserve">  - 0 - </v>
      </c>
    </row>
    <row r="1518" spans="8:32" x14ac:dyDescent="0.2">
      <c r="H1518" s="29" t="str">
        <f t="shared" si="412"/>
        <v xml:space="preserve"> </v>
      </c>
      <c r="L1518" s="29">
        <f t="shared" si="413"/>
        <v>0</v>
      </c>
      <c r="Q1518" s="38"/>
      <c r="R1518" s="32">
        <f t="shared" si="410"/>
        <v>0</v>
      </c>
      <c r="S1518" s="32" t="str">
        <f>IF(ISERROR(DAY(Q1518)),TEXT(MATCH(TRIM(SUBSTITUTE(SUBSTITUTE(SUBSTITUTE(SUBSTITUTE(SUBSTITUTE(SUBSTITUTE(SUBSTITUTE(SUBSTITUTE(SUBSTITUTE(SUBSTITUTE(SUBSTITUTE(Q1518,1,""),2,""),3,""),4,""),5,""),6,""),7,""),8,""),9,""),0,""),"-","")),{"gennaio","febbraio","marzo","aprile","maggio","giugno","luglio","agosto","settembre","ottobre","novembre","dicembre"},0),"00"),TEXT(MONTH(Q1518)*29,"mmmm"))</f>
        <v>gennaio</v>
      </c>
      <c r="T1518" s="32">
        <f t="shared" si="411"/>
        <v>1900</v>
      </c>
      <c r="U1518" s="29"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00/01/1900</v>
      </c>
      <c r="V1518" s="33"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1900/01/00</v>
      </c>
      <c r="W1518" s="29"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00 gennaio 1900</v>
      </c>
      <c r="X1518" s="29">
        <v>1545</v>
      </c>
      <c r="Y1518" s="29" t="str">
        <f t="shared" si="404"/>
        <v>[' ', '', '', '--', '00 gennaio 1900', '00/01/1900', '1900/01/00'],</v>
      </c>
      <c r="Z1518" s="29" t="str">
        <f t="shared" si="405"/>
        <v xml:space="preserve"> () |  </v>
      </c>
      <c r="AA1518" s="29" t="str">
        <f t="shared" si="406"/>
        <v xml:space="preserve"> </v>
      </c>
      <c r="AB1518" s="29" t="str">
        <f t="shared" si="407"/>
        <v xml:space="preserve"> </v>
      </c>
      <c r="AC1518" s="29" t="str">
        <f t="shared" si="408"/>
        <v xml:space="preserve"> , 0 , 00 gennaio 1900</v>
      </c>
      <c r="AD1518" s="29" t="str">
        <f t="shared" si="409"/>
        <v>1900-01-00T08:00:00.000+02:00</v>
      </c>
      <c r="AE1518" s="29" t="str">
        <f t="shared" si="414"/>
        <v>--</v>
      </c>
      <c r="AF1518" s="29" t="str">
        <f t="shared" si="415"/>
        <v xml:space="preserve">  - 0 - </v>
      </c>
    </row>
    <row r="1519" spans="8:32" x14ac:dyDescent="0.2">
      <c r="H1519" s="29" t="str">
        <f t="shared" si="412"/>
        <v xml:space="preserve"> </v>
      </c>
      <c r="L1519" s="29">
        <f t="shared" si="413"/>
        <v>0</v>
      </c>
      <c r="Q1519" s="38"/>
      <c r="R1519" s="32">
        <f t="shared" si="410"/>
        <v>0</v>
      </c>
      <c r="S1519" s="32" t="str">
        <f>IF(ISERROR(DAY(Q1519)),TEXT(MATCH(TRIM(SUBSTITUTE(SUBSTITUTE(SUBSTITUTE(SUBSTITUTE(SUBSTITUTE(SUBSTITUTE(SUBSTITUTE(SUBSTITUTE(SUBSTITUTE(SUBSTITUTE(SUBSTITUTE(Q1519,1,""),2,""),3,""),4,""),5,""),6,""),7,""),8,""),9,""),0,""),"-","")),{"gennaio","febbraio","marzo","aprile","maggio","giugno","luglio","agosto","settembre","ottobre","novembre","dicembre"},0),"00"),TEXT(MONTH(Q1519)*29,"mmmm"))</f>
        <v>gennaio</v>
      </c>
      <c r="T1519" s="32">
        <f t="shared" si="411"/>
        <v>1900</v>
      </c>
      <c r="U1519" s="29"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00/01/1900</v>
      </c>
      <c r="V1519" s="33"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1900/01/00</v>
      </c>
      <c r="W1519" s="29"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00 gennaio 1900</v>
      </c>
      <c r="X1519" s="29">
        <v>1546</v>
      </c>
      <c r="Y1519" s="29" t="str">
        <f t="shared" si="404"/>
        <v>[' ', '', '', '--', '00 gennaio 1900', '00/01/1900', '1900/01/00'],</v>
      </c>
      <c r="Z1519" s="29" t="str">
        <f t="shared" si="405"/>
        <v xml:space="preserve"> () |  </v>
      </c>
      <c r="AA1519" s="29" t="str">
        <f t="shared" si="406"/>
        <v xml:space="preserve"> </v>
      </c>
      <c r="AB1519" s="29" t="str">
        <f t="shared" si="407"/>
        <v xml:space="preserve"> </v>
      </c>
      <c r="AC1519" s="29" t="str">
        <f t="shared" si="408"/>
        <v xml:space="preserve"> , 0 , 00 gennaio 1900</v>
      </c>
      <c r="AD1519" s="29" t="str">
        <f t="shared" si="409"/>
        <v>1900-01-00T08:00:00.000+02:00</v>
      </c>
      <c r="AE1519" s="29" t="str">
        <f t="shared" si="414"/>
        <v>--</v>
      </c>
      <c r="AF1519" s="29" t="str">
        <f t="shared" si="415"/>
        <v xml:space="preserve">  - 0 - </v>
      </c>
    </row>
    <row r="1520" spans="8:32" x14ac:dyDescent="0.2">
      <c r="H1520" s="29" t="str">
        <f t="shared" si="412"/>
        <v xml:space="preserve"> </v>
      </c>
      <c r="L1520" s="29">
        <f t="shared" si="413"/>
        <v>0</v>
      </c>
      <c r="Q1520" s="38"/>
      <c r="R1520" s="32">
        <f t="shared" si="410"/>
        <v>0</v>
      </c>
      <c r="S1520" s="32" t="str">
        <f>IF(ISERROR(DAY(Q1520)),TEXT(MATCH(TRIM(SUBSTITUTE(SUBSTITUTE(SUBSTITUTE(SUBSTITUTE(SUBSTITUTE(SUBSTITUTE(SUBSTITUTE(SUBSTITUTE(SUBSTITUTE(SUBSTITUTE(SUBSTITUTE(Q1520,1,""),2,""),3,""),4,""),5,""),6,""),7,""),8,""),9,""),0,""),"-","")),{"gennaio","febbraio","marzo","aprile","maggio","giugno","luglio","agosto","settembre","ottobre","novembre","dicembre"},0),"00"),TEXT(MONTH(Q1520)*29,"mmmm"))</f>
        <v>gennaio</v>
      </c>
      <c r="T1520" s="32">
        <f t="shared" si="411"/>
        <v>1900</v>
      </c>
      <c r="U1520" s="29"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00/01/1900</v>
      </c>
      <c r="V1520" s="33"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1900/01/00</v>
      </c>
      <c r="W1520" s="29"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00 gennaio 1900</v>
      </c>
      <c r="X1520" s="29">
        <v>1547</v>
      </c>
      <c r="Y1520" s="29" t="str">
        <f t="shared" si="404"/>
        <v>[' ', '', '', '--', '00 gennaio 1900', '00/01/1900', '1900/01/00'],</v>
      </c>
      <c r="Z1520" s="29" t="str">
        <f t="shared" si="405"/>
        <v xml:space="preserve"> () |  </v>
      </c>
      <c r="AA1520" s="29" t="str">
        <f t="shared" si="406"/>
        <v xml:space="preserve"> </v>
      </c>
      <c r="AB1520" s="29" t="str">
        <f t="shared" si="407"/>
        <v xml:space="preserve"> </v>
      </c>
      <c r="AC1520" s="29" t="str">
        <f t="shared" si="408"/>
        <v xml:space="preserve"> , 0 , 00 gennaio 1900</v>
      </c>
      <c r="AD1520" s="29" t="str">
        <f t="shared" si="409"/>
        <v>1900-01-00T08:00:00.000+02:00</v>
      </c>
      <c r="AE1520" s="29" t="str">
        <f t="shared" si="414"/>
        <v>--</v>
      </c>
      <c r="AF1520" s="29" t="str">
        <f t="shared" si="415"/>
        <v xml:space="preserve">  - 0 - </v>
      </c>
    </row>
    <row r="1521" spans="8:32" x14ac:dyDescent="0.2">
      <c r="H1521" s="29" t="str">
        <f t="shared" si="412"/>
        <v xml:space="preserve"> </v>
      </c>
      <c r="L1521" s="29">
        <f t="shared" si="413"/>
        <v>0</v>
      </c>
      <c r="Q1521" s="38"/>
      <c r="R1521" s="32">
        <f t="shared" si="410"/>
        <v>0</v>
      </c>
      <c r="S1521" s="32" t="str">
        <f>IF(ISERROR(DAY(Q1521)),TEXT(MATCH(TRIM(SUBSTITUTE(SUBSTITUTE(SUBSTITUTE(SUBSTITUTE(SUBSTITUTE(SUBSTITUTE(SUBSTITUTE(SUBSTITUTE(SUBSTITUTE(SUBSTITUTE(SUBSTITUTE(Q1521,1,""),2,""),3,""),4,""),5,""),6,""),7,""),8,""),9,""),0,""),"-","")),{"gennaio","febbraio","marzo","aprile","maggio","giugno","luglio","agosto","settembre","ottobre","novembre","dicembre"},0),"00"),TEXT(MONTH(Q1521)*29,"mmmm"))</f>
        <v>gennaio</v>
      </c>
      <c r="T1521" s="32">
        <f t="shared" si="411"/>
        <v>1900</v>
      </c>
      <c r="U1521" s="29"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00/01/1900</v>
      </c>
      <c r="V1521" s="33"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1900/01/00</v>
      </c>
      <c r="W1521" s="29"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00 gennaio 1900</v>
      </c>
      <c r="X1521" s="29">
        <v>1548</v>
      </c>
      <c r="Y1521" s="29" t="str">
        <f t="shared" si="404"/>
        <v>[' ', '', '', '--', '00 gennaio 1900', '00/01/1900', '1900/01/00'],</v>
      </c>
      <c r="Z1521" s="29" t="str">
        <f t="shared" si="405"/>
        <v xml:space="preserve"> () |  </v>
      </c>
      <c r="AA1521" s="29" t="str">
        <f t="shared" si="406"/>
        <v xml:space="preserve"> </v>
      </c>
      <c r="AB1521" s="29" t="str">
        <f t="shared" si="407"/>
        <v xml:space="preserve"> </v>
      </c>
      <c r="AC1521" s="29" t="str">
        <f t="shared" si="408"/>
        <v xml:space="preserve"> , 0 , 00 gennaio 1900</v>
      </c>
      <c r="AD1521" s="29" t="str">
        <f t="shared" si="409"/>
        <v>1900-01-00T08:00:00.000+02:00</v>
      </c>
      <c r="AE1521" s="29" t="str">
        <f t="shared" si="414"/>
        <v>--</v>
      </c>
      <c r="AF1521" s="29" t="str">
        <f t="shared" si="415"/>
        <v xml:space="preserve">  - 0 - </v>
      </c>
    </row>
    <row r="1522" spans="8:32" x14ac:dyDescent="0.2">
      <c r="H1522" s="29" t="str">
        <f t="shared" si="412"/>
        <v xml:space="preserve"> </v>
      </c>
      <c r="L1522" s="29">
        <f t="shared" si="413"/>
        <v>0</v>
      </c>
      <c r="Q1522" s="38"/>
      <c r="R1522" s="32">
        <f t="shared" si="410"/>
        <v>0</v>
      </c>
      <c r="S1522" s="32" t="str">
        <f>IF(ISERROR(DAY(Q1522)),TEXT(MATCH(TRIM(SUBSTITUTE(SUBSTITUTE(SUBSTITUTE(SUBSTITUTE(SUBSTITUTE(SUBSTITUTE(SUBSTITUTE(SUBSTITUTE(SUBSTITUTE(SUBSTITUTE(SUBSTITUTE(Q1522,1,""),2,""),3,""),4,""),5,""),6,""),7,""),8,""),9,""),0,""),"-","")),{"gennaio","febbraio","marzo","aprile","maggio","giugno","luglio","agosto","settembre","ottobre","novembre","dicembre"},0),"00"),TEXT(MONTH(Q1522)*29,"mmmm"))</f>
        <v>gennaio</v>
      </c>
      <c r="T1522" s="32">
        <f t="shared" si="411"/>
        <v>1900</v>
      </c>
      <c r="U1522" s="29"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00/01/1900</v>
      </c>
      <c r="V1522" s="33"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1900/01/00</v>
      </c>
      <c r="W1522" s="29"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00 gennaio 1900</v>
      </c>
      <c r="X1522" s="29">
        <v>1549</v>
      </c>
      <c r="Y1522" s="29" t="str">
        <f t="shared" si="404"/>
        <v>[' ', '', '', '--', '00 gennaio 1900', '00/01/1900', '1900/01/00'],</v>
      </c>
      <c r="Z1522" s="29" t="str">
        <f t="shared" si="405"/>
        <v xml:space="preserve"> () |  </v>
      </c>
      <c r="AA1522" s="29" t="str">
        <f t="shared" si="406"/>
        <v xml:space="preserve"> </v>
      </c>
      <c r="AB1522" s="29" t="str">
        <f t="shared" si="407"/>
        <v xml:space="preserve"> </v>
      </c>
      <c r="AC1522" s="29" t="str">
        <f t="shared" si="408"/>
        <v xml:space="preserve"> , 0 , 00 gennaio 1900</v>
      </c>
      <c r="AD1522" s="29" t="str">
        <f t="shared" si="409"/>
        <v>1900-01-00T08:00:00.000+02:00</v>
      </c>
      <c r="AE1522" s="29" t="str">
        <f t="shared" si="414"/>
        <v>--</v>
      </c>
      <c r="AF1522" s="29" t="str">
        <f t="shared" si="415"/>
        <v xml:space="preserve">  - 0 - </v>
      </c>
    </row>
    <row r="1523" spans="8:32" x14ac:dyDescent="0.2">
      <c r="H1523" s="29" t="str">
        <f t="shared" si="412"/>
        <v xml:space="preserve"> </v>
      </c>
      <c r="L1523" s="29">
        <f t="shared" si="413"/>
        <v>0</v>
      </c>
      <c r="Q1523" s="38"/>
      <c r="R1523" s="32">
        <f t="shared" si="410"/>
        <v>0</v>
      </c>
      <c r="S1523" s="32" t="str">
        <f>IF(ISERROR(DAY(Q1523)),TEXT(MATCH(TRIM(SUBSTITUTE(SUBSTITUTE(SUBSTITUTE(SUBSTITUTE(SUBSTITUTE(SUBSTITUTE(SUBSTITUTE(SUBSTITUTE(SUBSTITUTE(SUBSTITUTE(SUBSTITUTE(Q1523,1,""),2,""),3,""),4,""),5,""),6,""),7,""),8,""),9,""),0,""),"-","")),{"gennaio","febbraio","marzo","aprile","maggio","giugno","luglio","agosto","settembre","ottobre","novembre","dicembre"},0),"00"),TEXT(MONTH(Q1523)*29,"mmmm"))</f>
        <v>gennaio</v>
      </c>
      <c r="T1523" s="32">
        <f t="shared" si="411"/>
        <v>1900</v>
      </c>
      <c r="U1523" s="29"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00/01/1900</v>
      </c>
      <c r="V1523" s="33"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1900/01/00</v>
      </c>
      <c r="W1523" s="29"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00 gennaio 1900</v>
      </c>
      <c r="X1523" s="29">
        <v>1550</v>
      </c>
      <c r="Y1523" s="29" t="str">
        <f t="shared" si="404"/>
        <v>[' ', '', '', '--', '00 gennaio 1900', '00/01/1900', '1900/01/00'],</v>
      </c>
      <c r="Z1523" s="29" t="str">
        <f t="shared" si="405"/>
        <v xml:space="preserve"> () |  </v>
      </c>
      <c r="AA1523" s="29" t="str">
        <f t="shared" si="406"/>
        <v xml:space="preserve"> </v>
      </c>
      <c r="AB1523" s="29" t="str">
        <f t="shared" si="407"/>
        <v xml:space="preserve"> </v>
      </c>
      <c r="AC1523" s="29" t="str">
        <f t="shared" si="408"/>
        <v xml:space="preserve"> , 0 , 00 gennaio 1900</v>
      </c>
      <c r="AD1523" s="29" t="str">
        <f t="shared" si="409"/>
        <v>1900-01-00T08:00:00.000+02:00</v>
      </c>
      <c r="AE1523" s="29" t="str">
        <f t="shared" si="414"/>
        <v>--</v>
      </c>
      <c r="AF1523" s="29" t="str">
        <f t="shared" si="415"/>
        <v xml:space="preserve">  - 0 - </v>
      </c>
    </row>
    <row r="1524" spans="8:32" x14ac:dyDescent="0.2">
      <c r="H1524" s="29" t="str">
        <f t="shared" si="412"/>
        <v xml:space="preserve"> </v>
      </c>
      <c r="L1524" s="29">
        <f t="shared" si="413"/>
        <v>0</v>
      </c>
      <c r="Q1524" s="38"/>
      <c r="R1524" s="32">
        <f t="shared" si="410"/>
        <v>0</v>
      </c>
      <c r="S1524" s="32" t="str">
        <f>IF(ISERROR(DAY(Q1524)),TEXT(MATCH(TRIM(SUBSTITUTE(SUBSTITUTE(SUBSTITUTE(SUBSTITUTE(SUBSTITUTE(SUBSTITUTE(SUBSTITUTE(SUBSTITUTE(SUBSTITUTE(SUBSTITUTE(SUBSTITUTE(Q1524,1,""),2,""),3,""),4,""),5,""),6,""),7,""),8,""),9,""),0,""),"-","")),{"gennaio","febbraio","marzo","aprile","maggio","giugno","luglio","agosto","settembre","ottobre","novembre","dicembre"},0),"00"),TEXT(MONTH(Q1524)*29,"mmmm"))</f>
        <v>gennaio</v>
      </c>
      <c r="T1524" s="32">
        <f t="shared" si="411"/>
        <v>1900</v>
      </c>
      <c r="U1524" s="29"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00/01/1900</v>
      </c>
      <c r="V1524" s="33"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1900/01/00</v>
      </c>
      <c r="W1524" s="29"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00 gennaio 1900</v>
      </c>
      <c r="X1524" s="29">
        <v>1551</v>
      </c>
      <c r="Y1524" s="29" t="str">
        <f t="shared" si="404"/>
        <v>[' ', '', '', '--', '00 gennaio 1900', '00/01/1900', '1900/01/00'],</v>
      </c>
      <c r="Z1524" s="29" t="str">
        <f t="shared" si="405"/>
        <v xml:space="preserve"> () |  </v>
      </c>
      <c r="AA1524" s="29" t="str">
        <f t="shared" si="406"/>
        <v xml:space="preserve"> </v>
      </c>
      <c r="AB1524" s="29" t="str">
        <f t="shared" si="407"/>
        <v xml:space="preserve"> </v>
      </c>
      <c r="AC1524" s="29" t="str">
        <f t="shared" si="408"/>
        <v xml:space="preserve"> , 0 , 00 gennaio 1900</v>
      </c>
      <c r="AD1524" s="29" t="str">
        <f t="shared" si="409"/>
        <v>1900-01-00T08:00:00.000+02:00</v>
      </c>
      <c r="AE1524" s="29" t="str">
        <f t="shared" si="414"/>
        <v>--</v>
      </c>
      <c r="AF1524" s="29" t="str">
        <f t="shared" si="415"/>
        <v xml:space="preserve">  - 0 - </v>
      </c>
    </row>
    <row r="1525" spans="8:32" x14ac:dyDescent="0.2">
      <c r="H1525" s="29" t="str">
        <f t="shared" si="412"/>
        <v xml:space="preserve"> </v>
      </c>
      <c r="L1525" s="29">
        <f t="shared" si="413"/>
        <v>0</v>
      </c>
      <c r="Q1525" s="38"/>
      <c r="R1525" s="32">
        <f t="shared" si="410"/>
        <v>0</v>
      </c>
      <c r="S1525" s="32" t="str">
        <f>IF(ISERROR(DAY(Q1525)),TEXT(MATCH(TRIM(SUBSTITUTE(SUBSTITUTE(SUBSTITUTE(SUBSTITUTE(SUBSTITUTE(SUBSTITUTE(SUBSTITUTE(SUBSTITUTE(SUBSTITUTE(SUBSTITUTE(SUBSTITUTE(Q1525,1,""),2,""),3,""),4,""),5,""),6,""),7,""),8,""),9,""),0,""),"-","")),{"gennaio","febbraio","marzo","aprile","maggio","giugno","luglio","agosto","settembre","ottobre","novembre","dicembre"},0),"00"),TEXT(MONTH(Q1525)*29,"mmmm"))</f>
        <v>gennaio</v>
      </c>
      <c r="T1525" s="32">
        <f t="shared" si="411"/>
        <v>1900</v>
      </c>
      <c r="U1525" s="29"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00/01/1900</v>
      </c>
      <c r="V1525" s="33"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1900/01/00</v>
      </c>
      <c r="W1525" s="29"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00 gennaio 1900</v>
      </c>
      <c r="X1525" s="29">
        <v>1552</v>
      </c>
      <c r="Y1525" s="29" t="str">
        <f t="shared" si="404"/>
        <v>[' ', '', '', '--', '00 gennaio 1900', '00/01/1900', '1900/01/00'],</v>
      </c>
      <c r="Z1525" s="29" t="str">
        <f t="shared" si="405"/>
        <v xml:space="preserve"> () |  </v>
      </c>
      <c r="AA1525" s="29" t="str">
        <f t="shared" si="406"/>
        <v xml:space="preserve"> </v>
      </c>
      <c r="AB1525" s="29" t="str">
        <f t="shared" si="407"/>
        <v xml:space="preserve"> </v>
      </c>
      <c r="AC1525" s="29" t="str">
        <f t="shared" si="408"/>
        <v xml:space="preserve"> , 0 , 00 gennaio 1900</v>
      </c>
      <c r="AD1525" s="29" t="str">
        <f t="shared" si="409"/>
        <v>1900-01-00T08:00:00.000+02:00</v>
      </c>
      <c r="AE1525" s="29" t="str">
        <f t="shared" si="414"/>
        <v>--</v>
      </c>
      <c r="AF1525" s="29" t="str">
        <f t="shared" si="415"/>
        <v xml:space="preserve">  - 0 - </v>
      </c>
    </row>
    <row r="1526" spans="8:32" x14ac:dyDescent="0.2">
      <c r="H1526" s="29" t="str">
        <f t="shared" si="412"/>
        <v xml:space="preserve"> </v>
      </c>
      <c r="L1526" s="29">
        <f t="shared" si="413"/>
        <v>0</v>
      </c>
      <c r="Q1526" s="38"/>
      <c r="R1526" s="32">
        <f t="shared" si="410"/>
        <v>0</v>
      </c>
      <c r="S1526" s="32" t="str">
        <f>IF(ISERROR(DAY(Q1526)),TEXT(MATCH(TRIM(SUBSTITUTE(SUBSTITUTE(SUBSTITUTE(SUBSTITUTE(SUBSTITUTE(SUBSTITUTE(SUBSTITUTE(SUBSTITUTE(SUBSTITUTE(SUBSTITUTE(SUBSTITUTE(Q1526,1,""),2,""),3,""),4,""),5,""),6,""),7,""),8,""),9,""),0,""),"-","")),{"gennaio","febbraio","marzo","aprile","maggio","giugno","luglio","agosto","settembre","ottobre","novembre","dicembre"},0),"00"),TEXT(MONTH(Q1526)*29,"mmmm"))</f>
        <v>gennaio</v>
      </c>
      <c r="T1526" s="32">
        <f t="shared" si="411"/>
        <v>1900</v>
      </c>
      <c r="U1526" s="29"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00/01/1900</v>
      </c>
      <c r="V1526" s="33"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1900/01/00</v>
      </c>
      <c r="W1526" s="29"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00 gennaio 1900</v>
      </c>
      <c r="X1526" s="29">
        <v>1553</v>
      </c>
      <c r="Y1526" s="29" t="str">
        <f t="shared" si="404"/>
        <v>[' ', '', '', '--', '00 gennaio 1900', '00/01/1900', '1900/01/00'],</v>
      </c>
      <c r="Z1526" s="29" t="str">
        <f t="shared" si="405"/>
        <v xml:space="preserve"> () |  </v>
      </c>
      <c r="AA1526" s="29" t="str">
        <f t="shared" si="406"/>
        <v xml:space="preserve"> </v>
      </c>
      <c r="AB1526" s="29" t="str">
        <f t="shared" si="407"/>
        <v xml:space="preserve"> </v>
      </c>
      <c r="AC1526" s="29" t="str">
        <f t="shared" si="408"/>
        <v xml:space="preserve"> , 0 , 00 gennaio 1900</v>
      </c>
      <c r="AD1526" s="29" t="str">
        <f t="shared" si="409"/>
        <v>1900-01-00T08:00:00.000+02:00</v>
      </c>
      <c r="AE1526" s="29" t="str">
        <f t="shared" si="414"/>
        <v>--</v>
      </c>
      <c r="AF1526" s="29" t="str">
        <f t="shared" si="415"/>
        <v xml:space="preserve">  - 0 - </v>
      </c>
    </row>
    <row r="1527" spans="8:32" x14ac:dyDescent="0.2">
      <c r="H1527" s="29" t="str">
        <f t="shared" si="412"/>
        <v xml:space="preserve"> </v>
      </c>
      <c r="L1527" s="29">
        <f t="shared" si="413"/>
        <v>0</v>
      </c>
      <c r="Q1527" s="38"/>
      <c r="R1527" s="32">
        <f t="shared" si="410"/>
        <v>0</v>
      </c>
      <c r="S1527" s="32" t="str">
        <f>IF(ISERROR(DAY(Q1527)),TEXT(MATCH(TRIM(SUBSTITUTE(SUBSTITUTE(SUBSTITUTE(SUBSTITUTE(SUBSTITUTE(SUBSTITUTE(SUBSTITUTE(SUBSTITUTE(SUBSTITUTE(SUBSTITUTE(SUBSTITUTE(Q1527,1,""),2,""),3,""),4,""),5,""),6,""),7,""),8,""),9,""),0,""),"-","")),{"gennaio","febbraio","marzo","aprile","maggio","giugno","luglio","agosto","settembre","ottobre","novembre","dicembre"},0),"00"),TEXT(MONTH(Q1527)*29,"mmmm"))</f>
        <v>gennaio</v>
      </c>
      <c r="T1527" s="32">
        <f t="shared" si="411"/>
        <v>1900</v>
      </c>
      <c r="U1527" s="29"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00/01/1900</v>
      </c>
      <c r="V1527" s="33"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1900/01/00</v>
      </c>
      <c r="W1527" s="29"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00 gennaio 1900</v>
      </c>
      <c r="X1527" s="29">
        <v>1554</v>
      </c>
      <c r="Y1527" s="29" t="str">
        <f t="shared" si="404"/>
        <v>[' ', '', '', '--', '00 gennaio 1900', '00/01/1900', '1900/01/00'],</v>
      </c>
      <c r="Z1527" s="29" t="str">
        <f t="shared" si="405"/>
        <v xml:space="preserve"> () |  </v>
      </c>
      <c r="AA1527" s="29" t="str">
        <f t="shared" si="406"/>
        <v xml:space="preserve"> </v>
      </c>
      <c r="AB1527" s="29" t="str">
        <f t="shared" si="407"/>
        <v xml:space="preserve"> </v>
      </c>
      <c r="AC1527" s="29" t="str">
        <f t="shared" si="408"/>
        <v xml:space="preserve"> , 0 , 00 gennaio 1900</v>
      </c>
      <c r="AD1527" s="29" t="str">
        <f t="shared" si="409"/>
        <v>1900-01-00T08:00:00.000+02:00</v>
      </c>
      <c r="AE1527" s="29" t="str">
        <f t="shared" si="414"/>
        <v>--</v>
      </c>
      <c r="AF1527" s="29" t="str">
        <f t="shared" si="415"/>
        <v xml:space="preserve">  - 0 - </v>
      </c>
    </row>
    <row r="1528" spans="8:32" x14ac:dyDescent="0.2">
      <c r="H1528" s="29" t="str">
        <f t="shared" si="412"/>
        <v xml:space="preserve"> </v>
      </c>
      <c r="L1528" s="29">
        <f t="shared" si="413"/>
        <v>0</v>
      </c>
      <c r="Q1528" s="38"/>
      <c r="R1528" s="32">
        <f t="shared" si="410"/>
        <v>0</v>
      </c>
      <c r="S1528" s="32" t="str">
        <f>IF(ISERROR(DAY(Q1528)),TEXT(MATCH(TRIM(SUBSTITUTE(SUBSTITUTE(SUBSTITUTE(SUBSTITUTE(SUBSTITUTE(SUBSTITUTE(SUBSTITUTE(SUBSTITUTE(SUBSTITUTE(SUBSTITUTE(SUBSTITUTE(Q1528,1,""),2,""),3,""),4,""),5,""),6,""),7,""),8,""),9,""),0,""),"-","")),{"gennaio","febbraio","marzo","aprile","maggio","giugno","luglio","agosto","settembre","ottobre","novembre","dicembre"},0),"00"),TEXT(MONTH(Q1528)*29,"mmmm"))</f>
        <v>gennaio</v>
      </c>
      <c r="T1528" s="32">
        <f t="shared" si="411"/>
        <v>1900</v>
      </c>
      <c r="U1528" s="29"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00/01/1900</v>
      </c>
      <c r="V1528" s="33"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1900/01/00</v>
      </c>
      <c r="W1528" s="29"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00 gennaio 1900</v>
      </c>
      <c r="X1528" s="29">
        <v>1555</v>
      </c>
      <c r="Y1528" s="29" t="str">
        <f t="shared" si="404"/>
        <v>[' ', '', '', '--', '00 gennaio 1900', '00/01/1900', '1900/01/00'],</v>
      </c>
      <c r="Z1528" s="29" t="str">
        <f t="shared" si="405"/>
        <v xml:space="preserve"> () |  </v>
      </c>
      <c r="AA1528" s="29" t="str">
        <f t="shared" si="406"/>
        <v xml:space="preserve"> </v>
      </c>
      <c r="AB1528" s="29" t="str">
        <f t="shared" si="407"/>
        <v xml:space="preserve"> </v>
      </c>
      <c r="AC1528" s="29" t="str">
        <f t="shared" si="408"/>
        <v xml:space="preserve"> , 0 , 00 gennaio 1900</v>
      </c>
      <c r="AD1528" s="29" t="str">
        <f t="shared" si="409"/>
        <v>1900-01-00T08:00:00.000+02:00</v>
      </c>
      <c r="AE1528" s="29" t="str">
        <f t="shared" si="414"/>
        <v>--</v>
      </c>
      <c r="AF1528" s="29" t="str">
        <f t="shared" si="415"/>
        <v xml:space="preserve">  - 0 - </v>
      </c>
    </row>
    <row r="1529" spans="8:32" x14ac:dyDescent="0.2">
      <c r="H1529" s="29" t="str">
        <f t="shared" si="412"/>
        <v xml:space="preserve"> </v>
      </c>
      <c r="L1529" s="29">
        <f t="shared" si="413"/>
        <v>0</v>
      </c>
      <c r="Q1529" s="38"/>
      <c r="R1529" s="32">
        <f t="shared" si="410"/>
        <v>0</v>
      </c>
      <c r="S1529" s="32" t="str">
        <f>IF(ISERROR(DAY(Q1529)),TEXT(MATCH(TRIM(SUBSTITUTE(SUBSTITUTE(SUBSTITUTE(SUBSTITUTE(SUBSTITUTE(SUBSTITUTE(SUBSTITUTE(SUBSTITUTE(SUBSTITUTE(SUBSTITUTE(SUBSTITUTE(Q1529,1,""),2,""),3,""),4,""),5,""),6,""),7,""),8,""),9,""),0,""),"-","")),{"gennaio","febbraio","marzo","aprile","maggio","giugno","luglio","agosto","settembre","ottobre","novembre","dicembre"},0),"00"),TEXT(MONTH(Q1529)*29,"mmmm"))</f>
        <v>gennaio</v>
      </c>
      <c r="T1529" s="32">
        <f t="shared" si="411"/>
        <v>1900</v>
      </c>
      <c r="U1529" s="29"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00/01/1900</v>
      </c>
      <c r="V1529" s="33"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1900/01/00</v>
      </c>
      <c r="W1529" s="29"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00 gennaio 1900</v>
      </c>
      <c r="X1529" s="29">
        <v>1556</v>
      </c>
      <c r="Y1529" s="29" t="str">
        <f t="shared" si="404"/>
        <v>[' ', '', '', '--', '00 gennaio 1900', '00/01/1900', '1900/01/00'],</v>
      </c>
      <c r="Z1529" s="29" t="str">
        <f t="shared" si="405"/>
        <v xml:space="preserve"> () |  </v>
      </c>
      <c r="AA1529" s="29" t="str">
        <f t="shared" si="406"/>
        <v xml:space="preserve"> </v>
      </c>
      <c r="AB1529" s="29" t="str">
        <f t="shared" si="407"/>
        <v xml:space="preserve"> </v>
      </c>
      <c r="AC1529" s="29" t="str">
        <f t="shared" si="408"/>
        <v xml:space="preserve"> , 0 , 00 gennaio 1900</v>
      </c>
      <c r="AD1529" s="29" t="str">
        <f t="shared" si="409"/>
        <v>1900-01-00T08:00:00.000+02:00</v>
      </c>
      <c r="AE1529" s="29" t="str">
        <f t="shared" si="414"/>
        <v>--</v>
      </c>
      <c r="AF1529" s="29" t="str">
        <f t="shared" si="415"/>
        <v xml:space="preserve">  - 0 - </v>
      </c>
    </row>
    <row r="1530" spans="8:32" x14ac:dyDescent="0.2">
      <c r="H1530" s="29" t="str">
        <f t="shared" si="412"/>
        <v xml:space="preserve"> </v>
      </c>
      <c r="L1530" s="29">
        <f t="shared" si="413"/>
        <v>0</v>
      </c>
      <c r="Q1530" s="38"/>
      <c r="R1530" s="32">
        <f t="shared" si="410"/>
        <v>0</v>
      </c>
      <c r="S1530" s="32" t="str">
        <f>IF(ISERROR(DAY(Q1530)),TEXT(MATCH(TRIM(SUBSTITUTE(SUBSTITUTE(SUBSTITUTE(SUBSTITUTE(SUBSTITUTE(SUBSTITUTE(SUBSTITUTE(SUBSTITUTE(SUBSTITUTE(SUBSTITUTE(SUBSTITUTE(Q1530,1,""),2,""),3,""),4,""),5,""),6,""),7,""),8,""),9,""),0,""),"-","")),{"gennaio","febbraio","marzo","aprile","maggio","giugno","luglio","agosto","settembre","ottobre","novembre","dicembre"},0),"00"),TEXT(MONTH(Q1530)*29,"mmmm"))</f>
        <v>gennaio</v>
      </c>
      <c r="T1530" s="32">
        <f t="shared" si="411"/>
        <v>1900</v>
      </c>
      <c r="U1530" s="29"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00/01/1900</v>
      </c>
      <c r="V1530" s="33"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1900/01/00</v>
      </c>
      <c r="W1530" s="29"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00 gennaio 1900</v>
      </c>
      <c r="X1530" s="29">
        <v>1557</v>
      </c>
      <c r="Y1530" s="29" t="str">
        <f t="shared" si="404"/>
        <v>[' ', '', '', '--', '00 gennaio 1900', '00/01/1900', '1900/01/00'],</v>
      </c>
      <c r="Z1530" s="29" t="str">
        <f t="shared" si="405"/>
        <v xml:space="preserve"> () |  </v>
      </c>
      <c r="AA1530" s="29" t="str">
        <f t="shared" si="406"/>
        <v xml:space="preserve"> </v>
      </c>
      <c r="AB1530" s="29" t="str">
        <f t="shared" si="407"/>
        <v xml:space="preserve"> </v>
      </c>
      <c r="AC1530" s="29" t="str">
        <f t="shared" si="408"/>
        <v xml:space="preserve"> , 0 , 00 gennaio 1900</v>
      </c>
      <c r="AD1530" s="29" t="str">
        <f t="shared" si="409"/>
        <v>1900-01-00T08:00:00.000+02:00</v>
      </c>
      <c r="AE1530" s="29" t="str">
        <f t="shared" si="414"/>
        <v>--</v>
      </c>
      <c r="AF1530" s="29" t="str">
        <f t="shared" si="415"/>
        <v xml:space="preserve">  - 0 - </v>
      </c>
    </row>
    <row r="1531" spans="8:32" x14ac:dyDescent="0.2">
      <c r="H1531" s="29" t="str">
        <f t="shared" si="412"/>
        <v xml:space="preserve"> </v>
      </c>
      <c r="L1531" s="29">
        <f t="shared" si="413"/>
        <v>0</v>
      </c>
      <c r="Q1531" s="38"/>
      <c r="R1531" s="32">
        <f t="shared" si="410"/>
        <v>0</v>
      </c>
      <c r="S1531" s="32" t="str">
        <f>IF(ISERROR(DAY(Q1531)),TEXT(MATCH(TRIM(SUBSTITUTE(SUBSTITUTE(SUBSTITUTE(SUBSTITUTE(SUBSTITUTE(SUBSTITUTE(SUBSTITUTE(SUBSTITUTE(SUBSTITUTE(SUBSTITUTE(SUBSTITUTE(Q1531,1,""),2,""),3,""),4,""),5,""),6,""),7,""),8,""),9,""),0,""),"-","")),{"gennaio","febbraio","marzo","aprile","maggio","giugno","luglio","agosto","settembre","ottobre","novembre","dicembre"},0),"00"),TEXT(MONTH(Q1531)*29,"mmmm"))</f>
        <v>gennaio</v>
      </c>
      <c r="T1531" s="32">
        <f t="shared" si="411"/>
        <v>1900</v>
      </c>
      <c r="U1531" s="29"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00/01/1900</v>
      </c>
      <c r="V1531" s="33"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1900/01/00</v>
      </c>
      <c r="W1531" s="29"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00 gennaio 1900</v>
      </c>
      <c r="X1531" s="29">
        <v>1558</v>
      </c>
      <c r="Y1531" s="29" t="str">
        <f t="shared" si="404"/>
        <v>[' ', '', '', '--', '00 gennaio 1900', '00/01/1900', '1900/01/00'],</v>
      </c>
      <c r="Z1531" s="29" t="str">
        <f t="shared" si="405"/>
        <v xml:space="preserve"> () |  </v>
      </c>
      <c r="AA1531" s="29" t="str">
        <f t="shared" si="406"/>
        <v xml:space="preserve"> </v>
      </c>
      <c r="AB1531" s="29" t="str">
        <f t="shared" si="407"/>
        <v xml:space="preserve"> </v>
      </c>
      <c r="AC1531" s="29" t="str">
        <f t="shared" si="408"/>
        <v xml:space="preserve"> , 0 , 00 gennaio 1900</v>
      </c>
      <c r="AD1531" s="29" t="str">
        <f t="shared" si="409"/>
        <v>1900-01-00T08:00:00.000+02:00</v>
      </c>
      <c r="AE1531" s="29" t="str">
        <f t="shared" si="414"/>
        <v>--</v>
      </c>
      <c r="AF1531" s="29" t="str">
        <f t="shared" si="415"/>
        <v xml:space="preserve">  - 0 - </v>
      </c>
    </row>
    <row r="1532" spans="8:32" x14ac:dyDescent="0.2">
      <c r="H1532" s="29" t="str">
        <f t="shared" si="412"/>
        <v xml:space="preserve"> </v>
      </c>
      <c r="L1532" s="29">
        <f t="shared" si="413"/>
        <v>0</v>
      </c>
      <c r="Q1532" s="38"/>
      <c r="R1532" s="32">
        <f t="shared" si="410"/>
        <v>0</v>
      </c>
      <c r="S1532" s="32" t="str">
        <f>IF(ISERROR(DAY(Q1532)),TEXT(MATCH(TRIM(SUBSTITUTE(SUBSTITUTE(SUBSTITUTE(SUBSTITUTE(SUBSTITUTE(SUBSTITUTE(SUBSTITUTE(SUBSTITUTE(SUBSTITUTE(SUBSTITUTE(SUBSTITUTE(Q1532,1,""),2,""),3,""),4,""),5,""),6,""),7,""),8,""),9,""),0,""),"-","")),{"gennaio","febbraio","marzo","aprile","maggio","giugno","luglio","agosto","settembre","ottobre","novembre","dicembre"},0),"00"),TEXT(MONTH(Q1532)*29,"mmmm"))</f>
        <v>gennaio</v>
      </c>
      <c r="T1532" s="32">
        <f t="shared" si="411"/>
        <v>1900</v>
      </c>
      <c r="U1532" s="29"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00/01/1900</v>
      </c>
      <c r="V1532" s="33"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1900/01/00</v>
      </c>
      <c r="W1532" s="29"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00 gennaio 1900</v>
      </c>
      <c r="X1532" s="29">
        <v>1559</v>
      </c>
      <c r="Y1532" s="29" t="str">
        <f t="shared" si="404"/>
        <v>[' ', '', '', '--', '00 gennaio 1900', '00/01/1900', '1900/01/00'],</v>
      </c>
      <c r="Z1532" s="29" t="str">
        <f t="shared" si="405"/>
        <v xml:space="preserve"> () |  </v>
      </c>
      <c r="AA1532" s="29" t="str">
        <f t="shared" si="406"/>
        <v xml:space="preserve"> </v>
      </c>
      <c r="AB1532" s="29" t="str">
        <f t="shared" si="407"/>
        <v xml:space="preserve"> </v>
      </c>
      <c r="AC1532" s="29" t="str">
        <f t="shared" si="408"/>
        <v xml:space="preserve"> , 0 , 00 gennaio 1900</v>
      </c>
      <c r="AD1532" s="29" t="str">
        <f t="shared" si="409"/>
        <v>1900-01-00T08:00:00.000+02:00</v>
      </c>
      <c r="AE1532" s="29" t="str">
        <f t="shared" si="414"/>
        <v>--</v>
      </c>
      <c r="AF1532" s="29" t="str">
        <f t="shared" si="415"/>
        <v xml:space="preserve">  - 0 - </v>
      </c>
    </row>
    <row r="1533" spans="8:32" x14ac:dyDescent="0.2">
      <c r="H1533" s="29" t="str">
        <f t="shared" si="412"/>
        <v xml:space="preserve"> </v>
      </c>
      <c r="L1533" s="29">
        <f t="shared" si="413"/>
        <v>0</v>
      </c>
      <c r="Q1533" s="38"/>
      <c r="R1533" s="32">
        <f t="shared" si="410"/>
        <v>0</v>
      </c>
      <c r="S1533" s="32" t="str">
        <f>IF(ISERROR(DAY(Q1533)),TEXT(MATCH(TRIM(SUBSTITUTE(SUBSTITUTE(SUBSTITUTE(SUBSTITUTE(SUBSTITUTE(SUBSTITUTE(SUBSTITUTE(SUBSTITUTE(SUBSTITUTE(SUBSTITUTE(SUBSTITUTE(Q1533,1,""),2,""),3,""),4,""),5,""),6,""),7,""),8,""),9,""),0,""),"-","")),{"gennaio","febbraio","marzo","aprile","maggio","giugno","luglio","agosto","settembre","ottobre","novembre","dicembre"},0),"00"),TEXT(MONTH(Q1533)*29,"mmmm"))</f>
        <v>gennaio</v>
      </c>
      <c r="T1533" s="32">
        <f t="shared" si="411"/>
        <v>1900</v>
      </c>
      <c r="U1533" s="29"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00/01/1900</v>
      </c>
      <c r="V1533" s="33"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1900/01/00</v>
      </c>
      <c r="W1533" s="29"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00 gennaio 1900</v>
      </c>
      <c r="X1533" s="29">
        <v>1560</v>
      </c>
      <c r="Y1533" s="29" t="str">
        <f t="shared" si="404"/>
        <v>[' ', '', '', '--', '00 gennaio 1900', '00/01/1900', '1900/01/00'],</v>
      </c>
      <c r="Z1533" s="29" t="str">
        <f t="shared" si="405"/>
        <v xml:space="preserve"> () |  </v>
      </c>
      <c r="AA1533" s="29" t="str">
        <f t="shared" si="406"/>
        <v xml:space="preserve"> </v>
      </c>
      <c r="AB1533" s="29" t="str">
        <f t="shared" si="407"/>
        <v xml:space="preserve"> </v>
      </c>
      <c r="AC1533" s="29" t="str">
        <f t="shared" si="408"/>
        <v xml:space="preserve"> , 0 , 00 gennaio 1900</v>
      </c>
      <c r="AD1533" s="29" t="str">
        <f t="shared" si="409"/>
        <v>1900-01-00T08:00:00.000+02:00</v>
      </c>
      <c r="AE1533" s="29" t="str">
        <f t="shared" si="414"/>
        <v>--</v>
      </c>
      <c r="AF1533" s="29" t="str">
        <f t="shared" si="415"/>
        <v xml:space="preserve">  - 0 - </v>
      </c>
    </row>
    <row r="1534" spans="8:32" x14ac:dyDescent="0.2">
      <c r="H1534" s="29" t="str">
        <f t="shared" si="412"/>
        <v xml:space="preserve"> </v>
      </c>
      <c r="L1534" s="29">
        <f t="shared" si="413"/>
        <v>0</v>
      </c>
      <c r="Q1534" s="38"/>
      <c r="R1534" s="32">
        <f t="shared" si="410"/>
        <v>0</v>
      </c>
      <c r="S1534" s="32" t="str">
        <f>IF(ISERROR(DAY(Q1534)),TEXT(MATCH(TRIM(SUBSTITUTE(SUBSTITUTE(SUBSTITUTE(SUBSTITUTE(SUBSTITUTE(SUBSTITUTE(SUBSTITUTE(SUBSTITUTE(SUBSTITUTE(SUBSTITUTE(SUBSTITUTE(Q1534,1,""),2,""),3,""),4,""),5,""),6,""),7,""),8,""),9,""),0,""),"-","")),{"gennaio","febbraio","marzo","aprile","maggio","giugno","luglio","agosto","settembre","ottobre","novembre","dicembre"},0),"00"),TEXT(MONTH(Q1534)*29,"mmmm"))</f>
        <v>gennaio</v>
      </c>
      <c r="T1534" s="32">
        <f t="shared" si="411"/>
        <v>1900</v>
      </c>
      <c r="U1534" s="29"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00/01/1900</v>
      </c>
      <c r="V1534" s="33"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1900/01/00</v>
      </c>
      <c r="W1534" s="29"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00 gennaio 1900</v>
      </c>
      <c r="X1534" s="29">
        <v>1561</v>
      </c>
      <c r="Y1534" s="29" t="str">
        <f t="shared" si="404"/>
        <v>[' ', '', '', '--', '00 gennaio 1900', '00/01/1900', '1900/01/00'],</v>
      </c>
      <c r="Z1534" s="29" t="str">
        <f t="shared" si="405"/>
        <v xml:space="preserve"> () |  </v>
      </c>
      <c r="AA1534" s="29" t="str">
        <f t="shared" si="406"/>
        <v xml:space="preserve"> </v>
      </c>
      <c r="AB1534" s="29" t="str">
        <f t="shared" si="407"/>
        <v xml:space="preserve"> </v>
      </c>
      <c r="AC1534" s="29" t="str">
        <f t="shared" si="408"/>
        <v xml:space="preserve"> , 0 , 00 gennaio 1900</v>
      </c>
      <c r="AD1534" s="29" t="str">
        <f t="shared" si="409"/>
        <v>1900-01-00T08:00:00.000+02:00</v>
      </c>
      <c r="AE1534" s="29" t="str">
        <f t="shared" si="414"/>
        <v>--</v>
      </c>
      <c r="AF1534" s="29" t="str">
        <f t="shared" si="415"/>
        <v xml:space="preserve">  - 0 - </v>
      </c>
    </row>
    <row r="1535" spans="8:32" x14ac:dyDescent="0.2">
      <c r="H1535" s="29" t="str">
        <f t="shared" si="412"/>
        <v xml:space="preserve"> </v>
      </c>
      <c r="L1535" s="29">
        <f t="shared" si="413"/>
        <v>0</v>
      </c>
      <c r="Q1535" s="38"/>
      <c r="R1535" s="32">
        <f t="shared" si="410"/>
        <v>0</v>
      </c>
      <c r="S1535" s="32" t="str">
        <f>IF(ISERROR(DAY(Q1535)),TEXT(MATCH(TRIM(SUBSTITUTE(SUBSTITUTE(SUBSTITUTE(SUBSTITUTE(SUBSTITUTE(SUBSTITUTE(SUBSTITUTE(SUBSTITUTE(SUBSTITUTE(SUBSTITUTE(SUBSTITUTE(Q1535,1,""),2,""),3,""),4,""),5,""),6,""),7,""),8,""),9,""),0,""),"-","")),{"gennaio","febbraio","marzo","aprile","maggio","giugno","luglio","agosto","settembre","ottobre","novembre","dicembre"},0),"00"),TEXT(MONTH(Q1535)*29,"mmmm"))</f>
        <v>gennaio</v>
      </c>
      <c r="T1535" s="32">
        <f t="shared" si="411"/>
        <v>1900</v>
      </c>
      <c r="U1535" s="29"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00/01/1900</v>
      </c>
      <c r="V1535" s="33"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1900/01/00</v>
      </c>
      <c r="W1535" s="29"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00 gennaio 1900</v>
      </c>
      <c r="X1535" s="29">
        <v>1562</v>
      </c>
      <c r="Y1535" s="29" t="str">
        <f t="shared" si="404"/>
        <v>[' ', '', '', '--', '00 gennaio 1900', '00/01/1900', '1900/01/00'],</v>
      </c>
      <c r="Z1535" s="29" t="str">
        <f t="shared" si="405"/>
        <v xml:space="preserve"> () |  </v>
      </c>
      <c r="AA1535" s="29" t="str">
        <f t="shared" si="406"/>
        <v xml:space="preserve"> </v>
      </c>
      <c r="AB1535" s="29" t="str">
        <f t="shared" si="407"/>
        <v xml:space="preserve"> </v>
      </c>
      <c r="AC1535" s="29" t="str">
        <f t="shared" si="408"/>
        <v xml:space="preserve"> , 0 , 00 gennaio 1900</v>
      </c>
      <c r="AD1535" s="29" t="str">
        <f t="shared" si="409"/>
        <v>1900-01-00T08:00:00.000+02:00</v>
      </c>
      <c r="AE1535" s="29" t="str">
        <f t="shared" si="414"/>
        <v>--</v>
      </c>
      <c r="AF1535" s="29" t="str">
        <f t="shared" si="415"/>
        <v xml:space="preserve">  - 0 - </v>
      </c>
    </row>
    <row r="1536" spans="8:32" x14ac:dyDescent="0.2">
      <c r="H1536" s="29" t="str">
        <f t="shared" si="412"/>
        <v xml:space="preserve"> </v>
      </c>
      <c r="L1536" s="29">
        <f t="shared" si="413"/>
        <v>0</v>
      </c>
      <c r="Q1536" s="38"/>
      <c r="R1536" s="32">
        <f t="shared" si="410"/>
        <v>0</v>
      </c>
      <c r="S1536" s="32" t="str">
        <f>IF(ISERROR(DAY(Q1536)),TEXT(MATCH(TRIM(SUBSTITUTE(SUBSTITUTE(SUBSTITUTE(SUBSTITUTE(SUBSTITUTE(SUBSTITUTE(SUBSTITUTE(SUBSTITUTE(SUBSTITUTE(SUBSTITUTE(SUBSTITUTE(Q1536,1,""),2,""),3,""),4,""),5,""),6,""),7,""),8,""),9,""),0,""),"-","")),{"gennaio","febbraio","marzo","aprile","maggio","giugno","luglio","agosto","settembre","ottobre","novembre","dicembre"},0),"00"),TEXT(MONTH(Q1536)*29,"mmmm"))</f>
        <v>gennaio</v>
      </c>
      <c r="T1536" s="32">
        <f t="shared" si="411"/>
        <v>1900</v>
      </c>
      <c r="U1536" s="29"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00/01/1900</v>
      </c>
      <c r="V1536" s="33"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1900/01/00</v>
      </c>
      <c r="W1536" s="29"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00 gennaio 1900</v>
      </c>
      <c r="X1536" s="29">
        <v>1563</v>
      </c>
      <c r="Y1536" s="29" t="str">
        <f t="shared" si="404"/>
        <v>[' ', '', '', '--', '00 gennaio 1900', '00/01/1900', '1900/01/00'],</v>
      </c>
      <c r="Z1536" s="29" t="str">
        <f t="shared" si="405"/>
        <v xml:space="preserve"> () |  </v>
      </c>
      <c r="AA1536" s="29" t="str">
        <f t="shared" si="406"/>
        <v xml:space="preserve"> </v>
      </c>
      <c r="AB1536" s="29" t="str">
        <f t="shared" si="407"/>
        <v xml:space="preserve"> </v>
      </c>
      <c r="AC1536" s="29" t="str">
        <f t="shared" si="408"/>
        <v xml:space="preserve"> , 0 , 00 gennaio 1900</v>
      </c>
      <c r="AD1536" s="29" t="str">
        <f t="shared" si="409"/>
        <v>1900-01-00T08:00:00.000+02:00</v>
      </c>
      <c r="AE1536" s="29" t="str">
        <f t="shared" si="414"/>
        <v>--</v>
      </c>
      <c r="AF1536" s="29" t="str">
        <f t="shared" si="415"/>
        <v xml:space="preserve">  - 0 - </v>
      </c>
    </row>
    <row r="1537" spans="8:32" x14ac:dyDescent="0.2">
      <c r="H1537" s="29" t="str">
        <f t="shared" si="412"/>
        <v xml:space="preserve"> </v>
      </c>
      <c r="L1537" s="29">
        <f t="shared" si="413"/>
        <v>0</v>
      </c>
      <c r="Q1537" s="38"/>
      <c r="R1537" s="32">
        <f t="shared" si="410"/>
        <v>0</v>
      </c>
      <c r="S1537" s="32" t="str">
        <f>IF(ISERROR(DAY(Q1537)),TEXT(MATCH(TRIM(SUBSTITUTE(SUBSTITUTE(SUBSTITUTE(SUBSTITUTE(SUBSTITUTE(SUBSTITUTE(SUBSTITUTE(SUBSTITUTE(SUBSTITUTE(SUBSTITUTE(SUBSTITUTE(Q1537,1,""),2,""),3,""),4,""),5,""),6,""),7,""),8,""),9,""),0,""),"-","")),{"gennaio","febbraio","marzo","aprile","maggio","giugno","luglio","agosto","settembre","ottobre","novembre","dicembre"},0),"00"),TEXT(MONTH(Q1537)*29,"mmmm"))</f>
        <v>gennaio</v>
      </c>
      <c r="T1537" s="32">
        <f t="shared" si="411"/>
        <v>1900</v>
      </c>
      <c r="U1537" s="29"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00/01/1900</v>
      </c>
      <c r="V1537" s="33"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1900/01/00</v>
      </c>
      <c r="W1537" s="29"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00 gennaio 1900</v>
      </c>
      <c r="X1537" s="29">
        <v>1564</v>
      </c>
      <c r="Y1537" s="29" t="str">
        <f t="shared" si="404"/>
        <v>[' ', '', '', '--', '00 gennaio 1900', '00/01/1900', '1900/01/00'],</v>
      </c>
      <c r="Z1537" s="29" t="str">
        <f t="shared" si="405"/>
        <v xml:space="preserve"> () |  </v>
      </c>
      <c r="AA1537" s="29" t="str">
        <f t="shared" si="406"/>
        <v xml:space="preserve"> </v>
      </c>
      <c r="AB1537" s="29" t="str">
        <f t="shared" si="407"/>
        <v xml:space="preserve"> </v>
      </c>
      <c r="AC1537" s="29" t="str">
        <f t="shared" si="408"/>
        <v xml:space="preserve"> , 0 , 00 gennaio 1900</v>
      </c>
      <c r="AD1537" s="29" t="str">
        <f t="shared" si="409"/>
        <v>1900-01-00T08:00:00.000+02:00</v>
      </c>
      <c r="AE1537" s="29" t="str">
        <f t="shared" si="414"/>
        <v>--</v>
      </c>
      <c r="AF1537" s="29" t="str">
        <f t="shared" si="415"/>
        <v xml:space="preserve">  - 0 - </v>
      </c>
    </row>
    <row r="1538" spans="8:32" x14ac:dyDescent="0.2">
      <c r="H1538" s="29" t="str">
        <f t="shared" si="412"/>
        <v xml:space="preserve"> </v>
      </c>
      <c r="L1538" s="29">
        <f t="shared" si="413"/>
        <v>0</v>
      </c>
      <c r="Q1538" s="38"/>
      <c r="R1538" s="32">
        <f t="shared" si="410"/>
        <v>0</v>
      </c>
      <c r="S1538" s="32" t="str">
        <f>IF(ISERROR(DAY(Q1538)),TEXT(MATCH(TRIM(SUBSTITUTE(SUBSTITUTE(SUBSTITUTE(SUBSTITUTE(SUBSTITUTE(SUBSTITUTE(SUBSTITUTE(SUBSTITUTE(SUBSTITUTE(SUBSTITUTE(SUBSTITUTE(Q1538,1,""),2,""),3,""),4,""),5,""),6,""),7,""),8,""),9,""),0,""),"-","")),{"gennaio","febbraio","marzo","aprile","maggio","giugno","luglio","agosto","settembre","ottobre","novembre","dicembre"},0),"00"),TEXT(MONTH(Q1538)*29,"mmmm"))</f>
        <v>gennaio</v>
      </c>
      <c r="T1538" s="32">
        <f t="shared" si="411"/>
        <v>1900</v>
      </c>
      <c r="U1538" s="29"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00/01/1900</v>
      </c>
      <c r="V1538" s="33"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1900/01/00</v>
      </c>
      <c r="W1538" s="29"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00 gennaio 1900</v>
      </c>
      <c r="X1538" s="29">
        <v>1565</v>
      </c>
      <c r="Y1538" s="29" t="str">
        <f t="shared" ref="Y1538:Y1601" si="416">_xlfn.CONCAT("[" &amp; "'" &amp; D1538 &amp; " " &amp; E1538 &amp; "'" &amp; ", " &amp; "'" &amp; K1538 &amp; "'"&amp; ", " &amp; "'" &amp; O1538 &amp; "'" &amp; ", " &amp; "'" &amp; AE1538 &amp; "'" &amp; ", " &amp; "'" &amp; W1538 &amp; "'" &amp; ", " &amp; "'" &amp; U1538 &amp; "'" &amp; ", " &amp; "'" &amp; V1538 &amp; "'" &amp; "],")</f>
        <v>[' ', '', '', '--', '00 gennaio 1900', '00/01/1900', '1900/01/00'],</v>
      </c>
      <c r="Z1538" s="29" t="str">
        <f t="shared" ref="Z1538:Z1601" si="417">_xlfn.CONCAT(O1538 &amp; " (" &amp; Q1538 &amp; ") | " &amp; D1538 &amp; " " &amp; E1538)</f>
        <v xml:space="preserve"> () |  </v>
      </c>
      <c r="AA1538" s="29" t="str">
        <f t="shared" ref="AA1538:AA1601" si="418">_xlfn.CONCAT(K1538 &amp; " " &amp; O1538)</f>
        <v xml:space="preserve"> </v>
      </c>
      <c r="AB1538" s="29" t="str">
        <f t="shared" ref="AB1538:AB1601" si="419">_xlfn.CONCAT(K1538 &amp; " " &amp; O1538)</f>
        <v xml:space="preserve"> </v>
      </c>
      <c r="AC1538" s="29" t="str">
        <f t="shared" ref="AC1538:AC1601" si="420">_xlfn.CONCAT(H1538 &amp; ", " &amp; L1538 &amp; " " &amp; O1538 &amp; ", " &amp; LEFT(U1538,2) &amp; " " &amp; TEXT(VALUE(MID(U1538,4,2))*29,"mmmm") &amp; " " &amp; RIGHT(U1538,4))</f>
        <v xml:space="preserve"> , 0 , 00 gennaio 1900</v>
      </c>
      <c r="AD1538" s="29" t="str">
        <f t="shared" ref="AD1538:AD1601" si="421">_xlfn.CONCAT(RIGHT(U1538,4) &amp; "-" &amp; MID(U1538,4,2) &amp; "-" &amp; LEFT(U1538,2) &amp; "T08:00:00.000+02:00")</f>
        <v>1900-01-00T08:00:00.000+02:00</v>
      </c>
      <c r="AE1538" s="29" t="str">
        <f t="shared" si="414"/>
        <v>--</v>
      </c>
      <c r="AF1538" s="29" t="str">
        <f t="shared" si="415"/>
        <v xml:space="preserve">  - 0 - </v>
      </c>
    </row>
    <row r="1539" spans="8:32" x14ac:dyDescent="0.2">
      <c r="H1539" s="29" t="str">
        <f t="shared" si="412"/>
        <v xml:space="preserve"> </v>
      </c>
      <c r="L1539" s="29">
        <f t="shared" si="413"/>
        <v>0</v>
      </c>
      <c r="Q1539" s="38"/>
      <c r="R1539" s="32">
        <f t="shared" si="410"/>
        <v>0</v>
      </c>
      <c r="S1539" s="32" t="str">
        <f>IF(ISERROR(DAY(Q1539)),TEXT(MATCH(TRIM(SUBSTITUTE(SUBSTITUTE(SUBSTITUTE(SUBSTITUTE(SUBSTITUTE(SUBSTITUTE(SUBSTITUTE(SUBSTITUTE(SUBSTITUTE(SUBSTITUTE(SUBSTITUTE(Q1539,1,""),2,""),3,""),4,""),5,""),6,""),7,""),8,""),9,""),0,""),"-","")),{"gennaio","febbraio","marzo","aprile","maggio","giugno","luglio","agosto","settembre","ottobre","novembre","dicembre"},0),"00"),TEXT(MONTH(Q1539)*29,"mmmm"))</f>
        <v>gennaio</v>
      </c>
      <c r="T1539" s="32">
        <f t="shared" si="411"/>
        <v>1900</v>
      </c>
      <c r="U1539" s="29"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00/01/1900</v>
      </c>
      <c r="V1539" s="33"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1900/01/00</v>
      </c>
      <c r="W1539" s="29"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00 gennaio 1900</v>
      </c>
      <c r="X1539" s="29">
        <v>1566</v>
      </c>
      <c r="Y1539" s="29" t="str">
        <f t="shared" si="416"/>
        <v>[' ', '', '', '--', '00 gennaio 1900', '00/01/1900', '1900/01/00'],</v>
      </c>
      <c r="Z1539" s="29" t="str">
        <f t="shared" si="417"/>
        <v xml:space="preserve"> () |  </v>
      </c>
      <c r="AA1539" s="29" t="str">
        <f t="shared" si="418"/>
        <v xml:space="preserve"> </v>
      </c>
      <c r="AB1539" s="29" t="str">
        <f t="shared" si="419"/>
        <v xml:space="preserve"> </v>
      </c>
      <c r="AC1539" s="29" t="str">
        <f t="shared" si="420"/>
        <v xml:space="preserve"> , 0 , 00 gennaio 1900</v>
      </c>
      <c r="AD1539" s="29" t="str">
        <f t="shared" si="421"/>
        <v>1900-01-00T08:00:00.000+02:00</v>
      </c>
      <c r="AE1539" s="29" t="str">
        <f t="shared" si="414"/>
        <v>--</v>
      </c>
      <c r="AF1539" s="29" t="str">
        <f t="shared" si="415"/>
        <v xml:space="preserve">  - 0 - </v>
      </c>
    </row>
    <row r="1540" spans="8:32" x14ac:dyDescent="0.2">
      <c r="H1540" s="29" t="str">
        <f t="shared" si="412"/>
        <v xml:space="preserve"> </v>
      </c>
      <c r="L1540" s="29">
        <f t="shared" si="413"/>
        <v>0</v>
      </c>
      <c r="Q1540" s="38"/>
      <c r="R1540" s="32">
        <f t="shared" si="410"/>
        <v>0</v>
      </c>
      <c r="S1540" s="32" t="str">
        <f>IF(ISERROR(DAY(Q1540)),TEXT(MATCH(TRIM(SUBSTITUTE(SUBSTITUTE(SUBSTITUTE(SUBSTITUTE(SUBSTITUTE(SUBSTITUTE(SUBSTITUTE(SUBSTITUTE(SUBSTITUTE(SUBSTITUTE(SUBSTITUTE(Q1540,1,""),2,""),3,""),4,""),5,""),6,""),7,""),8,""),9,""),0,""),"-","")),{"gennaio","febbraio","marzo","aprile","maggio","giugno","luglio","agosto","settembre","ottobre","novembre","dicembre"},0),"00"),TEXT(MONTH(Q1540)*29,"mmmm"))</f>
        <v>gennaio</v>
      </c>
      <c r="T1540" s="32">
        <f t="shared" si="411"/>
        <v>1900</v>
      </c>
      <c r="U1540" s="29"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00/01/1900</v>
      </c>
      <c r="V1540" s="33"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1900/01/00</v>
      </c>
      <c r="W1540" s="29"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00 gennaio 1900</v>
      </c>
      <c r="X1540" s="29">
        <v>1567</v>
      </c>
      <c r="Y1540" s="29" t="str">
        <f t="shared" si="416"/>
        <v>[' ', '', '', '--', '00 gennaio 1900', '00/01/1900', '1900/01/00'],</v>
      </c>
      <c r="Z1540" s="29" t="str">
        <f t="shared" si="417"/>
        <v xml:space="preserve"> () |  </v>
      </c>
      <c r="AA1540" s="29" t="str">
        <f t="shared" si="418"/>
        <v xml:space="preserve"> </v>
      </c>
      <c r="AB1540" s="29" t="str">
        <f t="shared" si="419"/>
        <v xml:space="preserve"> </v>
      </c>
      <c r="AC1540" s="29" t="str">
        <f t="shared" si="420"/>
        <v xml:space="preserve"> , 0 , 00 gennaio 1900</v>
      </c>
      <c r="AD1540" s="29" t="str">
        <f t="shared" si="421"/>
        <v>1900-01-00T08:00:00.000+02:00</v>
      </c>
      <c r="AE1540" s="29" t="str">
        <f t="shared" si="414"/>
        <v>--</v>
      </c>
      <c r="AF1540" s="29" t="str">
        <f t="shared" si="415"/>
        <v xml:space="preserve">  - 0 - </v>
      </c>
    </row>
    <row r="1541" spans="8:32" x14ac:dyDescent="0.2">
      <c r="H1541" s="29" t="str">
        <f t="shared" si="412"/>
        <v xml:space="preserve"> </v>
      </c>
      <c r="L1541" s="29">
        <f t="shared" si="413"/>
        <v>0</v>
      </c>
      <c r="Q1541" s="38"/>
      <c r="R1541" s="32">
        <f t="shared" si="410"/>
        <v>0</v>
      </c>
      <c r="S1541" s="32" t="str">
        <f>IF(ISERROR(DAY(Q1541)),TEXT(MATCH(TRIM(SUBSTITUTE(SUBSTITUTE(SUBSTITUTE(SUBSTITUTE(SUBSTITUTE(SUBSTITUTE(SUBSTITUTE(SUBSTITUTE(SUBSTITUTE(SUBSTITUTE(SUBSTITUTE(Q1541,1,""),2,""),3,""),4,""),5,""),6,""),7,""),8,""),9,""),0,""),"-","")),{"gennaio","febbraio","marzo","aprile","maggio","giugno","luglio","agosto","settembre","ottobre","novembre","dicembre"},0),"00"),TEXT(MONTH(Q1541)*29,"mmmm"))</f>
        <v>gennaio</v>
      </c>
      <c r="T1541" s="32">
        <f t="shared" si="411"/>
        <v>1900</v>
      </c>
      <c r="U1541" s="29"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00/01/1900</v>
      </c>
      <c r="V1541" s="33"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1900/01/00</v>
      </c>
      <c r="W1541" s="29"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00 gennaio 1900</v>
      </c>
      <c r="X1541" s="29">
        <v>1568</v>
      </c>
      <c r="Y1541" s="29" t="str">
        <f t="shared" si="416"/>
        <v>[' ', '', '', '--', '00 gennaio 1900', '00/01/1900', '1900/01/00'],</v>
      </c>
      <c r="Z1541" s="29" t="str">
        <f t="shared" si="417"/>
        <v xml:space="preserve"> () |  </v>
      </c>
      <c r="AA1541" s="29" t="str">
        <f t="shared" si="418"/>
        <v xml:space="preserve"> </v>
      </c>
      <c r="AB1541" s="29" t="str">
        <f t="shared" si="419"/>
        <v xml:space="preserve"> </v>
      </c>
      <c r="AC1541" s="29" t="str">
        <f t="shared" si="420"/>
        <v xml:space="preserve"> , 0 , 00 gennaio 1900</v>
      </c>
      <c r="AD1541" s="29" t="str">
        <f t="shared" si="421"/>
        <v>1900-01-00T08:00:00.000+02:00</v>
      </c>
      <c r="AE1541" s="29" t="str">
        <f t="shared" si="414"/>
        <v>--</v>
      </c>
      <c r="AF1541" s="29" t="str">
        <f t="shared" si="415"/>
        <v xml:space="preserve">  - 0 - </v>
      </c>
    </row>
    <row r="1542" spans="8:32" x14ac:dyDescent="0.2">
      <c r="H1542" s="29" t="str">
        <f t="shared" si="412"/>
        <v xml:space="preserve"> </v>
      </c>
      <c r="L1542" s="29">
        <f t="shared" si="413"/>
        <v>0</v>
      </c>
      <c r="Q1542" s="38"/>
      <c r="R1542" s="32">
        <f t="shared" si="410"/>
        <v>0</v>
      </c>
      <c r="S1542" s="32" t="str">
        <f>IF(ISERROR(DAY(Q1542)),TEXT(MATCH(TRIM(SUBSTITUTE(SUBSTITUTE(SUBSTITUTE(SUBSTITUTE(SUBSTITUTE(SUBSTITUTE(SUBSTITUTE(SUBSTITUTE(SUBSTITUTE(SUBSTITUTE(SUBSTITUTE(Q1542,1,""),2,""),3,""),4,""),5,""),6,""),7,""),8,""),9,""),0,""),"-","")),{"gennaio","febbraio","marzo","aprile","maggio","giugno","luglio","agosto","settembre","ottobre","novembre","dicembre"},0),"00"),TEXT(MONTH(Q1542)*29,"mmmm"))</f>
        <v>gennaio</v>
      </c>
      <c r="T1542" s="32">
        <f t="shared" si="411"/>
        <v>1900</v>
      </c>
      <c r="U1542" s="29"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00/01/1900</v>
      </c>
      <c r="V1542" s="33"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1900/01/00</v>
      </c>
      <c r="W1542" s="29"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00 gennaio 1900</v>
      </c>
      <c r="X1542" s="29">
        <v>1569</v>
      </c>
      <c r="Y1542" s="29" t="str">
        <f t="shared" si="416"/>
        <v>[' ', '', '', '--', '00 gennaio 1900', '00/01/1900', '1900/01/00'],</v>
      </c>
      <c r="Z1542" s="29" t="str">
        <f t="shared" si="417"/>
        <v xml:space="preserve"> () |  </v>
      </c>
      <c r="AA1542" s="29" t="str">
        <f t="shared" si="418"/>
        <v xml:space="preserve"> </v>
      </c>
      <c r="AB1542" s="29" t="str">
        <f t="shared" si="419"/>
        <v xml:space="preserve"> </v>
      </c>
      <c r="AC1542" s="29" t="str">
        <f t="shared" si="420"/>
        <v xml:space="preserve"> , 0 , 00 gennaio 1900</v>
      </c>
      <c r="AD1542" s="29" t="str">
        <f t="shared" si="421"/>
        <v>1900-01-00T08:00:00.000+02:00</v>
      </c>
      <c r="AE1542" s="29" t="str">
        <f t="shared" si="414"/>
        <v>--</v>
      </c>
      <c r="AF1542" s="29" t="str">
        <f t="shared" si="415"/>
        <v xml:space="preserve">  - 0 - </v>
      </c>
    </row>
    <row r="1543" spans="8:32" x14ac:dyDescent="0.2">
      <c r="H1543" s="29" t="str">
        <f t="shared" si="412"/>
        <v xml:space="preserve"> </v>
      </c>
      <c r="L1543" s="29">
        <f t="shared" si="413"/>
        <v>0</v>
      </c>
      <c r="Q1543" s="38"/>
      <c r="R1543" s="32">
        <f t="shared" si="410"/>
        <v>0</v>
      </c>
      <c r="S1543" s="32" t="str">
        <f>IF(ISERROR(DAY(Q1543)),TEXT(MATCH(TRIM(SUBSTITUTE(SUBSTITUTE(SUBSTITUTE(SUBSTITUTE(SUBSTITUTE(SUBSTITUTE(SUBSTITUTE(SUBSTITUTE(SUBSTITUTE(SUBSTITUTE(SUBSTITUTE(Q1543,1,""),2,""),3,""),4,""),5,""),6,""),7,""),8,""),9,""),0,""),"-","")),{"gennaio","febbraio","marzo","aprile","maggio","giugno","luglio","agosto","settembre","ottobre","novembre","dicembre"},0),"00"),TEXT(MONTH(Q1543)*29,"mmmm"))</f>
        <v>gennaio</v>
      </c>
      <c r="T1543" s="32">
        <f t="shared" si="411"/>
        <v>1900</v>
      </c>
      <c r="U1543" s="29"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00/01/1900</v>
      </c>
      <c r="V1543" s="33"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1900/01/00</v>
      </c>
      <c r="W1543" s="29"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00 gennaio 1900</v>
      </c>
      <c r="X1543" s="29">
        <v>1570</v>
      </c>
      <c r="Y1543" s="29" t="str">
        <f t="shared" si="416"/>
        <v>[' ', '', '', '--', '00 gennaio 1900', '00/01/1900', '1900/01/00'],</v>
      </c>
      <c r="Z1543" s="29" t="str">
        <f t="shared" si="417"/>
        <v xml:space="preserve"> () |  </v>
      </c>
      <c r="AA1543" s="29" t="str">
        <f t="shared" si="418"/>
        <v xml:space="preserve"> </v>
      </c>
      <c r="AB1543" s="29" t="str">
        <f t="shared" si="419"/>
        <v xml:space="preserve"> </v>
      </c>
      <c r="AC1543" s="29" t="str">
        <f t="shared" si="420"/>
        <v xml:space="preserve"> , 0 , 00 gennaio 1900</v>
      </c>
      <c r="AD1543" s="29" t="str">
        <f t="shared" si="421"/>
        <v>1900-01-00T08:00:00.000+02:00</v>
      </c>
      <c r="AE1543" s="29" t="str">
        <f t="shared" si="414"/>
        <v>--</v>
      </c>
      <c r="AF1543" s="29" t="str">
        <f t="shared" si="415"/>
        <v xml:space="preserve">  - 0 - </v>
      </c>
    </row>
    <row r="1544" spans="8:32" x14ac:dyDescent="0.2">
      <c r="H1544" s="29" t="str">
        <f t="shared" si="412"/>
        <v xml:space="preserve"> </v>
      </c>
      <c r="L1544" s="29">
        <f t="shared" si="413"/>
        <v>0</v>
      </c>
      <c r="Q1544" s="38"/>
      <c r="R1544" s="32">
        <f t="shared" si="410"/>
        <v>0</v>
      </c>
      <c r="S1544" s="32" t="str">
        <f>IF(ISERROR(DAY(Q1544)),TEXT(MATCH(TRIM(SUBSTITUTE(SUBSTITUTE(SUBSTITUTE(SUBSTITUTE(SUBSTITUTE(SUBSTITUTE(SUBSTITUTE(SUBSTITUTE(SUBSTITUTE(SUBSTITUTE(SUBSTITUTE(Q1544,1,""),2,""),3,""),4,""),5,""),6,""),7,""),8,""),9,""),0,""),"-","")),{"gennaio","febbraio","marzo","aprile","maggio","giugno","luglio","agosto","settembre","ottobre","novembre","dicembre"},0),"00"),TEXT(MONTH(Q1544)*29,"mmmm"))</f>
        <v>gennaio</v>
      </c>
      <c r="T1544" s="32">
        <f t="shared" si="411"/>
        <v>1900</v>
      </c>
      <c r="U1544" s="29"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00/01/1900</v>
      </c>
      <c r="V1544" s="33"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1900/01/00</v>
      </c>
      <c r="W1544" s="29"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00 gennaio 1900</v>
      </c>
      <c r="X1544" s="29">
        <v>1571</v>
      </c>
      <c r="Y1544" s="29" t="str">
        <f t="shared" si="416"/>
        <v>[' ', '', '', '--', '00 gennaio 1900', '00/01/1900', '1900/01/00'],</v>
      </c>
      <c r="Z1544" s="29" t="str">
        <f t="shared" si="417"/>
        <v xml:space="preserve"> () |  </v>
      </c>
      <c r="AA1544" s="29" t="str">
        <f t="shared" si="418"/>
        <v xml:space="preserve"> </v>
      </c>
      <c r="AB1544" s="29" t="str">
        <f t="shared" si="419"/>
        <v xml:space="preserve"> </v>
      </c>
      <c r="AC1544" s="29" t="str">
        <f t="shared" si="420"/>
        <v xml:space="preserve"> , 0 , 00 gennaio 1900</v>
      </c>
      <c r="AD1544" s="29" t="str">
        <f t="shared" si="421"/>
        <v>1900-01-00T08:00:00.000+02:00</v>
      </c>
      <c r="AE1544" s="29" t="str">
        <f t="shared" si="414"/>
        <v>--</v>
      </c>
      <c r="AF1544" s="29" t="str">
        <f t="shared" si="415"/>
        <v xml:space="preserve">  - 0 - </v>
      </c>
    </row>
    <row r="1545" spans="8:32" x14ac:dyDescent="0.2">
      <c r="H1545" s="29" t="str">
        <f t="shared" si="412"/>
        <v xml:space="preserve"> </v>
      </c>
      <c r="L1545" s="29">
        <f t="shared" si="413"/>
        <v>0</v>
      </c>
      <c r="Q1545" s="38"/>
      <c r="R1545" s="32">
        <f t="shared" si="410"/>
        <v>0</v>
      </c>
      <c r="S1545" s="32" t="str">
        <f>IF(ISERROR(DAY(Q1545)),TEXT(MATCH(TRIM(SUBSTITUTE(SUBSTITUTE(SUBSTITUTE(SUBSTITUTE(SUBSTITUTE(SUBSTITUTE(SUBSTITUTE(SUBSTITUTE(SUBSTITUTE(SUBSTITUTE(SUBSTITUTE(Q1545,1,""),2,""),3,""),4,""),5,""),6,""),7,""),8,""),9,""),0,""),"-","")),{"gennaio","febbraio","marzo","aprile","maggio","giugno","luglio","agosto","settembre","ottobre","novembre","dicembre"},0),"00"),TEXT(MONTH(Q1545)*29,"mmmm"))</f>
        <v>gennaio</v>
      </c>
      <c r="T1545" s="32">
        <f t="shared" si="411"/>
        <v>1900</v>
      </c>
      <c r="U1545" s="29"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00/01/1900</v>
      </c>
      <c r="V1545" s="33"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1900/01/00</v>
      </c>
      <c r="W1545" s="29"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00 gennaio 1900</v>
      </c>
      <c r="X1545" s="29">
        <v>1572</v>
      </c>
      <c r="Y1545" s="29" t="str">
        <f t="shared" si="416"/>
        <v>[' ', '', '', '--', '00 gennaio 1900', '00/01/1900', '1900/01/00'],</v>
      </c>
      <c r="Z1545" s="29" t="str">
        <f t="shared" si="417"/>
        <v xml:space="preserve"> () |  </v>
      </c>
      <c r="AA1545" s="29" t="str">
        <f t="shared" si="418"/>
        <v xml:space="preserve"> </v>
      </c>
      <c r="AB1545" s="29" t="str">
        <f t="shared" si="419"/>
        <v xml:space="preserve"> </v>
      </c>
      <c r="AC1545" s="29" t="str">
        <f t="shared" si="420"/>
        <v xml:space="preserve"> , 0 , 00 gennaio 1900</v>
      </c>
      <c r="AD1545" s="29" t="str">
        <f t="shared" si="421"/>
        <v>1900-01-00T08:00:00.000+02:00</v>
      </c>
      <c r="AE1545" s="29" t="str">
        <f t="shared" si="414"/>
        <v>--</v>
      </c>
      <c r="AF1545" s="29" t="str">
        <f t="shared" si="415"/>
        <v xml:space="preserve">  - 0 - </v>
      </c>
    </row>
    <row r="1546" spans="8:32" x14ac:dyDescent="0.2">
      <c r="H1546" s="29" t="str">
        <f t="shared" si="412"/>
        <v xml:space="preserve"> </v>
      </c>
      <c r="L1546" s="29">
        <f t="shared" si="413"/>
        <v>0</v>
      </c>
      <c r="Q1546" s="38"/>
      <c r="R1546" s="32">
        <f t="shared" si="410"/>
        <v>0</v>
      </c>
      <c r="S1546" s="32" t="str">
        <f>IF(ISERROR(DAY(Q1546)),TEXT(MATCH(TRIM(SUBSTITUTE(SUBSTITUTE(SUBSTITUTE(SUBSTITUTE(SUBSTITUTE(SUBSTITUTE(SUBSTITUTE(SUBSTITUTE(SUBSTITUTE(SUBSTITUTE(SUBSTITUTE(Q1546,1,""),2,""),3,""),4,""),5,""),6,""),7,""),8,""),9,""),0,""),"-","")),{"gennaio","febbraio","marzo","aprile","maggio","giugno","luglio","agosto","settembre","ottobre","novembre","dicembre"},0),"00"),TEXT(MONTH(Q1546)*29,"mmmm"))</f>
        <v>gennaio</v>
      </c>
      <c r="T1546" s="32">
        <f t="shared" si="411"/>
        <v>1900</v>
      </c>
      <c r="U1546" s="29"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00/01/1900</v>
      </c>
      <c r="V1546" s="33"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1900/01/00</v>
      </c>
      <c r="W1546" s="29"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00 gennaio 1900</v>
      </c>
      <c r="X1546" s="29">
        <v>1573</v>
      </c>
      <c r="Y1546" s="29" t="str">
        <f t="shared" si="416"/>
        <v>[' ', '', '', '--', '00 gennaio 1900', '00/01/1900', '1900/01/00'],</v>
      </c>
      <c r="Z1546" s="29" t="str">
        <f t="shared" si="417"/>
        <v xml:space="preserve"> () |  </v>
      </c>
      <c r="AA1546" s="29" t="str">
        <f t="shared" si="418"/>
        <v xml:space="preserve"> </v>
      </c>
      <c r="AB1546" s="29" t="str">
        <f t="shared" si="419"/>
        <v xml:space="preserve"> </v>
      </c>
      <c r="AC1546" s="29" t="str">
        <f t="shared" si="420"/>
        <v xml:space="preserve"> , 0 , 00 gennaio 1900</v>
      </c>
      <c r="AD1546" s="29" t="str">
        <f t="shared" si="421"/>
        <v>1900-01-00T08:00:00.000+02:00</v>
      </c>
      <c r="AE1546" s="29" t="str">
        <f t="shared" si="414"/>
        <v>--</v>
      </c>
      <c r="AF1546" s="29" t="str">
        <f t="shared" si="415"/>
        <v xml:space="preserve">  - 0 - </v>
      </c>
    </row>
    <row r="1547" spans="8:32" x14ac:dyDescent="0.2">
      <c r="H1547" s="29" t="str">
        <f t="shared" si="412"/>
        <v xml:space="preserve"> </v>
      </c>
      <c r="L1547" s="29">
        <f t="shared" si="413"/>
        <v>0</v>
      </c>
      <c r="Q1547" s="38"/>
      <c r="R1547" s="32">
        <f t="shared" si="410"/>
        <v>0</v>
      </c>
      <c r="S1547" s="32" t="str">
        <f>IF(ISERROR(DAY(Q1547)),TEXT(MATCH(TRIM(SUBSTITUTE(SUBSTITUTE(SUBSTITUTE(SUBSTITUTE(SUBSTITUTE(SUBSTITUTE(SUBSTITUTE(SUBSTITUTE(SUBSTITUTE(SUBSTITUTE(SUBSTITUTE(Q1547,1,""),2,""),3,""),4,""),5,""),6,""),7,""),8,""),9,""),0,""),"-","")),{"gennaio","febbraio","marzo","aprile","maggio","giugno","luglio","agosto","settembre","ottobre","novembre","dicembre"},0),"00"),TEXT(MONTH(Q1547)*29,"mmmm"))</f>
        <v>gennaio</v>
      </c>
      <c r="T1547" s="32">
        <f t="shared" si="411"/>
        <v>1900</v>
      </c>
      <c r="U1547" s="29"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00/01/1900</v>
      </c>
      <c r="V1547" s="33"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1900/01/00</v>
      </c>
      <c r="W1547" s="29"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00 gennaio 1900</v>
      </c>
      <c r="X1547" s="29">
        <v>1574</v>
      </c>
      <c r="Y1547" s="29" t="str">
        <f t="shared" si="416"/>
        <v>[' ', '', '', '--', '00 gennaio 1900', '00/01/1900', '1900/01/00'],</v>
      </c>
      <c r="Z1547" s="29" t="str">
        <f t="shared" si="417"/>
        <v xml:space="preserve"> () |  </v>
      </c>
      <c r="AA1547" s="29" t="str">
        <f t="shared" si="418"/>
        <v xml:space="preserve"> </v>
      </c>
      <c r="AB1547" s="29" t="str">
        <f t="shared" si="419"/>
        <v xml:space="preserve"> </v>
      </c>
      <c r="AC1547" s="29" t="str">
        <f t="shared" si="420"/>
        <v xml:space="preserve"> , 0 , 00 gennaio 1900</v>
      </c>
      <c r="AD1547" s="29" t="str">
        <f t="shared" si="421"/>
        <v>1900-01-00T08:00:00.000+02:00</v>
      </c>
      <c r="AE1547" s="29" t="str">
        <f t="shared" si="414"/>
        <v>--</v>
      </c>
      <c r="AF1547" s="29" t="str">
        <f t="shared" si="415"/>
        <v xml:space="preserve">  - 0 - </v>
      </c>
    </row>
    <row r="1548" spans="8:32" x14ac:dyDescent="0.2">
      <c r="H1548" s="29" t="str">
        <f t="shared" si="412"/>
        <v xml:space="preserve"> </v>
      </c>
      <c r="L1548" s="29">
        <f t="shared" si="413"/>
        <v>0</v>
      </c>
      <c r="Q1548" s="38"/>
      <c r="R1548" s="32">
        <f t="shared" si="410"/>
        <v>0</v>
      </c>
      <c r="S1548" s="32" t="str">
        <f>IF(ISERROR(DAY(Q1548)),TEXT(MATCH(TRIM(SUBSTITUTE(SUBSTITUTE(SUBSTITUTE(SUBSTITUTE(SUBSTITUTE(SUBSTITUTE(SUBSTITUTE(SUBSTITUTE(SUBSTITUTE(SUBSTITUTE(SUBSTITUTE(Q1548,1,""),2,""),3,""),4,""),5,""),6,""),7,""),8,""),9,""),0,""),"-","")),{"gennaio","febbraio","marzo","aprile","maggio","giugno","luglio","agosto","settembre","ottobre","novembre","dicembre"},0),"00"),TEXT(MONTH(Q1548)*29,"mmmm"))</f>
        <v>gennaio</v>
      </c>
      <c r="T1548" s="32">
        <f t="shared" si="411"/>
        <v>1900</v>
      </c>
      <c r="U1548" s="29"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00/01/1900</v>
      </c>
      <c r="V1548" s="33"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1900/01/00</v>
      </c>
      <c r="W1548" s="29"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00 gennaio 1900</v>
      </c>
      <c r="X1548" s="29">
        <v>1575</v>
      </c>
      <c r="Y1548" s="29" t="str">
        <f t="shared" si="416"/>
        <v>[' ', '', '', '--', '00 gennaio 1900', '00/01/1900', '1900/01/00'],</v>
      </c>
      <c r="Z1548" s="29" t="str">
        <f t="shared" si="417"/>
        <v xml:space="preserve"> () |  </v>
      </c>
      <c r="AA1548" s="29" t="str">
        <f t="shared" si="418"/>
        <v xml:space="preserve"> </v>
      </c>
      <c r="AB1548" s="29" t="str">
        <f t="shared" si="419"/>
        <v xml:space="preserve"> </v>
      </c>
      <c r="AC1548" s="29" t="str">
        <f t="shared" si="420"/>
        <v xml:space="preserve"> , 0 , 00 gennaio 1900</v>
      </c>
      <c r="AD1548" s="29" t="str">
        <f t="shared" si="421"/>
        <v>1900-01-00T08:00:00.000+02:00</v>
      </c>
      <c r="AE1548" s="29" t="str">
        <f t="shared" si="414"/>
        <v>--</v>
      </c>
      <c r="AF1548" s="29" t="str">
        <f t="shared" si="415"/>
        <v xml:space="preserve">  - 0 - </v>
      </c>
    </row>
    <row r="1549" spans="8:32" x14ac:dyDescent="0.2">
      <c r="H1549" s="29" t="str">
        <f t="shared" si="412"/>
        <v xml:space="preserve"> </v>
      </c>
      <c r="L1549" s="29">
        <f t="shared" si="413"/>
        <v>0</v>
      </c>
      <c r="Q1549" s="38"/>
      <c r="R1549" s="32">
        <f t="shared" si="410"/>
        <v>0</v>
      </c>
      <c r="S1549" s="32" t="str">
        <f>IF(ISERROR(DAY(Q1549)),TEXT(MATCH(TRIM(SUBSTITUTE(SUBSTITUTE(SUBSTITUTE(SUBSTITUTE(SUBSTITUTE(SUBSTITUTE(SUBSTITUTE(SUBSTITUTE(SUBSTITUTE(SUBSTITUTE(SUBSTITUTE(Q1549,1,""),2,""),3,""),4,""),5,""),6,""),7,""),8,""),9,""),0,""),"-","")),{"gennaio","febbraio","marzo","aprile","maggio","giugno","luglio","agosto","settembre","ottobre","novembre","dicembre"},0),"00"),TEXT(MONTH(Q1549)*29,"mmmm"))</f>
        <v>gennaio</v>
      </c>
      <c r="T1549" s="32">
        <f t="shared" si="411"/>
        <v>1900</v>
      </c>
      <c r="U1549" s="29"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00/01/1900</v>
      </c>
      <c r="V1549" s="33"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1900/01/00</v>
      </c>
      <c r="W1549" s="29"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00 gennaio 1900</v>
      </c>
      <c r="X1549" s="29">
        <v>1576</v>
      </c>
      <c r="Y1549" s="29" t="str">
        <f t="shared" si="416"/>
        <v>[' ', '', '', '--', '00 gennaio 1900', '00/01/1900', '1900/01/00'],</v>
      </c>
      <c r="Z1549" s="29" t="str">
        <f t="shared" si="417"/>
        <v xml:space="preserve"> () |  </v>
      </c>
      <c r="AA1549" s="29" t="str">
        <f t="shared" si="418"/>
        <v xml:space="preserve"> </v>
      </c>
      <c r="AB1549" s="29" t="str">
        <f t="shared" si="419"/>
        <v xml:space="preserve"> </v>
      </c>
      <c r="AC1549" s="29" t="str">
        <f t="shared" si="420"/>
        <v xml:space="preserve"> , 0 , 00 gennaio 1900</v>
      </c>
      <c r="AD1549" s="29" t="str">
        <f t="shared" si="421"/>
        <v>1900-01-00T08:00:00.000+02:00</v>
      </c>
      <c r="AE1549" s="29" t="str">
        <f t="shared" si="414"/>
        <v>--</v>
      </c>
      <c r="AF1549" s="29" t="str">
        <f t="shared" si="415"/>
        <v xml:space="preserve">  - 0 - </v>
      </c>
    </row>
    <row r="1550" spans="8:32" x14ac:dyDescent="0.2">
      <c r="H1550" s="29" t="str">
        <f t="shared" si="412"/>
        <v xml:space="preserve"> </v>
      </c>
      <c r="L1550" s="29">
        <f t="shared" si="413"/>
        <v>0</v>
      </c>
      <c r="Q1550" s="38"/>
      <c r="R1550" s="32">
        <f t="shared" si="410"/>
        <v>0</v>
      </c>
      <c r="S1550" s="32" t="str">
        <f>IF(ISERROR(DAY(Q1550)),TEXT(MATCH(TRIM(SUBSTITUTE(SUBSTITUTE(SUBSTITUTE(SUBSTITUTE(SUBSTITUTE(SUBSTITUTE(SUBSTITUTE(SUBSTITUTE(SUBSTITUTE(SUBSTITUTE(SUBSTITUTE(Q1550,1,""),2,""),3,""),4,""),5,""),6,""),7,""),8,""),9,""),0,""),"-","")),{"gennaio","febbraio","marzo","aprile","maggio","giugno","luglio","agosto","settembre","ottobre","novembre","dicembre"},0),"00"),TEXT(MONTH(Q1550)*29,"mmmm"))</f>
        <v>gennaio</v>
      </c>
      <c r="T1550" s="32">
        <f t="shared" si="411"/>
        <v>1900</v>
      </c>
      <c r="U1550" s="29"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00/01/1900</v>
      </c>
      <c r="V1550" s="33"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1900/01/00</v>
      </c>
      <c r="W1550" s="29"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00 gennaio 1900</v>
      </c>
      <c r="X1550" s="29">
        <v>1577</v>
      </c>
      <c r="Y1550" s="29" t="str">
        <f t="shared" si="416"/>
        <v>[' ', '', '', '--', '00 gennaio 1900', '00/01/1900', '1900/01/00'],</v>
      </c>
      <c r="Z1550" s="29" t="str">
        <f t="shared" si="417"/>
        <v xml:space="preserve"> () |  </v>
      </c>
      <c r="AA1550" s="29" t="str">
        <f t="shared" si="418"/>
        <v xml:space="preserve"> </v>
      </c>
      <c r="AB1550" s="29" t="str">
        <f t="shared" si="419"/>
        <v xml:space="preserve"> </v>
      </c>
      <c r="AC1550" s="29" t="str">
        <f t="shared" si="420"/>
        <v xml:space="preserve"> , 0 , 00 gennaio 1900</v>
      </c>
      <c r="AD1550" s="29" t="str">
        <f t="shared" si="421"/>
        <v>1900-01-00T08:00:00.000+02:00</v>
      </c>
      <c r="AE1550" s="29" t="str">
        <f t="shared" si="414"/>
        <v>--</v>
      </c>
      <c r="AF1550" s="29" t="str">
        <f t="shared" si="415"/>
        <v xml:space="preserve">  - 0 - </v>
      </c>
    </row>
    <row r="1551" spans="8:32" x14ac:dyDescent="0.2">
      <c r="H1551" s="29" t="str">
        <f t="shared" si="412"/>
        <v xml:space="preserve"> </v>
      </c>
      <c r="L1551" s="29">
        <f t="shared" si="413"/>
        <v>0</v>
      </c>
      <c r="Q1551" s="38"/>
      <c r="R1551" s="32">
        <f t="shared" si="410"/>
        <v>0</v>
      </c>
      <c r="S1551" s="32" t="str">
        <f>IF(ISERROR(DAY(Q1551)),TEXT(MATCH(TRIM(SUBSTITUTE(SUBSTITUTE(SUBSTITUTE(SUBSTITUTE(SUBSTITUTE(SUBSTITUTE(SUBSTITUTE(SUBSTITUTE(SUBSTITUTE(SUBSTITUTE(SUBSTITUTE(Q1551,1,""),2,""),3,""),4,""),5,""),6,""),7,""),8,""),9,""),0,""),"-","")),{"gennaio","febbraio","marzo","aprile","maggio","giugno","luglio","agosto","settembre","ottobre","novembre","dicembre"},0),"00"),TEXT(MONTH(Q1551)*29,"mmmm"))</f>
        <v>gennaio</v>
      </c>
      <c r="T1551" s="32">
        <f t="shared" si="411"/>
        <v>1900</v>
      </c>
      <c r="U1551" s="29"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00/01/1900</v>
      </c>
      <c r="V1551" s="33"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1900/01/00</v>
      </c>
      <c r="W1551" s="29"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00 gennaio 1900</v>
      </c>
      <c r="X1551" s="29">
        <v>1578</v>
      </c>
      <c r="Y1551" s="29" t="str">
        <f t="shared" si="416"/>
        <v>[' ', '', '', '--', '00 gennaio 1900', '00/01/1900', '1900/01/00'],</v>
      </c>
      <c r="Z1551" s="29" t="str">
        <f t="shared" si="417"/>
        <v xml:space="preserve"> () |  </v>
      </c>
      <c r="AA1551" s="29" t="str">
        <f t="shared" si="418"/>
        <v xml:space="preserve"> </v>
      </c>
      <c r="AB1551" s="29" t="str">
        <f t="shared" si="419"/>
        <v xml:space="preserve"> </v>
      </c>
      <c r="AC1551" s="29" t="str">
        <f t="shared" si="420"/>
        <v xml:space="preserve"> , 0 , 00 gennaio 1900</v>
      </c>
      <c r="AD1551" s="29" t="str">
        <f t="shared" si="421"/>
        <v>1900-01-00T08:00:00.000+02:00</v>
      </c>
      <c r="AE1551" s="29" t="str">
        <f t="shared" si="414"/>
        <v>--</v>
      </c>
      <c r="AF1551" s="29" t="str">
        <f t="shared" si="415"/>
        <v xml:space="preserve">  - 0 - </v>
      </c>
    </row>
    <row r="1552" spans="8:32" x14ac:dyDescent="0.2">
      <c r="H1552" s="29" t="str">
        <f t="shared" si="412"/>
        <v xml:space="preserve"> </v>
      </c>
      <c r="L1552" s="29">
        <f t="shared" si="413"/>
        <v>0</v>
      </c>
      <c r="Q1552" s="38"/>
      <c r="R1552" s="32">
        <f t="shared" si="410"/>
        <v>0</v>
      </c>
      <c r="S1552" s="32" t="str">
        <f>IF(ISERROR(DAY(Q1552)),TEXT(MATCH(TRIM(SUBSTITUTE(SUBSTITUTE(SUBSTITUTE(SUBSTITUTE(SUBSTITUTE(SUBSTITUTE(SUBSTITUTE(SUBSTITUTE(SUBSTITUTE(SUBSTITUTE(SUBSTITUTE(Q1552,1,""),2,""),3,""),4,""),5,""),6,""),7,""),8,""),9,""),0,""),"-","")),{"gennaio","febbraio","marzo","aprile","maggio","giugno","luglio","agosto","settembre","ottobre","novembre","dicembre"},0),"00"),TEXT(MONTH(Q1552)*29,"mmmm"))</f>
        <v>gennaio</v>
      </c>
      <c r="T1552" s="32">
        <f t="shared" si="411"/>
        <v>1900</v>
      </c>
      <c r="U1552" s="29"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00/01/1900</v>
      </c>
      <c r="V1552" s="33"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1900/01/00</v>
      </c>
      <c r="W1552" s="29"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00 gennaio 1900</v>
      </c>
      <c r="X1552" s="29">
        <v>1579</v>
      </c>
      <c r="Y1552" s="29" t="str">
        <f t="shared" si="416"/>
        <v>[' ', '', '', '--', '00 gennaio 1900', '00/01/1900', '1900/01/00'],</v>
      </c>
      <c r="Z1552" s="29" t="str">
        <f t="shared" si="417"/>
        <v xml:space="preserve"> () |  </v>
      </c>
      <c r="AA1552" s="29" t="str">
        <f t="shared" si="418"/>
        <v xml:space="preserve"> </v>
      </c>
      <c r="AB1552" s="29" t="str">
        <f t="shared" si="419"/>
        <v xml:space="preserve"> </v>
      </c>
      <c r="AC1552" s="29" t="str">
        <f t="shared" si="420"/>
        <v xml:space="preserve"> , 0 , 00 gennaio 1900</v>
      </c>
      <c r="AD1552" s="29" t="str">
        <f t="shared" si="421"/>
        <v>1900-01-00T08:00:00.000+02:00</v>
      </c>
      <c r="AE1552" s="29" t="str">
        <f t="shared" si="414"/>
        <v>--</v>
      </c>
      <c r="AF1552" s="29" t="str">
        <f t="shared" si="415"/>
        <v xml:space="preserve">  - 0 - </v>
      </c>
    </row>
    <row r="1553" spans="8:32" x14ac:dyDescent="0.2">
      <c r="H1553" s="29" t="str">
        <f t="shared" si="412"/>
        <v xml:space="preserve"> </v>
      </c>
      <c r="L1553" s="29">
        <f t="shared" si="413"/>
        <v>0</v>
      </c>
      <c r="Q1553" s="38"/>
      <c r="R1553" s="32">
        <f t="shared" si="410"/>
        <v>0</v>
      </c>
      <c r="S1553" s="32" t="str">
        <f>IF(ISERROR(DAY(Q1553)),TEXT(MATCH(TRIM(SUBSTITUTE(SUBSTITUTE(SUBSTITUTE(SUBSTITUTE(SUBSTITUTE(SUBSTITUTE(SUBSTITUTE(SUBSTITUTE(SUBSTITUTE(SUBSTITUTE(SUBSTITUTE(Q1553,1,""),2,""),3,""),4,""),5,""),6,""),7,""),8,""),9,""),0,""),"-","")),{"gennaio","febbraio","marzo","aprile","maggio","giugno","luglio","agosto","settembre","ottobre","novembre","dicembre"},0),"00"),TEXT(MONTH(Q1553)*29,"mmmm"))</f>
        <v>gennaio</v>
      </c>
      <c r="T1553" s="32">
        <f t="shared" si="411"/>
        <v>1900</v>
      </c>
      <c r="U1553" s="29"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00/01/1900</v>
      </c>
      <c r="V1553" s="33"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1900/01/00</v>
      </c>
      <c r="W1553" s="29"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00 gennaio 1900</v>
      </c>
      <c r="X1553" s="29">
        <v>1580</v>
      </c>
      <c r="Y1553" s="29" t="str">
        <f t="shared" si="416"/>
        <v>[' ', '', '', '--', '00 gennaio 1900', '00/01/1900', '1900/01/00'],</v>
      </c>
      <c r="Z1553" s="29" t="str">
        <f t="shared" si="417"/>
        <v xml:space="preserve"> () |  </v>
      </c>
      <c r="AA1553" s="29" t="str">
        <f t="shared" si="418"/>
        <v xml:space="preserve"> </v>
      </c>
      <c r="AB1553" s="29" t="str">
        <f t="shared" si="419"/>
        <v xml:space="preserve"> </v>
      </c>
      <c r="AC1553" s="29" t="str">
        <f t="shared" si="420"/>
        <v xml:space="preserve"> , 0 , 00 gennaio 1900</v>
      </c>
      <c r="AD1553" s="29" t="str">
        <f t="shared" si="421"/>
        <v>1900-01-00T08:00:00.000+02:00</v>
      </c>
      <c r="AE1553" s="29" t="str">
        <f t="shared" si="414"/>
        <v>--</v>
      </c>
      <c r="AF1553" s="29" t="str">
        <f t="shared" si="415"/>
        <v xml:space="preserve">  - 0 - </v>
      </c>
    </row>
    <row r="1554" spans="8:32" x14ac:dyDescent="0.2">
      <c r="H1554" s="29" t="str">
        <f t="shared" si="412"/>
        <v xml:space="preserve"> </v>
      </c>
      <c r="L1554" s="29">
        <f t="shared" si="413"/>
        <v>0</v>
      </c>
      <c r="Q1554" s="38"/>
      <c r="R1554" s="32">
        <f t="shared" ref="R1554:R1617" si="422">IF(ISERROR(DAY(Q1554)),TEXT((LEFT(Q1554,2)),"00"),DAY(Q1554))</f>
        <v>0</v>
      </c>
      <c r="S1554" s="32" t="str">
        <f>IF(ISERROR(DAY(Q1554)),TEXT(MATCH(TRIM(SUBSTITUTE(SUBSTITUTE(SUBSTITUTE(SUBSTITUTE(SUBSTITUTE(SUBSTITUTE(SUBSTITUTE(SUBSTITUTE(SUBSTITUTE(SUBSTITUTE(SUBSTITUTE(Q1554,1,""),2,""),3,""),4,""),5,""),6,""),7,""),8,""),9,""),0,""),"-","")),{"gennaio","febbraio","marzo","aprile","maggio","giugno","luglio","agosto","settembre","ottobre","novembre","dicembre"},0),"00"),TEXT(MONTH(Q1554)*29,"mmmm"))</f>
        <v>gennaio</v>
      </c>
      <c r="T1554" s="32">
        <f t="shared" ref="T1554:T1617" si="423">IF(ISERROR(DAY(Q1554)),VALUE(RIGHT(Q1554,4)),YEAR(Q1554))</f>
        <v>1900</v>
      </c>
      <c r="U1554" s="29"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00/01/1900</v>
      </c>
      <c r="V1554" s="33"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1900/01/00</v>
      </c>
      <c r="W1554" s="29"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00 gennaio 1900</v>
      </c>
      <c r="X1554" s="29">
        <v>1581</v>
      </c>
      <c r="Y1554" s="29" t="str">
        <f t="shared" si="416"/>
        <v>[' ', '', '', '--', '00 gennaio 1900', '00/01/1900', '1900/01/00'],</v>
      </c>
      <c r="Z1554" s="29" t="str">
        <f t="shared" si="417"/>
        <v xml:space="preserve"> () |  </v>
      </c>
      <c r="AA1554" s="29" t="str">
        <f t="shared" si="418"/>
        <v xml:space="preserve"> </v>
      </c>
      <c r="AB1554" s="29" t="str">
        <f t="shared" si="419"/>
        <v xml:space="preserve"> </v>
      </c>
      <c r="AC1554" s="29" t="str">
        <f t="shared" si="420"/>
        <v xml:space="preserve"> , 0 , 00 gennaio 1900</v>
      </c>
      <c r="AD1554" s="29" t="str">
        <f t="shared" si="421"/>
        <v>1900-01-00T08:00:00.000+02:00</v>
      </c>
      <c r="AE1554" s="29" t="str">
        <f t="shared" si="414"/>
        <v>--</v>
      </c>
      <c r="AF1554" s="29" t="str">
        <f t="shared" si="415"/>
        <v xml:space="preserve">  - 0 - </v>
      </c>
    </row>
    <row r="1555" spans="8:32" x14ac:dyDescent="0.2">
      <c r="H1555" s="29" t="str">
        <f t="shared" si="412"/>
        <v xml:space="preserve"> </v>
      </c>
      <c r="L1555" s="29">
        <f t="shared" si="413"/>
        <v>0</v>
      </c>
      <c r="Q1555" s="38"/>
      <c r="R1555" s="32">
        <f t="shared" si="422"/>
        <v>0</v>
      </c>
      <c r="S1555" s="32" t="str">
        <f>IF(ISERROR(DAY(Q1555)),TEXT(MATCH(TRIM(SUBSTITUTE(SUBSTITUTE(SUBSTITUTE(SUBSTITUTE(SUBSTITUTE(SUBSTITUTE(SUBSTITUTE(SUBSTITUTE(SUBSTITUTE(SUBSTITUTE(SUBSTITUTE(Q1555,1,""),2,""),3,""),4,""),5,""),6,""),7,""),8,""),9,""),0,""),"-","")),{"gennaio","febbraio","marzo","aprile","maggio","giugno","luglio","agosto","settembre","ottobre","novembre","dicembre"},0),"00"),TEXT(MONTH(Q1555)*29,"mmmm"))</f>
        <v>gennaio</v>
      </c>
      <c r="T1555" s="32">
        <f t="shared" si="423"/>
        <v>1900</v>
      </c>
      <c r="U1555" s="29"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00/01/1900</v>
      </c>
      <c r="V1555" s="33"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1900/01/00</v>
      </c>
      <c r="W1555" s="29"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00 gennaio 1900</v>
      </c>
      <c r="X1555" s="29">
        <v>1582</v>
      </c>
      <c r="Y1555" s="29" t="str">
        <f t="shared" si="416"/>
        <v>[' ', '', '', '--', '00 gennaio 1900', '00/01/1900', '1900/01/00'],</v>
      </c>
      <c r="Z1555" s="29" t="str">
        <f t="shared" si="417"/>
        <v xml:space="preserve"> () |  </v>
      </c>
      <c r="AA1555" s="29" t="str">
        <f t="shared" si="418"/>
        <v xml:space="preserve"> </v>
      </c>
      <c r="AB1555" s="29" t="str">
        <f t="shared" si="419"/>
        <v xml:space="preserve"> </v>
      </c>
      <c r="AC1555" s="29" t="str">
        <f t="shared" si="420"/>
        <v xml:space="preserve"> , 0 , 00 gennaio 1900</v>
      </c>
      <c r="AD1555" s="29" t="str">
        <f t="shared" si="421"/>
        <v>1900-01-00T08:00:00.000+02:00</v>
      </c>
      <c r="AE1555" s="29" t="str">
        <f t="shared" si="414"/>
        <v>--</v>
      </c>
      <c r="AF1555" s="29" t="str">
        <f t="shared" si="415"/>
        <v xml:space="preserve">  - 0 - </v>
      </c>
    </row>
    <row r="1556" spans="8:32" x14ac:dyDescent="0.2">
      <c r="H1556" s="29" t="str">
        <f t="shared" si="412"/>
        <v xml:space="preserve"> </v>
      </c>
      <c r="L1556" s="29">
        <f t="shared" si="413"/>
        <v>0</v>
      </c>
      <c r="Q1556" s="38"/>
      <c r="R1556" s="32">
        <f t="shared" si="422"/>
        <v>0</v>
      </c>
      <c r="S1556" s="32" t="str">
        <f>IF(ISERROR(DAY(Q1556)),TEXT(MATCH(TRIM(SUBSTITUTE(SUBSTITUTE(SUBSTITUTE(SUBSTITUTE(SUBSTITUTE(SUBSTITUTE(SUBSTITUTE(SUBSTITUTE(SUBSTITUTE(SUBSTITUTE(SUBSTITUTE(Q1556,1,""),2,""),3,""),4,""),5,""),6,""),7,""),8,""),9,""),0,""),"-","")),{"gennaio","febbraio","marzo","aprile","maggio","giugno","luglio","agosto","settembre","ottobre","novembre","dicembre"},0),"00"),TEXT(MONTH(Q1556)*29,"mmmm"))</f>
        <v>gennaio</v>
      </c>
      <c r="T1556" s="32">
        <f t="shared" si="423"/>
        <v>1900</v>
      </c>
      <c r="U1556" s="29"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00/01/1900</v>
      </c>
      <c r="V1556" s="33"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1900/01/00</v>
      </c>
      <c r="W1556" s="29"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00 gennaio 1900</v>
      </c>
      <c r="X1556" s="29">
        <v>1583</v>
      </c>
      <c r="Y1556" s="29" t="str">
        <f t="shared" si="416"/>
        <v>[' ', '', '', '--', '00 gennaio 1900', '00/01/1900', '1900/01/00'],</v>
      </c>
      <c r="Z1556" s="29" t="str">
        <f t="shared" si="417"/>
        <v xml:space="preserve"> () |  </v>
      </c>
      <c r="AA1556" s="29" t="str">
        <f t="shared" si="418"/>
        <v xml:space="preserve"> </v>
      </c>
      <c r="AB1556" s="29" t="str">
        <f t="shared" si="419"/>
        <v xml:space="preserve"> </v>
      </c>
      <c r="AC1556" s="29" t="str">
        <f t="shared" si="420"/>
        <v xml:space="preserve"> , 0 , 00 gennaio 1900</v>
      </c>
      <c r="AD1556" s="29" t="str">
        <f t="shared" si="421"/>
        <v>1900-01-00T08:00:00.000+02:00</v>
      </c>
      <c r="AE1556" s="29" t="str">
        <f t="shared" si="414"/>
        <v>--</v>
      </c>
      <c r="AF1556" s="29" t="str">
        <f t="shared" si="415"/>
        <v xml:space="preserve">  - 0 - </v>
      </c>
    </row>
    <row r="1557" spans="8:32" x14ac:dyDescent="0.2">
      <c r="H1557" s="29" t="str">
        <f t="shared" si="412"/>
        <v xml:space="preserve"> </v>
      </c>
      <c r="L1557" s="29">
        <f t="shared" si="413"/>
        <v>0</v>
      </c>
      <c r="Q1557" s="38"/>
      <c r="R1557" s="32">
        <f t="shared" si="422"/>
        <v>0</v>
      </c>
      <c r="S1557" s="32" t="str">
        <f>IF(ISERROR(DAY(Q1557)),TEXT(MATCH(TRIM(SUBSTITUTE(SUBSTITUTE(SUBSTITUTE(SUBSTITUTE(SUBSTITUTE(SUBSTITUTE(SUBSTITUTE(SUBSTITUTE(SUBSTITUTE(SUBSTITUTE(SUBSTITUTE(Q1557,1,""),2,""),3,""),4,""),5,""),6,""),7,""),8,""),9,""),0,""),"-","")),{"gennaio","febbraio","marzo","aprile","maggio","giugno","luglio","agosto","settembre","ottobre","novembre","dicembre"},0),"00"),TEXT(MONTH(Q1557)*29,"mmmm"))</f>
        <v>gennaio</v>
      </c>
      <c r="T1557" s="32">
        <f t="shared" si="423"/>
        <v>1900</v>
      </c>
      <c r="U1557" s="29"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00/01/1900</v>
      </c>
      <c r="V1557" s="33"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1900/01/00</v>
      </c>
      <c r="W1557" s="29"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00 gennaio 1900</v>
      </c>
      <c r="X1557" s="29">
        <v>1584</v>
      </c>
      <c r="Y1557" s="29" t="str">
        <f t="shared" si="416"/>
        <v>[' ', '', '', '--', '00 gennaio 1900', '00/01/1900', '1900/01/00'],</v>
      </c>
      <c r="Z1557" s="29" t="str">
        <f t="shared" si="417"/>
        <v xml:space="preserve"> () |  </v>
      </c>
      <c r="AA1557" s="29" t="str">
        <f t="shared" si="418"/>
        <v xml:space="preserve"> </v>
      </c>
      <c r="AB1557" s="29" t="str">
        <f t="shared" si="419"/>
        <v xml:space="preserve"> </v>
      </c>
      <c r="AC1557" s="29" t="str">
        <f t="shared" si="420"/>
        <v xml:space="preserve"> , 0 , 00 gennaio 1900</v>
      </c>
      <c r="AD1557" s="29" t="str">
        <f t="shared" si="421"/>
        <v>1900-01-00T08:00:00.000+02:00</v>
      </c>
      <c r="AE1557" s="29" t="str">
        <f t="shared" si="414"/>
        <v>--</v>
      </c>
      <c r="AF1557" s="29" t="str">
        <f t="shared" si="415"/>
        <v xml:space="preserve">  - 0 - </v>
      </c>
    </row>
    <row r="1558" spans="8:32" x14ac:dyDescent="0.2">
      <c r="H1558" s="29" t="str">
        <f t="shared" si="412"/>
        <v xml:space="preserve"> </v>
      </c>
      <c r="L1558" s="29">
        <f t="shared" si="413"/>
        <v>0</v>
      </c>
      <c r="Q1558" s="38"/>
      <c r="R1558" s="32">
        <f t="shared" si="422"/>
        <v>0</v>
      </c>
      <c r="S1558" s="32"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32">
        <f t="shared" si="423"/>
        <v>1900</v>
      </c>
      <c r="U1558" s="29"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00/01/1900</v>
      </c>
      <c r="V1558" s="33"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1900/01/00</v>
      </c>
      <c r="W1558" s="29"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00 gennaio 1900</v>
      </c>
      <c r="X1558" s="29">
        <v>1585</v>
      </c>
      <c r="Y1558" s="29" t="str">
        <f t="shared" si="416"/>
        <v>[' ', '', '', '--', '00 gennaio 1900', '00/01/1900', '1900/01/00'],</v>
      </c>
      <c r="Z1558" s="29" t="str">
        <f t="shared" si="417"/>
        <v xml:space="preserve"> () |  </v>
      </c>
      <c r="AA1558" s="29" t="str">
        <f t="shared" si="418"/>
        <v xml:space="preserve"> </v>
      </c>
      <c r="AB1558" s="29" t="str">
        <f t="shared" si="419"/>
        <v xml:space="preserve"> </v>
      </c>
      <c r="AC1558" s="29" t="str">
        <f t="shared" si="420"/>
        <v xml:space="preserve"> , 0 , 00 gennaio 1900</v>
      </c>
      <c r="AD1558" s="29" t="str">
        <f t="shared" si="421"/>
        <v>1900-01-00T08:00:00.000+02:00</v>
      </c>
      <c r="AE1558" s="29" t="str">
        <f t="shared" si="414"/>
        <v>--</v>
      </c>
      <c r="AF1558" s="29" t="str">
        <f t="shared" si="415"/>
        <v xml:space="preserve">  - 0 - </v>
      </c>
    </row>
    <row r="1559" spans="8:32" x14ac:dyDescent="0.2">
      <c r="H1559" s="29" t="str">
        <f t="shared" si="412"/>
        <v xml:space="preserve"> </v>
      </c>
      <c r="L1559" s="29">
        <f t="shared" si="413"/>
        <v>0</v>
      </c>
      <c r="Q1559" s="38"/>
      <c r="R1559" s="32">
        <f t="shared" si="422"/>
        <v>0</v>
      </c>
      <c r="S1559" s="32"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32">
        <f t="shared" si="423"/>
        <v>1900</v>
      </c>
      <c r="U1559" s="29"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00/01/1900</v>
      </c>
      <c r="V1559" s="33"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1900/01/00</v>
      </c>
      <c r="W1559" s="29"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00 gennaio 1900</v>
      </c>
      <c r="X1559" s="29">
        <v>1586</v>
      </c>
      <c r="Y1559" s="29" t="str">
        <f t="shared" si="416"/>
        <v>[' ', '', '', '--', '00 gennaio 1900', '00/01/1900', '1900/01/00'],</v>
      </c>
      <c r="Z1559" s="29" t="str">
        <f t="shared" si="417"/>
        <v xml:space="preserve"> () |  </v>
      </c>
      <c r="AA1559" s="29" t="str">
        <f t="shared" si="418"/>
        <v xml:space="preserve"> </v>
      </c>
      <c r="AB1559" s="29" t="str">
        <f t="shared" si="419"/>
        <v xml:space="preserve"> </v>
      </c>
      <c r="AC1559" s="29" t="str">
        <f t="shared" si="420"/>
        <v xml:space="preserve"> , 0 , 00 gennaio 1900</v>
      </c>
      <c r="AD1559" s="29" t="str">
        <f t="shared" si="421"/>
        <v>1900-01-00T08:00:00.000+02:00</v>
      </c>
      <c r="AE1559" s="29" t="str">
        <f t="shared" si="414"/>
        <v>--</v>
      </c>
      <c r="AF1559" s="29" t="str">
        <f t="shared" si="415"/>
        <v xml:space="preserve">  - 0 - </v>
      </c>
    </row>
    <row r="1560" spans="8:32" x14ac:dyDescent="0.2">
      <c r="H1560" s="29" t="str">
        <f t="shared" si="412"/>
        <v xml:space="preserve"> </v>
      </c>
      <c r="L1560" s="29">
        <f t="shared" si="413"/>
        <v>0</v>
      </c>
      <c r="Q1560" s="38"/>
      <c r="R1560" s="32">
        <f t="shared" si="422"/>
        <v>0</v>
      </c>
      <c r="S1560" s="32" t="str">
        <f>IF(ISERROR(DAY(Q1560)),TEXT(MATCH(TRIM(SUBSTITUTE(SUBSTITUTE(SUBSTITUTE(SUBSTITUTE(SUBSTITUTE(SUBSTITUTE(SUBSTITUTE(SUBSTITUTE(SUBSTITUTE(SUBSTITUTE(SUBSTITUTE(Q1560,1,""),2,""),3,""),4,""),5,""),6,""),7,""),8,""),9,""),0,""),"-","")),{"gennaio","febbraio","marzo","aprile","maggio","giugno","luglio","agosto","settembre","ottobre","novembre","dicembre"},0),"00"),TEXT(MONTH(Q1560)*29,"mmmm"))</f>
        <v>gennaio</v>
      </c>
      <c r="T1560" s="32">
        <f t="shared" si="423"/>
        <v>1900</v>
      </c>
      <c r="U1560" s="29"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00/01/1900</v>
      </c>
      <c r="V1560" s="33"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1900/01/00</v>
      </c>
      <c r="W1560" s="29"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00 gennaio 1900</v>
      </c>
      <c r="X1560" s="29">
        <v>1587</v>
      </c>
      <c r="Y1560" s="29" t="str">
        <f t="shared" si="416"/>
        <v>[' ', '', '', '--', '00 gennaio 1900', '00/01/1900', '1900/01/00'],</v>
      </c>
      <c r="Z1560" s="29" t="str">
        <f t="shared" si="417"/>
        <v xml:space="preserve"> () |  </v>
      </c>
      <c r="AA1560" s="29" t="str">
        <f t="shared" si="418"/>
        <v xml:space="preserve"> </v>
      </c>
      <c r="AB1560" s="29" t="str">
        <f t="shared" si="419"/>
        <v xml:space="preserve"> </v>
      </c>
      <c r="AC1560" s="29" t="str">
        <f t="shared" si="420"/>
        <v xml:space="preserve"> , 0 , 00 gennaio 1900</v>
      </c>
      <c r="AD1560" s="29" t="str">
        <f t="shared" si="421"/>
        <v>1900-01-00T08:00:00.000+02:00</v>
      </c>
      <c r="AE1560" s="29" t="str">
        <f t="shared" si="414"/>
        <v>--</v>
      </c>
      <c r="AF1560" s="29" t="str">
        <f t="shared" si="415"/>
        <v xml:space="preserve">  - 0 - </v>
      </c>
    </row>
    <row r="1561" spans="8:32" x14ac:dyDescent="0.2">
      <c r="H1561" s="29" t="str">
        <f t="shared" si="412"/>
        <v xml:space="preserve"> </v>
      </c>
      <c r="L1561" s="29">
        <f t="shared" si="413"/>
        <v>0</v>
      </c>
      <c r="Q1561" s="38"/>
      <c r="R1561" s="32">
        <f t="shared" si="422"/>
        <v>0</v>
      </c>
      <c r="S1561" s="32" t="str">
        <f>IF(ISERROR(DAY(Q1561)),TEXT(MATCH(TRIM(SUBSTITUTE(SUBSTITUTE(SUBSTITUTE(SUBSTITUTE(SUBSTITUTE(SUBSTITUTE(SUBSTITUTE(SUBSTITUTE(SUBSTITUTE(SUBSTITUTE(SUBSTITUTE(Q1561,1,""),2,""),3,""),4,""),5,""),6,""),7,""),8,""),9,""),0,""),"-","")),{"gennaio","febbraio","marzo","aprile","maggio","giugno","luglio","agosto","settembre","ottobre","novembre","dicembre"},0),"00"),TEXT(MONTH(Q1561)*29,"mmmm"))</f>
        <v>gennaio</v>
      </c>
      <c r="T1561" s="32">
        <f t="shared" si="423"/>
        <v>1900</v>
      </c>
      <c r="U1561" s="29"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00/01/1900</v>
      </c>
      <c r="V1561" s="33"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1900/01/00</v>
      </c>
      <c r="W1561" s="29"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00 gennaio 1900</v>
      </c>
      <c r="X1561" s="29">
        <v>1588</v>
      </c>
      <c r="Y1561" s="29" t="str">
        <f t="shared" si="416"/>
        <v>[' ', '', '', '--', '00 gennaio 1900', '00/01/1900', '1900/01/00'],</v>
      </c>
      <c r="Z1561" s="29" t="str">
        <f t="shared" si="417"/>
        <v xml:space="preserve"> () |  </v>
      </c>
      <c r="AA1561" s="29" t="str">
        <f t="shared" si="418"/>
        <v xml:space="preserve"> </v>
      </c>
      <c r="AB1561" s="29" t="str">
        <f t="shared" si="419"/>
        <v xml:space="preserve"> </v>
      </c>
      <c r="AC1561" s="29" t="str">
        <f t="shared" si="420"/>
        <v xml:space="preserve"> , 0 , 00 gennaio 1900</v>
      </c>
      <c r="AD1561" s="29" t="str">
        <f t="shared" si="421"/>
        <v>1900-01-00T08:00:00.000+02:00</v>
      </c>
      <c r="AE1561" s="29" t="str">
        <f t="shared" si="414"/>
        <v>--</v>
      </c>
      <c r="AF1561" s="29" t="str">
        <f t="shared" si="415"/>
        <v xml:space="preserve">  - 0 - </v>
      </c>
    </row>
    <row r="1562" spans="8:32" x14ac:dyDescent="0.2">
      <c r="H1562" s="29" t="str">
        <f t="shared" si="412"/>
        <v xml:space="preserve"> </v>
      </c>
      <c r="L1562" s="29">
        <f t="shared" si="413"/>
        <v>0</v>
      </c>
      <c r="Q1562" s="38"/>
      <c r="R1562" s="32">
        <f t="shared" si="422"/>
        <v>0</v>
      </c>
      <c r="S1562" s="32" t="str">
        <f>IF(ISERROR(DAY(Q1562)),TEXT(MATCH(TRIM(SUBSTITUTE(SUBSTITUTE(SUBSTITUTE(SUBSTITUTE(SUBSTITUTE(SUBSTITUTE(SUBSTITUTE(SUBSTITUTE(SUBSTITUTE(SUBSTITUTE(SUBSTITUTE(Q1562,1,""),2,""),3,""),4,""),5,""),6,""),7,""),8,""),9,""),0,""),"-","")),{"gennaio","febbraio","marzo","aprile","maggio","giugno","luglio","agosto","settembre","ottobre","novembre","dicembre"},0),"00"),TEXT(MONTH(Q1562)*29,"mmmm"))</f>
        <v>gennaio</v>
      </c>
      <c r="T1562" s="32">
        <f t="shared" si="423"/>
        <v>1900</v>
      </c>
      <c r="U1562" s="29"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00/01/1900</v>
      </c>
      <c r="V1562" s="33"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1900/01/00</v>
      </c>
      <c r="W1562" s="29"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00 gennaio 1900</v>
      </c>
      <c r="X1562" s="29">
        <v>1589</v>
      </c>
      <c r="Y1562" s="29" t="str">
        <f t="shared" si="416"/>
        <v>[' ', '', '', '--', '00 gennaio 1900', '00/01/1900', '1900/01/00'],</v>
      </c>
      <c r="Z1562" s="29" t="str">
        <f t="shared" si="417"/>
        <v xml:space="preserve"> () |  </v>
      </c>
      <c r="AA1562" s="29" t="str">
        <f t="shared" si="418"/>
        <v xml:space="preserve"> </v>
      </c>
      <c r="AB1562" s="29" t="str">
        <f t="shared" si="419"/>
        <v xml:space="preserve"> </v>
      </c>
      <c r="AC1562" s="29" t="str">
        <f t="shared" si="420"/>
        <v xml:space="preserve"> , 0 , 00 gennaio 1900</v>
      </c>
      <c r="AD1562" s="29" t="str">
        <f t="shared" si="421"/>
        <v>1900-01-00T08:00:00.000+02:00</v>
      </c>
      <c r="AE1562" s="29" t="str">
        <f t="shared" si="414"/>
        <v>--</v>
      </c>
      <c r="AF1562" s="29" t="str">
        <f t="shared" si="415"/>
        <v xml:space="preserve">  - 0 - </v>
      </c>
    </row>
    <row r="1563" spans="8:32" x14ac:dyDescent="0.2">
      <c r="H1563" s="29" t="str">
        <f t="shared" si="412"/>
        <v xml:space="preserve"> </v>
      </c>
      <c r="L1563" s="29">
        <f t="shared" si="413"/>
        <v>0</v>
      </c>
      <c r="Q1563" s="38"/>
      <c r="R1563" s="32">
        <f t="shared" si="422"/>
        <v>0</v>
      </c>
      <c r="S1563" s="32" t="str">
        <f>IF(ISERROR(DAY(Q1563)),TEXT(MATCH(TRIM(SUBSTITUTE(SUBSTITUTE(SUBSTITUTE(SUBSTITUTE(SUBSTITUTE(SUBSTITUTE(SUBSTITUTE(SUBSTITUTE(SUBSTITUTE(SUBSTITUTE(SUBSTITUTE(Q1563,1,""),2,""),3,""),4,""),5,""),6,""),7,""),8,""),9,""),0,""),"-","")),{"gennaio","febbraio","marzo","aprile","maggio","giugno","luglio","agosto","settembre","ottobre","novembre","dicembre"},0),"00"),TEXT(MONTH(Q1563)*29,"mmmm"))</f>
        <v>gennaio</v>
      </c>
      <c r="T1563" s="32">
        <f t="shared" si="423"/>
        <v>1900</v>
      </c>
      <c r="U1563" s="29"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00/01/1900</v>
      </c>
      <c r="V1563" s="33"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1900/01/00</v>
      </c>
      <c r="W1563" s="29"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00 gennaio 1900</v>
      </c>
      <c r="X1563" s="29">
        <v>1590</v>
      </c>
      <c r="Y1563" s="29" t="str">
        <f t="shared" si="416"/>
        <v>[' ', '', '', '--', '00 gennaio 1900', '00/01/1900', '1900/01/00'],</v>
      </c>
      <c r="Z1563" s="29" t="str">
        <f t="shared" si="417"/>
        <v xml:space="preserve"> () |  </v>
      </c>
      <c r="AA1563" s="29" t="str">
        <f t="shared" si="418"/>
        <v xml:space="preserve"> </v>
      </c>
      <c r="AB1563" s="29" t="str">
        <f t="shared" si="419"/>
        <v xml:space="preserve"> </v>
      </c>
      <c r="AC1563" s="29" t="str">
        <f t="shared" si="420"/>
        <v xml:space="preserve"> , 0 , 00 gennaio 1900</v>
      </c>
      <c r="AD1563" s="29" t="str">
        <f t="shared" si="421"/>
        <v>1900-01-00T08:00:00.000+02:00</v>
      </c>
      <c r="AE1563" s="29" t="str">
        <f t="shared" si="414"/>
        <v>--</v>
      </c>
      <c r="AF1563" s="29" t="str">
        <f t="shared" si="415"/>
        <v xml:space="preserve">  - 0 - </v>
      </c>
    </row>
    <row r="1564" spans="8:32" x14ac:dyDescent="0.2">
      <c r="H1564" s="29" t="str">
        <f t="shared" si="412"/>
        <v xml:space="preserve"> </v>
      </c>
      <c r="L1564" s="29">
        <f t="shared" si="413"/>
        <v>0</v>
      </c>
      <c r="Q1564" s="38"/>
      <c r="R1564" s="32">
        <f t="shared" si="422"/>
        <v>0</v>
      </c>
      <c r="S1564" s="32" t="str">
        <f>IF(ISERROR(DAY(Q1564)),TEXT(MATCH(TRIM(SUBSTITUTE(SUBSTITUTE(SUBSTITUTE(SUBSTITUTE(SUBSTITUTE(SUBSTITUTE(SUBSTITUTE(SUBSTITUTE(SUBSTITUTE(SUBSTITUTE(SUBSTITUTE(Q1564,1,""),2,""),3,""),4,""),5,""),6,""),7,""),8,""),9,""),0,""),"-","")),{"gennaio","febbraio","marzo","aprile","maggio","giugno","luglio","agosto","settembre","ottobre","novembre","dicembre"},0),"00"),TEXT(MONTH(Q1564)*29,"mmmm"))</f>
        <v>gennaio</v>
      </c>
      <c r="T1564" s="32">
        <f t="shared" si="423"/>
        <v>1900</v>
      </c>
      <c r="U1564" s="29"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00/01/1900</v>
      </c>
      <c r="V1564" s="33"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1900/01/00</v>
      </c>
      <c r="W1564" s="29"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00 gennaio 1900</v>
      </c>
      <c r="X1564" s="29">
        <v>1591</v>
      </c>
      <c r="Y1564" s="29" t="str">
        <f t="shared" si="416"/>
        <v>[' ', '', '', '--', '00 gennaio 1900', '00/01/1900', '1900/01/00'],</v>
      </c>
      <c r="Z1564" s="29" t="str">
        <f t="shared" si="417"/>
        <v xml:space="preserve"> () |  </v>
      </c>
      <c r="AA1564" s="29" t="str">
        <f t="shared" si="418"/>
        <v xml:space="preserve"> </v>
      </c>
      <c r="AB1564" s="29" t="str">
        <f t="shared" si="419"/>
        <v xml:space="preserve"> </v>
      </c>
      <c r="AC1564" s="29" t="str">
        <f t="shared" si="420"/>
        <v xml:space="preserve"> , 0 , 00 gennaio 1900</v>
      </c>
      <c r="AD1564" s="29" t="str">
        <f t="shared" si="421"/>
        <v>1900-01-00T08:00:00.000+02:00</v>
      </c>
      <c r="AE1564" s="29" t="str">
        <f t="shared" si="414"/>
        <v>--</v>
      </c>
      <c r="AF1564" s="29" t="str">
        <f t="shared" si="415"/>
        <v xml:space="preserve">  - 0 - </v>
      </c>
    </row>
    <row r="1565" spans="8:32" x14ac:dyDescent="0.2">
      <c r="H1565" s="29" t="str">
        <f t="shared" si="412"/>
        <v xml:space="preserve"> </v>
      </c>
      <c r="L1565" s="29">
        <f t="shared" si="413"/>
        <v>0</v>
      </c>
      <c r="Q1565" s="38"/>
      <c r="R1565" s="32">
        <f t="shared" si="422"/>
        <v>0</v>
      </c>
      <c r="S1565" s="32" t="str">
        <f>IF(ISERROR(DAY(Q1565)),TEXT(MATCH(TRIM(SUBSTITUTE(SUBSTITUTE(SUBSTITUTE(SUBSTITUTE(SUBSTITUTE(SUBSTITUTE(SUBSTITUTE(SUBSTITUTE(SUBSTITUTE(SUBSTITUTE(SUBSTITUTE(Q1565,1,""),2,""),3,""),4,""),5,""),6,""),7,""),8,""),9,""),0,""),"-","")),{"gennaio","febbraio","marzo","aprile","maggio","giugno","luglio","agosto","settembre","ottobre","novembre","dicembre"},0),"00"),TEXT(MONTH(Q1565)*29,"mmmm"))</f>
        <v>gennaio</v>
      </c>
      <c r="T1565" s="32">
        <f t="shared" si="423"/>
        <v>1900</v>
      </c>
      <c r="U1565" s="29"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00/01/1900</v>
      </c>
      <c r="V1565" s="33"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1900/01/00</v>
      </c>
      <c r="W1565" s="29"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00 gennaio 1900</v>
      </c>
      <c r="X1565" s="29">
        <v>1592</v>
      </c>
      <c r="Y1565" s="29" t="str">
        <f t="shared" si="416"/>
        <v>[' ', '', '', '--', '00 gennaio 1900', '00/01/1900', '1900/01/00'],</v>
      </c>
      <c r="Z1565" s="29" t="str">
        <f t="shared" si="417"/>
        <v xml:space="preserve"> () |  </v>
      </c>
      <c r="AA1565" s="29" t="str">
        <f t="shared" si="418"/>
        <v xml:space="preserve"> </v>
      </c>
      <c r="AB1565" s="29" t="str">
        <f t="shared" si="419"/>
        <v xml:space="preserve"> </v>
      </c>
      <c r="AC1565" s="29" t="str">
        <f t="shared" si="420"/>
        <v xml:space="preserve"> , 0 , 00 gennaio 1900</v>
      </c>
      <c r="AD1565" s="29" t="str">
        <f t="shared" si="421"/>
        <v>1900-01-00T08:00:00.000+02:00</v>
      </c>
      <c r="AE1565" s="29" t="str">
        <f t="shared" si="414"/>
        <v>--</v>
      </c>
      <c r="AF1565" s="29" t="str">
        <f t="shared" si="415"/>
        <v xml:space="preserve">  - 0 - </v>
      </c>
    </row>
    <row r="1566" spans="8:32" x14ac:dyDescent="0.2">
      <c r="H1566" s="29" t="str">
        <f t="shared" si="412"/>
        <v xml:space="preserve"> </v>
      </c>
      <c r="L1566" s="29">
        <f t="shared" si="413"/>
        <v>0</v>
      </c>
      <c r="Q1566" s="38"/>
      <c r="R1566" s="32">
        <f t="shared" si="422"/>
        <v>0</v>
      </c>
      <c r="S1566" s="32" t="str">
        <f>IF(ISERROR(DAY(Q1566)),TEXT(MATCH(TRIM(SUBSTITUTE(SUBSTITUTE(SUBSTITUTE(SUBSTITUTE(SUBSTITUTE(SUBSTITUTE(SUBSTITUTE(SUBSTITUTE(SUBSTITUTE(SUBSTITUTE(SUBSTITUTE(Q1566,1,""),2,""),3,""),4,""),5,""),6,""),7,""),8,""),9,""),0,""),"-","")),{"gennaio","febbraio","marzo","aprile","maggio","giugno","luglio","agosto","settembre","ottobre","novembre","dicembre"},0),"00"),TEXT(MONTH(Q1566)*29,"mmmm"))</f>
        <v>gennaio</v>
      </c>
      <c r="T1566" s="32">
        <f t="shared" si="423"/>
        <v>1900</v>
      </c>
      <c r="U1566" s="29"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00/01/1900</v>
      </c>
      <c r="V1566" s="33"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1900/01/00</v>
      </c>
      <c r="W1566" s="29"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00 gennaio 1900</v>
      </c>
      <c r="X1566" s="29">
        <v>1593</v>
      </c>
      <c r="Y1566" s="29" t="str">
        <f t="shared" si="416"/>
        <v>[' ', '', '', '--', '00 gennaio 1900', '00/01/1900', '1900/01/00'],</v>
      </c>
      <c r="Z1566" s="29" t="str">
        <f t="shared" si="417"/>
        <v xml:space="preserve"> () |  </v>
      </c>
      <c r="AA1566" s="29" t="str">
        <f t="shared" si="418"/>
        <v xml:space="preserve"> </v>
      </c>
      <c r="AB1566" s="29" t="str">
        <f t="shared" si="419"/>
        <v xml:space="preserve"> </v>
      </c>
      <c r="AC1566" s="29" t="str">
        <f t="shared" si="420"/>
        <v xml:space="preserve"> , 0 , 00 gennaio 1900</v>
      </c>
      <c r="AD1566" s="29" t="str">
        <f t="shared" si="421"/>
        <v>1900-01-00T08:00:00.000+02:00</v>
      </c>
      <c r="AE1566" s="29" t="str">
        <f t="shared" si="414"/>
        <v>--</v>
      </c>
      <c r="AF1566" s="29" t="str">
        <f t="shared" si="415"/>
        <v xml:space="preserve">  - 0 - </v>
      </c>
    </row>
    <row r="1567" spans="8:32" x14ac:dyDescent="0.2">
      <c r="H1567" s="29" t="str">
        <f t="shared" si="412"/>
        <v xml:space="preserve"> </v>
      </c>
      <c r="L1567" s="29">
        <f t="shared" si="413"/>
        <v>0</v>
      </c>
      <c r="Q1567" s="38"/>
      <c r="R1567" s="32">
        <f t="shared" si="422"/>
        <v>0</v>
      </c>
      <c r="S1567" s="32" t="str">
        <f>IF(ISERROR(DAY(Q1567)),TEXT(MATCH(TRIM(SUBSTITUTE(SUBSTITUTE(SUBSTITUTE(SUBSTITUTE(SUBSTITUTE(SUBSTITUTE(SUBSTITUTE(SUBSTITUTE(SUBSTITUTE(SUBSTITUTE(SUBSTITUTE(Q1567,1,""),2,""),3,""),4,""),5,""),6,""),7,""),8,""),9,""),0,""),"-","")),{"gennaio","febbraio","marzo","aprile","maggio","giugno","luglio","agosto","settembre","ottobre","novembre","dicembre"},0),"00"),TEXT(MONTH(Q1567)*29,"mmmm"))</f>
        <v>gennaio</v>
      </c>
      <c r="T1567" s="32">
        <f t="shared" si="423"/>
        <v>1900</v>
      </c>
      <c r="U1567" s="29"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00/01/1900</v>
      </c>
      <c r="V1567" s="33"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1900/01/00</v>
      </c>
      <c r="W1567" s="29"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00 gennaio 1900</v>
      </c>
      <c r="X1567" s="29">
        <v>1594</v>
      </c>
      <c r="Y1567" s="29" t="str">
        <f t="shared" si="416"/>
        <v>[' ', '', '', '--', '00 gennaio 1900', '00/01/1900', '1900/01/00'],</v>
      </c>
      <c r="Z1567" s="29" t="str">
        <f t="shared" si="417"/>
        <v xml:space="preserve"> () |  </v>
      </c>
      <c r="AA1567" s="29" t="str">
        <f t="shared" si="418"/>
        <v xml:space="preserve"> </v>
      </c>
      <c r="AB1567" s="29" t="str">
        <f t="shared" si="419"/>
        <v xml:space="preserve"> </v>
      </c>
      <c r="AC1567" s="29" t="str">
        <f t="shared" si="420"/>
        <v xml:space="preserve"> , 0 , 00 gennaio 1900</v>
      </c>
      <c r="AD1567" s="29" t="str">
        <f t="shared" si="421"/>
        <v>1900-01-00T08:00:00.000+02:00</v>
      </c>
      <c r="AE1567" s="29" t="str">
        <f t="shared" si="414"/>
        <v>--</v>
      </c>
      <c r="AF1567" s="29" t="str">
        <f t="shared" si="415"/>
        <v xml:space="preserve">  - 0 - </v>
      </c>
    </row>
    <row r="1568" spans="8:32" x14ac:dyDescent="0.2">
      <c r="H1568" s="29" t="str">
        <f t="shared" ref="H1568:H1631" si="424">_xlfn.CONCAT(D1568 &amp; " " &amp; E1568)</f>
        <v xml:space="preserve"> </v>
      </c>
      <c r="L1568" s="29">
        <f t="shared" si="413"/>
        <v>0</v>
      </c>
      <c r="Q1568" s="38"/>
      <c r="R1568" s="32">
        <f t="shared" si="422"/>
        <v>0</v>
      </c>
      <c r="S1568" s="32" t="str">
        <f>IF(ISERROR(DAY(Q1568)),TEXT(MATCH(TRIM(SUBSTITUTE(SUBSTITUTE(SUBSTITUTE(SUBSTITUTE(SUBSTITUTE(SUBSTITUTE(SUBSTITUTE(SUBSTITUTE(SUBSTITUTE(SUBSTITUTE(SUBSTITUTE(Q1568,1,""),2,""),3,""),4,""),5,""),6,""),7,""),8,""),9,""),0,""),"-","")),{"gennaio","febbraio","marzo","aprile","maggio","giugno","luglio","agosto","settembre","ottobre","novembre","dicembre"},0),"00"),TEXT(MONTH(Q1568)*29,"mmmm"))</f>
        <v>gennaio</v>
      </c>
      <c r="T1568" s="32">
        <f t="shared" si="423"/>
        <v>1900</v>
      </c>
      <c r="U1568" s="29"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00/01/1900</v>
      </c>
      <c r="V1568" s="33"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1900/01/00</v>
      </c>
      <c r="W1568" s="29"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00 gennaio 1900</v>
      </c>
      <c r="X1568" s="29">
        <v>1595</v>
      </c>
      <c r="Y1568" s="29" t="str">
        <f t="shared" si="416"/>
        <v>[' ', '', '', '--', '00 gennaio 1900', '00/01/1900', '1900/01/00'],</v>
      </c>
      <c r="Z1568" s="29" t="str">
        <f t="shared" si="417"/>
        <v xml:space="preserve"> () |  </v>
      </c>
      <c r="AA1568" s="29" t="str">
        <f t="shared" si="418"/>
        <v xml:space="preserve"> </v>
      </c>
      <c r="AB1568" s="29" t="str">
        <f t="shared" si="419"/>
        <v xml:space="preserve"> </v>
      </c>
      <c r="AC1568" s="29" t="str">
        <f t="shared" si="420"/>
        <v xml:space="preserve"> , 0 , 00 gennaio 1900</v>
      </c>
      <c r="AD1568" s="29" t="str">
        <f t="shared" si="421"/>
        <v>1900-01-00T08:00:00.000+02:00</v>
      </c>
      <c r="AE1568" s="29" t="str">
        <f t="shared" si="414"/>
        <v>--</v>
      </c>
      <c r="AF1568" s="29" t="str">
        <f t="shared" si="415"/>
        <v xml:space="preserve">  - 0 - </v>
      </c>
    </row>
    <row r="1569" spans="8:32" x14ac:dyDescent="0.2">
      <c r="H1569" s="29" t="str">
        <f t="shared" si="424"/>
        <v xml:space="preserve"> </v>
      </c>
      <c r="L1569" s="29">
        <f t="shared" si="413"/>
        <v>0</v>
      </c>
      <c r="Q1569" s="38"/>
      <c r="R1569" s="32">
        <f t="shared" si="422"/>
        <v>0</v>
      </c>
      <c r="S1569" s="32" t="str">
        <f>IF(ISERROR(DAY(Q1569)),TEXT(MATCH(TRIM(SUBSTITUTE(SUBSTITUTE(SUBSTITUTE(SUBSTITUTE(SUBSTITUTE(SUBSTITUTE(SUBSTITUTE(SUBSTITUTE(SUBSTITUTE(SUBSTITUTE(SUBSTITUTE(Q1569,1,""),2,""),3,""),4,""),5,""),6,""),7,""),8,""),9,""),0,""),"-","")),{"gennaio","febbraio","marzo","aprile","maggio","giugno","luglio","agosto","settembre","ottobre","novembre","dicembre"},0),"00"),TEXT(MONTH(Q1569)*29,"mmmm"))</f>
        <v>gennaio</v>
      </c>
      <c r="T1569" s="32">
        <f t="shared" si="423"/>
        <v>1900</v>
      </c>
      <c r="U1569" s="29"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00/01/1900</v>
      </c>
      <c r="V1569" s="33"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1900/01/00</v>
      </c>
      <c r="W1569" s="29"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00 gennaio 1900</v>
      </c>
      <c r="X1569" s="29">
        <v>1596</v>
      </c>
      <c r="Y1569" s="29" t="str">
        <f t="shared" si="416"/>
        <v>[' ', '', '', '--', '00 gennaio 1900', '00/01/1900', '1900/01/00'],</v>
      </c>
      <c r="Z1569" s="29" t="str">
        <f t="shared" si="417"/>
        <v xml:space="preserve"> () |  </v>
      </c>
      <c r="AA1569" s="29" t="str">
        <f t="shared" si="418"/>
        <v xml:space="preserve"> </v>
      </c>
      <c r="AB1569" s="29" t="str">
        <f t="shared" si="419"/>
        <v xml:space="preserve"> </v>
      </c>
      <c r="AC1569" s="29" t="str">
        <f t="shared" si="420"/>
        <v xml:space="preserve"> , 0 , 00 gennaio 1900</v>
      </c>
      <c r="AD1569" s="29" t="str">
        <f t="shared" si="421"/>
        <v>1900-01-00T08:00:00.000+02:00</v>
      </c>
      <c r="AE1569" s="29" t="str">
        <f t="shared" si="414"/>
        <v>--</v>
      </c>
      <c r="AF1569" s="29" t="str">
        <f t="shared" si="415"/>
        <v xml:space="preserve">  - 0 - </v>
      </c>
    </row>
    <row r="1570" spans="8:32" x14ac:dyDescent="0.2">
      <c r="H1570" s="29" t="str">
        <f t="shared" si="424"/>
        <v xml:space="preserve"> </v>
      </c>
      <c r="L1570" s="29">
        <f t="shared" si="413"/>
        <v>0</v>
      </c>
      <c r="Q1570" s="38"/>
      <c r="R1570" s="32">
        <f t="shared" si="422"/>
        <v>0</v>
      </c>
      <c r="S1570" s="32" t="str">
        <f>IF(ISERROR(DAY(Q1570)),TEXT(MATCH(TRIM(SUBSTITUTE(SUBSTITUTE(SUBSTITUTE(SUBSTITUTE(SUBSTITUTE(SUBSTITUTE(SUBSTITUTE(SUBSTITUTE(SUBSTITUTE(SUBSTITUTE(SUBSTITUTE(Q1570,1,""),2,""),3,""),4,""),5,""),6,""),7,""),8,""),9,""),0,""),"-","")),{"gennaio","febbraio","marzo","aprile","maggio","giugno","luglio","agosto","settembre","ottobre","novembre","dicembre"},0),"00"),TEXT(MONTH(Q1570)*29,"mmmm"))</f>
        <v>gennaio</v>
      </c>
      <c r="T1570" s="32">
        <f t="shared" si="423"/>
        <v>1900</v>
      </c>
      <c r="U1570" s="29"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00/01/1900</v>
      </c>
      <c r="V1570" s="33"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1900/01/00</v>
      </c>
      <c r="W1570" s="29"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00 gennaio 1900</v>
      </c>
      <c r="X1570" s="29">
        <v>1597</v>
      </c>
      <c r="Y1570" s="29" t="str">
        <f t="shared" si="416"/>
        <v>[' ', '', '', '--', '00 gennaio 1900', '00/01/1900', '1900/01/00'],</v>
      </c>
      <c r="Z1570" s="29" t="str">
        <f t="shared" si="417"/>
        <v xml:space="preserve"> () |  </v>
      </c>
      <c r="AA1570" s="29" t="str">
        <f t="shared" si="418"/>
        <v xml:space="preserve"> </v>
      </c>
      <c r="AB1570" s="29" t="str">
        <f t="shared" si="419"/>
        <v xml:space="preserve"> </v>
      </c>
      <c r="AC1570" s="29" t="str">
        <f t="shared" si="420"/>
        <v xml:space="preserve"> , 0 , 00 gennaio 1900</v>
      </c>
      <c r="AD1570" s="29" t="str">
        <f t="shared" si="421"/>
        <v>1900-01-00T08:00:00.000+02:00</v>
      </c>
      <c r="AE1570" s="29" t="str">
        <f t="shared" si="414"/>
        <v>--</v>
      </c>
      <c r="AF1570" s="29" t="str">
        <f t="shared" si="415"/>
        <v xml:space="preserve">  - 0 - </v>
      </c>
    </row>
    <row r="1571" spans="8:32" x14ac:dyDescent="0.2">
      <c r="H1571" s="29" t="str">
        <f t="shared" si="424"/>
        <v xml:space="preserve"> </v>
      </c>
      <c r="L1571" s="29">
        <f t="shared" si="413"/>
        <v>0</v>
      </c>
      <c r="Q1571" s="38"/>
      <c r="R1571" s="32">
        <f t="shared" si="422"/>
        <v>0</v>
      </c>
      <c r="S1571" s="32" t="str">
        <f>IF(ISERROR(DAY(Q1571)),TEXT(MATCH(TRIM(SUBSTITUTE(SUBSTITUTE(SUBSTITUTE(SUBSTITUTE(SUBSTITUTE(SUBSTITUTE(SUBSTITUTE(SUBSTITUTE(SUBSTITUTE(SUBSTITUTE(SUBSTITUTE(Q1571,1,""),2,""),3,""),4,""),5,""),6,""),7,""),8,""),9,""),0,""),"-","")),{"gennaio","febbraio","marzo","aprile","maggio","giugno","luglio","agosto","settembre","ottobre","novembre","dicembre"},0),"00"),TEXT(MONTH(Q1571)*29,"mmmm"))</f>
        <v>gennaio</v>
      </c>
      <c r="T1571" s="32">
        <f t="shared" si="423"/>
        <v>1900</v>
      </c>
      <c r="U1571" s="29"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00/01/1900</v>
      </c>
      <c r="V1571" s="33"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1900/01/00</v>
      </c>
      <c r="W1571" s="29"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00 gennaio 1900</v>
      </c>
      <c r="X1571" s="29">
        <v>1598</v>
      </c>
      <c r="Y1571" s="29" t="str">
        <f t="shared" si="416"/>
        <v>[' ', '', '', '--', '00 gennaio 1900', '00/01/1900', '1900/01/00'],</v>
      </c>
      <c r="Z1571" s="29" t="str">
        <f t="shared" si="417"/>
        <v xml:space="preserve"> () |  </v>
      </c>
      <c r="AA1571" s="29" t="str">
        <f t="shared" si="418"/>
        <v xml:space="preserve"> </v>
      </c>
      <c r="AB1571" s="29" t="str">
        <f t="shared" si="419"/>
        <v xml:space="preserve"> </v>
      </c>
      <c r="AC1571" s="29" t="str">
        <f t="shared" si="420"/>
        <v xml:space="preserve"> , 0 , 00 gennaio 1900</v>
      </c>
      <c r="AD1571" s="29" t="str">
        <f t="shared" si="421"/>
        <v>1900-01-00T08:00:00.000+02:00</v>
      </c>
      <c r="AE1571" s="29" t="str">
        <f t="shared" si="414"/>
        <v>--</v>
      </c>
      <c r="AF1571" s="29" t="str">
        <f t="shared" si="415"/>
        <v xml:space="preserve">  - 0 - </v>
      </c>
    </row>
    <row r="1572" spans="8:32" x14ac:dyDescent="0.2">
      <c r="H1572" s="29" t="str">
        <f t="shared" si="424"/>
        <v xml:space="preserve"> </v>
      </c>
      <c r="L1572" s="29">
        <f t="shared" si="413"/>
        <v>0</v>
      </c>
      <c r="Q1572" s="38"/>
      <c r="R1572" s="32">
        <f t="shared" si="422"/>
        <v>0</v>
      </c>
      <c r="S1572" s="32" t="str">
        <f>IF(ISERROR(DAY(Q1572)),TEXT(MATCH(TRIM(SUBSTITUTE(SUBSTITUTE(SUBSTITUTE(SUBSTITUTE(SUBSTITUTE(SUBSTITUTE(SUBSTITUTE(SUBSTITUTE(SUBSTITUTE(SUBSTITUTE(SUBSTITUTE(Q1572,1,""),2,""),3,""),4,""),5,""),6,""),7,""),8,""),9,""),0,""),"-","")),{"gennaio","febbraio","marzo","aprile","maggio","giugno","luglio","agosto","settembre","ottobre","novembre","dicembre"},0),"00"),TEXT(MONTH(Q1572)*29,"mmmm"))</f>
        <v>gennaio</v>
      </c>
      <c r="T1572" s="32">
        <f t="shared" si="423"/>
        <v>1900</v>
      </c>
      <c r="U1572" s="29"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00/01/1900</v>
      </c>
      <c r="V1572" s="33"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1900/01/00</v>
      </c>
      <c r="W1572" s="29"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00 gennaio 1900</v>
      </c>
      <c r="X1572" s="29">
        <v>1599</v>
      </c>
      <c r="Y1572" s="29" t="str">
        <f t="shared" si="416"/>
        <v>[' ', '', '', '--', '00 gennaio 1900', '00/01/1900', '1900/01/00'],</v>
      </c>
      <c r="Z1572" s="29" t="str">
        <f t="shared" si="417"/>
        <v xml:space="preserve"> () |  </v>
      </c>
      <c r="AA1572" s="29" t="str">
        <f t="shared" si="418"/>
        <v xml:space="preserve"> </v>
      </c>
      <c r="AB1572" s="29" t="str">
        <f t="shared" si="419"/>
        <v xml:space="preserve"> </v>
      </c>
      <c r="AC1572" s="29" t="str">
        <f t="shared" si="420"/>
        <v xml:space="preserve"> , 0 , 00 gennaio 1900</v>
      </c>
      <c r="AD1572" s="29" t="str">
        <f t="shared" si="421"/>
        <v>1900-01-00T08:00:00.000+02:00</v>
      </c>
      <c r="AE1572" s="29" t="str">
        <f t="shared" si="414"/>
        <v>--</v>
      </c>
      <c r="AF1572" s="29" t="str">
        <f t="shared" si="415"/>
        <v xml:space="preserve">  - 0 - </v>
      </c>
    </row>
    <row r="1573" spans="8:32" x14ac:dyDescent="0.2">
      <c r="H1573" s="29" t="str">
        <f t="shared" si="424"/>
        <v xml:space="preserve"> </v>
      </c>
      <c r="L1573" s="29">
        <f t="shared" si="413"/>
        <v>0</v>
      </c>
      <c r="Q1573" s="38"/>
      <c r="R1573" s="32">
        <f t="shared" si="422"/>
        <v>0</v>
      </c>
      <c r="S1573" s="32" t="str">
        <f>IF(ISERROR(DAY(Q1573)),TEXT(MATCH(TRIM(SUBSTITUTE(SUBSTITUTE(SUBSTITUTE(SUBSTITUTE(SUBSTITUTE(SUBSTITUTE(SUBSTITUTE(SUBSTITUTE(SUBSTITUTE(SUBSTITUTE(SUBSTITUTE(Q1573,1,""),2,""),3,""),4,""),5,""),6,""),7,""),8,""),9,""),0,""),"-","")),{"gennaio","febbraio","marzo","aprile","maggio","giugno","luglio","agosto","settembre","ottobre","novembre","dicembre"},0),"00"),TEXT(MONTH(Q1573)*29,"mmmm"))</f>
        <v>gennaio</v>
      </c>
      <c r="T1573" s="32">
        <f t="shared" si="423"/>
        <v>1900</v>
      </c>
      <c r="U1573" s="29"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00/01/1900</v>
      </c>
      <c r="V1573" s="33"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1900/01/00</v>
      </c>
      <c r="W1573" s="29"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00 gennaio 1900</v>
      </c>
      <c r="X1573" s="29">
        <v>1600</v>
      </c>
      <c r="Y1573" s="29" t="str">
        <f t="shared" si="416"/>
        <v>[' ', '', '', '--', '00 gennaio 1900', '00/01/1900', '1900/01/00'],</v>
      </c>
      <c r="Z1573" s="29" t="str">
        <f t="shared" si="417"/>
        <v xml:space="preserve"> () |  </v>
      </c>
      <c r="AA1573" s="29" t="str">
        <f t="shared" si="418"/>
        <v xml:space="preserve"> </v>
      </c>
      <c r="AB1573" s="29" t="str">
        <f t="shared" si="419"/>
        <v xml:space="preserve"> </v>
      </c>
      <c r="AC1573" s="29" t="str">
        <f t="shared" si="420"/>
        <v xml:space="preserve"> , 0 , 00 gennaio 1900</v>
      </c>
      <c r="AD1573" s="29" t="str">
        <f t="shared" si="421"/>
        <v>1900-01-00T08:00:00.000+02:00</v>
      </c>
      <c r="AE1573" s="29" t="str">
        <f t="shared" si="414"/>
        <v>--</v>
      </c>
      <c r="AF1573" s="29" t="str">
        <f t="shared" si="415"/>
        <v xml:space="preserve">  - 0 - </v>
      </c>
    </row>
    <row r="1574" spans="8:32" x14ac:dyDescent="0.2">
      <c r="H1574" s="29" t="str">
        <f t="shared" si="424"/>
        <v xml:space="preserve"> </v>
      </c>
      <c r="L1574" s="29">
        <f t="shared" ref="L1574:L1637" si="425">IF(J1574&lt;&gt;"",_xlfn.CONCAT(J1574 &amp; " " &amp; K1574),K1574)</f>
        <v>0</v>
      </c>
      <c r="Q1574" s="38"/>
      <c r="R1574" s="32">
        <f t="shared" si="422"/>
        <v>0</v>
      </c>
      <c r="S1574" s="32" t="str">
        <f>IF(ISERROR(DAY(Q1574)),TEXT(MATCH(TRIM(SUBSTITUTE(SUBSTITUTE(SUBSTITUTE(SUBSTITUTE(SUBSTITUTE(SUBSTITUTE(SUBSTITUTE(SUBSTITUTE(SUBSTITUTE(SUBSTITUTE(SUBSTITUTE(Q1574,1,""),2,""),3,""),4,""),5,""),6,""),7,""),8,""),9,""),0,""),"-","")),{"gennaio","febbraio","marzo","aprile","maggio","giugno","luglio","agosto","settembre","ottobre","novembre","dicembre"},0),"00"),TEXT(MONTH(Q1574)*29,"mmmm"))</f>
        <v>gennaio</v>
      </c>
      <c r="T1574" s="32">
        <f t="shared" si="423"/>
        <v>1900</v>
      </c>
      <c r="U1574" s="29"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00/01/1900</v>
      </c>
      <c r="V1574" s="33"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1900/01/00</v>
      </c>
      <c r="W1574" s="29"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00 gennaio 1900</v>
      </c>
      <c r="X1574" s="29">
        <v>1601</v>
      </c>
      <c r="Y1574" s="29" t="str">
        <f t="shared" si="416"/>
        <v>[' ', '', '', '--', '00 gennaio 1900', '00/01/1900', '1900/01/00'],</v>
      </c>
      <c r="Z1574" s="29" t="str">
        <f t="shared" si="417"/>
        <v xml:space="preserve"> () |  </v>
      </c>
      <c r="AA1574" s="29" t="str">
        <f t="shared" si="418"/>
        <v xml:space="preserve"> </v>
      </c>
      <c r="AB1574" s="29" t="str">
        <f t="shared" si="419"/>
        <v xml:space="preserve"> </v>
      </c>
      <c r="AC1574" s="29" t="str">
        <f t="shared" si="420"/>
        <v xml:space="preserve"> , 0 , 00 gennaio 1900</v>
      </c>
      <c r="AD1574" s="29" t="str">
        <f t="shared" si="421"/>
        <v>1900-01-00T08:00:00.000+02:00</v>
      </c>
      <c r="AE1574" s="29" t="str">
        <f t="shared" si="414"/>
        <v>--</v>
      </c>
      <c r="AF1574" s="29" t="str">
        <f t="shared" si="415"/>
        <v xml:space="preserve">  - 0 - </v>
      </c>
    </row>
    <row r="1575" spans="8:32" x14ac:dyDescent="0.2">
      <c r="H1575" s="29" t="str">
        <f t="shared" si="424"/>
        <v xml:space="preserve"> </v>
      </c>
      <c r="L1575" s="29">
        <f t="shared" si="425"/>
        <v>0</v>
      </c>
      <c r="Q1575" s="38"/>
      <c r="R1575" s="32">
        <f t="shared" si="422"/>
        <v>0</v>
      </c>
      <c r="S1575" s="32" t="str">
        <f>IF(ISERROR(DAY(Q1575)),TEXT(MATCH(TRIM(SUBSTITUTE(SUBSTITUTE(SUBSTITUTE(SUBSTITUTE(SUBSTITUTE(SUBSTITUTE(SUBSTITUTE(SUBSTITUTE(SUBSTITUTE(SUBSTITUTE(SUBSTITUTE(Q1575,1,""),2,""),3,""),4,""),5,""),6,""),7,""),8,""),9,""),0,""),"-","")),{"gennaio","febbraio","marzo","aprile","maggio","giugno","luglio","agosto","settembre","ottobre","novembre","dicembre"},0),"00"),TEXT(MONTH(Q1575)*29,"mmmm"))</f>
        <v>gennaio</v>
      </c>
      <c r="T1575" s="32">
        <f t="shared" si="423"/>
        <v>1900</v>
      </c>
      <c r="U1575" s="29"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00/01/1900</v>
      </c>
      <c r="V1575" s="33"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1900/01/00</v>
      </c>
      <c r="W1575" s="29"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00 gennaio 1900</v>
      </c>
      <c r="X1575" s="29">
        <v>1602</v>
      </c>
      <c r="Y1575" s="29" t="str">
        <f t="shared" si="416"/>
        <v>[' ', '', '', '--', '00 gennaio 1900', '00/01/1900', '1900/01/00'],</v>
      </c>
      <c r="Z1575" s="29" t="str">
        <f t="shared" si="417"/>
        <v xml:space="preserve"> () |  </v>
      </c>
      <c r="AA1575" s="29" t="str">
        <f t="shared" si="418"/>
        <v xml:space="preserve"> </v>
      </c>
      <c r="AB1575" s="29" t="str">
        <f t="shared" si="419"/>
        <v xml:space="preserve"> </v>
      </c>
      <c r="AC1575" s="29" t="str">
        <f t="shared" si="420"/>
        <v xml:space="preserve"> , 0 , 00 gennaio 1900</v>
      </c>
      <c r="AD1575" s="29" t="str">
        <f t="shared" si="421"/>
        <v>1900-01-00T08:00:00.000+02:00</v>
      </c>
      <c r="AE1575" s="29" t="str">
        <f t="shared" ref="AE1575:AE1638" si="426">_xlfn.CONCAT(F1575 &amp; "-" &amp; M1575 &amp; "-" &amp; P1575)</f>
        <v>--</v>
      </c>
      <c r="AF1575" s="29" t="str">
        <f t="shared" ref="AF1575:AF1638" si="427">_xlfn.CONCAT(H1575 &amp; " - " &amp; L1575 &amp; " - " &amp; O1575)</f>
        <v xml:space="preserve">  - 0 - </v>
      </c>
    </row>
    <row r="1576" spans="8:32" x14ac:dyDescent="0.2">
      <c r="H1576" s="29" t="str">
        <f t="shared" si="424"/>
        <v xml:space="preserve"> </v>
      </c>
      <c r="L1576" s="29">
        <f t="shared" si="425"/>
        <v>0</v>
      </c>
      <c r="Q1576" s="38"/>
      <c r="R1576" s="32">
        <f t="shared" si="422"/>
        <v>0</v>
      </c>
      <c r="S1576" s="32" t="str">
        <f>IF(ISERROR(DAY(Q1576)),TEXT(MATCH(TRIM(SUBSTITUTE(SUBSTITUTE(SUBSTITUTE(SUBSTITUTE(SUBSTITUTE(SUBSTITUTE(SUBSTITUTE(SUBSTITUTE(SUBSTITUTE(SUBSTITUTE(SUBSTITUTE(Q1576,1,""),2,""),3,""),4,""),5,""),6,""),7,""),8,""),9,""),0,""),"-","")),{"gennaio","febbraio","marzo","aprile","maggio","giugno","luglio","agosto","settembre","ottobre","novembre","dicembre"},0),"00"),TEXT(MONTH(Q1576)*29,"mmmm"))</f>
        <v>gennaio</v>
      </c>
      <c r="T1576" s="32">
        <f t="shared" si="423"/>
        <v>1900</v>
      </c>
      <c r="U1576" s="29"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00/01/1900</v>
      </c>
      <c r="V1576" s="33"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1900/01/00</v>
      </c>
      <c r="W1576" s="29"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00 gennaio 1900</v>
      </c>
      <c r="X1576" s="29">
        <v>1603</v>
      </c>
      <c r="Y1576" s="29" t="str">
        <f t="shared" si="416"/>
        <v>[' ', '', '', '--', '00 gennaio 1900', '00/01/1900', '1900/01/00'],</v>
      </c>
      <c r="Z1576" s="29" t="str">
        <f t="shared" si="417"/>
        <v xml:space="preserve"> () |  </v>
      </c>
      <c r="AA1576" s="29" t="str">
        <f t="shared" si="418"/>
        <v xml:space="preserve"> </v>
      </c>
      <c r="AB1576" s="29" t="str">
        <f t="shared" si="419"/>
        <v xml:space="preserve"> </v>
      </c>
      <c r="AC1576" s="29" t="str">
        <f t="shared" si="420"/>
        <v xml:space="preserve"> , 0 , 00 gennaio 1900</v>
      </c>
      <c r="AD1576" s="29" t="str">
        <f t="shared" si="421"/>
        <v>1900-01-00T08:00:00.000+02:00</v>
      </c>
      <c r="AE1576" s="29" t="str">
        <f t="shared" si="426"/>
        <v>--</v>
      </c>
      <c r="AF1576" s="29" t="str">
        <f t="shared" si="427"/>
        <v xml:space="preserve">  - 0 - </v>
      </c>
    </row>
    <row r="1577" spans="8:32" x14ac:dyDescent="0.2">
      <c r="H1577" s="29" t="str">
        <f t="shared" si="424"/>
        <v xml:space="preserve"> </v>
      </c>
      <c r="L1577" s="29">
        <f t="shared" si="425"/>
        <v>0</v>
      </c>
      <c r="Q1577" s="38"/>
      <c r="R1577" s="32">
        <f t="shared" si="422"/>
        <v>0</v>
      </c>
      <c r="S1577" s="32" t="str">
        <f>IF(ISERROR(DAY(Q1577)),TEXT(MATCH(TRIM(SUBSTITUTE(SUBSTITUTE(SUBSTITUTE(SUBSTITUTE(SUBSTITUTE(SUBSTITUTE(SUBSTITUTE(SUBSTITUTE(SUBSTITUTE(SUBSTITUTE(SUBSTITUTE(Q1577,1,""),2,""),3,""),4,""),5,""),6,""),7,""),8,""),9,""),0,""),"-","")),{"gennaio","febbraio","marzo","aprile","maggio","giugno","luglio","agosto","settembre","ottobre","novembre","dicembre"},0),"00"),TEXT(MONTH(Q1577)*29,"mmmm"))</f>
        <v>gennaio</v>
      </c>
      <c r="T1577" s="32">
        <f t="shared" si="423"/>
        <v>1900</v>
      </c>
      <c r="U1577" s="29"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00/01/1900</v>
      </c>
      <c r="V1577" s="33"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1900/01/00</v>
      </c>
      <c r="W1577" s="29"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00 gennaio 1900</v>
      </c>
      <c r="X1577" s="29">
        <v>1604</v>
      </c>
      <c r="Y1577" s="29" t="str">
        <f t="shared" si="416"/>
        <v>[' ', '', '', '--', '00 gennaio 1900', '00/01/1900', '1900/01/00'],</v>
      </c>
      <c r="Z1577" s="29" t="str">
        <f t="shared" si="417"/>
        <v xml:space="preserve"> () |  </v>
      </c>
      <c r="AA1577" s="29" t="str">
        <f t="shared" si="418"/>
        <v xml:space="preserve"> </v>
      </c>
      <c r="AB1577" s="29" t="str">
        <f t="shared" si="419"/>
        <v xml:space="preserve"> </v>
      </c>
      <c r="AC1577" s="29" t="str">
        <f t="shared" si="420"/>
        <v xml:space="preserve"> , 0 , 00 gennaio 1900</v>
      </c>
      <c r="AD1577" s="29" t="str">
        <f t="shared" si="421"/>
        <v>1900-01-00T08:00:00.000+02:00</v>
      </c>
      <c r="AE1577" s="29" t="str">
        <f t="shared" si="426"/>
        <v>--</v>
      </c>
      <c r="AF1577" s="29" t="str">
        <f t="shared" si="427"/>
        <v xml:space="preserve">  - 0 - </v>
      </c>
    </row>
    <row r="1578" spans="8:32" x14ac:dyDescent="0.2">
      <c r="H1578" s="29" t="str">
        <f t="shared" si="424"/>
        <v xml:space="preserve"> </v>
      </c>
      <c r="L1578" s="29">
        <f t="shared" si="425"/>
        <v>0</v>
      </c>
      <c r="Q1578" s="38"/>
      <c r="R1578" s="32">
        <f t="shared" si="422"/>
        <v>0</v>
      </c>
      <c r="S1578" s="32" t="str">
        <f>IF(ISERROR(DAY(Q1578)),TEXT(MATCH(TRIM(SUBSTITUTE(SUBSTITUTE(SUBSTITUTE(SUBSTITUTE(SUBSTITUTE(SUBSTITUTE(SUBSTITUTE(SUBSTITUTE(SUBSTITUTE(SUBSTITUTE(SUBSTITUTE(Q1578,1,""),2,""),3,""),4,""),5,""),6,""),7,""),8,""),9,""),0,""),"-","")),{"gennaio","febbraio","marzo","aprile","maggio","giugno","luglio","agosto","settembre","ottobre","novembre","dicembre"},0),"00"),TEXT(MONTH(Q1578)*29,"mmmm"))</f>
        <v>gennaio</v>
      </c>
      <c r="T1578" s="32">
        <f t="shared" si="423"/>
        <v>1900</v>
      </c>
      <c r="U1578" s="29"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00/01/1900</v>
      </c>
      <c r="V1578" s="33"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1900/01/00</v>
      </c>
      <c r="W1578" s="29"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00 gennaio 1900</v>
      </c>
      <c r="X1578" s="29">
        <v>1605</v>
      </c>
      <c r="Y1578" s="29" t="str">
        <f t="shared" si="416"/>
        <v>[' ', '', '', '--', '00 gennaio 1900', '00/01/1900', '1900/01/00'],</v>
      </c>
      <c r="Z1578" s="29" t="str">
        <f t="shared" si="417"/>
        <v xml:space="preserve"> () |  </v>
      </c>
      <c r="AA1578" s="29" t="str">
        <f t="shared" si="418"/>
        <v xml:space="preserve"> </v>
      </c>
      <c r="AB1578" s="29" t="str">
        <f t="shared" si="419"/>
        <v xml:space="preserve"> </v>
      </c>
      <c r="AC1578" s="29" t="str">
        <f t="shared" si="420"/>
        <v xml:space="preserve"> , 0 , 00 gennaio 1900</v>
      </c>
      <c r="AD1578" s="29" t="str">
        <f t="shared" si="421"/>
        <v>1900-01-00T08:00:00.000+02:00</v>
      </c>
      <c r="AE1578" s="29" t="str">
        <f t="shared" si="426"/>
        <v>--</v>
      </c>
      <c r="AF1578" s="29" t="str">
        <f t="shared" si="427"/>
        <v xml:space="preserve">  - 0 - </v>
      </c>
    </row>
    <row r="1579" spans="8:32" x14ac:dyDescent="0.2">
      <c r="H1579" s="29" t="str">
        <f t="shared" si="424"/>
        <v xml:space="preserve"> </v>
      </c>
      <c r="L1579" s="29">
        <f t="shared" si="425"/>
        <v>0</v>
      </c>
      <c r="Q1579" s="38"/>
      <c r="R1579" s="32">
        <f t="shared" si="422"/>
        <v>0</v>
      </c>
      <c r="S1579" s="32" t="str">
        <f>IF(ISERROR(DAY(Q1579)),TEXT(MATCH(TRIM(SUBSTITUTE(SUBSTITUTE(SUBSTITUTE(SUBSTITUTE(SUBSTITUTE(SUBSTITUTE(SUBSTITUTE(SUBSTITUTE(SUBSTITUTE(SUBSTITUTE(SUBSTITUTE(Q1579,1,""),2,""),3,""),4,""),5,""),6,""),7,""),8,""),9,""),0,""),"-","")),{"gennaio","febbraio","marzo","aprile","maggio","giugno","luglio","agosto","settembre","ottobre","novembre","dicembre"},0),"00"),TEXT(MONTH(Q1579)*29,"mmmm"))</f>
        <v>gennaio</v>
      </c>
      <c r="T1579" s="32">
        <f t="shared" si="423"/>
        <v>1900</v>
      </c>
      <c r="U1579" s="29"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00/01/1900</v>
      </c>
      <c r="V1579" s="33"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1900/01/00</v>
      </c>
      <c r="W1579" s="29"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00 gennaio 1900</v>
      </c>
      <c r="X1579" s="29">
        <v>1606</v>
      </c>
      <c r="Y1579" s="29" t="str">
        <f t="shared" si="416"/>
        <v>[' ', '', '', '--', '00 gennaio 1900', '00/01/1900', '1900/01/00'],</v>
      </c>
      <c r="Z1579" s="29" t="str">
        <f t="shared" si="417"/>
        <v xml:space="preserve"> () |  </v>
      </c>
      <c r="AA1579" s="29" t="str">
        <f t="shared" si="418"/>
        <v xml:space="preserve"> </v>
      </c>
      <c r="AB1579" s="29" t="str">
        <f t="shared" si="419"/>
        <v xml:space="preserve"> </v>
      </c>
      <c r="AC1579" s="29" t="str">
        <f t="shared" si="420"/>
        <v xml:space="preserve"> , 0 , 00 gennaio 1900</v>
      </c>
      <c r="AD1579" s="29" t="str">
        <f t="shared" si="421"/>
        <v>1900-01-00T08:00:00.000+02:00</v>
      </c>
      <c r="AE1579" s="29" t="str">
        <f t="shared" si="426"/>
        <v>--</v>
      </c>
      <c r="AF1579" s="29" t="str">
        <f t="shared" si="427"/>
        <v xml:space="preserve">  - 0 - </v>
      </c>
    </row>
    <row r="1580" spans="8:32" x14ac:dyDescent="0.2">
      <c r="H1580" s="29" t="str">
        <f t="shared" si="424"/>
        <v xml:space="preserve"> </v>
      </c>
      <c r="L1580" s="29">
        <f t="shared" si="425"/>
        <v>0</v>
      </c>
      <c r="Q1580" s="38"/>
      <c r="R1580" s="32">
        <f t="shared" si="422"/>
        <v>0</v>
      </c>
      <c r="S1580" s="32" t="str">
        <f>IF(ISERROR(DAY(Q1580)),TEXT(MATCH(TRIM(SUBSTITUTE(SUBSTITUTE(SUBSTITUTE(SUBSTITUTE(SUBSTITUTE(SUBSTITUTE(SUBSTITUTE(SUBSTITUTE(SUBSTITUTE(SUBSTITUTE(SUBSTITUTE(Q1580,1,""),2,""),3,""),4,""),5,""),6,""),7,""),8,""),9,""),0,""),"-","")),{"gennaio","febbraio","marzo","aprile","maggio","giugno","luglio","agosto","settembre","ottobre","novembre","dicembre"},0),"00"),TEXT(MONTH(Q1580)*29,"mmmm"))</f>
        <v>gennaio</v>
      </c>
      <c r="T1580" s="32">
        <f t="shared" si="423"/>
        <v>1900</v>
      </c>
      <c r="U1580" s="29"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00/01/1900</v>
      </c>
      <c r="V1580" s="33"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1900/01/00</v>
      </c>
      <c r="W1580" s="29"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00 gennaio 1900</v>
      </c>
      <c r="X1580" s="29">
        <v>1607</v>
      </c>
      <c r="Y1580" s="29" t="str">
        <f t="shared" si="416"/>
        <v>[' ', '', '', '--', '00 gennaio 1900', '00/01/1900', '1900/01/00'],</v>
      </c>
      <c r="Z1580" s="29" t="str">
        <f t="shared" si="417"/>
        <v xml:space="preserve"> () |  </v>
      </c>
      <c r="AA1580" s="29" t="str">
        <f t="shared" si="418"/>
        <v xml:space="preserve"> </v>
      </c>
      <c r="AB1580" s="29" t="str">
        <f t="shared" si="419"/>
        <v xml:space="preserve"> </v>
      </c>
      <c r="AC1580" s="29" t="str">
        <f t="shared" si="420"/>
        <v xml:space="preserve"> , 0 , 00 gennaio 1900</v>
      </c>
      <c r="AD1580" s="29" t="str">
        <f t="shared" si="421"/>
        <v>1900-01-00T08:00:00.000+02:00</v>
      </c>
      <c r="AE1580" s="29" t="str">
        <f t="shared" si="426"/>
        <v>--</v>
      </c>
      <c r="AF1580" s="29" t="str">
        <f t="shared" si="427"/>
        <v xml:space="preserve">  - 0 - </v>
      </c>
    </row>
    <row r="1581" spans="8:32" x14ac:dyDescent="0.2">
      <c r="H1581" s="29" t="str">
        <f t="shared" si="424"/>
        <v xml:space="preserve"> </v>
      </c>
      <c r="L1581" s="29">
        <f t="shared" si="425"/>
        <v>0</v>
      </c>
      <c r="Q1581" s="38"/>
      <c r="R1581" s="32">
        <f t="shared" si="422"/>
        <v>0</v>
      </c>
      <c r="S1581" s="32" t="str">
        <f>IF(ISERROR(DAY(Q1581)),TEXT(MATCH(TRIM(SUBSTITUTE(SUBSTITUTE(SUBSTITUTE(SUBSTITUTE(SUBSTITUTE(SUBSTITUTE(SUBSTITUTE(SUBSTITUTE(SUBSTITUTE(SUBSTITUTE(SUBSTITUTE(Q1581,1,""),2,""),3,""),4,""),5,""),6,""),7,""),8,""),9,""),0,""),"-","")),{"gennaio","febbraio","marzo","aprile","maggio","giugno","luglio","agosto","settembre","ottobre","novembre","dicembre"},0),"00"),TEXT(MONTH(Q1581)*29,"mmmm"))</f>
        <v>gennaio</v>
      </c>
      <c r="T1581" s="32">
        <f t="shared" si="423"/>
        <v>1900</v>
      </c>
      <c r="U1581" s="29"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00/01/1900</v>
      </c>
      <c r="V1581" s="33"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1900/01/00</v>
      </c>
      <c r="W1581" s="29"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00 gennaio 1900</v>
      </c>
      <c r="X1581" s="29">
        <v>1608</v>
      </c>
      <c r="Y1581" s="29" t="str">
        <f t="shared" si="416"/>
        <v>[' ', '', '', '--', '00 gennaio 1900', '00/01/1900', '1900/01/00'],</v>
      </c>
      <c r="Z1581" s="29" t="str">
        <f t="shared" si="417"/>
        <v xml:space="preserve"> () |  </v>
      </c>
      <c r="AA1581" s="29" t="str">
        <f t="shared" si="418"/>
        <v xml:space="preserve"> </v>
      </c>
      <c r="AB1581" s="29" t="str">
        <f t="shared" si="419"/>
        <v xml:space="preserve"> </v>
      </c>
      <c r="AC1581" s="29" t="str">
        <f t="shared" si="420"/>
        <v xml:space="preserve"> , 0 , 00 gennaio 1900</v>
      </c>
      <c r="AD1581" s="29" t="str">
        <f t="shared" si="421"/>
        <v>1900-01-00T08:00:00.000+02:00</v>
      </c>
      <c r="AE1581" s="29" t="str">
        <f t="shared" si="426"/>
        <v>--</v>
      </c>
      <c r="AF1581" s="29" t="str">
        <f t="shared" si="427"/>
        <v xml:space="preserve">  - 0 - </v>
      </c>
    </row>
    <row r="1582" spans="8:32" x14ac:dyDescent="0.2">
      <c r="H1582" s="29" t="str">
        <f t="shared" si="424"/>
        <v xml:space="preserve"> </v>
      </c>
      <c r="L1582" s="29">
        <f t="shared" si="425"/>
        <v>0</v>
      </c>
      <c r="Q1582" s="38"/>
      <c r="R1582" s="32">
        <f t="shared" si="422"/>
        <v>0</v>
      </c>
      <c r="S1582" s="32" t="str">
        <f>IF(ISERROR(DAY(Q1582)),TEXT(MATCH(TRIM(SUBSTITUTE(SUBSTITUTE(SUBSTITUTE(SUBSTITUTE(SUBSTITUTE(SUBSTITUTE(SUBSTITUTE(SUBSTITUTE(SUBSTITUTE(SUBSTITUTE(SUBSTITUTE(Q1582,1,""),2,""),3,""),4,""),5,""),6,""),7,""),8,""),9,""),0,""),"-","")),{"gennaio","febbraio","marzo","aprile","maggio","giugno","luglio","agosto","settembre","ottobre","novembre","dicembre"},0),"00"),TEXT(MONTH(Q1582)*29,"mmmm"))</f>
        <v>gennaio</v>
      </c>
      <c r="T1582" s="32">
        <f t="shared" si="423"/>
        <v>1900</v>
      </c>
      <c r="U1582" s="29"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00/01/1900</v>
      </c>
      <c r="V1582" s="33"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1900/01/00</v>
      </c>
      <c r="W1582" s="29"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00 gennaio 1900</v>
      </c>
      <c r="X1582" s="29">
        <v>1609</v>
      </c>
      <c r="Y1582" s="29" t="str">
        <f t="shared" si="416"/>
        <v>[' ', '', '', '--', '00 gennaio 1900', '00/01/1900', '1900/01/00'],</v>
      </c>
      <c r="Z1582" s="29" t="str">
        <f t="shared" si="417"/>
        <v xml:space="preserve"> () |  </v>
      </c>
      <c r="AA1582" s="29" t="str">
        <f t="shared" si="418"/>
        <v xml:space="preserve"> </v>
      </c>
      <c r="AB1582" s="29" t="str">
        <f t="shared" si="419"/>
        <v xml:space="preserve"> </v>
      </c>
      <c r="AC1582" s="29" t="str">
        <f t="shared" si="420"/>
        <v xml:space="preserve"> , 0 , 00 gennaio 1900</v>
      </c>
      <c r="AD1582" s="29" t="str">
        <f t="shared" si="421"/>
        <v>1900-01-00T08:00:00.000+02:00</v>
      </c>
      <c r="AE1582" s="29" t="str">
        <f t="shared" si="426"/>
        <v>--</v>
      </c>
      <c r="AF1582" s="29" t="str">
        <f t="shared" si="427"/>
        <v xml:space="preserve">  - 0 - </v>
      </c>
    </row>
    <row r="1583" spans="8:32" x14ac:dyDescent="0.2">
      <c r="H1583" s="29" t="str">
        <f t="shared" si="424"/>
        <v xml:space="preserve"> </v>
      </c>
      <c r="L1583" s="29">
        <f t="shared" si="425"/>
        <v>0</v>
      </c>
      <c r="Q1583" s="38"/>
      <c r="R1583" s="32">
        <f t="shared" si="422"/>
        <v>0</v>
      </c>
      <c r="S1583" s="32" t="str">
        <f>IF(ISERROR(DAY(Q1583)),TEXT(MATCH(TRIM(SUBSTITUTE(SUBSTITUTE(SUBSTITUTE(SUBSTITUTE(SUBSTITUTE(SUBSTITUTE(SUBSTITUTE(SUBSTITUTE(SUBSTITUTE(SUBSTITUTE(SUBSTITUTE(Q1583,1,""),2,""),3,""),4,""),5,""),6,""),7,""),8,""),9,""),0,""),"-","")),{"gennaio","febbraio","marzo","aprile","maggio","giugno","luglio","agosto","settembre","ottobre","novembre","dicembre"},0),"00"),TEXT(MONTH(Q1583)*29,"mmmm"))</f>
        <v>gennaio</v>
      </c>
      <c r="T1583" s="32">
        <f t="shared" si="423"/>
        <v>1900</v>
      </c>
      <c r="U1583" s="29"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00/01/1900</v>
      </c>
      <c r="V1583" s="33"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1900/01/00</v>
      </c>
      <c r="W1583" s="29"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00 gennaio 1900</v>
      </c>
      <c r="X1583" s="29">
        <v>1610</v>
      </c>
      <c r="Y1583" s="29" t="str">
        <f t="shared" si="416"/>
        <v>[' ', '', '', '--', '00 gennaio 1900', '00/01/1900', '1900/01/00'],</v>
      </c>
      <c r="Z1583" s="29" t="str">
        <f t="shared" si="417"/>
        <v xml:space="preserve"> () |  </v>
      </c>
      <c r="AA1583" s="29" t="str">
        <f t="shared" si="418"/>
        <v xml:space="preserve"> </v>
      </c>
      <c r="AB1583" s="29" t="str">
        <f t="shared" si="419"/>
        <v xml:space="preserve"> </v>
      </c>
      <c r="AC1583" s="29" t="str">
        <f t="shared" si="420"/>
        <v xml:space="preserve"> , 0 , 00 gennaio 1900</v>
      </c>
      <c r="AD1583" s="29" t="str">
        <f t="shared" si="421"/>
        <v>1900-01-00T08:00:00.000+02:00</v>
      </c>
      <c r="AE1583" s="29" t="str">
        <f t="shared" si="426"/>
        <v>--</v>
      </c>
      <c r="AF1583" s="29" t="str">
        <f t="shared" si="427"/>
        <v xml:space="preserve">  - 0 - </v>
      </c>
    </row>
    <row r="1584" spans="8:32" x14ac:dyDescent="0.2">
      <c r="H1584" s="29" t="str">
        <f t="shared" si="424"/>
        <v xml:space="preserve"> </v>
      </c>
      <c r="L1584" s="29">
        <f t="shared" si="425"/>
        <v>0</v>
      </c>
      <c r="Q1584" s="38"/>
      <c r="R1584" s="32">
        <f t="shared" si="422"/>
        <v>0</v>
      </c>
      <c r="S1584" s="32" t="str">
        <f>IF(ISERROR(DAY(Q1584)),TEXT(MATCH(TRIM(SUBSTITUTE(SUBSTITUTE(SUBSTITUTE(SUBSTITUTE(SUBSTITUTE(SUBSTITUTE(SUBSTITUTE(SUBSTITUTE(SUBSTITUTE(SUBSTITUTE(SUBSTITUTE(Q1584,1,""),2,""),3,""),4,""),5,""),6,""),7,""),8,""),9,""),0,""),"-","")),{"gennaio","febbraio","marzo","aprile","maggio","giugno","luglio","agosto","settembre","ottobre","novembre","dicembre"},0),"00"),TEXT(MONTH(Q1584)*29,"mmmm"))</f>
        <v>gennaio</v>
      </c>
      <c r="T1584" s="32">
        <f t="shared" si="423"/>
        <v>1900</v>
      </c>
      <c r="U1584" s="29"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00/01/1900</v>
      </c>
      <c r="V1584" s="33"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1900/01/00</v>
      </c>
      <c r="W1584" s="29"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00 gennaio 1900</v>
      </c>
      <c r="X1584" s="29">
        <v>1611</v>
      </c>
      <c r="Y1584" s="29" t="str">
        <f t="shared" si="416"/>
        <v>[' ', '', '', '--', '00 gennaio 1900', '00/01/1900', '1900/01/00'],</v>
      </c>
      <c r="Z1584" s="29" t="str">
        <f t="shared" si="417"/>
        <v xml:space="preserve"> () |  </v>
      </c>
      <c r="AA1584" s="29" t="str">
        <f t="shared" si="418"/>
        <v xml:space="preserve"> </v>
      </c>
      <c r="AB1584" s="29" t="str">
        <f t="shared" si="419"/>
        <v xml:space="preserve"> </v>
      </c>
      <c r="AC1584" s="29" t="str">
        <f t="shared" si="420"/>
        <v xml:space="preserve"> , 0 , 00 gennaio 1900</v>
      </c>
      <c r="AD1584" s="29" t="str">
        <f t="shared" si="421"/>
        <v>1900-01-00T08:00:00.000+02:00</v>
      </c>
      <c r="AE1584" s="29" t="str">
        <f t="shared" si="426"/>
        <v>--</v>
      </c>
      <c r="AF1584" s="29" t="str">
        <f t="shared" si="427"/>
        <v xml:space="preserve">  - 0 - </v>
      </c>
    </row>
    <row r="1585" spans="8:32" x14ac:dyDescent="0.2">
      <c r="H1585" s="29" t="str">
        <f t="shared" si="424"/>
        <v xml:space="preserve"> </v>
      </c>
      <c r="L1585" s="29">
        <f t="shared" si="425"/>
        <v>0</v>
      </c>
      <c r="Q1585" s="38"/>
      <c r="R1585" s="32">
        <f t="shared" si="422"/>
        <v>0</v>
      </c>
      <c r="S1585" s="32" t="str">
        <f>IF(ISERROR(DAY(Q1585)),TEXT(MATCH(TRIM(SUBSTITUTE(SUBSTITUTE(SUBSTITUTE(SUBSTITUTE(SUBSTITUTE(SUBSTITUTE(SUBSTITUTE(SUBSTITUTE(SUBSTITUTE(SUBSTITUTE(SUBSTITUTE(Q1585,1,""),2,""),3,""),4,""),5,""),6,""),7,""),8,""),9,""),0,""),"-","")),{"gennaio","febbraio","marzo","aprile","maggio","giugno","luglio","agosto","settembre","ottobre","novembre","dicembre"},0),"00"),TEXT(MONTH(Q1585)*29,"mmmm"))</f>
        <v>gennaio</v>
      </c>
      <c r="T1585" s="32">
        <f t="shared" si="423"/>
        <v>1900</v>
      </c>
      <c r="U1585" s="29"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00/01/1900</v>
      </c>
      <c r="V1585" s="33"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1900/01/00</v>
      </c>
      <c r="W1585" s="29"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00 gennaio 1900</v>
      </c>
      <c r="X1585" s="29">
        <v>1612</v>
      </c>
      <c r="Y1585" s="29" t="str">
        <f t="shared" si="416"/>
        <v>[' ', '', '', '--', '00 gennaio 1900', '00/01/1900', '1900/01/00'],</v>
      </c>
      <c r="Z1585" s="29" t="str">
        <f t="shared" si="417"/>
        <v xml:space="preserve"> () |  </v>
      </c>
      <c r="AA1585" s="29" t="str">
        <f t="shared" si="418"/>
        <v xml:space="preserve"> </v>
      </c>
      <c r="AB1585" s="29" t="str">
        <f t="shared" si="419"/>
        <v xml:space="preserve"> </v>
      </c>
      <c r="AC1585" s="29" t="str">
        <f t="shared" si="420"/>
        <v xml:space="preserve"> , 0 , 00 gennaio 1900</v>
      </c>
      <c r="AD1585" s="29" t="str">
        <f t="shared" si="421"/>
        <v>1900-01-00T08:00:00.000+02:00</v>
      </c>
      <c r="AE1585" s="29" t="str">
        <f t="shared" si="426"/>
        <v>--</v>
      </c>
      <c r="AF1585" s="29" t="str">
        <f t="shared" si="427"/>
        <v xml:space="preserve">  - 0 - </v>
      </c>
    </row>
    <row r="1586" spans="8:32" x14ac:dyDescent="0.2">
      <c r="H1586" s="29" t="str">
        <f t="shared" si="424"/>
        <v xml:space="preserve"> </v>
      </c>
      <c r="L1586" s="29">
        <f t="shared" si="425"/>
        <v>0</v>
      </c>
      <c r="Q1586" s="38"/>
      <c r="R1586" s="32">
        <f t="shared" si="422"/>
        <v>0</v>
      </c>
      <c r="S1586" s="32" t="str">
        <f>IF(ISERROR(DAY(Q1586)),TEXT(MATCH(TRIM(SUBSTITUTE(SUBSTITUTE(SUBSTITUTE(SUBSTITUTE(SUBSTITUTE(SUBSTITUTE(SUBSTITUTE(SUBSTITUTE(SUBSTITUTE(SUBSTITUTE(SUBSTITUTE(Q1586,1,""),2,""),3,""),4,""),5,""),6,""),7,""),8,""),9,""),0,""),"-","")),{"gennaio","febbraio","marzo","aprile","maggio","giugno","luglio","agosto","settembre","ottobre","novembre","dicembre"},0),"00"),TEXT(MONTH(Q1586)*29,"mmmm"))</f>
        <v>gennaio</v>
      </c>
      <c r="T1586" s="32">
        <f t="shared" si="423"/>
        <v>1900</v>
      </c>
      <c r="U1586" s="29"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00/01/1900</v>
      </c>
      <c r="V1586" s="33"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1900/01/00</v>
      </c>
      <c r="W1586" s="29"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00 gennaio 1900</v>
      </c>
      <c r="X1586" s="29">
        <v>1613</v>
      </c>
      <c r="Y1586" s="29" t="str">
        <f t="shared" si="416"/>
        <v>[' ', '', '', '--', '00 gennaio 1900', '00/01/1900', '1900/01/00'],</v>
      </c>
      <c r="Z1586" s="29" t="str">
        <f t="shared" si="417"/>
        <v xml:space="preserve"> () |  </v>
      </c>
      <c r="AA1586" s="29" t="str">
        <f t="shared" si="418"/>
        <v xml:space="preserve"> </v>
      </c>
      <c r="AB1586" s="29" t="str">
        <f t="shared" si="419"/>
        <v xml:space="preserve"> </v>
      </c>
      <c r="AC1586" s="29" t="str">
        <f t="shared" si="420"/>
        <v xml:space="preserve"> , 0 , 00 gennaio 1900</v>
      </c>
      <c r="AD1586" s="29" t="str">
        <f t="shared" si="421"/>
        <v>1900-01-00T08:00:00.000+02:00</v>
      </c>
      <c r="AE1586" s="29" t="str">
        <f t="shared" si="426"/>
        <v>--</v>
      </c>
      <c r="AF1586" s="29" t="str">
        <f t="shared" si="427"/>
        <v xml:space="preserve">  - 0 - </v>
      </c>
    </row>
    <row r="1587" spans="8:32" x14ac:dyDescent="0.2">
      <c r="H1587" s="29" t="str">
        <f t="shared" si="424"/>
        <v xml:space="preserve"> </v>
      </c>
      <c r="L1587" s="29">
        <f t="shared" si="425"/>
        <v>0</v>
      </c>
      <c r="Q1587" s="38"/>
      <c r="R1587" s="32">
        <f t="shared" si="422"/>
        <v>0</v>
      </c>
      <c r="S1587" s="32" t="str">
        <f>IF(ISERROR(DAY(Q1587)),TEXT(MATCH(TRIM(SUBSTITUTE(SUBSTITUTE(SUBSTITUTE(SUBSTITUTE(SUBSTITUTE(SUBSTITUTE(SUBSTITUTE(SUBSTITUTE(SUBSTITUTE(SUBSTITUTE(SUBSTITUTE(Q1587,1,""),2,""),3,""),4,""),5,""),6,""),7,""),8,""),9,""),0,""),"-","")),{"gennaio","febbraio","marzo","aprile","maggio","giugno","luglio","agosto","settembre","ottobre","novembre","dicembre"},0),"00"),TEXT(MONTH(Q1587)*29,"mmmm"))</f>
        <v>gennaio</v>
      </c>
      <c r="T1587" s="32">
        <f t="shared" si="423"/>
        <v>1900</v>
      </c>
      <c r="U1587" s="29"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00/01/1900</v>
      </c>
      <c r="V1587" s="33"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1900/01/00</v>
      </c>
      <c r="W1587" s="29"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00 gennaio 1900</v>
      </c>
      <c r="X1587" s="29">
        <v>1614</v>
      </c>
      <c r="Y1587" s="29" t="str">
        <f t="shared" si="416"/>
        <v>[' ', '', '', '--', '00 gennaio 1900', '00/01/1900', '1900/01/00'],</v>
      </c>
      <c r="Z1587" s="29" t="str">
        <f t="shared" si="417"/>
        <v xml:space="preserve"> () |  </v>
      </c>
      <c r="AA1587" s="29" t="str">
        <f t="shared" si="418"/>
        <v xml:space="preserve"> </v>
      </c>
      <c r="AB1587" s="29" t="str">
        <f t="shared" si="419"/>
        <v xml:space="preserve"> </v>
      </c>
      <c r="AC1587" s="29" t="str">
        <f t="shared" si="420"/>
        <v xml:space="preserve"> , 0 , 00 gennaio 1900</v>
      </c>
      <c r="AD1587" s="29" t="str">
        <f t="shared" si="421"/>
        <v>1900-01-00T08:00:00.000+02:00</v>
      </c>
      <c r="AE1587" s="29" t="str">
        <f t="shared" si="426"/>
        <v>--</v>
      </c>
      <c r="AF1587" s="29" t="str">
        <f t="shared" si="427"/>
        <v xml:space="preserve">  - 0 - </v>
      </c>
    </row>
    <row r="1588" spans="8:32" x14ac:dyDescent="0.2">
      <c r="H1588" s="29" t="str">
        <f t="shared" si="424"/>
        <v xml:space="preserve"> </v>
      </c>
      <c r="L1588" s="29">
        <f t="shared" si="425"/>
        <v>0</v>
      </c>
      <c r="Q1588" s="38"/>
      <c r="R1588" s="32">
        <f t="shared" si="422"/>
        <v>0</v>
      </c>
      <c r="S1588" s="32" t="str">
        <f>IF(ISERROR(DAY(Q1588)),TEXT(MATCH(TRIM(SUBSTITUTE(SUBSTITUTE(SUBSTITUTE(SUBSTITUTE(SUBSTITUTE(SUBSTITUTE(SUBSTITUTE(SUBSTITUTE(SUBSTITUTE(SUBSTITUTE(SUBSTITUTE(Q1588,1,""),2,""),3,""),4,""),5,""),6,""),7,""),8,""),9,""),0,""),"-","")),{"gennaio","febbraio","marzo","aprile","maggio","giugno","luglio","agosto","settembre","ottobre","novembre","dicembre"},0),"00"),TEXT(MONTH(Q1588)*29,"mmmm"))</f>
        <v>gennaio</v>
      </c>
      <c r="T1588" s="32">
        <f t="shared" si="423"/>
        <v>1900</v>
      </c>
      <c r="U1588" s="29"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00/01/1900</v>
      </c>
      <c r="V1588" s="33"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1900/01/00</v>
      </c>
      <c r="W1588" s="29"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00 gennaio 1900</v>
      </c>
      <c r="X1588" s="29">
        <v>1615</v>
      </c>
      <c r="Y1588" s="29" t="str">
        <f t="shared" si="416"/>
        <v>[' ', '', '', '--', '00 gennaio 1900', '00/01/1900', '1900/01/00'],</v>
      </c>
      <c r="Z1588" s="29" t="str">
        <f t="shared" si="417"/>
        <v xml:space="preserve"> () |  </v>
      </c>
      <c r="AA1588" s="29" t="str">
        <f t="shared" si="418"/>
        <v xml:space="preserve"> </v>
      </c>
      <c r="AB1588" s="29" t="str">
        <f t="shared" si="419"/>
        <v xml:space="preserve"> </v>
      </c>
      <c r="AC1588" s="29" t="str">
        <f t="shared" si="420"/>
        <v xml:space="preserve"> , 0 , 00 gennaio 1900</v>
      </c>
      <c r="AD1588" s="29" t="str">
        <f t="shared" si="421"/>
        <v>1900-01-00T08:00:00.000+02:00</v>
      </c>
      <c r="AE1588" s="29" t="str">
        <f t="shared" si="426"/>
        <v>--</v>
      </c>
      <c r="AF1588" s="29" t="str">
        <f t="shared" si="427"/>
        <v xml:space="preserve">  - 0 - </v>
      </c>
    </row>
    <row r="1589" spans="8:32" x14ac:dyDescent="0.2">
      <c r="H1589" s="29" t="str">
        <f t="shared" si="424"/>
        <v xml:space="preserve"> </v>
      </c>
      <c r="L1589" s="29">
        <f t="shared" si="425"/>
        <v>0</v>
      </c>
      <c r="Q1589" s="38"/>
      <c r="R1589" s="32">
        <f t="shared" si="422"/>
        <v>0</v>
      </c>
      <c r="S1589" s="32" t="str">
        <f>IF(ISERROR(DAY(Q1589)),TEXT(MATCH(TRIM(SUBSTITUTE(SUBSTITUTE(SUBSTITUTE(SUBSTITUTE(SUBSTITUTE(SUBSTITUTE(SUBSTITUTE(SUBSTITUTE(SUBSTITUTE(SUBSTITUTE(SUBSTITUTE(Q1589,1,""),2,""),3,""),4,""),5,""),6,""),7,""),8,""),9,""),0,""),"-","")),{"gennaio","febbraio","marzo","aprile","maggio","giugno","luglio","agosto","settembre","ottobre","novembre","dicembre"},0),"00"),TEXT(MONTH(Q1589)*29,"mmmm"))</f>
        <v>gennaio</v>
      </c>
      <c r="T1589" s="32">
        <f t="shared" si="423"/>
        <v>1900</v>
      </c>
      <c r="U1589" s="29"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00/01/1900</v>
      </c>
      <c r="V1589" s="33"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1900/01/00</v>
      </c>
      <c r="W1589" s="29"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00 gennaio 1900</v>
      </c>
      <c r="X1589" s="29">
        <v>1616</v>
      </c>
      <c r="Y1589" s="29" t="str">
        <f t="shared" si="416"/>
        <v>[' ', '', '', '--', '00 gennaio 1900', '00/01/1900', '1900/01/00'],</v>
      </c>
      <c r="Z1589" s="29" t="str">
        <f t="shared" si="417"/>
        <v xml:space="preserve"> () |  </v>
      </c>
      <c r="AA1589" s="29" t="str">
        <f t="shared" si="418"/>
        <v xml:space="preserve"> </v>
      </c>
      <c r="AB1589" s="29" t="str">
        <f t="shared" si="419"/>
        <v xml:space="preserve"> </v>
      </c>
      <c r="AC1589" s="29" t="str">
        <f t="shared" si="420"/>
        <v xml:space="preserve"> , 0 , 00 gennaio 1900</v>
      </c>
      <c r="AD1589" s="29" t="str">
        <f t="shared" si="421"/>
        <v>1900-01-00T08:00:00.000+02:00</v>
      </c>
      <c r="AE1589" s="29" t="str">
        <f t="shared" si="426"/>
        <v>--</v>
      </c>
      <c r="AF1589" s="29" t="str">
        <f t="shared" si="427"/>
        <v xml:space="preserve">  - 0 - </v>
      </c>
    </row>
    <row r="1590" spans="8:32" x14ac:dyDescent="0.2">
      <c r="H1590" s="29" t="str">
        <f t="shared" si="424"/>
        <v xml:space="preserve"> </v>
      </c>
      <c r="L1590" s="29">
        <f t="shared" si="425"/>
        <v>0</v>
      </c>
      <c r="Q1590" s="38"/>
      <c r="R1590" s="32">
        <f t="shared" si="422"/>
        <v>0</v>
      </c>
      <c r="S1590" s="32" t="str">
        <f>IF(ISERROR(DAY(Q1590)),TEXT(MATCH(TRIM(SUBSTITUTE(SUBSTITUTE(SUBSTITUTE(SUBSTITUTE(SUBSTITUTE(SUBSTITUTE(SUBSTITUTE(SUBSTITUTE(SUBSTITUTE(SUBSTITUTE(SUBSTITUTE(Q1590,1,""),2,""),3,""),4,""),5,""),6,""),7,""),8,""),9,""),0,""),"-","")),{"gennaio","febbraio","marzo","aprile","maggio","giugno","luglio","agosto","settembre","ottobre","novembre","dicembre"},0),"00"),TEXT(MONTH(Q1590)*29,"mmmm"))</f>
        <v>gennaio</v>
      </c>
      <c r="T1590" s="32">
        <f t="shared" si="423"/>
        <v>1900</v>
      </c>
      <c r="U1590" s="29"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00/01/1900</v>
      </c>
      <c r="V1590" s="33"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1900/01/00</v>
      </c>
      <c r="W1590" s="29"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00 gennaio 1900</v>
      </c>
      <c r="X1590" s="29">
        <v>1617</v>
      </c>
      <c r="Y1590" s="29" t="str">
        <f t="shared" si="416"/>
        <v>[' ', '', '', '--', '00 gennaio 1900', '00/01/1900', '1900/01/00'],</v>
      </c>
      <c r="Z1590" s="29" t="str">
        <f t="shared" si="417"/>
        <v xml:space="preserve"> () |  </v>
      </c>
      <c r="AA1590" s="29" t="str">
        <f t="shared" si="418"/>
        <v xml:space="preserve"> </v>
      </c>
      <c r="AB1590" s="29" t="str">
        <f t="shared" si="419"/>
        <v xml:space="preserve"> </v>
      </c>
      <c r="AC1590" s="29" t="str">
        <f t="shared" si="420"/>
        <v xml:space="preserve"> , 0 , 00 gennaio 1900</v>
      </c>
      <c r="AD1590" s="29" t="str">
        <f t="shared" si="421"/>
        <v>1900-01-00T08:00:00.000+02:00</v>
      </c>
      <c r="AE1590" s="29" t="str">
        <f t="shared" si="426"/>
        <v>--</v>
      </c>
      <c r="AF1590" s="29" t="str">
        <f t="shared" si="427"/>
        <v xml:space="preserve">  - 0 - </v>
      </c>
    </row>
    <row r="1591" spans="8:32" x14ac:dyDescent="0.2">
      <c r="H1591" s="29" t="str">
        <f t="shared" si="424"/>
        <v xml:space="preserve"> </v>
      </c>
      <c r="L1591" s="29">
        <f t="shared" si="425"/>
        <v>0</v>
      </c>
      <c r="Q1591" s="38"/>
      <c r="R1591" s="32">
        <f t="shared" si="422"/>
        <v>0</v>
      </c>
      <c r="S1591" s="32" t="str">
        <f>IF(ISERROR(DAY(Q1591)),TEXT(MATCH(TRIM(SUBSTITUTE(SUBSTITUTE(SUBSTITUTE(SUBSTITUTE(SUBSTITUTE(SUBSTITUTE(SUBSTITUTE(SUBSTITUTE(SUBSTITUTE(SUBSTITUTE(SUBSTITUTE(Q1591,1,""),2,""),3,""),4,""),5,""),6,""),7,""),8,""),9,""),0,""),"-","")),{"gennaio","febbraio","marzo","aprile","maggio","giugno","luglio","agosto","settembre","ottobre","novembre","dicembre"},0),"00"),TEXT(MONTH(Q1591)*29,"mmmm"))</f>
        <v>gennaio</v>
      </c>
      <c r="T1591" s="32">
        <f t="shared" si="423"/>
        <v>1900</v>
      </c>
      <c r="U1591" s="29"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00/01/1900</v>
      </c>
      <c r="V1591" s="33"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1900/01/00</v>
      </c>
      <c r="W1591" s="29"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00 gennaio 1900</v>
      </c>
      <c r="X1591" s="29">
        <v>1618</v>
      </c>
      <c r="Y1591" s="29" t="str">
        <f t="shared" si="416"/>
        <v>[' ', '', '', '--', '00 gennaio 1900', '00/01/1900', '1900/01/00'],</v>
      </c>
      <c r="Z1591" s="29" t="str">
        <f t="shared" si="417"/>
        <v xml:space="preserve"> () |  </v>
      </c>
      <c r="AA1591" s="29" t="str">
        <f t="shared" si="418"/>
        <v xml:space="preserve"> </v>
      </c>
      <c r="AB1591" s="29" t="str">
        <f t="shared" si="419"/>
        <v xml:space="preserve"> </v>
      </c>
      <c r="AC1591" s="29" t="str">
        <f t="shared" si="420"/>
        <v xml:space="preserve"> , 0 , 00 gennaio 1900</v>
      </c>
      <c r="AD1591" s="29" t="str">
        <f t="shared" si="421"/>
        <v>1900-01-00T08:00:00.000+02:00</v>
      </c>
      <c r="AE1591" s="29" t="str">
        <f t="shared" si="426"/>
        <v>--</v>
      </c>
      <c r="AF1591" s="29" t="str">
        <f t="shared" si="427"/>
        <v xml:space="preserve">  - 0 - </v>
      </c>
    </row>
    <row r="1592" spans="8:32" x14ac:dyDescent="0.2">
      <c r="H1592" s="29" t="str">
        <f t="shared" si="424"/>
        <v xml:space="preserve"> </v>
      </c>
      <c r="L1592" s="29">
        <f t="shared" si="425"/>
        <v>0</v>
      </c>
      <c r="Q1592" s="38"/>
      <c r="R1592" s="32">
        <f t="shared" si="422"/>
        <v>0</v>
      </c>
      <c r="S1592" s="32" t="str">
        <f>IF(ISERROR(DAY(Q1592)),TEXT(MATCH(TRIM(SUBSTITUTE(SUBSTITUTE(SUBSTITUTE(SUBSTITUTE(SUBSTITUTE(SUBSTITUTE(SUBSTITUTE(SUBSTITUTE(SUBSTITUTE(SUBSTITUTE(SUBSTITUTE(Q1592,1,""),2,""),3,""),4,""),5,""),6,""),7,""),8,""),9,""),0,""),"-","")),{"gennaio","febbraio","marzo","aprile","maggio","giugno","luglio","agosto","settembre","ottobre","novembre","dicembre"},0),"00"),TEXT(MONTH(Q1592)*29,"mmmm"))</f>
        <v>gennaio</v>
      </c>
      <c r="T1592" s="32">
        <f t="shared" si="423"/>
        <v>1900</v>
      </c>
      <c r="U1592" s="29"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00/01/1900</v>
      </c>
      <c r="V1592" s="33"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1900/01/00</v>
      </c>
      <c r="W1592" s="29"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00 gennaio 1900</v>
      </c>
      <c r="X1592" s="29">
        <v>1619</v>
      </c>
      <c r="Y1592" s="29" t="str">
        <f t="shared" si="416"/>
        <v>[' ', '', '', '--', '00 gennaio 1900', '00/01/1900', '1900/01/00'],</v>
      </c>
      <c r="Z1592" s="29" t="str">
        <f t="shared" si="417"/>
        <v xml:space="preserve"> () |  </v>
      </c>
      <c r="AA1592" s="29" t="str">
        <f t="shared" si="418"/>
        <v xml:space="preserve"> </v>
      </c>
      <c r="AB1592" s="29" t="str">
        <f t="shared" si="419"/>
        <v xml:space="preserve"> </v>
      </c>
      <c r="AC1592" s="29" t="str">
        <f t="shared" si="420"/>
        <v xml:space="preserve"> , 0 , 00 gennaio 1900</v>
      </c>
      <c r="AD1592" s="29" t="str">
        <f t="shared" si="421"/>
        <v>1900-01-00T08:00:00.000+02:00</v>
      </c>
      <c r="AE1592" s="29" t="str">
        <f t="shared" si="426"/>
        <v>--</v>
      </c>
      <c r="AF1592" s="29" t="str">
        <f t="shared" si="427"/>
        <v xml:space="preserve">  - 0 - </v>
      </c>
    </row>
    <row r="1593" spans="8:32" x14ac:dyDescent="0.2">
      <c r="H1593" s="29" t="str">
        <f t="shared" si="424"/>
        <v xml:space="preserve"> </v>
      </c>
      <c r="L1593" s="29">
        <f t="shared" si="425"/>
        <v>0</v>
      </c>
      <c r="Q1593" s="38"/>
      <c r="R1593" s="32">
        <f t="shared" si="422"/>
        <v>0</v>
      </c>
      <c r="S1593" s="32" t="str">
        <f>IF(ISERROR(DAY(Q1593)),TEXT(MATCH(TRIM(SUBSTITUTE(SUBSTITUTE(SUBSTITUTE(SUBSTITUTE(SUBSTITUTE(SUBSTITUTE(SUBSTITUTE(SUBSTITUTE(SUBSTITUTE(SUBSTITUTE(SUBSTITUTE(Q1593,1,""),2,""),3,""),4,""),5,""),6,""),7,""),8,""),9,""),0,""),"-","")),{"gennaio","febbraio","marzo","aprile","maggio","giugno","luglio","agosto","settembre","ottobre","novembre","dicembre"},0),"00"),TEXT(MONTH(Q1593)*29,"mmmm"))</f>
        <v>gennaio</v>
      </c>
      <c r="T1593" s="32">
        <f t="shared" si="423"/>
        <v>1900</v>
      </c>
      <c r="U1593" s="29"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00/01/1900</v>
      </c>
      <c r="V1593" s="33"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1900/01/00</v>
      </c>
      <c r="W1593" s="29"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00 gennaio 1900</v>
      </c>
      <c r="X1593" s="29">
        <v>1620</v>
      </c>
      <c r="Y1593" s="29" t="str">
        <f t="shared" si="416"/>
        <v>[' ', '', '', '--', '00 gennaio 1900', '00/01/1900', '1900/01/00'],</v>
      </c>
      <c r="Z1593" s="29" t="str">
        <f t="shared" si="417"/>
        <v xml:space="preserve"> () |  </v>
      </c>
      <c r="AA1593" s="29" t="str">
        <f t="shared" si="418"/>
        <v xml:space="preserve"> </v>
      </c>
      <c r="AB1593" s="29" t="str">
        <f t="shared" si="419"/>
        <v xml:space="preserve"> </v>
      </c>
      <c r="AC1593" s="29" t="str">
        <f t="shared" si="420"/>
        <v xml:space="preserve"> , 0 , 00 gennaio 1900</v>
      </c>
      <c r="AD1593" s="29" t="str">
        <f t="shared" si="421"/>
        <v>1900-01-00T08:00:00.000+02:00</v>
      </c>
      <c r="AE1593" s="29" t="str">
        <f t="shared" si="426"/>
        <v>--</v>
      </c>
      <c r="AF1593" s="29" t="str">
        <f t="shared" si="427"/>
        <v xml:space="preserve">  - 0 - </v>
      </c>
    </row>
    <row r="1594" spans="8:32" x14ac:dyDescent="0.2">
      <c r="H1594" s="29" t="str">
        <f t="shared" si="424"/>
        <v xml:space="preserve"> </v>
      </c>
      <c r="L1594" s="29">
        <f t="shared" si="425"/>
        <v>0</v>
      </c>
      <c r="Q1594" s="38"/>
      <c r="R1594" s="32">
        <f t="shared" si="422"/>
        <v>0</v>
      </c>
      <c r="S1594" s="32" t="str">
        <f>IF(ISERROR(DAY(Q1594)),TEXT(MATCH(TRIM(SUBSTITUTE(SUBSTITUTE(SUBSTITUTE(SUBSTITUTE(SUBSTITUTE(SUBSTITUTE(SUBSTITUTE(SUBSTITUTE(SUBSTITUTE(SUBSTITUTE(SUBSTITUTE(Q1594,1,""),2,""),3,""),4,""),5,""),6,""),7,""),8,""),9,""),0,""),"-","")),{"gennaio","febbraio","marzo","aprile","maggio","giugno","luglio","agosto","settembre","ottobre","novembre","dicembre"},0),"00"),TEXT(MONTH(Q1594)*29,"mmmm"))</f>
        <v>gennaio</v>
      </c>
      <c r="T1594" s="32">
        <f t="shared" si="423"/>
        <v>1900</v>
      </c>
      <c r="U1594" s="29"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00/01/1900</v>
      </c>
      <c r="V1594" s="33"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1900/01/00</v>
      </c>
      <c r="W1594" s="29"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00 gennaio 1900</v>
      </c>
      <c r="X1594" s="29">
        <v>1621</v>
      </c>
      <c r="Y1594" s="29" t="str">
        <f t="shared" si="416"/>
        <v>[' ', '', '', '--', '00 gennaio 1900', '00/01/1900', '1900/01/00'],</v>
      </c>
      <c r="Z1594" s="29" t="str">
        <f t="shared" si="417"/>
        <v xml:space="preserve"> () |  </v>
      </c>
      <c r="AA1594" s="29" t="str">
        <f t="shared" si="418"/>
        <v xml:space="preserve"> </v>
      </c>
      <c r="AB1594" s="29" t="str">
        <f t="shared" si="419"/>
        <v xml:space="preserve"> </v>
      </c>
      <c r="AC1594" s="29" t="str">
        <f t="shared" si="420"/>
        <v xml:space="preserve"> , 0 , 00 gennaio 1900</v>
      </c>
      <c r="AD1594" s="29" t="str">
        <f t="shared" si="421"/>
        <v>1900-01-00T08:00:00.000+02:00</v>
      </c>
      <c r="AE1594" s="29" t="str">
        <f t="shared" si="426"/>
        <v>--</v>
      </c>
      <c r="AF1594" s="29" t="str">
        <f t="shared" si="427"/>
        <v xml:space="preserve">  - 0 - </v>
      </c>
    </row>
    <row r="1595" spans="8:32" x14ac:dyDescent="0.2">
      <c r="H1595" s="29" t="str">
        <f t="shared" si="424"/>
        <v xml:space="preserve"> </v>
      </c>
      <c r="L1595" s="29">
        <f t="shared" si="425"/>
        <v>0</v>
      </c>
      <c r="Q1595" s="38"/>
      <c r="R1595" s="32">
        <f t="shared" si="422"/>
        <v>0</v>
      </c>
      <c r="S1595" s="32" t="str">
        <f>IF(ISERROR(DAY(Q1595)),TEXT(MATCH(TRIM(SUBSTITUTE(SUBSTITUTE(SUBSTITUTE(SUBSTITUTE(SUBSTITUTE(SUBSTITUTE(SUBSTITUTE(SUBSTITUTE(SUBSTITUTE(SUBSTITUTE(SUBSTITUTE(Q1595,1,""),2,""),3,""),4,""),5,""),6,""),7,""),8,""),9,""),0,""),"-","")),{"gennaio","febbraio","marzo","aprile","maggio","giugno","luglio","agosto","settembre","ottobre","novembre","dicembre"},0),"00"),TEXT(MONTH(Q1595)*29,"mmmm"))</f>
        <v>gennaio</v>
      </c>
      <c r="T1595" s="32">
        <f t="shared" si="423"/>
        <v>1900</v>
      </c>
      <c r="U1595" s="29"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00/01/1900</v>
      </c>
      <c r="V1595" s="33"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1900/01/00</v>
      </c>
      <c r="W1595" s="29"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00 gennaio 1900</v>
      </c>
      <c r="X1595" s="29">
        <v>1622</v>
      </c>
      <c r="Y1595" s="29" t="str">
        <f t="shared" si="416"/>
        <v>[' ', '', '', '--', '00 gennaio 1900', '00/01/1900', '1900/01/00'],</v>
      </c>
      <c r="Z1595" s="29" t="str">
        <f t="shared" si="417"/>
        <v xml:space="preserve"> () |  </v>
      </c>
      <c r="AA1595" s="29" t="str">
        <f t="shared" si="418"/>
        <v xml:space="preserve"> </v>
      </c>
      <c r="AB1595" s="29" t="str">
        <f t="shared" si="419"/>
        <v xml:space="preserve"> </v>
      </c>
      <c r="AC1595" s="29" t="str">
        <f t="shared" si="420"/>
        <v xml:space="preserve"> , 0 , 00 gennaio 1900</v>
      </c>
      <c r="AD1595" s="29" t="str">
        <f t="shared" si="421"/>
        <v>1900-01-00T08:00:00.000+02:00</v>
      </c>
      <c r="AE1595" s="29" t="str">
        <f t="shared" si="426"/>
        <v>--</v>
      </c>
      <c r="AF1595" s="29" t="str">
        <f t="shared" si="427"/>
        <v xml:space="preserve">  - 0 - </v>
      </c>
    </row>
    <row r="1596" spans="8:32" x14ac:dyDescent="0.2">
      <c r="H1596" s="29" t="str">
        <f t="shared" si="424"/>
        <v xml:space="preserve"> </v>
      </c>
      <c r="L1596" s="29">
        <f t="shared" si="425"/>
        <v>0</v>
      </c>
      <c r="Q1596" s="38"/>
      <c r="R1596" s="32">
        <f t="shared" si="422"/>
        <v>0</v>
      </c>
      <c r="S1596" s="32" t="str">
        <f>IF(ISERROR(DAY(Q1596)),TEXT(MATCH(TRIM(SUBSTITUTE(SUBSTITUTE(SUBSTITUTE(SUBSTITUTE(SUBSTITUTE(SUBSTITUTE(SUBSTITUTE(SUBSTITUTE(SUBSTITUTE(SUBSTITUTE(SUBSTITUTE(Q1596,1,""),2,""),3,""),4,""),5,""),6,""),7,""),8,""),9,""),0,""),"-","")),{"gennaio","febbraio","marzo","aprile","maggio","giugno","luglio","agosto","settembre","ottobre","novembre","dicembre"},0),"00"),TEXT(MONTH(Q1596)*29,"mmmm"))</f>
        <v>gennaio</v>
      </c>
      <c r="T1596" s="32">
        <f t="shared" si="423"/>
        <v>1900</v>
      </c>
      <c r="U1596" s="29"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00/01/1900</v>
      </c>
      <c r="V1596" s="33"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1900/01/00</v>
      </c>
      <c r="W1596" s="29"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00 gennaio 1900</v>
      </c>
      <c r="X1596" s="29">
        <v>1623</v>
      </c>
      <c r="Y1596" s="29" t="str">
        <f t="shared" si="416"/>
        <v>[' ', '', '', '--', '00 gennaio 1900', '00/01/1900', '1900/01/00'],</v>
      </c>
      <c r="Z1596" s="29" t="str">
        <f t="shared" si="417"/>
        <v xml:space="preserve"> () |  </v>
      </c>
      <c r="AA1596" s="29" t="str">
        <f t="shared" si="418"/>
        <v xml:space="preserve"> </v>
      </c>
      <c r="AB1596" s="29" t="str">
        <f t="shared" si="419"/>
        <v xml:space="preserve"> </v>
      </c>
      <c r="AC1596" s="29" t="str">
        <f t="shared" si="420"/>
        <v xml:space="preserve"> , 0 , 00 gennaio 1900</v>
      </c>
      <c r="AD1596" s="29" t="str">
        <f t="shared" si="421"/>
        <v>1900-01-00T08:00:00.000+02:00</v>
      </c>
      <c r="AE1596" s="29" t="str">
        <f t="shared" si="426"/>
        <v>--</v>
      </c>
      <c r="AF1596" s="29" t="str">
        <f t="shared" si="427"/>
        <v xml:space="preserve">  - 0 - </v>
      </c>
    </row>
    <row r="1597" spans="8:32" x14ac:dyDescent="0.2">
      <c r="H1597" s="29" t="str">
        <f t="shared" si="424"/>
        <v xml:space="preserve"> </v>
      </c>
      <c r="L1597" s="29">
        <f t="shared" si="425"/>
        <v>0</v>
      </c>
      <c r="Q1597" s="38"/>
      <c r="R1597" s="32">
        <f t="shared" si="422"/>
        <v>0</v>
      </c>
      <c r="S1597" s="32" t="str">
        <f>IF(ISERROR(DAY(Q1597)),TEXT(MATCH(TRIM(SUBSTITUTE(SUBSTITUTE(SUBSTITUTE(SUBSTITUTE(SUBSTITUTE(SUBSTITUTE(SUBSTITUTE(SUBSTITUTE(SUBSTITUTE(SUBSTITUTE(SUBSTITUTE(Q1597,1,""),2,""),3,""),4,""),5,""),6,""),7,""),8,""),9,""),0,""),"-","")),{"gennaio","febbraio","marzo","aprile","maggio","giugno","luglio","agosto","settembre","ottobre","novembre","dicembre"},0),"00"),TEXT(MONTH(Q1597)*29,"mmmm"))</f>
        <v>gennaio</v>
      </c>
      <c r="T1597" s="32">
        <f t="shared" si="423"/>
        <v>1900</v>
      </c>
      <c r="U1597" s="29"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00/01/1900</v>
      </c>
      <c r="V1597" s="33"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1900/01/00</v>
      </c>
      <c r="W1597" s="29"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00 gennaio 1900</v>
      </c>
      <c r="X1597" s="29">
        <v>1624</v>
      </c>
      <c r="Y1597" s="29" t="str">
        <f t="shared" si="416"/>
        <v>[' ', '', '', '--', '00 gennaio 1900', '00/01/1900', '1900/01/00'],</v>
      </c>
      <c r="Z1597" s="29" t="str">
        <f t="shared" si="417"/>
        <v xml:space="preserve"> () |  </v>
      </c>
      <c r="AA1597" s="29" t="str">
        <f t="shared" si="418"/>
        <v xml:space="preserve"> </v>
      </c>
      <c r="AB1597" s="29" t="str">
        <f t="shared" si="419"/>
        <v xml:space="preserve"> </v>
      </c>
      <c r="AC1597" s="29" t="str">
        <f t="shared" si="420"/>
        <v xml:space="preserve"> , 0 , 00 gennaio 1900</v>
      </c>
      <c r="AD1597" s="29" t="str">
        <f t="shared" si="421"/>
        <v>1900-01-00T08:00:00.000+02:00</v>
      </c>
      <c r="AE1597" s="29" t="str">
        <f t="shared" si="426"/>
        <v>--</v>
      </c>
      <c r="AF1597" s="29" t="str">
        <f t="shared" si="427"/>
        <v xml:space="preserve">  - 0 - </v>
      </c>
    </row>
    <row r="1598" spans="8:32" x14ac:dyDescent="0.2">
      <c r="H1598" s="29" t="str">
        <f t="shared" si="424"/>
        <v xml:space="preserve"> </v>
      </c>
      <c r="L1598" s="29">
        <f t="shared" si="425"/>
        <v>0</v>
      </c>
      <c r="Q1598" s="38"/>
      <c r="R1598" s="32">
        <f t="shared" si="422"/>
        <v>0</v>
      </c>
      <c r="S1598" s="32" t="str">
        <f>IF(ISERROR(DAY(Q1598)),TEXT(MATCH(TRIM(SUBSTITUTE(SUBSTITUTE(SUBSTITUTE(SUBSTITUTE(SUBSTITUTE(SUBSTITUTE(SUBSTITUTE(SUBSTITUTE(SUBSTITUTE(SUBSTITUTE(SUBSTITUTE(Q1598,1,""),2,""),3,""),4,""),5,""),6,""),7,""),8,""),9,""),0,""),"-","")),{"gennaio","febbraio","marzo","aprile","maggio","giugno","luglio","agosto","settembre","ottobre","novembre","dicembre"},0),"00"),TEXT(MONTH(Q1598)*29,"mmmm"))</f>
        <v>gennaio</v>
      </c>
      <c r="T1598" s="32">
        <f t="shared" si="423"/>
        <v>1900</v>
      </c>
      <c r="U1598" s="29"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00/01/1900</v>
      </c>
      <c r="V1598" s="33"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1900/01/00</v>
      </c>
      <c r="W1598" s="29"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00 gennaio 1900</v>
      </c>
      <c r="X1598" s="29">
        <v>1625</v>
      </c>
      <c r="Y1598" s="29" t="str">
        <f t="shared" si="416"/>
        <v>[' ', '', '', '--', '00 gennaio 1900', '00/01/1900', '1900/01/00'],</v>
      </c>
      <c r="Z1598" s="29" t="str">
        <f t="shared" si="417"/>
        <v xml:space="preserve"> () |  </v>
      </c>
      <c r="AA1598" s="29" t="str">
        <f t="shared" si="418"/>
        <v xml:space="preserve"> </v>
      </c>
      <c r="AB1598" s="29" t="str">
        <f t="shared" si="419"/>
        <v xml:space="preserve"> </v>
      </c>
      <c r="AC1598" s="29" t="str">
        <f t="shared" si="420"/>
        <v xml:space="preserve"> , 0 , 00 gennaio 1900</v>
      </c>
      <c r="AD1598" s="29" t="str">
        <f t="shared" si="421"/>
        <v>1900-01-00T08:00:00.000+02:00</v>
      </c>
      <c r="AE1598" s="29" t="str">
        <f t="shared" si="426"/>
        <v>--</v>
      </c>
      <c r="AF1598" s="29" t="str">
        <f t="shared" si="427"/>
        <v xml:space="preserve">  - 0 - </v>
      </c>
    </row>
    <row r="1599" spans="8:32" x14ac:dyDescent="0.2">
      <c r="H1599" s="29" t="str">
        <f t="shared" si="424"/>
        <v xml:space="preserve"> </v>
      </c>
      <c r="L1599" s="29">
        <f t="shared" si="425"/>
        <v>0</v>
      </c>
      <c r="Q1599" s="38"/>
      <c r="R1599" s="32">
        <f t="shared" si="422"/>
        <v>0</v>
      </c>
      <c r="S1599" s="32" t="str">
        <f>IF(ISERROR(DAY(Q1599)),TEXT(MATCH(TRIM(SUBSTITUTE(SUBSTITUTE(SUBSTITUTE(SUBSTITUTE(SUBSTITUTE(SUBSTITUTE(SUBSTITUTE(SUBSTITUTE(SUBSTITUTE(SUBSTITUTE(SUBSTITUTE(Q1599,1,""),2,""),3,""),4,""),5,""),6,""),7,""),8,""),9,""),0,""),"-","")),{"gennaio","febbraio","marzo","aprile","maggio","giugno","luglio","agosto","settembre","ottobre","novembre","dicembre"},0),"00"),TEXT(MONTH(Q1599)*29,"mmmm"))</f>
        <v>gennaio</v>
      </c>
      <c r="T1599" s="32">
        <f t="shared" si="423"/>
        <v>1900</v>
      </c>
      <c r="U1599" s="29"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00/01/1900</v>
      </c>
      <c r="V1599" s="33"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1900/01/00</v>
      </c>
      <c r="W1599" s="29"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00 gennaio 1900</v>
      </c>
      <c r="X1599" s="29">
        <v>1626</v>
      </c>
      <c r="Y1599" s="29" t="str">
        <f t="shared" si="416"/>
        <v>[' ', '', '', '--', '00 gennaio 1900', '00/01/1900', '1900/01/00'],</v>
      </c>
      <c r="Z1599" s="29" t="str">
        <f t="shared" si="417"/>
        <v xml:space="preserve"> () |  </v>
      </c>
      <c r="AA1599" s="29" t="str">
        <f t="shared" si="418"/>
        <v xml:space="preserve"> </v>
      </c>
      <c r="AB1599" s="29" t="str">
        <f t="shared" si="419"/>
        <v xml:space="preserve"> </v>
      </c>
      <c r="AC1599" s="29" t="str">
        <f t="shared" si="420"/>
        <v xml:space="preserve"> , 0 , 00 gennaio 1900</v>
      </c>
      <c r="AD1599" s="29" t="str">
        <f t="shared" si="421"/>
        <v>1900-01-00T08:00:00.000+02:00</v>
      </c>
      <c r="AE1599" s="29" t="str">
        <f t="shared" si="426"/>
        <v>--</v>
      </c>
      <c r="AF1599" s="29" t="str">
        <f t="shared" si="427"/>
        <v xml:space="preserve">  - 0 - </v>
      </c>
    </row>
    <row r="1600" spans="8:32" x14ac:dyDescent="0.2">
      <c r="H1600" s="29" t="str">
        <f t="shared" si="424"/>
        <v xml:space="preserve"> </v>
      </c>
      <c r="L1600" s="29">
        <f t="shared" si="425"/>
        <v>0</v>
      </c>
      <c r="Q1600" s="38"/>
      <c r="R1600" s="32">
        <f t="shared" si="422"/>
        <v>0</v>
      </c>
      <c r="S1600" s="32" t="str">
        <f>IF(ISERROR(DAY(Q1600)),TEXT(MATCH(TRIM(SUBSTITUTE(SUBSTITUTE(SUBSTITUTE(SUBSTITUTE(SUBSTITUTE(SUBSTITUTE(SUBSTITUTE(SUBSTITUTE(SUBSTITUTE(SUBSTITUTE(SUBSTITUTE(Q1600,1,""),2,""),3,""),4,""),5,""),6,""),7,""),8,""),9,""),0,""),"-","")),{"gennaio","febbraio","marzo","aprile","maggio","giugno","luglio","agosto","settembre","ottobre","novembre","dicembre"},0),"00"),TEXT(MONTH(Q1600)*29,"mmmm"))</f>
        <v>gennaio</v>
      </c>
      <c r="T1600" s="32">
        <f t="shared" si="423"/>
        <v>1900</v>
      </c>
      <c r="U1600" s="29"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00/01/1900</v>
      </c>
      <c r="V1600" s="33"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1900/01/00</v>
      </c>
      <c r="W1600" s="29"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00 gennaio 1900</v>
      </c>
      <c r="X1600" s="29">
        <v>1627</v>
      </c>
      <c r="Y1600" s="29" t="str">
        <f t="shared" si="416"/>
        <v>[' ', '', '', '--', '00 gennaio 1900', '00/01/1900', '1900/01/00'],</v>
      </c>
      <c r="Z1600" s="29" t="str">
        <f t="shared" si="417"/>
        <v xml:space="preserve"> () |  </v>
      </c>
      <c r="AA1600" s="29" t="str">
        <f t="shared" si="418"/>
        <v xml:space="preserve"> </v>
      </c>
      <c r="AB1600" s="29" t="str">
        <f t="shared" si="419"/>
        <v xml:space="preserve"> </v>
      </c>
      <c r="AC1600" s="29" t="str">
        <f t="shared" si="420"/>
        <v xml:space="preserve"> , 0 , 00 gennaio 1900</v>
      </c>
      <c r="AD1600" s="29" t="str">
        <f t="shared" si="421"/>
        <v>1900-01-00T08:00:00.000+02:00</v>
      </c>
      <c r="AE1600" s="29" t="str">
        <f t="shared" si="426"/>
        <v>--</v>
      </c>
      <c r="AF1600" s="29" t="str">
        <f t="shared" si="427"/>
        <v xml:space="preserve">  - 0 - </v>
      </c>
    </row>
    <row r="1601" spans="8:32" x14ac:dyDescent="0.2">
      <c r="H1601" s="29" t="str">
        <f t="shared" si="424"/>
        <v xml:space="preserve"> </v>
      </c>
      <c r="L1601" s="29">
        <f t="shared" si="425"/>
        <v>0</v>
      </c>
      <c r="Q1601" s="38"/>
      <c r="R1601" s="32">
        <f t="shared" si="422"/>
        <v>0</v>
      </c>
      <c r="S1601" s="32" t="str">
        <f>IF(ISERROR(DAY(Q1601)),TEXT(MATCH(TRIM(SUBSTITUTE(SUBSTITUTE(SUBSTITUTE(SUBSTITUTE(SUBSTITUTE(SUBSTITUTE(SUBSTITUTE(SUBSTITUTE(SUBSTITUTE(SUBSTITUTE(SUBSTITUTE(Q1601,1,""),2,""),3,""),4,""),5,""),6,""),7,""),8,""),9,""),0,""),"-","")),{"gennaio","febbraio","marzo","aprile","maggio","giugno","luglio","agosto","settembre","ottobre","novembre","dicembre"},0),"00"),TEXT(MONTH(Q1601)*29,"mmmm"))</f>
        <v>gennaio</v>
      </c>
      <c r="T1601" s="32">
        <f t="shared" si="423"/>
        <v>1900</v>
      </c>
      <c r="U1601" s="29"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00/01/1900</v>
      </c>
      <c r="V1601" s="33"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1900/01/00</v>
      </c>
      <c r="W1601" s="29"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00 gennaio 1900</v>
      </c>
      <c r="X1601" s="29">
        <v>1628</v>
      </c>
      <c r="Y1601" s="29" t="str">
        <f t="shared" si="416"/>
        <v>[' ', '', '', '--', '00 gennaio 1900', '00/01/1900', '1900/01/00'],</v>
      </c>
      <c r="Z1601" s="29" t="str">
        <f t="shared" si="417"/>
        <v xml:space="preserve"> () |  </v>
      </c>
      <c r="AA1601" s="29" t="str">
        <f t="shared" si="418"/>
        <v xml:space="preserve"> </v>
      </c>
      <c r="AB1601" s="29" t="str">
        <f t="shared" si="419"/>
        <v xml:space="preserve"> </v>
      </c>
      <c r="AC1601" s="29" t="str">
        <f t="shared" si="420"/>
        <v xml:space="preserve"> , 0 , 00 gennaio 1900</v>
      </c>
      <c r="AD1601" s="29" t="str">
        <f t="shared" si="421"/>
        <v>1900-01-00T08:00:00.000+02:00</v>
      </c>
      <c r="AE1601" s="29" t="str">
        <f t="shared" si="426"/>
        <v>--</v>
      </c>
      <c r="AF1601" s="29" t="str">
        <f t="shared" si="427"/>
        <v xml:space="preserve">  - 0 - </v>
      </c>
    </row>
    <row r="1602" spans="8:32" x14ac:dyDescent="0.2">
      <c r="H1602" s="29" t="str">
        <f t="shared" si="424"/>
        <v xml:space="preserve"> </v>
      </c>
      <c r="L1602" s="29">
        <f t="shared" si="425"/>
        <v>0</v>
      </c>
      <c r="Q1602" s="38"/>
      <c r="R1602" s="32">
        <f t="shared" si="422"/>
        <v>0</v>
      </c>
      <c r="S1602" s="32" t="str">
        <f>IF(ISERROR(DAY(Q1602)),TEXT(MATCH(TRIM(SUBSTITUTE(SUBSTITUTE(SUBSTITUTE(SUBSTITUTE(SUBSTITUTE(SUBSTITUTE(SUBSTITUTE(SUBSTITUTE(SUBSTITUTE(SUBSTITUTE(SUBSTITUTE(Q1602,1,""),2,""),3,""),4,""),5,""),6,""),7,""),8,""),9,""),0,""),"-","")),{"gennaio","febbraio","marzo","aprile","maggio","giugno","luglio","agosto","settembre","ottobre","novembre","dicembre"},0),"00"),TEXT(MONTH(Q1602)*29,"mmmm"))</f>
        <v>gennaio</v>
      </c>
      <c r="T1602" s="32">
        <f t="shared" si="423"/>
        <v>1900</v>
      </c>
      <c r="U1602" s="29"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00/01/1900</v>
      </c>
      <c r="V1602" s="33"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1900/01/00</v>
      </c>
      <c r="W1602" s="29"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00 gennaio 1900</v>
      </c>
      <c r="X1602" s="29">
        <v>1629</v>
      </c>
      <c r="Y1602" s="29" t="str">
        <f t="shared" ref="Y1602:Y1665" si="428">_xlfn.CONCAT("[" &amp; "'" &amp; D1602 &amp; " " &amp; E1602 &amp; "'" &amp; ", " &amp; "'" &amp; K1602 &amp; "'"&amp; ", " &amp; "'" &amp; O1602 &amp; "'" &amp; ", " &amp; "'" &amp; AE1602 &amp; "'" &amp; ", " &amp; "'" &amp; W1602 &amp; "'" &amp; ", " &amp; "'" &amp; U1602 &amp; "'" &amp; ", " &amp; "'" &amp; V1602 &amp; "'" &amp; "],")</f>
        <v>[' ', '', '', '--', '00 gennaio 1900', '00/01/1900', '1900/01/00'],</v>
      </c>
      <c r="Z1602" s="29" t="str">
        <f t="shared" ref="Z1602:Z1665" si="429">_xlfn.CONCAT(O1602 &amp; " (" &amp; Q1602 &amp; ") | " &amp; D1602 &amp; " " &amp; E1602)</f>
        <v xml:space="preserve"> () |  </v>
      </c>
      <c r="AA1602" s="29" t="str">
        <f t="shared" ref="AA1602:AA1665" si="430">_xlfn.CONCAT(K1602 &amp; " " &amp; O1602)</f>
        <v xml:space="preserve"> </v>
      </c>
      <c r="AB1602" s="29" t="str">
        <f t="shared" ref="AB1602:AB1665" si="431">_xlfn.CONCAT(K1602 &amp; " " &amp; O1602)</f>
        <v xml:space="preserve"> </v>
      </c>
      <c r="AC1602" s="29" t="str">
        <f t="shared" ref="AC1602:AC1665" si="432">_xlfn.CONCAT(H1602 &amp; ", " &amp; L1602 &amp; " " &amp; O1602 &amp; ", " &amp; LEFT(U1602,2) &amp; " " &amp; TEXT(VALUE(MID(U1602,4,2))*29,"mmmm") &amp; " " &amp; RIGHT(U1602,4))</f>
        <v xml:space="preserve"> , 0 , 00 gennaio 1900</v>
      </c>
      <c r="AD1602" s="29" t="str">
        <f t="shared" ref="AD1602:AD1665" si="433">_xlfn.CONCAT(RIGHT(U1602,4) &amp; "-" &amp; MID(U1602,4,2) &amp; "-" &amp; LEFT(U1602,2) &amp; "T08:00:00.000+02:00")</f>
        <v>1900-01-00T08:00:00.000+02:00</v>
      </c>
      <c r="AE1602" s="29" t="str">
        <f t="shared" si="426"/>
        <v>--</v>
      </c>
      <c r="AF1602" s="29" t="str">
        <f t="shared" si="427"/>
        <v xml:space="preserve">  - 0 - </v>
      </c>
    </row>
    <row r="1603" spans="8:32" x14ac:dyDescent="0.2">
      <c r="H1603" s="29" t="str">
        <f t="shared" si="424"/>
        <v xml:space="preserve"> </v>
      </c>
      <c r="L1603" s="29">
        <f t="shared" si="425"/>
        <v>0</v>
      </c>
      <c r="Q1603" s="38"/>
      <c r="R1603" s="32">
        <f t="shared" si="422"/>
        <v>0</v>
      </c>
      <c r="S1603" s="32" t="str">
        <f>IF(ISERROR(DAY(Q1603)),TEXT(MATCH(TRIM(SUBSTITUTE(SUBSTITUTE(SUBSTITUTE(SUBSTITUTE(SUBSTITUTE(SUBSTITUTE(SUBSTITUTE(SUBSTITUTE(SUBSTITUTE(SUBSTITUTE(SUBSTITUTE(Q1603,1,""),2,""),3,""),4,""),5,""),6,""),7,""),8,""),9,""),0,""),"-","")),{"gennaio","febbraio","marzo","aprile","maggio","giugno","luglio","agosto","settembre","ottobre","novembre","dicembre"},0),"00"),TEXT(MONTH(Q1603)*29,"mmmm"))</f>
        <v>gennaio</v>
      </c>
      <c r="T1603" s="32">
        <f t="shared" si="423"/>
        <v>1900</v>
      </c>
      <c r="U1603" s="29"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00/01/1900</v>
      </c>
      <c r="V1603" s="33"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1900/01/00</v>
      </c>
      <c r="W1603" s="29"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00 gennaio 1900</v>
      </c>
      <c r="X1603" s="29">
        <v>1630</v>
      </c>
      <c r="Y1603" s="29" t="str">
        <f t="shared" si="428"/>
        <v>[' ', '', '', '--', '00 gennaio 1900', '00/01/1900', '1900/01/00'],</v>
      </c>
      <c r="Z1603" s="29" t="str">
        <f t="shared" si="429"/>
        <v xml:space="preserve"> () |  </v>
      </c>
      <c r="AA1603" s="29" t="str">
        <f t="shared" si="430"/>
        <v xml:space="preserve"> </v>
      </c>
      <c r="AB1603" s="29" t="str">
        <f t="shared" si="431"/>
        <v xml:space="preserve"> </v>
      </c>
      <c r="AC1603" s="29" t="str">
        <f t="shared" si="432"/>
        <v xml:space="preserve"> , 0 , 00 gennaio 1900</v>
      </c>
      <c r="AD1603" s="29" t="str">
        <f t="shared" si="433"/>
        <v>1900-01-00T08:00:00.000+02:00</v>
      </c>
      <c r="AE1603" s="29" t="str">
        <f t="shared" si="426"/>
        <v>--</v>
      </c>
      <c r="AF1603" s="29" t="str">
        <f t="shared" si="427"/>
        <v xml:space="preserve">  - 0 - </v>
      </c>
    </row>
    <row r="1604" spans="8:32" x14ac:dyDescent="0.2">
      <c r="H1604" s="29" t="str">
        <f t="shared" si="424"/>
        <v xml:space="preserve"> </v>
      </c>
      <c r="L1604" s="29">
        <f t="shared" si="425"/>
        <v>0</v>
      </c>
      <c r="Q1604" s="38"/>
      <c r="R1604" s="32">
        <f t="shared" si="422"/>
        <v>0</v>
      </c>
      <c r="S1604" s="32" t="str">
        <f>IF(ISERROR(DAY(Q1604)),TEXT(MATCH(TRIM(SUBSTITUTE(SUBSTITUTE(SUBSTITUTE(SUBSTITUTE(SUBSTITUTE(SUBSTITUTE(SUBSTITUTE(SUBSTITUTE(SUBSTITUTE(SUBSTITUTE(SUBSTITUTE(Q1604,1,""),2,""),3,""),4,""),5,""),6,""),7,""),8,""),9,""),0,""),"-","")),{"gennaio","febbraio","marzo","aprile","maggio","giugno","luglio","agosto","settembre","ottobre","novembre","dicembre"},0),"00"),TEXT(MONTH(Q1604)*29,"mmmm"))</f>
        <v>gennaio</v>
      </c>
      <c r="T1604" s="32">
        <f t="shared" si="423"/>
        <v>1900</v>
      </c>
      <c r="U1604" s="29"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00/01/1900</v>
      </c>
      <c r="V1604" s="33"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1900/01/00</v>
      </c>
      <c r="W1604" s="29"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00 gennaio 1900</v>
      </c>
      <c r="X1604" s="29">
        <v>1631</v>
      </c>
      <c r="Y1604" s="29" t="str">
        <f t="shared" si="428"/>
        <v>[' ', '', '', '--', '00 gennaio 1900', '00/01/1900', '1900/01/00'],</v>
      </c>
      <c r="Z1604" s="29" t="str">
        <f t="shared" si="429"/>
        <v xml:space="preserve"> () |  </v>
      </c>
      <c r="AA1604" s="29" t="str">
        <f t="shared" si="430"/>
        <v xml:space="preserve"> </v>
      </c>
      <c r="AB1604" s="29" t="str">
        <f t="shared" si="431"/>
        <v xml:space="preserve"> </v>
      </c>
      <c r="AC1604" s="29" t="str">
        <f t="shared" si="432"/>
        <v xml:space="preserve"> , 0 , 00 gennaio 1900</v>
      </c>
      <c r="AD1604" s="29" t="str">
        <f t="shared" si="433"/>
        <v>1900-01-00T08:00:00.000+02:00</v>
      </c>
      <c r="AE1604" s="29" t="str">
        <f t="shared" si="426"/>
        <v>--</v>
      </c>
      <c r="AF1604" s="29" t="str">
        <f t="shared" si="427"/>
        <v xml:space="preserve">  - 0 - </v>
      </c>
    </row>
    <row r="1605" spans="8:32" x14ac:dyDescent="0.2">
      <c r="H1605" s="29" t="str">
        <f t="shared" si="424"/>
        <v xml:space="preserve"> </v>
      </c>
      <c r="L1605" s="29">
        <f t="shared" si="425"/>
        <v>0</v>
      </c>
      <c r="Q1605" s="38"/>
      <c r="R1605" s="32">
        <f t="shared" si="422"/>
        <v>0</v>
      </c>
      <c r="S1605" s="32" t="str">
        <f>IF(ISERROR(DAY(Q1605)),TEXT(MATCH(TRIM(SUBSTITUTE(SUBSTITUTE(SUBSTITUTE(SUBSTITUTE(SUBSTITUTE(SUBSTITUTE(SUBSTITUTE(SUBSTITUTE(SUBSTITUTE(SUBSTITUTE(SUBSTITUTE(Q1605,1,""),2,""),3,""),4,""),5,""),6,""),7,""),8,""),9,""),0,""),"-","")),{"gennaio","febbraio","marzo","aprile","maggio","giugno","luglio","agosto","settembre","ottobre","novembre","dicembre"},0),"00"),TEXT(MONTH(Q1605)*29,"mmmm"))</f>
        <v>gennaio</v>
      </c>
      <c r="T1605" s="32">
        <f t="shared" si="423"/>
        <v>1900</v>
      </c>
      <c r="U1605" s="29"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00/01/1900</v>
      </c>
      <c r="V1605" s="33"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1900/01/00</v>
      </c>
      <c r="W1605" s="29"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00 gennaio 1900</v>
      </c>
      <c r="X1605" s="29">
        <v>1632</v>
      </c>
      <c r="Y1605" s="29" t="str">
        <f t="shared" si="428"/>
        <v>[' ', '', '', '--', '00 gennaio 1900', '00/01/1900', '1900/01/00'],</v>
      </c>
      <c r="Z1605" s="29" t="str">
        <f t="shared" si="429"/>
        <v xml:space="preserve"> () |  </v>
      </c>
      <c r="AA1605" s="29" t="str">
        <f t="shared" si="430"/>
        <v xml:space="preserve"> </v>
      </c>
      <c r="AB1605" s="29" t="str">
        <f t="shared" si="431"/>
        <v xml:space="preserve"> </v>
      </c>
      <c r="AC1605" s="29" t="str">
        <f t="shared" si="432"/>
        <v xml:space="preserve"> , 0 , 00 gennaio 1900</v>
      </c>
      <c r="AD1605" s="29" t="str">
        <f t="shared" si="433"/>
        <v>1900-01-00T08:00:00.000+02:00</v>
      </c>
      <c r="AE1605" s="29" t="str">
        <f t="shared" si="426"/>
        <v>--</v>
      </c>
      <c r="AF1605" s="29" t="str">
        <f t="shared" si="427"/>
        <v xml:space="preserve">  - 0 - </v>
      </c>
    </row>
    <row r="1606" spans="8:32" x14ac:dyDescent="0.2">
      <c r="H1606" s="29" t="str">
        <f t="shared" si="424"/>
        <v xml:space="preserve"> </v>
      </c>
      <c r="L1606" s="29">
        <f t="shared" si="425"/>
        <v>0</v>
      </c>
      <c r="Q1606" s="38"/>
      <c r="R1606" s="32">
        <f t="shared" si="422"/>
        <v>0</v>
      </c>
      <c r="S1606" s="32" t="str">
        <f>IF(ISERROR(DAY(Q1606)),TEXT(MATCH(TRIM(SUBSTITUTE(SUBSTITUTE(SUBSTITUTE(SUBSTITUTE(SUBSTITUTE(SUBSTITUTE(SUBSTITUTE(SUBSTITUTE(SUBSTITUTE(SUBSTITUTE(SUBSTITUTE(Q1606,1,""),2,""),3,""),4,""),5,""),6,""),7,""),8,""),9,""),0,""),"-","")),{"gennaio","febbraio","marzo","aprile","maggio","giugno","luglio","agosto","settembre","ottobre","novembre","dicembre"},0),"00"),TEXT(MONTH(Q1606)*29,"mmmm"))</f>
        <v>gennaio</v>
      </c>
      <c r="T1606" s="32">
        <f t="shared" si="423"/>
        <v>1900</v>
      </c>
      <c r="U1606" s="29"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00/01/1900</v>
      </c>
      <c r="V1606" s="33"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1900/01/00</v>
      </c>
      <c r="W1606" s="29"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00 gennaio 1900</v>
      </c>
      <c r="X1606" s="29">
        <v>1633</v>
      </c>
      <c r="Y1606" s="29" t="str">
        <f t="shared" si="428"/>
        <v>[' ', '', '', '--', '00 gennaio 1900', '00/01/1900', '1900/01/00'],</v>
      </c>
      <c r="Z1606" s="29" t="str">
        <f t="shared" si="429"/>
        <v xml:space="preserve"> () |  </v>
      </c>
      <c r="AA1606" s="29" t="str">
        <f t="shared" si="430"/>
        <v xml:space="preserve"> </v>
      </c>
      <c r="AB1606" s="29" t="str">
        <f t="shared" si="431"/>
        <v xml:space="preserve"> </v>
      </c>
      <c r="AC1606" s="29" t="str">
        <f t="shared" si="432"/>
        <v xml:space="preserve"> , 0 , 00 gennaio 1900</v>
      </c>
      <c r="AD1606" s="29" t="str">
        <f t="shared" si="433"/>
        <v>1900-01-00T08:00:00.000+02:00</v>
      </c>
      <c r="AE1606" s="29" t="str">
        <f t="shared" si="426"/>
        <v>--</v>
      </c>
      <c r="AF1606" s="29" t="str">
        <f t="shared" si="427"/>
        <v xml:space="preserve">  - 0 - </v>
      </c>
    </row>
    <row r="1607" spans="8:32" x14ac:dyDescent="0.2">
      <c r="H1607" s="29" t="str">
        <f t="shared" si="424"/>
        <v xml:space="preserve"> </v>
      </c>
      <c r="L1607" s="29">
        <f t="shared" si="425"/>
        <v>0</v>
      </c>
      <c r="Q1607" s="38"/>
      <c r="R1607" s="32">
        <f t="shared" si="422"/>
        <v>0</v>
      </c>
      <c r="S1607" s="32" t="str">
        <f>IF(ISERROR(DAY(Q1607)),TEXT(MATCH(TRIM(SUBSTITUTE(SUBSTITUTE(SUBSTITUTE(SUBSTITUTE(SUBSTITUTE(SUBSTITUTE(SUBSTITUTE(SUBSTITUTE(SUBSTITUTE(SUBSTITUTE(SUBSTITUTE(Q1607,1,""),2,""),3,""),4,""),5,""),6,""),7,""),8,""),9,""),0,""),"-","")),{"gennaio","febbraio","marzo","aprile","maggio","giugno","luglio","agosto","settembre","ottobre","novembre","dicembre"},0),"00"),TEXT(MONTH(Q1607)*29,"mmmm"))</f>
        <v>gennaio</v>
      </c>
      <c r="T1607" s="32">
        <f t="shared" si="423"/>
        <v>1900</v>
      </c>
      <c r="U1607" s="29"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00/01/1900</v>
      </c>
      <c r="V1607" s="33"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1900/01/00</v>
      </c>
      <c r="W1607" s="29"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00 gennaio 1900</v>
      </c>
      <c r="X1607" s="29">
        <v>1634</v>
      </c>
      <c r="Y1607" s="29" t="str">
        <f t="shared" si="428"/>
        <v>[' ', '', '', '--', '00 gennaio 1900', '00/01/1900', '1900/01/00'],</v>
      </c>
      <c r="Z1607" s="29" t="str">
        <f t="shared" si="429"/>
        <v xml:space="preserve"> () |  </v>
      </c>
      <c r="AA1607" s="29" t="str">
        <f t="shared" si="430"/>
        <v xml:space="preserve"> </v>
      </c>
      <c r="AB1607" s="29" t="str">
        <f t="shared" si="431"/>
        <v xml:space="preserve"> </v>
      </c>
      <c r="AC1607" s="29" t="str">
        <f t="shared" si="432"/>
        <v xml:space="preserve"> , 0 , 00 gennaio 1900</v>
      </c>
      <c r="AD1607" s="29" t="str">
        <f t="shared" si="433"/>
        <v>1900-01-00T08:00:00.000+02:00</v>
      </c>
      <c r="AE1607" s="29" t="str">
        <f t="shared" si="426"/>
        <v>--</v>
      </c>
      <c r="AF1607" s="29" t="str">
        <f t="shared" si="427"/>
        <v xml:space="preserve">  - 0 - </v>
      </c>
    </row>
    <row r="1608" spans="8:32" x14ac:dyDescent="0.2">
      <c r="H1608" s="29" t="str">
        <f t="shared" si="424"/>
        <v xml:space="preserve"> </v>
      </c>
      <c r="L1608" s="29">
        <f t="shared" si="425"/>
        <v>0</v>
      </c>
      <c r="Q1608" s="38"/>
      <c r="R1608" s="32">
        <f t="shared" si="422"/>
        <v>0</v>
      </c>
      <c r="S1608" s="32" t="str">
        <f>IF(ISERROR(DAY(Q1608)),TEXT(MATCH(TRIM(SUBSTITUTE(SUBSTITUTE(SUBSTITUTE(SUBSTITUTE(SUBSTITUTE(SUBSTITUTE(SUBSTITUTE(SUBSTITUTE(SUBSTITUTE(SUBSTITUTE(SUBSTITUTE(Q1608,1,""),2,""),3,""),4,""),5,""),6,""),7,""),8,""),9,""),0,""),"-","")),{"gennaio","febbraio","marzo","aprile","maggio","giugno","luglio","agosto","settembre","ottobre","novembre","dicembre"},0),"00"),TEXT(MONTH(Q1608)*29,"mmmm"))</f>
        <v>gennaio</v>
      </c>
      <c r="T1608" s="32">
        <f t="shared" si="423"/>
        <v>1900</v>
      </c>
      <c r="U1608" s="29"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00/01/1900</v>
      </c>
      <c r="V1608" s="33"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1900/01/00</v>
      </c>
      <c r="W1608" s="29"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00 gennaio 1900</v>
      </c>
      <c r="X1608" s="29">
        <v>1635</v>
      </c>
      <c r="Y1608" s="29" t="str">
        <f t="shared" si="428"/>
        <v>[' ', '', '', '--', '00 gennaio 1900', '00/01/1900', '1900/01/00'],</v>
      </c>
      <c r="Z1608" s="29" t="str">
        <f t="shared" si="429"/>
        <v xml:space="preserve"> () |  </v>
      </c>
      <c r="AA1608" s="29" t="str">
        <f t="shared" si="430"/>
        <v xml:space="preserve"> </v>
      </c>
      <c r="AB1608" s="29" t="str">
        <f t="shared" si="431"/>
        <v xml:space="preserve"> </v>
      </c>
      <c r="AC1608" s="29" t="str">
        <f t="shared" si="432"/>
        <v xml:space="preserve"> , 0 , 00 gennaio 1900</v>
      </c>
      <c r="AD1608" s="29" t="str">
        <f t="shared" si="433"/>
        <v>1900-01-00T08:00:00.000+02:00</v>
      </c>
      <c r="AE1608" s="29" t="str">
        <f t="shared" si="426"/>
        <v>--</v>
      </c>
      <c r="AF1608" s="29" t="str">
        <f t="shared" si="427"/>
        <v xml:space="preserve">  - 0 - </v>
      </c>
    </row>
    <row r="1609" spans="8:32" x14ac:dyDescent="0.2">
      <c r="H1609" s="29" t="str">
        <f t="shared" si="424"/>
        <v xml:space="preserve"> </v>
      </c>
      <c r="L1609" s="29">
        <f t="shared" si="425"/>
        <v>0</v>
      </c>
      <c r="Q1609" s="38"/>
      <c r="R1609" s="32">
        <f t="shared" si="422"/>
        <v>0</v>
      </c>
      <c r="S1609" s="32" t="str">
        <f>IF(ISERROR(DAY(Q1609)),TEXT(MATCH(TRIM(SUBSTITUTE(SUBSTITUTE(SUBSTITUTE(SUBSTITUTE(SUBSTITUTE(SUBSTITUTE(SUBSTITUTE(SUBSTITUTE(SUBSTITUTE(SUBSTITUTE(SUBSTITUTE(Q1609,1,""),2,""),3,""),4,""),5,""),6,""),7,""),8,""),9,""),0,""),"-","")),{"gennaio","febbraio","marzo","aprile","maggio","giugno","luglio","agosto","settembre","ottobre","novembre","dicembre"},0),"00"),TEXT(MONTH(Q1609)*29,"mmmm"))</f>
        <v>gennaio</v>
      </c>
      <c r="T1609" s="32">
        <f t="shared" si="423"/>
        <v>1900</v>
      </c>
      <c r="U1609" s="29"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00/01/1900</v>
      </c>
      <c r="V1609" s="33"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1900/01/00</v>
      </c>
      <c r="W1609" s="29"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00 gennaio 1900</v>
      </c>
      <c r="X1609" s="29">
        <v>1636</v>
      </c>
      <c r="Y1609" s="29" t="str">
        <f t="shared" si="428"/>
        <v>[' ', '', '', '--', '00 gennaio 1900', '00/01/1900', '1900/01/00'],</v>
      </c>
      <c r="Z1609" s="29" t="str">
        <f t="shared" si="429"/>
        <v xml:space="preserve"> () |  </v>
      </c>
      <c r="AA1609" s="29" t="str">
        <f t="shared" si="430"/>
        <v xml:space="preserve"> </v>
      </c>
      <c r="AB1609" s="29" t="str">
        <f t="shared" si="431"/>
        <v xml:space="preserve"> </v>
      </c>
      <c r="AC1609" s="29" t="str">
        <f t="shared" si="432"/>
        <v xml:space="preserve"> , 0 , 00 gennaio 1900</v>
      </c>
      <c r="AD1609" s="29" t="str">
        <f t="shared" si="433"/>
        <v>1900-01-00T08:00:00.000+02:00</v>
      </c>
      <c r="AE1609" s="29" t="str">
        <f t="shared" si="426"/>
        <v>--</v>
      </c>
      <c r="AF1609" s="29" t="str">
        <f t="shared" si="427"/>
        <v xml:space="preserve">  - 0 - </v>
      </c>
    </row>
    <row r="1610" spans="8:32" x14ac:dyDescent="0.2">
      <c r="H1610" s="29" t="str">
        <f t="shared" si="424"/>
        <v xml:space="preserve"> </v>
      </c>
      <c r="L1610" s="29">
        <f t="shared" si="425"/>
        <v>0</v>
      </c>
      <c r="Q1610" s="38"/>
      <c r="R1610" s="32">
        <f t="shared" si="422"/>
        <v>0</v>
      </c>
      <c r="S1610" s="32" t="str">
        <f>IF(ISERROR(DAY(Q1610)),TEXT(MATCH(TRIM(SUBSTITUTE(SUBSTITUTE(SUBSTITUTE(SUBSTITUTE(SUBSTITUTE(SUBSTITUTE(SUBSTITUTE(SUBSTITUTE(SUBSTITUTE(SUBSTITUTE(SUBSTITUTE(Q1610,1,""),2,""),3,""),4,""),5,""),6,""),7,""),8,""),9,""),0,""),"-","")),{"gennaio","febbraio","marzo","aprile","maggio","giugno","luglio","agosto","settembre","ottobre","novembre","dicembre"},0),"00"),TEXT(MONTH(Q1610)*29,"mmmm"))</f>
        <v>gennaio</v>
      </c>
      <c r="T1610" s="32">
        <f t="shared" si="423"/>
        <v>1900</v>
      </c>
      <c r="U1610" s="29"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00/01/1900</v>
      </c>
      <c r="V1610" s="33"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1900/01/00</v>
      </c>
      <c r="W1610" s="29"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00 gennaio 1900</v>
      </c>
      <c r="X1610" s="29">
        <v>1637</v>
      </c>
      <c r="Y1610" s="29" t="str">
        <f t="shared" si="428"/>
        <v>[' ', '', '', '--', '00 gennaio 1900', '00/01/1900', '1900/01/00'],</v>
      </c>
      <c r="Z1610" s="29" t="str">
        <f t="shared" si="429"/>
        <v xml:space="preserve"> () |  </v>
      </c>
      <c r="AA1610" s="29" t="str">
        <f t="shared" si="430"/>
        <v xml:space="preserve"> </v>
      </c>
      <c r="AB1610" s="29" t="str">
        <f t="shared" si="431"/>
        <v xml:space="preserve"> </v>
      </c>
      <c r="AC1610" s="29" t="str">
        <f t="shared" si="432"/>
        <v xml:space="preserve"> , 0 , 00 gennaio 1900</v>
      </c>
      <c r="AD1610" s="29" t="str">
        <f t="shared" si="433"/>
        <v>1900-01-00T08:00:00.000+02:00</v>
      </c>
      <c r="AE1610" s="29" t="str">
        <f t="shared" si="426"/>
        <v>--</v>
      </c>
      <c r="AF1610" s="29" t="str">
        <f t="shared" si="427"/>
        <v xml:space="preserve">  - 0 - </v>
      </c>
    </row>
    <row r="1611" spans="8:32" x14ac:dyDescent="0.2">
      <c r="H1611" s="29" t="str">
        <f t="shared" si="424"/>
        <v xml:space="preserve"> </v>
      </c>
      <c r="L1611" s="29">
        <f t="shared" si="425"/>
        <v>0</v>
      </c>
      <c r="Q1611" s="38"/>
      <c r="R1611" s="32">
        <f t="shared" si="422"/>
        <v>0</v>
      </c>
      <c r="S1611" s="32" t="str">
        <f>IF(ISERROR(DAY(Q1611)),TEXT(MATCH(TRIM(SUBSTITUTE(SUBSTITUTE(SUBSTITUTE(SUBSTITUTE(SUBSTITUTE(SUBSTITUTE(SUBSTITUTE(SUBSTITUTE(SUBSTITUTE(SUBSTITUTE(SUBSTITUTE(Q1611,1,""),2,""),3,""),4,""),5,""),6,""),7,""),8,""),9,""),0,""),"-","")),{"gennaio","febbraio","marzo","aprile","maggio","giugno","luglio","agosto","settembre","ottobre","novembre","dicembre"},0),"00"),TEXT(MONTH(Q1611)*29,"mmmm"))</f>
        <v>gennaio</v>
      </c>
      <c r="T1611" s="32">
        <f t="shared" si="423"/>
        <v>1900</v>
      </c>
      <c r="U1611" s="29"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00/01/1900</v>
      </c>
      <c r="V1611" s="33"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1900/01/00</v>
      </c>
      <c r="W1611" s="29"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00 gennaio 1900</v>
      </c>
      <c r="X1611" s="29">
        <v>1638</v>
      </c>
      <c r="Y1611" s="29" t="str">
        <f t="shared" si="428"/>
        <v>[' ', '', '', '--', '00 gennaio 1900', '00/01/1900', '1900/01/00'],</v>
      </c>
      <c r="Z1611" s="29" t="str">
        <f t="shared" si="429"/>
        <v xml:space="preserve"> () |  </v>
      </c>
      <c r="AA1611" s="29" t="str">
        <f t="shared" si="430"/>
        <v xml:space="preserve"> </v>
      </c>
      <c r="AB1611" s="29" t="str">
        <f t="shared" si="431"/>
        <v xml:space="preserve"> </v>
      </c>
      <c r="AC1611" s="29" t="str">
        <f t="shared" si="432"/>
        <v xml:space="preserve"> , 0 , 00 gennaio 1900</v>
      </c>
      <c r="AD1611" s="29" t="str">
        <f t="shared" si="433"/>
        <v>1900-01-00T08:00:00.000+02:00</v>
      </c>
      <c r="AE1611" s="29" t="str">
        <f t="shared" si="426"/>
        <v>--</v>
      </c>
      <c r="AF1611" s="29" t="str">
        <f t="shared" si="427"/>
        <v xml:space="preserve">  - 0 - </v>
      </c>
    </row>
    <row r="1612" spans="8:32" x14ac:dyDescent="0.2">
      <c r="H1612" s="29" t="str">
        <f t="shared" si="424"/>
        <v xml:space="preserve"> </v>
      </c>
      <c r="L1612" s="29">
        <f t="shared" si="425"/>
        <v>0</v>
      </c>
      <c r="Q1612" s="38"/>
      <c r="R1612" s="32">
        <f t="shared" si="422"/>
        <v>0</v>
      </c>
      <c r="S1612" s="32" t="str">
        <f>IF(ISERROR(DAY(Q1612)),TEXT(MATCH(TRIM(SUBSTITUTE(SUBSTITUTE(SUBSTITUTE(SUBSTITUTE(SUBSTITUTE(SUBSTITUTE(SUBSTITUTE(SUBSTITUTE(SUBSTITUTE(SUBSTITUTE(SUBSTITUTE(Q1612,1,""),2,""),3,""),4,""),5,""),6,""),7,""),8,""),9,""),0,""),"-","")),{"gennaio","febbraio","marzo","aprile","maggio","giugno","luglio","agosto","settembre","ottobre","novembre","dicembre"},0),"00"),TEXT(MONTH(Q1612)*29,"mmmm"))</f>
        <v>gennaio</v>
      </c>
      <c r="T1612" s="32">
        <f t="shared" si="423"/>
        <v>1900</v>
      </c>
      <c r="U1612" s="29"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00/01/1900</v>
      </c>
      <c r="V1612" s="33"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1900/01/00</v>
      </c>
      <c r="W1612" s="29"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00 gennaio 1900</v>
      </c>
      <c r="X1612" s="29">
        <v>1639</v>
      </c>
      <c r="Y1612" s="29" t="str">
        <f t="shared" si="428"/>
        <v>[' ', '', '', '--', '00 gennaio 1900', '00/01/1900', '1900/01/00'],</v>
      </c>
      <c r="Z1612" s="29" t="str">
        <f t="shared" si="429"/>
        <v xml:space="preserve"> () |  </v>
      </c>
      <c r="AA1612" s="29" t="str">
        <f t="shared" si="430"/>
        <v xml:space="preserve"> </v>
      </c>
      <c r="AB1612" s="29" t="str">
        <f t="shared" si="431"/>
        <v xml:space="preserve"> </v>
      </c>
      <c r="AC1612" s="29" t="str">
        <f t="shared" si="432"/>
        <v xml:space="preserve"> , 0 , 00 gennaio 1900</v>
      </c>
      <c r="AD1612" s="29" t="str">
        <f t="shared" si="433"/>
        <v>1900-01-00T08:00:00.000+02:00</v>
      </c>
      <c r="AE1612" s="29" t="str">
        <f t="shared" si="426"/>
        <v>--</v>
      </c>
      <c r="AF1612" s="29" t="str">
        <f t="shared" si="427"/>
        <v xml:space="preserve">  - 0 - </v>
      </c>
    </row>
    <row r="1613" spans="8:32" x14ac:dyDescent="0.2">
      <c r="H1613" s="29" t="str">
        <f t="shared" si="424"/>
        <v xml:space="preserve"> </v>
      </c>
      <c r="L1613" s="29">
        <f t="shared" si="425"/>
        <v>0</v>
      </c>
      <c r="Q1613" s="38"/>
      <c r="R1613" s="32">
        <f t="shared" si="422"/>
        <v>0</v>
      </c>
      <c r="S1613" s="32" t="str">
        <f>IF(ISERROR(DAY(Q1613)),TEXT(MATCH(TRIM(SUBSTITUTE(SUBSTITUTE(SUBSTITUTE(SUBSTITUTE(SUBSTITUTE(SUBSTITUTE(SUBSTITUTE(SUBSTITUTE(SUBSTITUTE(SUBSTITUTE(SUBSTITUTE(Q1613,1,""),2,""),3,""),4,""),5,""),6,""),7,""),8,""),9,""),0,""),"-","")),{"gennaio","febbraio","marzo","aprile","maggio","giugno","luglio","agosto","settembre","ottobre","novembre","dicembre"},0),"00"),TEXT(MONTH(Q1613)*29,"mmmm"))</f>
        <v>gennaio</v>
      </c>
      <c r="T1613" s="32">
        <f t="shared" si="423"/>
        <v>1900</v>
      </c>
      <c r="U1613" s="29"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00/01/1900</v>
      </c>
      <c r="V1613" s="33"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1900/01/00</v>
      </c>
      <c r="W1613" s="29"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00 gennaio 1900</v>
      </c>
      <c r="X1613" s="29">
        <v>1640</v>
      </c>
      <c r="Y1613" s="29" t="str">
        <f t="shared" si="428"/>
        <v>[' ', '', '', '--', '00 gennaio 1900', '00/01/1900', '1900/01/00'],</v>
      </c>
      <c r="Z1613" s="29" t="str">
        <f t="shared" si="429"/>
        <v xml:space="preserve"> () |  </v>
      </c>
      <c r="AA1613" s="29" t="str">
        <f t="shared" si="430"/>
        <v xml:space="preserve"> </v>
      </c>
      <c r="AB1613" s="29" t="str">
        <f t="shared" si="431"/>
        <v xml:space="preserve"> </v>
      </c>
      <c r="AC1613" s="29" t="str">
        <f t="shared" si="432"/>
        <v xml:space="preserve"> , 0 , 00 gennaio 1900</v>
      </c>
      <c r="AD1613" s="29" t="str">
        <f t="shared" si="433"/>
        <v>1900-01-00T08:00:00.000+02:00</v>
      </c>
      <c r="AE1613" s="29" t="str">
        <f t="shared" si="426"/>
        <v>--</v>
      </c>
      <c r="AF1613" s="29" t="str">
        <f t="shared" si="427"/>
        <v xml:space="preserve">  - 0 - </v>
      </c>
    </row>
    <row r="1614" spans="8:32" x14ac:dyDescent="0.2">
      <c r="H1614" s="29" t="str">
        <f t="shared" si="424"/>
        <v xml:space="preserve"> </v>
      </c>
      <c r="L1614" s="29">
        <f t="shared" si="425"/>
        <v>0</v>
      </c>
      <c r="Q1614" s="38"/>
      <c r="R1614" s="32">
        <f t="shared" si="422"/>
        <v>0</v>
      </c>
      <c r="S1614" s="32" t="str">
        <f>IF(ISERROR(DAY(Q1614)),TEXT(MATCH(TRIM(SUBSTITUTE(SUBSTITUTE(SUBSTITUTE(SUBSTITUTE(SUBSTITUTE(SUBSTITUTE(SUBSTITUTE(SUBSTITUTE(SUBSTITUTE(SUBSTITUTE(SUBSTITUTE(Q1614,1,""),2,""),3,""),4,""),5,""),6,""),7,""),8,""),9,""),0,""),"-","")),{"gennaio","febbraio","marzo","aprile","maggio","giugno","luglio","agosto","settembre","ottobre","novembre","dicembre"},0),"00"),TEXT(MONTH(Q1614)*29,"mmmm"))</f>
        <v>gennaio</v>
      </c>
      <c r="T1614" s="32">
        <f t="shared" si="423"/>
        <v>1900</v>
      </c>
      <c r="U1614" s="29"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00/01/1900</v>
      </c>
      <c r="V1614" s="33"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1900/01/00</v>
      </c>
      <c r="W1614" s="29"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00 gennaio 1900</v>
      </c>
      <c r="X1614" s="29">
        <v>1641</v>
      </c>
      <c r="Y1614" s="29" t="str">
        <f t="shared" si="428"/>
        <v>[' ', '', '', '--', '00 gennaio 1900', '00/01/1900', '1900/01/00'],</v>
      </c>
      <c r="Z1614" s="29" t="str">
        <f t="shared" si="429"/>
        <v xml:space="preserve"> () |  </v>
      </c>
      <c r="AA1614" s="29" t="str">
        <f t="shared" si="430"/>
        <v xml:space="preserve"> </v>
      </c>
      <c r="AB1614" s="29" t="str">
        <f t="shared" si="431"/>
        <v xml:space="preserve"> </v>
      </c>
      <c r="AC1614" s="29" t="str">
        <f t="shared" si="432"/>
        <v xml:space="preserve"> , 0 , 00 gennaio 1900</v>
      </c>
      <c r="AD1614" s="29" t="str">
        <f t="shared" si="433"/>
        <v>1900-01-00T08:00:00.000+02:00</v>
      </c>
      <c r="AE1614" s="29" t="str">
        <f t="shared" si="426"/>
        <v>--</v>
      </c>
      <c r="AF1614" s="29" t="str">
        <f t="shared" si="427"/>
        <v xml:space="preserve">  - 0 - </v>
      </c>
    </row>
    <row r="1615" spans="8:32" x14ac:dyDescent="0.2">
      <c r="H1615" s="29" t="str">
        <f t="shared" si="424"/>
        <v xml:space="preserve"> </v>
      </c>
      <c r="L1615" s="29">
        <f t="shared" si="425"/>
        <v>0</v>
      </c>
      <c r="Q1615" s="38"/>
      <c r="R1615" s="32">
        <f t="shared" si="422"/>
        <v>0</v>
      </c>
      <c r="S1615" s="32" t="str">
        <f>IF(ISERROR(DAY(Q1615)),TEXT(MATCH(TRIM(SUBSTITUTE(SUBSTITUTE(SUBSTITUTE(SUBSTITUTE(SUBSTITUTE(SUBSTITUTE(SUBSTITUTE(SUBSTITUTE(SUBSTITUTE(SUBSTITUTE(SUBSTITUTE(Q1615,1,""),2,""),3,""),4,""),5,""),6,""),7,""),8,""),9,""),0,""),"-","")),{"gennaio","febbraio","marzo","aprile","maggio","giugno","luglio","agosto","settembre","ottobre","novembre","dicembre"},0),"00"),TEXT(MONTH(Q1615)*29,"mmmm"))</f>
        <v>gennaio</v>
      </c>
      <c r="T1615" s="32">
        <f t="shared" si="423"/>
        <v>1900</v>
      </c>
      <c r="U1615" s="29"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00/01/1900</v>
      </c>
      <c r="V1615" s="33"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1900/01/00</v>
      </c>
      <c r="W1615" s="29"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00 gennaio 1900</v>
      </c>
      <c r="X1615" s="29">
        <v>1642</v>
      </c>
      <c r="Y1615" s="29" t="str">
        <f t="shared" si="428"/>
        <v>[' ', '', '', '--', '00 gennaio 1900', '00/01/1900', '1900/01/00'],</v>
      </c>
      <c r="Z1615" s="29" t="str">
        <f t="shared" si="429"/>
        <v xml:space="preserve"> () |  </v>
      </c>
      <c r="AA1615" s="29" t="str">
        <f t="shared" si="430"/>
        <v xml:space="preserve"> </v>
      </c>
      <c r="AB1615" s="29" t="str">
        <f t="shared" si="431"/>
        <v xml:space="preserve"> </v>
      </c>
      <c r="AC1615" s="29" t="str">
        <f t="shared" si="432"/>
        <v xml:space="preserve"> , 0 , 00 gennaio 1900</v>
      </c>
      <c r="AD1615" s="29" t="str">
        <f t="shared" si="433"/>
        <v>1900-01-00T08:00:00.000+02:00</v>
      </c>
      <c r="AE1615" s="29" t="str">
        <f t="shared" si="426"/>
        <v>--</v>
      </c>
      <c r="AF1615" s="29" t="str">
        <f t="shared" si="427"/>
        <v xml:space="preserve">  - 0 - </v>
      </c>
    </row>
    <row r="1616" spans="8:32" x14ac:dyDescent="0.2">
      <c r="H1616" s="29" t="str">
        <f t="shared" si="424"/>
        <v xml:space="preserve"> </v>
      </c>
      <c r="L1616" s="29">
        <f t="shared" si="425"/>
        <v>0</v>
      </c>
      <c r="Q1616" s="38"/>
      <c r="R1616" s="32">
        <f t="shared" si="422"/>
        <v>0</v>
      </c>
      <c r="S1616" s="32" t="str">
        <f>IF(ISERROR(DAY(Q1616)),TEXT(MATCH(TRIM(SUBSTITUTE(SUBSTITUTE(SUBSTITUTE(SUBSTITUTE(SUBSTITUTE(SUBSTITUTE(SUBSTITUTE(SUBSTITUTE(SUBSTITUTE(SUBSTITUTE(SUBSTITUTE(Q1616,1,""),2,""),3,""),4,""),5,""),6,""),7,""),8,""),9,""),0,""),"-","")),{"gennaio","febbraio","marzo","aprile","maggio","giugno","luglio","agosto","settembre","ottobre","novembre","dicembre"},0),"00"),TEXT(MONTH(Q1616)*29,"mmmm"))</f>
        <v>gennaio</v>
      </c>
      <c r="T1616" s="32">
        <f t="shared" si="423"/>
        <v>1900</v>
      </c>
      <c r="U1616" s="29"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00/01/1900</v>
      </c>
      <c r="V1616" s="33"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1900/01/00</v>
      </c>
      <c r="W1616" s="29"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00 gennaio 1900</v>
      </c>
      <c r="X1616" s="29">
        <v>1643</v>
      </c>
      <c r="Y1616" s="29" t="str">
        <f t="shared" si="428"/>
        <v>[' ', '', '', '--', '00 gennaio 1900', '00/01/1900', '1900/01/00'],</v>
      </c>
      <c r="Z1616" s="29" t="str">
        <f t="shared" si="429"/>
        <v xml:space="preserve"> () |  </v>
      </c>
      <c r="AA1616" s="29" t="str">
        <f t="shared" si="430"/>
        <v xml:space="preserve"> </v>
      </c>
      <c r="AB1616" s="29" t="str">
        <f t="shared" si="431"/>
        <v xml:space="preserve"> </v>
      </c>
      <c r="AC1616" s="29" t="str">
        <f t="shared" si="432"/>
        <v xml:space="preserve"> , 0 , 00 gennaio 1900</v>
      </c>
      <c r="AD1616" s="29" t="str">
        <f t="shared" si="433"/>
        <v>1900-01-00T08:00:00.000+02:00</v>
      </c>
      <c r="AE1616" s="29" t="str">
        <f t="shared" si="426"/>
        <v>--</v>
      </c>
      <c r="AF1616" s="29" t="str">
        <f t="shared" si="427"/>
        <v xml:space="preserve">  - 0 - </v>
      </c>
    </row>
    <row r="1617" spans="8:32" x14ac:dyDescent="0.2">
      <c r="H1617" s="29" t="str">
        <f t="shared" si="424"/>
        <v xml:space="preserve"> </v>
      </c>
      <c r="L1617" s="29">
        <f t="shared" si="425"/>
        <v>0</v>
      </c>
      <c r="Q1617" s="38"/>
      <c r="R1617" s="32">
        <f t="shared" si="422"/>
        <v>0</v>
      </c>
      <c r="S1617" s="32" t="str">
        <f>IF(ISERROR(DAY(Q1617)),TEXT(MATCH(TRIM(SUBSTITUTE(SUBSTITUTE(SUBSTITUTE(SUBSTITUTE(SUBSTITUTE(SUBSTITUTE(SUBSTITUTE(SUBSTITUTE(SUBSTITUTE(SUBSTITUTE(SUBSTITUTE(Q1617,1,""),2,""),3,""),4,""),5,""),6,""),7,""),8,""),9,""),0,""),"-","")),{"gennaio","febbraio","marzo","aprile","maggio","giugno","luglio","agosto","settembre","ottobre","novembre","dicembre"},0),"00"),TEXT(MONTH(Q1617)*29,"mmmm"))</f>
        <v>gennaio</v>
      </c>
      <c r="T1617" s="32">
        <f t="shared" si="423"/>
        <v>1900</v>
      </c>
      <c r="U1617" s="29"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00/01/1900</v>
      </c>
      <c r="V1617" s="33"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1900/01/00</v>
      </c>
      <c r="W1617" s="29"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00 gennaio 1900</v>
      </c>
      <c r="X1617" s="29">
        <v>1644</v>
      </c>
      <c r="Y1617" s="29" t="str">
        <f t="shared" si="428"/>
        <v>[' ', '', '', '--', '00 gennaio 1900', '00/01/1900', '1900/01/00'],</v>
      </c>
      <c r="Z1617" s="29" t="str">
        <f t="shared" si="429"/>
        <v xml:space="preserve"> () |  </v>
      </c>
      <c r="AA1617" s="29" t="str">
        <f t="shared" si="430"/>
        <v xml:space="preserve"> </v>
      </c>
      <c r="AB1617" s="29" t="str">
        <f t="shared" si="431"/>
        <v xml:space="preserve"> </v>
      </c>
      <c r="AC1617" s="29" t="str">
        <f t="shared" si="432"/>
        <v xml:space="preserve"> , 0 , 00 gennaio 1900</v>
      </c>
      <c r="AD1617" s="29" t="str">
        <f t="shared" si="433"/>
        <v>1900-01-00T08:00:00.000+02:00</v>
      </c>
      <c r="AE1617" s="29" t="str">
        <f t="shared" si="426"/>
        <v>--</v>
      </c>
      <c r="AF1617" s="29" t="str">
        <f t="shared" si="427"/>
        <v xml:space="preserve">  - 0 - </v>
      </c>
    </row>
    <row r="1618" spans="8:32" x14ac:dyDescent="0.2">
      <c r="H1618" s="29" t="str">
        <f t="shared" si="424"/>
        <v xml:space="preserve"> </v>
      </c>
      <c r="L1618" s="29">
        <f t="shared" si="425"/>
        <v>0</v>
      </c>
      <c r="Q1618" s="38"/>
      <c r="R1618" s="32">
        <f t="shared" ref="R1618:R1681" si="434">IF(ISERROR(DAY(Q1618)),TEXT((LEFT(Q1618,2)),"00"),DAY(Q1618))</f>
        <v>0</v>
      </c>
      <c r="S1618" s="32" t="str">
        <f>IF(ISERROR(DAY(Q1618)),TEXT(MATCH(TRIM(SUBSTITUTE(SUBSTITUTE(SUBSTITUTE(SUBSTITUTE(SUBSTITUTE(SUBSTITUTE(SUBSTITUTE(SUBSTITUTE(SUBSTITUTE(SUBSTITUTE(SUBSTITUTE(Q1618,1,""),2,""),3,""),4,""),5,""),6,""),7,""),8,""),9,""),0,""),"-","")),{"gennaio","febbraio","marzo","aprile","maggio","giugno","luglio","agosto","settembre","ottobre","novembre","dicembre"},0),"00"),TEXT(MONTH(Q1618)*29,"mmmm"))</f>
        <v>gennaio</v>
      </c>
      <c r="T1618" s="32">
        <f t="shared" ref="T1618:T1681" si="435">IF(ISERROR(DAY(Q1618)),VALUE(RIGHT(Q1618,4)),YEAR(Q1618))</f>
        <v>1900</v>
      </c>
      <c r="U1618" s="29"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00/01/1900</v>
      </c>
      <c r="V1618" s="33"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1900/01/00</v>
      </c>
      <c r="W1618" s="29"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00 gennaio 1900</v>
      </c>
      <c r="X1618" s="29">
        <v>1645</v>
      </c>
      <c r="Y1618" s="29" t="str">
        <f t="shared" si="428"/>
        <v>[' ', '', '', '--', '00 gennaio 1900', '00/01/1900', '1900/01/00'],</v>
      </c>
      <c r="Z1618" s="29" t="str">
        <f t="shared" si="429"/>
        <v xml:space="preserve"> () |  </v>
      </c>
      <c r="AA1618" s="29" t="str">
        <f t="shared" si="430"/>
        <v xml:space="preserve"> </v>
      </c>
      <c r="AB1618" s="29" t="str">
        <f t="shared" si="431"/>
        <v xml:space="preserve"> </v>
      </c>
      <c r="AC1618" s="29" t="str">
        <f t="shared" si="432"/>
        <v xml:space="preserve"> , 0 , 00 gennaio 1900</v>
      </c>
      <c r="AD1618" s="29" t="str">
        <f t="shared" si="433"/>
        <v>1900-01-00T08:00:00.000+02:00</v>
      </c>
      <c r="AE1618" s="29" t="str">
        <f t="shared" si="426"/>
        <v>--</v>
      </c>
      <c r="AF1618" s="29" t="str">
        <f t="shared" si="427"/>
        <v xml:space="preserve">  - 0 - </v>
      </c>
    </row>
    <row r="1619" spans="8:32" x14ac:dyDescent="0.2">
      <c r="H1619" s="29" t="str">
        <f t="shared" si="424"/>
        <v xml:space="preserve"> </v>
      </c>
      <c r="L1619" s="29">
        <f t="shared" si="425"/>
        <v>0</v>
      </c>
      <c r="Q1619" s="38"/>
      <c r="R1619" s="32">
        <f t="shared" si="434"/>
        <v>0</v>
      </c>
      <c r="S1619" s="32" t="str">
        <f>IF(ISERROR(DAY(Q1619)),TEXT(MATCH(TRIM(SUBSTITUTE(SUBSTITUTE(SUBSTITUTE(SUBSTITUTE(SUBSTITUTE(SUBSTITUTE(SUBSTITUTE(SUBSTITUTE(SUBSTITUTE(SUBSTITUTE(SUBSTITUTE(Q1619,1,""),2,""),3,""),4,""),5,""),6,""),7,""),8,""),9,""),0,""),"-","")),{"gennaio","febbraio","marzo","aprile","maggio","giugno","luglio","agosto","settembre","ottobre","novembre","dicembre"},0),"00"),TEXT(MONTH(Q1619)*29,"mmmm"))</f>
        <v>gennaio</v>
      </c>
      <c r="T1619" s="32">
        <f t="shared" si="435"/>
        <v>1900</v>
      </c>
      <c r="U1619" s="29"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00/01/1900</v>
      </c>
      <c r="V1619" s="33"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1900/01/00</v>
      </c>
      <c r="W1619" s="29"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00 gennaio 1900</v>
      </c>
      <c r="X1619" s="29">
        <v>1646</v>
      </c>
      <c r="Y1619" s="29" t="str">
        <f t="shared" si="428"/>
        <v>[' ', '', '', '--', '00 gennaio 1900', '00/01/1900', '1900/01/00'],</v>
      </c>
      <c r="Z1619" s="29" t="str">
        <f t="shared" si="429"/>
        <v xml:space="preserve"> () |  </v>
      </c>
      <c r="AA1619" s="29" t="str">
        <f t="shared" si="430"/>
        <v xml:space="preserve"> </v>
      </c>
      <c r="AB1619" s="29" t="str">
        <f t="shared" si="431"/>
        <v xml:space="preserve"> </v>
      </c>
      <c r="AC1619" s="29" t="str">
        <f t="shared" si="432"/>
        <v xml:space="preserve"> , 0 , 00 gennaio 1900</v>
      </c>
      <c r="AD1619" s="29" t="str">
        <f t="shared" si="433"/>
        <v>1900-01-00T08:00:00.000+02:00</v>
      </c>
      <c r="AE1619" s="29" t="str">
        <f t="shared" si="426"/>
        <v>--</v>
      </c>
      <c r="AF1619" s="29" t="str">
        <f t="shared" si="427"/>
        <v xml:space="preserve">  - 0 - </v>
      </c>
    </row>
    <row r="1620" spans="8:32" x14ac:dyDescent="0.2">
      <c r="H1620" s="29" t="str">
        <f t="shared" si="424"/>
        <v xml:space="preserve"> </v>
      </c>
      <c r="L1620" s="29">
        <f t="shared" si="425"/>
        <v>0</v>
      </c>
      <c r="Q1620" s="38"/>
      <c r="R1620" s="32">
        <f t="shared" si="434"/>
        <v>0</v>
      </c>
      <c r="S1620" s="32" t="str">
        <f>IF(ISERROR(DAY(Q1620)),TEXT(MATCH(TRIM(SUBSTITUTE(SUBSTITUTE(SUBSTITUTE(SUBSTITUTE(SUBSTITUTE(SUBSTITUTE(SUBSTITUTE(SUBSTITUTE(SUBSTITUTE(SUBSTITUTE(SUBSTITUTE(Q1620,1,""),2,""),3,""),4,""),5,""),6,""),7,""),8,""),9,""),0,""),"-","")),{"gennaio","febbraio","marzo","aprile","maggio","giugno","luglio","agosto","settembre","ottobre","novembre","dicembre"},0),"00"),TEXT(MONTH(Q1620)*29,"mmmm"))</f>
        <v>gennaio</v>
      </c>
      <c r="T1620" s="32">
        <f t="shared" si="435"/>
        <v>1900</v>
      </c>
      <c r="U1620" s="29"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00/01/1900</v>
      </c>
      <c r="V1620" s="33"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1900/01/00</v>
      </c>
      <c r="W1620" s="29"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00 gennaio 1900</v>
      </c>
      <c r="X1620" s="29">
        <v>1647</v>
      </c>
      <c r="Y1620" s="29" t="str">
        <f t="shared" si="428"/>
        <v>[' ', '', '', '--', '00 gennaio 1900', '00/01/1900', '1900/01/00'],</v>
      </c>
      <c r="Z1620" s="29" t="str">
        <f t="shared" si="429"/>
        <v xml:space="preserve"> () |  </v>
      </c>
      <c r="AA1620" s="29" t="str">
        <f t="shared" si="430"/>
        <v xml:space="preserve"> </v>
      </c>
      <c r="AB1620" s="29" t="str">
        <f t="shared" si="431"/>
        <v xml:space="preserve"> </v>
      </c>
      <c r="AC1620" s="29" t="str">
        <f t="shared" si="432"/>
        <v xml:space="preserve"> , 0 , 00 gennaio 1900</v>
      </c>
      <c r="AD1620" s="29" t="str">
        <f t="shared" si="433"/>
        <v>1900-01-00T08:00:00.000+02:00</v>
      </c>
      <c r="AE1620" s="29" t="str">
        <f t="shared" si="426"/>
        <v>--</v>
      </c>
      <c r="AF1620" s="29" t="str">
        <f t="shared" si="427"/>
        <v xml:space="preserve">  - 0 - </v>
      </c>
    </row>
    <row r="1621" spans="8:32" x14ac:dyDescent="0.2">
      <c r="H1621" s="29" t="str">
        <f t="shared" si="424"/>
        <v xml:space="preserve"> </v>
      </c>
      <c r="L1621" s="29">
        <f t="shared" si="425"/>
        <v>0</v>
      </c>
      <c r="Q1621" s="38"/>
      <c r="R1621" s="32">
        <f t="shared" si="434"/>
        <v>0</v>
      </c>
      <c r="S1621" s="32" t="str">
        <f>IF(ISERROR(DAY(Q1621)),TEXT(MATCH(TRIM(SUBSTITUTE(SUBSTITUTE(SUBSTITUTE(SUBSTITUTE(SUBSTITUTE(SUBSTITUTE(SUBSTITUTE(SUBSTITUTE(SUBSTITUTE(SUBSTITUTE(SUBSTITUTE(Q1621,1,""),2,""),3,""),4,""),5,""),6,""),7,""),8,""),9,""),0,""),"-","")),{"gennaio","febbraio","marzo","aprile","maggio","giugno","luglio","agosto","settembre","ottobre","novembre","dicembre"},0),"00"),TEXT(MONTH(Q1621)*29,"mmmm"))</f>
        <v>gennaio</v>
      </c>
      <c r="T1621" s="32">
        <f t="shared" si="435"/>
        <v>1900</v>
      </c>
      <c r="U1621" s="29"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00/01/1900</v>
      </c>
      <c r="V1621" s="33"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1900/01/00</v>
      </c>
      <c r="W1621" s="29"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00 gennaio 1900</v>
      </c>
      <c r="X1621" s="29">
        <v>1648</v>
      </c>
      <c r="Y1621" s="29" t="str">
        <f t="shared" si="428"/>
        <v>[' ', '', '', '--', '00 gennaio 1900', '00/01/1900', '1900/01/00'],</v>
      </c>
      <c r="Z1621" s="29" t="str">
        <f t="shared" si="429"/>
        <v xml:space="preserve"> () |  </v>
      </c>
      <c r="AA1621" s="29" t="str">
        <f t="shared" si="430"/>
        <v xml:space="preserve"> </v>
      </c>
      <c r="AB1621" s="29" t="str">
        <f t="shared" si="431"/>
        <v xml:space="preserve"> </v>
      </c>
      <c r="AC1621" s="29" t="str">
        <f t="shared" si="432"/>
        <v xml:space="preserve"> , 0 , 00 gennaio 1900</v>
      </c>
      <c r="AD1621" s="29" t="str">
        <f t="shared" si="433"/>
        <v>1900-01-00T08:00:00.000+02:00</v>
      </c>
      <c r="AE1621" s="29" t="str">
        <f t="shared" si="426"/>
        <v>--</v>
      </c>
      <c r="AF1621" s="29" t="str">
        <f t="shared" si="427"/>
        <v xml:space="preserve">  - 0 - </v>
      </c>
    </row>
    <row r="1622" spans="8:32" x14ac:dyDescent="0.2">
      <c r="H1622" s="29" t="str">
        <f t="shared" si="424"/>
        <v xml:space="preserve"> </v>
      </c>
      <c r="L1622" s="29">
        <f t="shared" si="425"/>
        <v>0</v>
      </c>
      <c r="Q1622" s="38"/>
      <c r="R1622" s="32">
        <f t="shared" si="434"/>
        <v>0</v>
      </c>
      <c r="S1622" s="32" t="str">
        <f>IF(ISERROR(DAY(Q1622)),TEXT(MATCH(TRIM(SUBSTITUTE(SUBSTITUTE(SUBSTITUTE(SUBSTITUTE(SUBSTITUTE(SUBSTITUTE(SUBSTITUTE(SUBSTITUTE(SUBSTITUTE(SUBSTITUTE(SUBSTITUTE(Q1622,1,""),2,""),3,""),4,""),5,""),6,""),7,""),8,""),9,""),0,""),"-","")),{"gennaio","febbraio","marzo","aprile","maggio","giugno","luglio","agosto","settembre","ottobre","novembre","dicembre"},0),"00"),TEXT(MONTH(Q1622)*29,"mmmm"))</f>
        <v>gennaio</v>
      </c>
      <c r="T1622" s="32">
        <f t="shared" si="435"/>
        <v>1900</v>
      </c>
      <c r="U1622" s="29"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00/01/1900</v>
      </c>
      <c r="V1622" s="33"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1900/01/00</v>
      </c>
      <c r="W1622" s="29"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00 gennaio 1900</v>
      </c>
      <c r="X1622" s="29">
        <v>1649</v>
      </c>
      <c r="Y1622" s="29" t="str">
        <f t="shared" si="428"/>
        <v>[' ', '', '', '--', '00 gennaio 1900', '00/01/1900', '1900/01/00'],</v>
      </c>
      <c r="Z1622" s="29" t="str">
        <f t="shared" si="429"/>
        <v xml:space="preserve"> () |  </v>
      </c>
      <c r="AA1622" s="29" t="str">
        <f t="shared" si="430"/>
        <v xml:space="preserve"> </v>
      </c>
      <c r="AB1622" s="29" t="str">
        <f t="shared" si="431"/>
        <v xml:space="preserve"> </v>
      </c>
      <c r="AC1622" s="29" t="str">
        <f t="shared" si="432"/>
        <v xml:space="preserve"> , 0 , 00 gennaio 1900</v>
      </c>
      <c r="AD1622" s="29" t="str">
        <f t="shared" si="433"/>
        <v>1900-01-00T08:00:00.000+02:00</v>
      </c>
      <c r="AE1622" s="29" t="str">
        <f t="shared" si="426"/>
        <v>--</v>
      </c>
      <c r="AF1622" s="29" t="str">
        <f t="shared" si="427"/>
        <v xml:space="preserve">  - 0 - </v>
      </c>
    </row>
    <row r="1623" spans="8:32" x14ac:dyDescent="0.2">
      <c r="H1623" s="29" t="str">
        <f t="shared" si="424"/>
        <v xml:space="preserve"> </v>
      </c>
      <c r="L1623" s="29">
        <f t="shared" si="425"/>
        <v>0</v>
      </c>
      <c r="Q1623" s="38"/>
      <c r="R1623" s="32">
        <f t="shared" si="434"/>
        <v>0</v>
      </c>
      <c r="S1623" s="32" t="str">
        <f>IF(ISERROR(DAY(Q1623)),TEXT(MATCH(TRIM(SUBSTITUTE(SUBSTITUTE(SUBSTITUTE(SUBSTITUTE(SUBSTITUTE(SUBSTITUTE(SUBSTITUTE(SUBSTITUTE(SUBSTITUTE(SUBSTITUTE(SUBSTITUTE(Q1623,1,""),2,""),3,""),4,""),5,""),6,""),7,""),8,""),9,""),0,""),"-","")),{"gennaio","febbraio","marzo","aprile","maggio","giugno","luglio","agosto","settembre","ottobre","novembre","dicembre"},0),"00"),TEXT(MONTH(Q1623)*29,"mmmm"))</f>
        <v>gennaio</v>
      </c>
      <c r="T1623" s="32">
        <f t="shared" si="435"/>
        <v>1900</v>
      </c>
      <c r="U1623" s="29"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00/01/1900</v>
      </c>
      <c r="V1623" s="33"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1900/01/00</v>
      </c>
      <c r="W1623" s="29"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00 gennaio 1900</v>
      </c>
      <c r="X1623" s="29">
        <v>1650</v>
      </c>
      <c r="Y1623" s="29" t="str">
        <f t="shared" si="428"/>
        <v>[' ', '', '', '--', '00 gennaio 1900', '00/01/1900', '1900/01/00'],</v>
      </c>
      <c r="Z1623" s="29" t="str">
        <f t="shared" si="429"/>
        <v xml:space="preserve"> () |  </v>
      </c>
      <c r="AA1623" s="29" t="str">
        <f t="shared" si="430"/>
        <v xml:space="preserve"> </v>
      </c>
      <c r="AB1623" s="29" t="str">
        <f t="shared" si="431"/>
        <v xml:space="preserve"> </v>
      </c>
      <c r="AC1623" s="29" t="str">
        <f t="shared" si="432"/>
        <v xml:space="preserve"> , 0 , 00 gennaio 1900</v>
      </c>
      <c r="AD1623" s="29" t="str">
        <f t="shared" si="433"/>
        <v>1900-01-00T08:00:00.000+02:00</v>
      </c>
      <c r="AE1623" s="29" t="str">
        <f t="shared" si="426"/>
        <v>--</v>
      </c>
      <c r="AF1623" s="29" t="str">
        <f t="shared" si="427"/>
        <v xml:space="preserve">  - 0 - </v>
      </c>
    </row>
    <row r="1624" spans="8:32" x14ac:dyDescent="0.2">
      <c r="H1624" s="29" t="str">
        <f t="shared" si="424"/>
        <v xml:space="preserve"> </v>
      </c>
      <c r="L1624" s="29">
        <f t="shared" si="425"/>
        <v>0</v>
      </c>
      <c r="Q1624" s="38"/>
      <c r="R1624" s="32">
        <f t="shared" si="434"/>
        <v>0</v>
      </c>
      <c r="S1624" s="32" t="str">
        <f>IF(ISERROR(DAY(Q1624)),TEXT(MATCH(TRIM(SUBSTITUTE(SUBSTITUTE(SUBSTITUTE(SUBSTITUTE(SUBSTITUTE(SUBSTITUTE(SUBSTITUTE(SUBSTITUTE(SUBSTITUTE(SUBSTITUTE(SUBSTITUTE(Q1624,1,""),2,""),3,""),4,""),5,""),6,""),7,""),8,""),9,""),0,""),"-","")),{"gennaio","febbraio","marzo","aprile","maggio","giugno","luglio","agosto","settembre","ottobre","novembre","dicembre"},0),"00"),TEXT(MONTH(Q1624)*29,"mmmm"))</f>
        <v>gennaio</v>
      </c>
      <c r="T1624" s="32">
        <f t="shared" si="435"/>
        <v>1900</v>
      </c>
      <c r="U1624" s="29"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00/01/1900</v>
      </c>
      <c r="V1624" s="33"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1900/01/00</v>
      </c>
      <c r="W1624" s="29"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00 gennaio 1900</v>
      </c>
      <c r="X1624" s="29">
        <v>1651</v>
      </c>
      <c r="Y1624" s="29" t="str">
        <f t="shared" si="428"/>
        <v>[' ', '', '', '--', '00 gennaio 1900', '00/01/1900', '1900/01/00'],</v>
      </c>
      <c r="Z1624" s="29" t="str">
        <f t="shared" si="429"/>
        <v xml:space="preserve"> () |  </v>
      </c>
      <c r="AA1624" s="29" t="str">
        <f t="shared" si="430"/>
        <v xml:space="preserve"> </v>
      </c>
      <c r="AB1624" s="29" t="str">
        <f t="shared" si="431"/>
        <v xml:space="preserve"> </v>
      </c>
      <c r="AC1624" s="29" t="str">
        <f t="shared" si="432"/>
        <v xml:space="preserve"> , 0 , 00 gennaio 1900</v>
      </c>
      <c r="AD1624" s="29" t="str">
        <f t="shared" si="433"/>
        <v>1900-01-00T08:00:00.000+02:00</v>
      </c>
      <c r="AE1624" s="29" t="str">
        <f t="shared" si="426"/>
        <v>--</v>
      </c>
      <c r="AF1624" s="29" t="str">
        <f t="shared" si="427"/>
        <v xml:space="preserve">  - 0 - </v>
      </c>
    </row>
    <row r="1625" spans="8:32" x14ac:dyDescent="0.2">
      <c r="H1625" s="29" t="str">
        <f t="shared" si="424"/>
        <v xml:space="preserve"> </v>
      </c>
      <c r="L1625" s="29">
        <f t="shared" si="425"/>
        <v>0</v>
      </c>
      <c r="Q1625" s="38"/>
      <c r="R1625" s="32">
        <f t="shared" si="434"/>
        <v>0</v>
      </c>
      <c r="S1625" s="32" t="str">
        <f>IF(ISERROR(DAY(Q1625)),TEXT(MATCH(TRIM(SUBSTITUTE(SUBSTITUTE(SUBSTITUTE(SUBSTITUTE(SUBSTITUTE(SUBSTITUTE(SUBSTITUTE(SUBSTITUTE(SUBSTITUTE(SUBSTITUTE(SUBSTITUTE(Q1625,1,""),2,""),3,""),4,""),5,""),6,""),7,""),8,""),9,""),0,""),"-","")),{"gennaio","febbraio","marzo","aprile","maggio","giugno","luglio","agosto","settembre","ottobre","novembre","dicembre"},0),"00"),TEXT(MONTH(Q1625)*29,"mmmm"))</f>
        <v>gennaio</v>
      </c>
      <c r="T1625" s="32">
        <f t="shared" si="435"/>
        <v>1900</v>
      </c>
      <c r="U1625" s="29"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00/01/1900</v>
      </c>
      <c r="V1625" s="33"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1900/01/00</v>
      </c>
      <c r="W1625" s="29"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00 gennaio 1900</v>
      </c>
      <c r="X1625" s="29">
        <v>1652</v>
      </c>
      <c r="Y1625" s="29" t="str">
        <f t="shared" si="428"/>
        <v>[' ', '', '', '--', '00 gennaio 1900', '00/01/1900', '1900/01/00'],</v>
      </c>
      <c r="Z1625" s="29" t="str">
        <f t="shared" si="429"/>
        <v xml:space="preserve"> () |  </v>
      </c>
      <c r="AA1625" s="29" t="str">
        <f t="shared" si="430"/>
        <v xml:space="preserve"> </v>
      </c>
      <c r="AB1625" s="29" t="str">
        <f t="shared" si="431"/>
        <v xml:space="preserve"> </v>
      </c>
      <c r="AC1625" s="29" t="str">
        <f t="shared" si="432"/>
        <v xml:space="preserve"> , 0 , 00 gennaio 1900</v>
      </c>
      <c r="AD1625" s="29" t="str">
        <f t="shared" si="433"/>
        <v>1900-01-00T08:00:00.000+02:00</v>
      </c>
      <c r="AE1625" s="29" t="str">
        <f t="shared" si="426"/>
        <v>--</v>
      </c>
      <c r="AF1625" s="29" t="str">
        <f t="shared" si="427"/>
        <v xml:space="preserve">  - 0 - </v>
      </c>
    </row>
    <row r="1626" spans="8:32" x14ac:dyDescent="0.2">
      <c r="H1626" s="29" t="str">
        <f t="shared" si="424"/>
        <v xml:space="preserve"> </v>
      </c>
      <c r="L1626" s="29">
        <f t="shared" si="425"/>
        <v>0</v>
      </c>
      <c r="Q1626" s="38"/>
      <c r="R1626" s="32">
        <f t="shared" si="434"/>
        <v>0</v>
      </c>
      <c r="S1626" s="32" t="str">
        <f>IF(ISERROR(DAY(Q1626)),TEXT(MATCH(TRIM(SUBSTITUTE(SUBSTITUTE(SUBSTITUTE(SUBSTITUTE(SUBSTITUTE(SUBSTITUTE(SUBSTITUTE(SUBSTITUTE(SUBSTITUTE(SUBSTITUTE(SUBSTITUTE(Q1626,1,""),2,""),3,""),4,""),5,""),6,""),7,""),8,""),9,""),0,""),"-","")),{"gennaio","febbraio","marzo","aprile","maggio","giugno","luglio","agosto","settembre","ottobre","novembre","dicembre"},0),"00"),TEXT(MONTH(Q1626)*29,"mmmm"))</f>
        <v>gennaio</v>
      </c>
      <c r="T1626" s="32">
        <f t="shared" si="435"/>
        <v>1900</v>
      </c>
      <c r="U1626" s="29"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00/01/1900</v>
      </c>
      <c r="V1626" s="33"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1900/01/00</v>
      </c>
      <c r="W1626" s="29"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00 gennaio 1900</v>
      </c>
      <c r="X1626" s="29">
        <v>1653</v>
      </c>
      <c r="Y1626" s="29" t="str">
        <f t="shared" si="428"/>
        <v>[' ', '', '', '--', '00 gennaio 1900', '00/01/1900', '1900/01/00'],</v>
      </c>
      <c r="Z1626" s="29" t="str">
        <f t="shared" si="429"/>
        <v xml:space="preserve"> () |  </v>
      </c>
      <c r="AA1626" s="29" t="str">
        <f t="shared" si="430"/>
        <v xml:space="preserve"> </v>
      </c>
      <c r="AB1626" s="29" t="str">
        <f t="shared" si="431"/>
        <v xml:space="preserve"> </v>
      </c>
      <c r="AC1626" s="29" t="str">
        <f t="shared" si="432"/>
        <v xml:space="preserve"> , 0 , 00 gennaio 1900</v>
      </c>
      <c r="AD1626" s="29" t="str">
        <f t="shared" si="433"/>
        <v>1900-01-00T08:00:00.000+02:00</v>
      </c>
      <c r="AE1626" s="29" t="str">
        <f t="shared" si="426"/>
        <v>--</v>
      </c>
      <c r="AF1626" s="29" t="str">
        <f t="shared" si="427"/>
        <v xml:space="preserve">  - 0 - </v>
      </c>
    </row>
    <row r="1627" spans="8:32" x14ac:dyDescent="0.2">
      <c r="H1627" s="29" t="str">
        <f t="shared" si="424"/>
        <v xml:space="preserve"> </v>
      </c>
      <c r="L1627" s="29">
        <f t="shared" si="425"/>
        <v>0</v>
      </c>
      <c r="Q1627" s="38"/>
      <c r="R1627" s="32">
        <f t="shared" si="434"/>
        <v>0</v>
      </c>
      <c r="S1627" s="32" t="str">
        <f>IF(ISERROR(DAY(Q1627)),TEXT(MATCH(TRIM(SUBSTITUTE(SUBSTITUTE(SUBSTITUTE(SUBSTITUTE(SUBSTITUTE(SUBSTITUTE(SUBSTITUTE(SUBSTITUTE(SUBSTITUTE(SUBSTITUTE(SUBSTITUTE(Q1627,1,""),2,""),3,""),4,""),5,""),6,""),7,""),8,""),9,""),0,""),"-","")),{"gennaio","febbraio","marzo","aprile","maggio","giugno","luglio","agosto","settembre","ottobre","novembre","dicembre"},0),"00"),TEXT(MONTH(Q1627)*29,"mmmm"))</f>
        <v>gennaio</v>
      </c>
      <c r="T1627" s="32">
        <f t="shared" si="435"/>
        <v>1900</v>
      </c>
      <c r="U1627" s="29"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00/01/1900</v>
      </c>
      <c r="V1627" s="33"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1900/01/00</v>
      </c>
      <c r="W1627" s="29"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00 gennaio 1900</v>
      </c>
      <c r="X1627" s="29">
        <v>1654</v>
      </c>
      <c r="Y1627" s="29" t="str">
        <f t="shared" si="428"/>
        <v>[' ', '', '', '--', '00 gennaio 1900', '00/01/1900', '1900/01/00'],</v>
      </c>
      <c r="Z1627" s="29" t="str">
        <f t="shared" si="429"/>
        <v xml:space="preserve"> () |  </v>
      </c>
      <c r="AA1627" s="29" t="str">
        <f t="shared" si="430"/>
        <v xml:space="preserve"> </v>
      </c>
      <c r="AB1627" s="29" t="str">
        <f t="shared" si="431"/>
        <v xml:space="preserve"> </v>
      </c>
      <c r="AC1627" s="29" t="str">
        <f t="shared" si="432"/>
        <v xml:space="preserve"> , 0 , 00 gennaio 1900</v>
      </c>
      <c r="AD1627" s="29" t="str">
        <f t="shared" si="433"/>
        <v>1900-01-00T08:00:00.000+02:00</v>
      </c>
      <c r="AE1627" s="29" t="str">
        <f t="shared" si="426"/>
        <v>--</v>
      </c>
      <c r="AF1627" s="29" t="str">
        <f t="shared" si="427"/>
        <v xml:space="preserve">  - 0 - </v>
      </c>
    </row>
    <row r="1628" spans="8:32" x14ac:dyDescent="0.2">
      <c r="H1628" s="29" t="str">
        <f t="shared" si="424"/>
        <v xml:space="preserve"> </v>
      </c>
      <c r="L1628" s="29">
        <f t="shared" si="425"/>
        <v>0</v>
      </c>
      <c r="Q1628" s="38"/>
      <c r="R1628" s="32">
        <f t="shared" si="434"/>
        <v>0</v>
      </c>
      <c r="S1628" s="32"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32">
        <f t="shared" si="435"/>
        <v>1900</v>
      </c>
      <c r="U1628" s="29"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00/01/1900</v>
      </c>
      <c r="V1628" s="33"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1900/01/00</v>
      </c>
      <c r="W1628" s="29"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00 gennaio 1900</v>
      </c>
      <c r="X1628" s="29">
        <v>1655</v>
      </c>
      <c r="Y1628" s="29" t="str">
        <f t="shared" si="428"/>
        <v>[' ', '', '', '--', '00 gennaio 1900', '00/01/1900', '1900/01/00'],</v>
      </c>
      <c r="Z1628" s="29" t="str">
        <f t="shared" si="429"/>
        <v xml:space="preserve"> () |  </v>
      </c>
      <c r="AA1628" s="29" t="str">
        <f t="shared" si="430"/>
        <v xml:space="preserve"> </v>
      </c>
      <c r="AB1628" s="29" t="str">
        <f t="shared" si="431"/>
        <v xml:space="preserve"> </v>
      </c>
      <c r="AC1628" s="29" t="str">
        <f t="shared" si="432"/>
        <v xml:space="preserve"> , 0 , 00 gennaio 1900</v>
      </c>
      <c r="AD1628" s="29" t="str">
        <f t="shared" si="433"/>
        <v>1900-01-00T08:00:00.000+02:00</v>
      </c>
      <c r="AE1628" s="29" t="str">
        <f t="shared" si="426"/>
        <v>--</v>
      </c>
      <c r="AF1628" s="29" t="str">
        <f t="shared" si="427"/>
        <v xml:space="preserve">  - 0 - </v>
      </c>
    </row>
    <row r="1629" spans="8:32" x14ac:dyDescent="0.2">
      <c r="H1629" s="29" t="str">
        <f t="shared" si="424"/>
        <v xml:space="preserve"> </v>
      </c>
      <c r="L1629" s="29">
        <f t="shared" si="425"/>
        <v>0</v>
      </c>
      <c r="Q1629" s="38"/>
      <c r="R1629" s="32">
        <f t="shared" si="434"/>
        <v>0</v>
      </c>
      <c r="S1629" s="32" t="str">
        <f>IF(ISERROR(DAY(Q1629)),TEXT(MATCH(TRIM(SUBSTITUTE(SUBSTITUTE(SUBSTITUTE(SUBSTITUTE(SUBSTITUTE(SUBSTITUTE(SUBSTITUTE(SUBSTITUTE(SUBSTITUTE(SUBSTITUTE(SUBSTITUTE(Q1629,1,""),2,""),3,""),4,""),5,""),6,""),7,""),8,""),9,""),0,""),"-","")),{"gennaio","febbraio","marzo","aprile","maggio","giugno","luglio","agosto","settembre","ottobre","novembre","dicembre"},0),"00"),TEXT(MONTH(Q1629)*29,"mmmm"))</f>
        <v>gennaio</v>
      </c>
      <c r="T1629" s="32">
        <f t="shared" si="435"/>
        <v>1900</v>
      </c>
      <c r="U1629" s="29"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00/01/1900</v>
      </c>
      <c r="V1629" s="33"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1900/01/00</v>
      </c>
      <c r="W1629" s="29"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00 gennaio 1900</v>
      </c>
      <c r="X1629" s="29">
        <v>1656</v>
      </c>
      <c r="Y1629" s="29" t="str">
        <f t="shared" si="428"/>
        <v>[' ', '', '', '--', '00 gennaio 1900', '00/01/1900', '1900/01/00'],</v>
      </c>
      <c r="Z1629" s="29" t="str">
        <f t="shared" si="429"/>
        <v xml:space="preserve"> () |  </v>
      </c>
      <c r="AA1629" s="29" t="str">
        <f t="shared" si="430"/>
        <v xml:space="preserve"> </v>
      </c>
      <c r="AB1629" s="29" t="str">
        <f t="shared" si="431"/>
        <v xml:space="preserve"> </v>
      </c>
      <c r="AC1629" s="29" t="str">
        <f t="shared" si="432"/>
        <v xml:space="preserve"> , 0 , 00 gennaio 1900</v>
      </c>
      <c r="AD1629" s="29" t="str">
        <f t="shared" si="433"/>
        <v>1900-01-00T08:00:00.000+02:00</v>
      </c>
      <c r="AE1629" s="29" t="str">
        <f t="shared" si="426"/>
        <v>--</v>
      </c>
      <c r="AF1629" s="29" t="str">
        <f t="shared" si="427"/>
        <v xml:space="preserve">  - 0 - </v>
      </c>
    </row>
    <row r="1630" spans="8:32" x14ac:dyDescent="0.2">
      <c r="H1630" s="29" t="str">
        <f t="shared" si="424"/>
        <v xml:space="preserve"> </v>
      </c>
      <c r="L1630" s="29">
        <f t="shared" si="425"/>
        <v>0</v>
      </c>
      <c r="Q1630" s="38"/>
      <c r="R1630" s="32">
        <f t="shared" si="434"/>
        <v>0</v>
      </c>
      <c r="S1630" s="32" t="str">
        <f>IF(ISERROR(DAY(Q1630)),TEXT(MATCH(TRIM(SUBSTITUTE(SUBSTITUTE(SUBSTITUTE(SUBSTITUTE(SUBSTITUTE(SUBSTITUTE(SUBSTITUTE(SUBSTITUTE(SUBSTITUTE(SUBSTITUTE(SUBSTITUTE(Q1630,1,""),2,""),3,""),4,""),5,""),6,""),7,""),8,""),9,""),0,""),"-","")),{"gennaio","febbraio","marzo","aprile","maggio","giugno","luglio","agosto","settembre","ottobre","novembre","dicembre"},0),"00"),TEXT(MONTH(Q1630)*29,"mmmm"))</f>
        <v>gennaio</v>
      </c>
      <c r="T1630" s="32">
        <f t="shared" si="435"/>
        <v>1900</v>
      </c>
      <c r="U1630" s="29"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00/01/1900</v>
      </c>
      <c r="V1630" s="33"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1900/01/00</v>
      </c>
      <c r="W1630" s="29"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00 gennaio 1900</v>
      </c>
      <c r="X1630" s="29">
        <v>1657</v>
      </c>
      <c r="Y1630" s="29" t="str">
        <f t="shared" si="428"/>
        <v>[' ', '', '', '--', '00 gennaio 1900', '00/01/1900', '1900/01/00'],</v>
      </c>
      <c r="Z1630" s="29" t="str">
        <f t="shared" si="429"/>
        <v xml:space="preserve"> () |  </v>
      </c>
      <c r="AA1630" s="29" t="str">
        <f t="shared" si="430"/>
        <v xml:space="preserve"> </v>
      </c>
      <c r="AB1630" s="29" t="str">
        <f t="shared" si="431"/>
        <v xml:space="preserve"> </v>
      </c>
      <c r="AC1630" s="29" t="str">
        <f t="shared" si="432"/>
        <v xml:space="preserve"> , 0 , 00 gennaio 1900</v>
      </c>
      <c r="AD1630" s="29" t="str">
        <f t="shared" si="433"/>
        <v>1900-01-00T08:00:00.000+02:00</v>
      </c>
      <c r="AE1630" s="29" t="str">
        <f t="shared" si="426"/>
        <v>--</v>
      </c>
      <c r="AF1630" s="29" t="str">
        <f t="shared" si="427"/>
        <v xml:space="preserve">  - 0 - </v>
      </c>
    </row>
    <row r="1631" spans="8:32" x14ac:dyDescent="0.2">
      <c r="H1631" s="29" t="str">
        <f t="shared" si="424"/>
        <v xml:space="preserve"> </v>
      </c>
      <c r="L1631" s="29">
        <f t="shared" si="425"/>
        <v>0</v>
      </c>
      <c r="Q1631" s="38"/>
      <c r="R1631" s="32">
        <f t="shared" si="434"/>
        <v>0</v>
      </c>
      <c r="S1631" s="32" t="str">
        <f>IF(ISERROR(DAY(Q1631)),TEXT(MATCH(TRIM(SUBSTITUTE(SUBSTITUTE(SUBSTITUTE(SUBSTITUTE(SUBSTITUTE(SUBSTITUTE(SUBSTITUTE(SUBSTITUTE(SUBSTITUTE(SUBSTITUTE(SUBSTITUTE(Q1631,1,""),2,""),3,""),4,""),5,""),6,""),7,""),8,""),9,""),0,""),"-","")),{"gennaio","febbraio","marzo","aprile","maggio","giugno","luglio","agosto","settembre","ottobre","novembre","dicembre"},0),"00"),TEXT(MONTH(Q1631)*29,"mmmm"))</f>
        <v>gennaio</v>
      </c>
      <c r="T1631" s="32">
        <f t="shared" si="435"/>
        <v>1900</v>
      </c>
      <c r="U1631" s="29"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00/01/1900</v>
      </c>
      <c r="V1631" s="33"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1900/01/00</v>
      </c>
      <c r="W1631" s="29"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00 gennaio 1900</v>
      </c>
      <c r="X1631" s="29">
        <v>1658</v>
      </c>
      <c r="Y1631" s="29" t="str">
        <f t="shared" si="428"/>
        <v>[' ', '', '', '--', '00 gennaio 1900', '00/01/1900', '1900/01/00'],</v>
      </c>
      <c r="Z1631" s="29" t="str">
        <f t="shared" si="429"/>
        <v xml:space="preserve"> () |  </v>
      </c>
      <c r="AA1631" s="29" t="str">
        <f t="shared" si="430"/>
        <v xml:space="preserve"> </v>
      </c>
      <c r="AB1631" s="29" t="str">
        <f t="shared" si="431"/>
        <v xml:space="preserve"> </v>
      </c>
      <c r="AC1631" s="29" t="str">
        <f t="shared" si="432"/>
        <v xml:space="preserve"> , 0 , 00 gennaio 1900</v>
      </c>
      <c r="AD1631" s="29" t="str">
        <f t="shared" si="433"/>
        <v>1900-01-00T08:00:00.000+02:00</v>
      </c>
      <c r="AE1631" s="29" t="str">
        <f t="shared" si="426"/>
        <v>--</v>
      </c>
      <c r="AF1631" s="29" t="str">
        <f t="shared" si="427"/>
        <v xml:space="preserve">  - 0 - </v>
      </c>
    </row>
    <row r="1632" spans="8:32" x14ac:dyDescent="0.2">
      <c r="H1632" s="29" t="str">
        <f t="shared" ref="H1632:H1695" si="436">_xlfn.CONCAT(D1632 &amp; " " &amp; E1632)</f>
        <v xml:space="preserve"> </v>
      </c>
      <c r="L1632" s="29">
        <f t="shared" si="425"/>
        <v>0</v>
      </c>
      <c r="Q1632" s="38"/>
      <c r="R1632" s="32">
        <f t="shared" si="434"/>
        <v>0</v>
      </c>
      <c r="S1632" s="32" t="str">
        <f>IF(ISERROR(DAY(Q1632)),TEXT(MATCH(TRIM(SUBSTITUTE(SUBSTITUTE(SUBSTITUTE(SUBSTITUTE(SUBSTITUTE(SUBSTITUTE(SUBSTITUTE(SUBSTITUTE(SUBSTITUTE(SUBSTITUTE(SUBSTITUTE(Q1632,1,""),2,""),3,""),4,""),5,""),6,""),7,""),8,""),9,""),0,""),"-","")),{"gennaio","febbraio","marzo","aprile","maggio","giugno","luglio","agosto","settembre","ottobre","novembre","dicembre"},0),"00"),TEXT(MONTH(Q1632)*29,"mmmm"))</f>
        <v>gennaio</v>
      </c>
      <c r="T1632" s="32">
        <f t="shared" si="435"/>
        <v>1900</v>
      </c>
      <c r="U1632" s="29"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00/01/1900</v>
      </c>
      <c r="V1632" s="33"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1900/01/00</v>
      </c>
      <c r="W1632" s="29"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00 gennaio 1900</v>
      </c>
      <c r="X1632" s="29">
        <v>1659</v>
      </c>
      <c r="Y1632" s="29" t="str">
        <f t="shared" si="428"/>
        <v>[' ', '', '', '--', '00 gennaio 1900', '00/01/1900', '1900/01/00'],</v>
      </c>
      <c r="Z1632" s="29" t="str">
        <f t="shared" si="429"/>
        <v xml:space="preserve"> () |  </v>
      </c>
      <c r="AA1632" s="29" t="str">
        <f t="shared" si="430"/>
        <v xml:space="preserve"> </v>
      </c>
      <c r="AB1632" s="29" t="str">
        <f t="shared" si="431"/>
        <v xml:space="preserve"> </v>
      </c>
      <c r="AC1632" s="29" t="str">
        <f t="shared" si="432"/>
        <v xml:space="preserve"> , 0 , 00 gennaio 1900</v>
      </c>
      <c r="AD1632" s="29" t="str">
        <f t="shared" si="433"/>
        <v>1900-01-00T08:00:00.000+02:00</v>
      </c>
      <c r="AE1632" s="29" t="str">
        <f t="shared" si="426"/>
        <v>--</v>
      </c>
      <c r="AF1632" s="29" t="str">
        <f t="shared" si="427"/>
        <v xml:space="preserve">  - 0 - </v>
      </c>
    </row>
    <row r="1633" spans="8:32" x14ac:dyDescent="0.2">
      <c r="H1633" s="29" t="str">
        <f t="shared" si="436"/>
        <v xml:space="preserve"> </v>
      </c>
      <c r="L1633" s="29">
        <f t="shared" si="425"/>
        <v>0</v>
      </c>
      <c r="Q1633" s="38"/>
      <c r="R1633" s="32">
        <f t="shared" si="434"/>
        <v>0</v>
      </c>
      <c r="S1633" s="32" t="str">
        <f>IF(ISERROR(DAY(Q1633)),TEXT(MATCH(TRIM(SUBSTITUTE(SUBSTITUTE(SUBSTITUTE(SUBSTITUTE(SUBSTITUTE(SUBSTITUTE(SUBSTITUTE(SUBSTITUTE(SUBSTITUTE(SUBSTITUTE(SUBSTITUTE(Q1633,1,""),2,""),3,""),4,""),5,""),6,""),7,""),8,""),9,""),0,""),"-","")),{"gennaio","febbraio","marzo","aprile","maggio","giugno","luglio","agosto","settembre","ottobre","novembre","dicembre"},0),"00"),TEXT(MONTH(Q1633)*29,"mmmm"))</f>
        <v>gennaio</v>
      </c>
      <c r="T1633" s="32">
        <f t="shared" si="435"/>
        <v>1900</v>
      </c>
      <c r="U1633" s="29"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00/01/1900</v>
      </c>
      <c r="V1633" s="33"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1900/01/00</v>
      </c>
      <c r="W1633" s="29"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00 gennaio 1900</v>
      </c>
      <c r="X1633" s="29">
        <v>1660</v>
      </c>
      <c r="Y1633" s="29" t="str">
        <f t="shared" si="428"/>
        <v>[' ', '', '', '--', '00 gennaio 1900', '00/01/1900', '1900/01/00'],</v>
      </c>
      <c r="Z1633" s="29" t="str">
        <f t="shared" si="429"/>
        <v xml:space="preserve"> () |  </v>
      </c>
      <c r="AA1633" s="29" t="str">
        <f t="shared" si="430"/>
        <v xml:space="preserve"> </v>
      </c>
      <c r="AB1633" s="29" t="str">
        <f t="shared" si="431"/>
        <v xml:space="preserve"> </v>
      </c>
      <c r="AC1633" s="29" t="str">
        <f t="shared" si="432"/>
        <v xml:space="preserve"> , 0 , 00 gennaio 1900</v>
      </c>
      <c r="AD1633" s="29" t="str">
        <f t="shared" si="433"/>
        <v>1900-01-00T08:00:00.000+02:00</v>
      </c>
      <c r="AE1633" s="29" t="str">
        <f t="shared" si="426"/>
        <v>--</v>
      </c>
      <c r="AF1633" s="29" t="str">
        <f t="shared" si="427"/>
        <v xml:space="preserve">  - 0 - </v>
      </c>
    </row>
    <row r="1634" spans="8:32" x14ac:dyDescent="0.2">
      <c r="H1634" s="29" t="str">
        <f t="shared" si="436"/>
        <v xml:space="preserve"> </v>
      </c>
      <c r="L1634" s="29">
        <f t="shared" si="425"/>
        <v>0</v>
      </c>
      <c r="Q1634" s="38"/>
      <c r="R1634" s="32">
        <f t="shared" si="434"/>
        <v>0</v>
      </c>
      <c r="S1634" s="32" t="str">
        <f>IF(ISERROR(DAY(Q1634)),TEXT(MATCH(TRIM(SUBSTITUTE(SUBSTITUTE(SUBSTITUTE(SUBSTITUTE(SUBSTITUTE(SUBSTITUTE(SUBSTITUTE(SUBSTITUTE(SUBSTITUTE(SUBSTITUTE(SUBSTITUTE(Q1634,1,""),2,""),3,""),4,""),5,""),6,""),7,""),8,""),9,""),0,""),"-","")),{"gennaio","febbraio","marzo","aprile","maggio","giugno","luglio","agosto","settembre","ottobre","novembre","dicembre"},0),"00"),TEXT(MONTH(Q1634)*29,"mmmm"))</f>
        <v>gennaio</v>
      </c>
      <c r="T1634" s="32">
        <f t="shared" si="435"/>
        <v>1900</v>
      </c>
      <c r="U1634" s="29"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00/01/1900</v>
      </c>
      <c r="V1634" s="33"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1900/01/00</v>
      </c>
      <c r="W1634" s="29"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00 gennaio 1900</v>
      </c>
      <c r="X1634" s="29">
        <v>1661</v>
      </c>
      <c r="Y1634" s="29" t="str">
        <f t="shared" si="428"/>
        <v>[' ', '', '', '--', '00 gennaio 1900', '00/01/1900', '1900/01/00'],</v>
      </c>
      <c r="Z1634" s="29" t="str">
        <f t="shared" si="429"/>
        <v xml:space="preserve"> () |  </v>
      </c>
      <c r="AA1634" s="29" t="str">
        <f t="shared" si="430"/>
        <v xml:space="preserve"> </v>
      </c>
      <c r="AB1634" s="29" t="str">
        <f t="shared" si="431"/>
        <v xml:space="preserve"> </v>
      </c>
      <c r="AC1634" s="29" t="str">
        <f t="shared" si="432"/>
        <v xml:space="preserve"> , 0 , 00 gennaio 1900</v>
      </c>
      <c r="AD1634" s="29" t="str">
        <f t="shared" si="433"/>
        <v>1900-01-00T08:00:00.000+02:00</v>
      </c>
      <c r="AE1634" s="29" t="str">
        <f t="shared" si="426"/>
        <v>--</v>
      </c>
      <c r="AF1634" s="29" t="str">
        <f t="shared" si="427"/>
        <v xml:space="preserve">  - 0 - </v>
      </c>
    </row>
    <row r="1635" spans="8:32" x14ac:dyDescent="0.2">
      <c r="H1635" s="29" t="str">
        <f t="shared" si="436"/>
        <v xml:space="preserve"> </v>
      </c>
      <c r="L1635" s="29">
        <f t="shared" si="425"/>
        <v>0</v>
      </c>
      <c r="Q1635" s="38"/>
      <c r="R1635" s="32">
        <f t="shared" si="434"/>
        <v>0</v>
      </c>
      <c r="S1635" s="32" t="str">
        <f>IF(ISERROR(DAY(Q1635)),TEXT(MATCH(TRIM(SUBSTITUTE(SUBSTITUTE(SUBSTITUTE(SUBSTITUTE(SUBSTITUTE(SUBSTITUTE(SUBSTITUTE(SUBSTITUTE(SUBSTITUTE(SUBSTITUTE(SUBSTITUTE(Q1635,1,""),2,""),3,""),4,""),5,""),6,""),7,""),8,""),9,""),0,""),"-","")),{"gennaio","febbraio","marzo","aprile","maggio","giugno","luglio","agosto","settembre","ottobre","novembre","dicembre"},0),"00"),TEXT(MONTH(Q1635)*29,"mmmm"))</f>
        <v>gennaio</v>
      </c>
      <c r="T1635" s="32">
        <f t="shared" si="435"/>
        <v>1900</v>
      </c>
      <c r="U1635" s="29"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00/01/1900</v>
      </c>
      <c r="V1635" s="33"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1900/01/00</v>
      </c>
      <c r="W1635" s="29"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00 gennaio 1900</v>
      </c>
      <c r="X1635" s="29">
        <v>1662</v>
      </c>
      <c r="Y1635" s="29" t="str">
        <f t="shared" si="428"/>
        <v>[' ', '', '', '--', '00 gennaio 1900', '00/01/1900', '1900/01/00'],</v>
      </c>
      <c r="Z1635" s="29" t="str">
        <f t="shared" si="429"/>
        <v xml:space="preserve"> () |  </v>
      </c>
      <c r="AA1635" s="29" t="str">
        <f t="shared" si="430"/>
        <v xml:space="preserve"> </v>
      </c>
      <c r="AB1635" s="29" t="str">
        <f t="shared" si="431"/>
        <v xml:space="preserve"> </v>
      </c>
      <c r="AC1635" s="29" t="str">
        <f t="shared" si="432"/>
        <v xml:space="preserve"> , 0 , 00 gennaio 1900</v>
      </c>
      <c r="AD1635" s="29" t="str">
        <f t="shared" si="433"/>
        <v>1900-01-00T08:00:00.000+02:00</v>
      </c>
      <c r="AE1635" s="29" t="str">
        <f t="shared" si="426"/>
        <v>--</v>
      </c>
      <c r="AF1635" s="29" t="str">
        <f t="shared" si="427"/>
        <v xml:space="preserve">  - 0 - </v>
      </c>
    </row>
    <row r="1636" spans="8:32" x14ac:dyDescent="0.2">
      <c r="H1636" s="29" t="str">
        <f t="shared" si="436"/>
        <v xml:space="preserve"> </v>
      </c>
      <c r="L1636" s="29">
        <f t="shared" si="425"/>
        <v>0</v>
      </c>
      <c r="Q1636" s="38"/>
      <c r="R1636" s="32">
        <f t="shared" si="434"/>
        <v>0</v>
      </c>
      <c r="S1636" s="32" t="str">
        <f>IF(ISERROR(DAY(Q1636)),TEXT(MATCH(TRIM(SUBSTITUTE(SUBSTITUTE(SUBSTITUTE(SUBSTITUTE(SUBSTITUTE(SUBSTITUTE(SUBSTITUTE(SUBSTITUTE(SUBSTITUTE(SUBSTITUTE(SUBSTITUTE(Q1636,1,""),2,""),3,""),4,""),5,""),6,""),7,""),8,""),9,""),0,""),"-","")),{"gennaio","febbraio","marzo","aprile","maggio","giugno","luglio","agosto","settembre","ottobre","novembre","dicembre"},0),"00"),TEXT(MONTH(Q1636)*29,"mmmm"))</f>
        <v>gennaio</v>
      </c>
      <c r="T1636" s="32">
        <f t="shared" si="435"/>
        <v>1900</v>
      </c>
      <c r="U1636" s="29"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00/01/1900</v>
      </c>
      <c r="V1636" s="33"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1900/01/00</v>
      </c>
      <c r="W1636" s="29"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00 gennaio 1900</v>
      </c>
      <c r="X1636" s="29">
        <v>1663</v>
      </c>
      <c r="Y1636" s="29" t="str">
        <f t="shared" si="428"/>
        <v>[' ', '', '', '--', '00 gennaio 1900', '00/01/1900', '1900/01/00'],</v>
      </c>
      <c r="Z1636" s="29" t="str">
        <f t="shared" si="429"/>
        <v xml:space="preserve"> () |  </v>
      </c>
      <c r="AA1636" s="29" t="str">
        <f t="shared" si="430"/>
        <v xml:space="preserve"> </v>
      </c>
      <c r="AB1636" s="29" t="str">
        <f t="shared" si="431"/>
        <v xml:space="preserve"> </v>
      </c>
      <c r="AC1636" s="29" t="str">
        <f t="shared" si="432"/>
        <v xml:space="preserve"> , 0 , 00 gennaio 1900</v>
      </c>
      <c r="AD1636" s="29" t="str">
        <f t="shared" si="433"/>
        <v>1900-01-00T08:00:00.000+02:00</v>
      </c>
      <c r="AE1636" s="29" t="str">
        <f t="shared" si="426"/>
        <v>--</v>
      </c>
      <c r="AF1636" s="29" t="str">
        <f t="shared" si="427"/>
        <v xml:space="preserve">  - 0 - </v>
      </c>
    </row>
    <row r="1637" spans="8:32" x14ac:dyDescent="0.2">
      <c r="H1637" s="29" t="str">
        <f t="shared" si="436"/>
        <v xml:space="preserve"> </v>
      </c>
      <c r="L1637" s="29">
        <f t="shared" si="425"/>
        <v>0</v>
      </c>
      <c r="Q1637" s="38"/>
      <c r="R1637" s="32">
        <f t="shared" si="434"/>
        <v>0</v>
      </c>
      <c r="S1637" s="32" t="str">
        <f>IF(ISERROR(DAY(Q1637)),TEXT(MATCH(TRIM(SUBSTITUTE(SUBSTITUTE(SUBSTITUTE(SUBSTITUTE(SUBSTITUTE(SUBSTITUTE(SUBSTITUTE(SUBSTITUTE(SUBSTITUTE(SUBSTITUTE(SUBSTITUTE(Q1637,1,""),2,""),3,""),4,""),5,""),6,""),7,""),8,""),9,""),0,""),"-","")),{"gennaio","febbraio","marzo","aprile","maggio","giugno","luglio","agosto","settembre","ottobre","novembre","dicembre"},0),"00"),TEXT(MONTH(Q1637)*29,"mmmm"))</f>
        <v>gennaio</v>
      </c>
      <c r="T1637" s="32">
        <f t="shared" si="435"/>
        <v>1900</v>
      </c>
      <c r="U1637" s="29"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00/01/1900</v>
      </c>
      <c r="V1637" s="33"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1900/01/00</v>
      </c>
      <c r="W1637" s="29"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00 gennaio 1900</v>
      </c>
      <c r="X1637" s="29">
        <v>1664</v>
      </c>
      <c r="Y1637" s="29" t="str">
        <f t="shared" si="428"/>
        <v>[' ', '', '', '--', '00 gennaio 1900', '00/01/1900', '1900/01/00'],</v>
      </c>
      <c r="Z1637" s="29" t="str">
        <f t="shared" si="429"/>
        <v xml:space="preserve"> () |  </v>
      </c>
      <c r="AA1637" s="29" t="str">
        <f t="shared" si="430"/>
        <v xml:space="preserve"> </v>
      </c>
      <c r="AB1637" s="29" t="str">
        <f t="shared" si="431"/>
        <v xml:space="preserve"> </v>
      </c>
      <c r="AC1637" s="29" t="str">
        <f t="shared" si="432"/>
        <v xml:space="preserve"> , 0 , 00 gennaio 1900</v>
      </c>
      <c r="AD1637" s="29" t="str">
        <f t="shared" si="433"/>
        <v>1900-01-00T08:00:00.000+02:00</v>
      </c>
      <c r="AE1637" s="29" t="str">
        <f t="shared" si="426"/>
        <v>--</v>
      </c>
      <c r="AF1637" s="29" t="str">
        <f t="shared" si="427"/>
        <v xml:space="preserve">  - 0 - </v>
      </c>
    </row>
    <row r="1638" spans="8:32" x14ac:dyDescent="0.2">
      <c r="H1638" s="29" t="str">
        <f t="shared" si="436"/>
        <v xml:space="preserve"> </v>
      </c>
      <c r="L1638" s="29">
        <f t="shared" ref="L1638:L1701" si="437">IF(J1638&lt;&gt;"",_xlfn.CONCAT(J1638 &amp; " " &amp; K1638),K1638)</f>
        <v>0</v>
      </c>
      <c r="Q1638" s="38"/>
      <c r="R1638" s="32">
        <f t="shared" si="434"/>
        <v>0</v>
      </c>
      <c r="S1638" s="32" t="str">
        <f>IF(ISERROR(DAY(Q1638)),TEXT(MATCH(TRIM(SUBSTITUTE(SUBSTITUTE(SUBSTITUTE(SUBSTITUTE(SUBSTITUTE(SUBSTITUTE(SUBSTITUTE(SUBSTITUTE(SUBSTITUTE(SUBSTITUTE(SUBSTITUTE(Q1638,1,""),2,""),3,""),4,""),5,""),6,""),7,""),8,""),9,""),0,""),"-","")),{"gennaio","febbraio","marzo","aprile","maggio","giugno","luglio","agosto","settembre","ottobre","novembre","dicembre"},0),"00"),TEXT(MONTH(Q1638)*29,"mmmm"))</f>
        <v>gennaio</v>
      </c>
      <c r="T1638" s="32">
        <f t="shared" si="435"/>
        <v>1900</v>
      </c>
      <c r="U1638" s="29"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00/01/1900</v>
      </c>
      <c r="V1638" s="33"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1900/01/00</v>
      </c>
      <c r="W1638" s="29"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00 gennaio 1900</v>
      </c>
      <c r="X1638" s="29">
        <v>1665</v>
      </c>
      <c r="Y1638" s="29" t="str">
        <f t="shared" si="428"/>
        <v>[' ', '', '', '--', '00 gennaio 1900', '00/01/1900', '1900/01/00'],</v>
      </c>
      <c r="Z1638" s="29" t="str">
        <f t="shared" si="429"/>
        <v xml:space="preserve"> () |  </v>
      </c>
      <c r="AA1638" s="29" t="str">
        <f t="shared" si="430"/>
        <v xml:space="preserve"> </v>
      </c>
      <c r="AB1638" s="29" t="str">
        <f t="shared" si="431"/>
        <v xml:space="preserve"> </v>
      </c>
      <c r="AC1638" s="29" t="str">
        <f t="shared" si="432"/>
        <v xml:space="preserve"> , 0 , 00 gennaio 1900</v>
      </c>
      <c r="AD1638" s="29" t="str">
        <f t="shared" si="433"/>
        <v>1900-01-00T08:00:00.000+02:00</v>
      </c>
      <c r="AE1638" s="29" t="str">
        <f t="shared" si="426"/>
        <v>--</v>
      </c>
      <c r="AF1638" s="29" t="str">
        <f t="shared" si="427"/>
        <v xml:space="preserve">  - 0 - </v>
      </c>
    </row>
    <row r="1639" spans="8:32" x14ac:dyDescent="0.2">
      <c r="H1639" s="29" t="str">
        <f t="shared" si="436"/>
        <v xml:space="preserve"> </v>
      </c>
      <c r="L1639" s="29">
        <f t="shared" si="437"/>
        <v>0</v>
      </c>
      <c r="Q1639" s="38"/>
      <c r="R1639" s="32">
        <f t="shared" si="434"/>
        <v>0</v>
      </c>
      <c r="S1639" s="32" t="str">
        <f>IF(ISERROR(DAY(Q1639)),TEXT(MATCH(TRIM(SUBSTITUTE(SUBSTITUTE(SUBSTITUTE(SUBSTITUTE(SUBSTITUTE(SUBSTITUTE(SUBSTITUTE(SUBSTITUTE(SUBSTITUTE(SUBSTITUTE(SUBSTITUTE(Q1639,1,""),2,""),3,""),4,""),5,""),6,""),7,""),8,""),9,""),0,""),"-","")),{"gennaio","febbraio","marzo","aprile","maggio","giugno","luglio","agosto","settembre","ottobre","novembre","dicembre"},0),"00"),TEXT(MONTH(Q1639)*29,"mmmm"))</f>
        <v>gennaio</v>
      </c>
      <c r="T1639" s="32">
        <f t="shared" si="435"/>
        <v>1900</v>
      </c>
      <c r="U1639" s="29"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00/01/1900</v>
      </c>
      <c r="V1639" s="33"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1900/01/00</v>
      </c>
      <c r="W1639" s="29"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00 gennaio 1900</v>
      </c>
      <c r="X1639" s="29">
        <v>1666</v>
      </c>
      <c r="Y1639" s="29" t="str">
        <f t="shared" si="428"/>
        <v>[' ', '', '', '--', '00 gennaio 1900', '00/01/1900', '1900/01/00'],</v>
      </c>
      <c r="Z1639" s="29" t="str">
        <f t="shared" si="429"/>
        <v xml:space="preserve"> () |  </v>
      </c>
      <c r="AA1639" s="29" t="str">
        <f t="shared" si="430"/>
        <v xml:space="preserve"> </v>
      </c>
      <c r="AB1639" s="29" t="str">
        <f t="shared" si="431"/>
        <v xml:space="preserve"> </v>
      </c>
      <c r="AC1639" s="29" t="str">
        <f t="shared" si="432"/>
        <v xml:space="preserve"> , 0 , 00 gennaio 1900</v>
      </c>
      <c r="AD1639" s="29" t="str">
        <f t="shared" si="433"/>
        <v>1900-01-00T08:00:00.000+02:00</v>
      </c>
      <c r="AE1639" s="29" t="str">
        <f t="shared" ref="AE1639:AE1702" si="438">_xlfn.CONCAT(F1639 &amp; "-" &amp; M1639 &amp; "-" &amp; P1639)</f>
        <v>--</v>
      </c>
      <c r="AF1639" s="29" t="str">
        <f t="shared" ref="AF1639:AF1702" si="439">_xlfn.CONCAT(H1639 &amp; " - " &amp; L1639 &amp; " - " &amp; O1639)</f>
        <v xml:space="preserve">  - 0 - </v>
      </c>
    </row>
    <row r="1640" spans="8:32" x14ac:dyDescent="0.2">
      <c r="H1640" s="29" t="str">
        <f t="shared" si="436"/>
        <v xml:space="preserve"> </v>
      </c>
      <c r="L1640" s="29">
        <f t="shared" si="437"/>
        <v>0</v>
      </c>
      <c r="Q1640" s="38"/>
      <c r="R1640" s="32">
        <f t="shared" si="434"/>
        <v>0</v>
      </c>
      <c r="S1640" s="32" t="str">
        <f>IF(ISERROR(DAY(Q1640)),TEXT(MATCH(TRIM(SUBSTITUTE(SUBSTITUTE(SUBSTITUTE(SUBSTITUTE(SUBSTITUTE(SUBSTITUTE(SUBSTITUTE(SUBSTITUTE(SUBSTITUTE(SUBSTITUTE(SUBSTITUTE(Q1640,1,""),2,""),3,""),4,""),5,""),6,""),7,""),8,""),9,""),0,""),"-","")),{"gennaio","febbraio","marzo","aprile","maggio","giugno","luglio","agosto","settembre","ottobre","novembre","dicembre"},0),"00"),TEXT(MONTH(Q1640)*29,"mmmm"))</f>
        <v>gennaio</v>
      </c>
      <c r="T1640" s="32">
        <f t="shared" si="435"/>
        <v>1900</v>
      </c>
      <c r="U1640" s="29"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00/01/1900</v>
      </c>
      <c r="V1640" s="33"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1900/01/00</v>
      </c>
      <c r="W1640" s="29"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00 gennaio 1900</v>
      </c>
      <c r="X1640" s="29">
        <v>1667</v>
      </c>
      <c r="Y1640" s="29" t="str">
        <f t="shared" si="428"/>
        <v>[' ', '', '', '--', '00 gennaio 1900', '00/01/1900', '1900/01/00'],</v>
      </c>
      <c r="Z1640" s="29" t="str">
        <f t="shared" si="429"/>
        <v xml:space="preserve"> () |  </v>
      </c>
      <c r="AA1640" s="29" t="str">
        <f t="shared" si="430"/>
        <v xml:space="preserve"> </v>
      </c>
      <c r="AB1640" s="29" t="str">
        <f t="shared" si="431"/>
        <v xml:space="preserve"> </v>
      </c>
      <c r="AC1640" s="29" t="str">
        <f t="shared" si="432"/>
        <v xml:space="preserve"> , 0 , 00 gennaio 1900</v>
      </c>
      <c r="AD1640" s="29" t="str">
        <f t="shared" si="433"/>
        <v>1900-01-00T08:00:00.000+02:00</v>
      </c>
      <c r="AE1640" s="29" t="str">
        <f t="shared" si="438"/>
        <v>--</v>
      </c>
      <c r="AF1640" s="29" t="str">
        <f t="shared" si="439"/>
        <v xml:space="preserve">  - 0 - </v>
      </c>
    </row>
    <row r="1641" spans="8:32" x14ac:dyDescent="0.2">
      <c r="H1641" s="29" t="str">
        <f t="shared" si="436"/>
        <v xml:space="preserve"> </v>
      </c>
      <c r="L1641" s="29">
        <f t="shared" si="437"/>
        <v>0</v>
      </c>
      <c r="Q1641" s="38"/>
      <c r="R1641" s="32">
        <f t="shared" si="434"/>
        <v>0</v>
      </c>
      <c r="S1641" s="32" t="str">
        <f>IF(ISERROR(DAY(Q1641)),TEXT(MATCH(TRIM(SUBSTITUTE(SUBSTITUTE(SUBSTITUTE(SUBSTITUTE(SUBSTITUTE(SUBSTITUTE(SUBSTITUTE(SUBSTITUTE(SUBSTITUTE(SUBSTITUTE(SUBSTITUTE(Q1641,1,""),2,""),3,""),4,""),5,""),6,""),7,""),8,""),9,""),0,""),"-","")),{"gennaio","febbraio","marzo","aprile","maggio","giugno","luglio","agosto","settembre","ottobre","novembre","dicembre"},0),"00"),TEXT(MONTH(Q1641)*29,"mmmm"))</f>
        <v>gennaio</v>
      </c>
      <c r="T1641" s="32">
        <f t="shared" si="435"/>
        <v>1900</v>
      </c>
      <c r="U1641" s="29"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00/01/1900</v>
      </c>
      <c r="V1641" s="33"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1900/01/00</v>
      </c>
      <c r="W1641" s="29"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00 gennaio 1900</v>
      </c>
      <c r="X1641" s="29">
        <v>1668</v>
      </c>
      <c r="Y1641" s="29" t="str">
        <f t="shared" si="428"/>
        <v>[' ', '', '', '--', '00 gennaio 1900', '00/01/1900', '1900/01/00'],</v>
      </c>
      <c r="Z1641" s="29" t="str">
        <f t="shared" si="429"/>
        <v xml:space="preserve"> () |  </v>
      </c>
      <c r="AA1641" s="29" t="str">
        <f t="shared" si="430"/>
        <v xml:space="preserve"> </v>
      </c>
      <c r="AB1641" s="29" t="str">
        <f t="shared" si="431"/>
        <v xml:space="preserve"> </v>
      </c>
      <c r="AC1641" s="29" t="str">
        <f t="shared" si="432"/>
        <v xml:space="preserve"> , 0 , 00 gennaio 1900</v>
      </c>
      <c r="AD1641" s="29" t="str">
        <f t="shared" si="433"/>
        <v>1900-01-00T08:00:00.000+02:00</v>
      </c>
      <c r="AE1641" s="29" t="str">
        <f t="shared" si="438"/>
        <v>--</v>
      </c>
      <c r="AF1641" s="29" t="str">
        <f t="shared" si="439"/>
        <v xml:space="preserve">  - 0 - </v>
      </c>
    </row>
    <row r="1642" spans="8:32" x14ac:dyDescent="0.2">
      <c r="H1642" s="29" t="str">
        <f t="shared" si="436"/>
        <v xml:space="preserve"> </v>
      </c>
      <c r="L1642" s="29">
        <f t="shared" si="437"/>
        <v>0</v>
      </c>
      <c r="Q1642" s="38"/>
      <c r="R1642" s="32">
        <f t="shared" si="434"/>
        <v>0</v>
      </c>
      <c r="S1642" s="32" t="str">
        <f>IF(ISERROR(DAY(Q1642)),TEXT(MATCH(TRIM(SUBSTITUTE(SUBSTITUTE(SUBSTITUTE(SUBSTITUTE(SUBSTITUTE(SUBSTITUTE(SUBSTITUTE(SUBSTITUTE(SUBSTITUTE(SUBSTITUTE(SUBSTITUTE(Q1642,1,""),2,""),3,""),4,""),5,""),6,""),7,""),8,""),9,""),0,""),"-","")),{"gennaio","febbraio","marzo","aprile","maggio","giugno","luglio","agosto","settembre","ottobre","novembre","dicembre"},0),"00"),TEXT(MONTH(Q1642)*29,"mmmm"))</f>
        <v>gennaio</v>
      </c>
      <c r="T1642" s="32">
        <f t="shared" si="435"/>
        <v>1900</v>
      </c>
      <c r="U1642" s="29"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00/01/1900</v>
      </c>
      <c r="V1642" s="33"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1900/01/00</v>
      </c>
      <c r="W1642" s="29"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00 gennaio 1900</v>
      </c>
      <c r="X1642" s="29">
        <v>1669</v>
      </c>
      <c r="Y1642" s="29" t="str">
        <f t="shared" si="428"/>
        <v>[' ', '', '', '--', '00 gennaio 1900', '00/01/1900', '1900/01/00'],</v>
      </c>
      <c r="Z1642" s="29" t="str">
        <f t="shared" si="429"/>
        <v xml:space="preserve"> () |  </v>
      </c>
      <c r="AA1642" s="29" t="str">
        <f t="shared" si="430"/>
        <v xml:space="preserve"> </v>
      </c>
      <c r="AB1642" s="29" t="str">
        <f t="shared" si="431"/>
        <v xml:space="preserve"> </v>
      </c>
      <c r="AC1642" s="29" t="str">
        <f t="shared" si="432"/>
        <v xml:space="preserve"> , 0 , 00 gennaio 1900</v>
      </c>
      <c r="AD1642" s="29" t="str">
        <f t="shared" si="433"/>
        <v>1900-01-00T08:00:00.000+02:00</v>
      </c>
      <c r="AE1642" s="29" t="str">
        <f t="shared" si="438"/>
        <v>--</v>
      </c>
      <c r="AF1642" s="29" t="str">
        <f t="shared" si="439"/>
        <v xml:space="preserve">  - 0 - </v>
      </c>
    </row>
    <row r="1643" spans="8:32" x14ac:dyDescent="0.2">
      <c r="H1643" s="29" t="str">
        <f t="shared" si="436"/>
        <v xml:space="preserve"> </v>
      </c>
      <c r="L1643" s="29">
        <f t="shared" si="437"/>
        <v>0</v>
      </c>
      <c r="Q1643" s="38"/>
      <c r="R1643" s="32">
        <f t="shared" si="434"/>
        <v>0</v>
      </c>
      <c r="S1643" s="32" t="str">
        <f>IF(ISERROR(DAY(Q1643)),TEXT(MATCH(TRIM(SUBSTITUTE(SUBSTITUTE(SUBSTITUTE(SUBSTITUTE(SUBSTITUTE(SUBSTITUTE(SUBSTITUTE(SUBSTITUTE(SUBSTITUTE(SUBSTITUTE(SUBSTITUTE(Q1643,1,""),2,""),3,""),4,""),5,""),6,""),7,""),8,""),9,""),0,""),"-","")),{"gennaio","febbraio","marzo","aprile","maggio","giugno","luglio","agosto","settembre","ottobre","novembre","dicembre"},0),"00"),TEXT(MONTH(Q1643)*29,"mmmm"))</f>
        <v>gennaio</v>
      </c>
      <c r="T1643" s="32">
        <f t="shared" si="435"/>
        <v>1900</v>
      </c>
      <c r="U1643" s="29"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00/01/1900</v>
      </c>
      <c r="V1643" s="33"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1900/01/00</v>
      </c>
      <c r="W1643" s="29"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00 gennaio 1900</v>
      </c>
      <c r="X1643" s="29">
        <v>1670</v>
      </c>
      <c r="Y1643" s="29" t="str">
        <f t="shared" si="428"/>
        <v>[' ', '', '', '--', '00 gennaio 1900', '00/01/1900', '1900/01/00'],</v>
      </c>
      <c r="Z1643" s="29" t="str">
        <f t="shared" si="429"/>
        <v xml:space="preserve"> () |  </v>
      </c>
      <c r="AA1643" s="29" t="str">
        <f t="shared" si="430"/>
        <v xml:space="preserve"> </v>
      </c>
      <c r="AB1643" s="29" t="str">
        <f t="shared" si="431"/>
        <v xml:space="preserve"> </v>
      </c>
      <c r="AC1643" s="29" t="str">
        <f t="shared" si="432"/>
        <v xml:space="preserve"> , 0 , 00 gennaio 1900</v>
      </c>
      <c r="AD1643" s="29" t="str">
        <f t="shared" si="433"/>
        <v>1900-01-00T08:00:00.000+02:00</v>
      </c>
      <c r="AE1643" s="29" t="str">
        <f t="shared" si="438"/>
        <v>--</v>
      </c>
      <c r="AF1643" s="29" t="str">
        <f t="shared" si="439"/>
        <v xml:space="preserve">  - 0 - </v>
      </c>
    </row>
    <row r="1644" spans="8:32" x14ac:dyDescent="0.2">
      <c r="H1644" s="29" t="str">
        <f t="shared" si="436"/>
        <v xml:space="preserve"> </v>
      </c>
      <c r="L1644" s="29">
        <f t="shared" si="437"/>
        <v>0</v>
      </c>
      <c r="Q1644" s="38"/>
      <c r="R1644" s="32">
        <f t="shared" si="434"/>
        <v>0</v>
      </c>
      <c r="S1644" s="32" t="str">
        <f>IF(ISERROR(DAY(Q1644)),TEXT(MATCH(TRIM(SUBSTITUTE(SUBSTITUTE(SUBSTITUTE(SUBSTITUTE(SUBSTITUTE(SUBSTITUTE(SUBSTITUTE(SUBSTITUTE(SUBSTITUTE(SUBSTITUTE(SUBSTITUTE(Q1644,1,""),2,""),3,""),4,""),5,""),6,""),7,""),8,""),9,""),0,""),"-","")),{"gennaio","febbraio","marzo","aprile","maggio","giugno","luglio","agosto","settembre","ottobre","novembre","dicembre"},0),"00"),TEXT(MONTH(Q1644)*29,"mmmm"))</f>
        <v>gennaio</v>
      </c>
      <c r="T1644" s="32">
        <f t="shared" si="435"/>
        <v>1900</v>
      </c>
      <c r="U1644" s="29"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00/01/1900</v>
      </c>
      <c r="V1644" s="33"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1900/01/00</v>
      </c>
      <c r="W1644" s="29"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00 gennaio 1900</v>
      </c>
      <c r="X1644" s="29">
        <v>1671</v>
      </c>
      <c r="Y1644" s="29" t="str">
        <f t="shared" si="428"/>
        <v>[' ', '', '', '--', '00 gennaio 1900', '00/01/1900', '1900/01/00'],</v>
      </c>
      <c r="Z1644" s="29" t="str">
        <f t="shared" si="429"/>
        <v xml:space="preserve"> () |  </v>
      </c>
      <c r="AA1644" s="29" t="str">
        <f t="shared" si="430"/>
        <v xml:space="preserve"> </v>
      </c>
      <c r="AB1644" s="29" t="str">
        <f t="shared" si="431"/>
        <v xml:space="preserve"> </v>
      </c>
      <c r="AC1644" s="29" t="str">
        <f t="shared" si="432"/>
        <v xml:space="preserve"> , 0 , 00 gennaio 1900</v>
      </c>
      <c r="AD1644" s="29" t="str">
        <f t="shared" si="433"/>
        <v>1900-01-00T08:00:00.000+02:00</v>
      </c>
      <c r="AE1644" s="29" t="str">
        <f t="shared" si="438"/>
        <v>--</v>
      </c>
      <c r="AF1644" s="29" t="str">
        <f t="shared" si="439"/>
        <v xml:space="preserve">  - 0 - </v>
      </c>
    </row>
    <row r="1645" spans="8:32" x14ac:dyDescent="0.2">
      <c r="H1645" s="29" t="str">
        <f t="shared" si="436"/>
        <v xml:space="preserve"> </v>
      </c>
      <c r="L1645" s="29">
        <f t="shared" si="437"/>
        <v>0</v>
      </c>
      <c r="Q1645" s="38"/>
      <c r="R1645" s="32">
        <f t="shared" si="434"/>
        <v>0</v>
      </c>
      <c r="S1645" s="32" t="str">
        <f>IF(ISERROR(DAY(Q1645)),TEXT(MATCH(TRIM(SUBSTITUTE(SUBSTITUTE(SUBSTITUTE(SUBSTITUTE(SUBSTITUTE(SUBSTITUTE(SUBSTITUTE(SUBSTITUTE(SUBSTITUTE(SUBSTITUTE(SUBSTITUTE(Q1645,1,""),2,""),3,""),4,""),5,""),6,""),7,""),8,""),9,""),0,""),"-","")),{"gennaio","febbraio","marzo","aprile","maggio","giugno","luglio","agosto","settembre","ottobre","novembre","dicembre"},0),"00"),TEXT(MONTH(Q1645)*29,"mmmm"))</f>
        <v>gennaio</v>
      </c>
      <c r="T1645" s="32">
        <f t="shared" si="435"/>
        <v>1900</v>
      </c>
      <c r="U1645" s="29"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00/01/1900</v>
      </c>
      <c r="V1645" s="33"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1900/01/00</v>
      </c>
      <c r="W1645" s="29"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00 gennaio 1900</v>
      </c>
      <c r="X1645" s="29">
        <v>1672</v>
      </c>
      <c r="Y1645" s="29" t="str">
        <f t="shared" si="428"/>
        <v>[' ', '', '', '--', '00 gennaio 1900', '00/01/1900', '1900/01/00'],</v>
      </c>
      <c r="Z1645" s="29" t="str">
        <f t="shared" si="429"/>
        <v xml:space="preserve"> () |  </v>
      </c>
      <c r="AA1645" s="29" t="str">
        <f t="shared" si="430"/>
        <v xml:space="preserve"> </v>
      </c>
      <c r="AB1645" s="29" t="str">
        <f t="shared" si="431"/>
        <v xml:space="preserve"> </v>
      </c>
      <c r="AC1645" s="29" t="str">
        <f t="shared" si="432"/>
        <v xml:space="preserve"> , 0 , 00 gennaio 1900</v>
      </c>
      <c r="AD1645" s="29" t="str">
        <f t="shared" si="433"/>
        <v>1900-01-00T08:00:00.000+02:00</v>
      </c>
      <c r="AE1645" s="29" t="str">
        <f t="shared" si="438"/>
        <v>--</v>
      </c>
      <c r="AF1645" s="29" t="str">
        <f t="shared" si="439"/>
        <v xml:space="preserve">  - 0 - </v>
      </c>
    </row>
    <row r="1646" spans="8:32" x14ac:dyDescent="0.2">
      <c r="H1646" s="29" t="str">
        <f t="shared" si="436"/>
        <v xml:space="preserve"> </v>
      </c>
      <c r="L1646" s="29">
        <f t="shared" si="437"/>
        <v>0</v>
      </c>
      <c r="Q1646" s="38"/>
      <c r="R1646" s="32">
        <f t="shared" si="434"/>
        <v>0</v>
      </c>
      <c r="S1646" s="32" t="str">
        <f>IF(ISERROR(DAY(Q1646)),TEXT(MATCH(TRIM(SUBSTITUTE(SUBSTITUTE(SUBSTITUTE(SUBSTITUTE(SUBSTITUTE(SUBSTITUTE(SUBSTITUTE(SUBSTITUTE(SUBSTITUTE(SUBSTITUTE(SUBSTITUTE(Q1646,1,""),2,""),3,""),4,""),5,""),6,""),7,""),8,""),9,""),0,""),"-","")),{"gennaio","febbraio","marzo","aprile","maggio","giugno","luglio","agosto","settembre","ottobre","novembre","dicembre"},0),"00"),TEXT(MONTH(Q1646)*29,"mmmm"))</f>
        <v>gennaio</v>
      </c>
      <c r="T1646" s="32">
        <f t="shared" si="435"/>
        <v>1900</v>
      </c>
      <c r="U1646" s="29"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00/01/1900</v>
      </c>
      <c r="V1646" s="33"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1900/01/00</v>
      </c>
      <c r="W1646" s="29"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00 gennaio 1900</v>
      </c>
      <c r="X1646" s="29">
        <v>1673</v>
      </c>
      <c r="Y1646" s="29" t="str">
        <f t="shared" si="428"/>
        <v>[' ', '', '', '--', '00 gennaio 1900', '00/01/1900', '1900/01/00'],</v>
      </c>
      <c r="Z1646" s="29" t="str">
        <f t="shared" si="429"/>
        <v xml:space="preserve"> () |  </v>
      </c>
      <c r="AA1646" s="29" t="str">
        <f t="shared" si="430"/>
        <v xml:space="preserve"> </v>
      </c>
      <c r="AB1646" s="29" t="str">
        <f t="shared" si="431"/>
        <v xml:space="preserve"> </v>
      </c>
      <c r="AC1646" s="29" t="str">
        <f t="shared" si="432"/>
        <v xml:space="preserve"> , 0 , 00 gennaio 1900</v>
      </c>
      <c r="AD1646" s="29" t="str">
        <f t="shared" si="433"/>
        <v>1900-01-00T08:00:00.000+02:00</v>
      </c>
      <c r="AE1646" s="29" t="str">
        <f t="shared" si="438"/>
        <v>--</v>
      </c>
      <c r="AF1646" s="29" t="str">
        <f t="shared" si="439"/>
        <v xml:space="preserve">  - 0 - </v>
      </c>
    </row>
    <row r="1647" spans="8:32" x14ac:dyDescent="0.2">
      <c r="H1647" s="29" t="str">
        <f t="shared" si="436"/>
        <v xml:space="preserve"> </v>
      </c>
      <c r="L1647" s="29">
        <f t="shared" si="437"/>
        <v>0</v>
      </c>
      <c r="Q1647" s="38"/>
      <c r="R1647" s="32">
        <f t="shared" si="434"/>
        <v>0</v>
      </c>
      <c r="S1647" s="32" t="str">
        <f>IF(ISERROR(DAY(Q1647)),TEXT(MATCH(TRIM(SUBSTITUTE(SUBSTITUTE(SUBSTITUTE(SUBSTITUTE(SUBSTITUTE(SUBSTITUTE(SUBSTITUTE(SUBSTITUTE(SUBSTITUTE(SUBSTITUTE(SUBSTITUTE(Q1647,1,""),2,""),3,""),4,""),5,""),6,""),7,""),8,""),9,""),0,""),"-","")),{"gennaio","febbraio","marzo","aprile","maggio","giugno","luglio","agosto","settembre","ottobre","novembre","dicembre"},0),"00"),TEXT(MONTH(Q1647)*29,"mmmm"))</f>
        <v>gennaio</v>
      </c>
      <c r="T1647" s="32">
        <f t="shared" si="435"/>
        <v>1900</v>
      </c>
      <c r="U1647" s="29"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00/01/1900</v>
      </c>
      <c r="V1647" s="33"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1900/01/00</v>
      </c>
      <c r="W1647" s="29"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00 gennaio 1900</v>
      </c>
      <c r="X1647" s="29">
        <v>1674</v>
      </c>
      <c r="Y1647" s="29" t="str">
        <f t="shared" si="428"/>
        <v>[' ', '', '', '--', '00 gennaio 1900', '00/01/1900', '1900/01/00'],</v>
      </c>
      <c r="Z1647" s="29" t="str">
        <f t="shared" si="429"/>
        <v xml:space="preserve"> () |  </v>
      </c>
      <c r="AA1647" s="29" t="str">
        <f t="shared" si="430"/>
        <v xml:space="preserve"> </v>
      </c>
      <c r="AB1647" s="29" t="str">
        <f t="shared" si="431"/>
        <v xml:space="preserve"> </v>
      </c>
      <c r="AC1647" s="29" t="str">
        <f t="shared" si="432"/>
        <v xml:space="preserve"> , 0 , 00 gennaio 1900</v>
      </c>
      <c r="AD1647" s="29" t="str">
        <f t="shared" si="433"/>
        <v>1900-01-00T08:00:00.000+02:00</v>
      </c>
      <c r="AE1647" s="29" t="str">
        <f t="shared" si="438"/>
        <v>--</v>
      </c>
      <c r="AF1647" s="29" t="str">
        <f t="shared" si="439"/>
        <v xml:space="preserve">  - 0 - </v>
      </c>
    </row>
    <row r="1648" spans="8:32" x14ac:dyDescent="0.2">
      <c r="H1648" s="29" t="str">
        <f t="shared" si="436"/>
        <v xml:space="preserve"> </v>
      </c>
      <c r="L1648" s="29">
        <f t="shared" si="437"/>
        <v>0</v>
      </c>
      <c r="Q1648" s="38"/>
      <c r="R1648" s="32">
        <f t="shared" si="434"/>
        <v>0</v>
      </c>
      <c r="S1648" s="32" t="str">
        <f>IF(ISERROR(DAY(Q1648)),TEXT(MATCH(TRIM(SUBSTITUTE(SUBSTITUTE(SUBSTITUTE(SUBSTITUTE(SUBSTITUTE(SUBSTITUTE(SUBSTITUTE(SUBSTITUTE(SUBSTITUTE(SUBSTITUTE(SUBSTITUTE(Q1648,1,""),2,""),3,""),4,""),5,""),6,""),7,""),8,""),9,""),0,""),"-","")),{"gennaio","febbraio","marzo","aprile","maggio","giugno","luglio","agosto","settembre","ottobre","novembre","dicembre"},0),"00"),TEXT(MONTH(Q1648)*29,"mmmm"))</f>
        <v>gennaio</v>
      </c>
      <c r="T1648" s="32">
        <f t="shared" si="435"/>
        <v>1900</v>
      </c>
      <c r="U1648" s="29"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00/01/1900</v>
      </c>
      <c r="V1648" s="33"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1900/01/00</v>
      </c>
      <c r="W1648" s="29"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00 gennaio 1900</v>
      </c>
      <c r="X1648" s="29">
        <v>1675</v>
      </c>
      <c r="Y1648" s="29" t="str">
        <f t="shared" si="428"/>
        <v>[' ', '', '', '--', '00 gennaio 1900', '00/01/1900', '1900/01/00'],</v>
      </c>
      <c r="Z1648" s="29" t="str">
        <f t="shared" si="429"/>
        <v xml:space="preserve"> () |  </v>
      </c>
      <c r="AA1648" s="29" t="str">
        <f t="shared" si="430"/>
        <v xml:space="preserve"> </v>
      </c>
      <c r="AB1648" s="29" t="str">
        <f t="shared" si="431"/>
        <v xml:space="preserve"> </v>
      </c>
      <c r="AC1648" s="29" t="str">
        <f t="shared" si="432"/>
        <v xml:space="preserve"> , 0 , 00 gennaio 1900</v>
      </c>
      <c r="AD1648" s="29" t="str">
        <f t="shared" si="433"/>
        <v>1900-01-00T08:00:00.000+02:00</v>
      </c>
      <c r="AE1648" s="29" t="str">
        <f t="shared" si="438"/>
        <v>--</v>
      </c>
      <c r="AF1648" s="29" t="str">
        <f t="shared" si="439"/>
        <v xml:space="preserve">  - 0 - </v>
      </c>
    </row>
    <row r="1649" spans="8:32" x14ac:dyDescent="0.2">
      <c r="H1649" s="29" t="str">
        <f t="shared" si="436"/>
        <v xml:space="preserve"> </v>
      </c>
      <c r="L1649" s="29">
        <f t="shared" si="437"/>
        <v>0</v>
      </c>
      <c r="Q1649" s="38"/>
      <c r="R1649" s="32">
        <f t="shared" si="434"/>
        <v>0</v>
      </c>
      <c r="S1649" s="32" t="str">
        <f>IF(ISERROR(DAY(Q1649)),TEXT(MATCH(TRIM(SUBSTITUTE(SUBSTITUTE(SUBSTITUTE(SUBSTITUTE(SUBSTITUTE(SUBSTITUTE(SUBSTITUTE(SUBSTITUTE(SUBSTITUTE(SUBSTITUTE(SUBSTITUTE(Q1649,1,""),2,""),3,""),4,""),5,""),6,""),7,""),8,""),9,""),0,""),"-","")),{"gennaio","febbraio","marzo","aprile","maggio","giugno","luglio","agosto","settembre","ottobre","novembre","dicembre"},0),"00"),TEXT(MONTH(Q1649)*29,"mmmm"))</f>
        <v>gennaio</v>
      </c>
      <c r="T1649" s="32">
        <f t="shared" si="435"/>
        <v>1900</v>
      </c>
      <c r="U1649" s="29"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00/01/1900</v>
      </c>
      <c r="V1649" s="33"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1900/01/00</v>
      </c>
      <c r="W1649" s="29"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00 gennaio 1900</v>
      </c>
      <c r="X1649" s="29">
        <v>1676</v>
      </c>
      <c r="Y1649" s="29" t="str">
        <f t="shared" si="428"/>
        <v>[' ', '', '', '--', '00 gennaio 1900', '00/01/1900', '1900/01/00'],</v>
      </c>
      <c r="Z1649" s="29" t="str">
        <f t="shared" si="429"/>
        <v xml:space="preserve"> () |  </v>
      </c>
      <c r="AA1649" s="29" t="str">
        <f t="shared" si="430"/>
        <v xml:space="preserve"> </v>
      </c>
      <c r="AB1649" s="29" t="str">
        <f t="shared" si="431"/>
        <v xml:space="preserve"> </v>
      </c>
      <c r="AC1649" s="29" t="str">
        <f t="shared" si="432"/>
        <v xml:space="preserve"> , 0 , 00 gennaio 1900</v>
      </c>
      <c r="AD1649" s="29" t="str">
        <f t="shared" si="433"/>
        <v>1900-01-00T08:00:00.000+02:00</v>
      </c>
      <c r="AE1649" s="29" t="str">
        <f t="shared" si="438"/>
        <v>--</v>
      </c>
      <c r="AF1649" s="29" t="str">
        <f t="shared" si="439"/>
        <v xml:space="preserve">  - 0 - </v>
      </c>
    </row>
    <row r="1650" spans="8:32" x14ac:dyDescent="0.2">
      <c r="H1650" s="29" t="str">
        <f t="shared" si="436"/>
        <v xml:space="preserve"> </v>
      </c>
      <c r="L1650" s="29">
        <f t="shared" si="437"/>
        <v>0</v>
      </c>
      <c r="Q1650" s="38"/>
      <c r="R1650" s="32">
        <f t="shared" si="434"/>
        <v>0</v>
      </c>
      <c r="S1650" s="32" t="str">
        <f>IF(ISERROR(DAY(Q1650)),TEXT(MATCH(TRIM(SUBSTITUTE(SUBSTITUTE(SUBSTITUTE(SUBSTITUTE(SUBSTITUTE(SUBSTITUTE(SUBSTITUTE(SUBSTITUTE(SUBSTITUTE(SUBSTITUTE(SUBSTITUTE(Q1650,1,""),2,""),3,""),4,""),5,""),6,""),7,""),8,""),9,""),0,""),"-","")),{"gennaio","febbraio","marzo","aprile","maggio","giugno","luglio","agosto","settembre","ottobre","novembre","dicembre"},0),"00"),TEXT(MONTH(Q1650)*29,"mmmm"))</f>
        <v>gennaio</v>
      </c>
      <c r="T1650" s="32">
        <f t="shared" si="435"/>
        <v>1900</v>
      </c>
      <c r="U1650" s="29"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00/01/1900</v>
      </c>
      <c r="V1650" s="33"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1900/01/00</v>
      </c>
      <c r="W1650" s="29"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00 gennaio 1900</v>
      </c>
      <c r="X1650" s="29">
        <v>1677</v>
      </c>
      <c r="Y1650" s="29" t="str">
        <f t="shared" si="428"/>
        <v>[' ', '', '', '--', '00 gennaio 1900', '00/01/1900', '1900/01/00'],</v>
      </c>
      <c r="Z1650" s="29" t="str">
        <f t="shared" si="429"/>
        <v xml:space="preserve"> () |  </v>
      </c>
      <c r="AA1650" s="29" t="str">
        <f t="shared" si="430"/>
        <v xml:space="preserve"> </v>
      </c>
      <c r="AB1650" s="29" t="str">
        <f t="shared" si="431"/>
        <v xml:space="preserve"> </v>
      </c>
      <c r="AC1650" s="29" t="str">
        <f t="shared" si="432"/>
        <v xml:space="preserve"> , 0 , 00 gennaio 1900</v>
      </c>
      <c r="AD1650" s="29" t="str">
        <f t="shared" si="433"/>
        <v>1900-01-00T08:00:00.000+02:00</v>
      </c>
      <c r="AE1650" s="29" t="str">
        <f t="shared" si="438"/>
        <v>--</v>
      </c>
      <c r="AF1650" s="29" t="str">
        <f t="shared" si="439"/>
        <v xml:space="preserve">  - 0 - </v>
      </c>
    </row>
    <row r="1651" spans="8:32" x14ac:dyDescent="0.2">
      <c r="H1651" s="29" t="str">
        <f t="shared" si="436"/>
        <v xml:space="preserve"> </v>
      </c>
      <c r="L1651" s="29">
        <f t="shared" si="437"/>
        <v>0</v>
      </c>
      <c r="Q1651" s="38"/>
      <c r="R1651" s="32">
        <f t="shared" si="434"/>
        <v>0</v>
      </c>
      <c r="S1651" s="32" t="str">
        <f>IF(ISERROR(DAY(Q1651)),TEXT(MATCH(TRIM(SUBSTITUTE(SUBSTITUTE(SUBSTITUTE(SUBSTITUTE(SUBSTITUTE(SUBSTITUTE(SUBSTITUTE(SUBSTITUTE(SUBSTITUTE(SUBSTITUTE(SUBSTITUTE(Q1651,1,""),2,""),3,""),4,""),5,""),6,""),7,""),8,""),9,""),0,""),"-","")),{"gennaio","febbraio","marzo","aprile","maggio","giugno","luglio","agosto","settembre","ottobre","novembre","dicembre"},0),"00"),TEXT(MONTH(Q1651)*29,"mmmm"))</f>
        <v>gennaio</v>
      </c>
      <c r="T1651" s="32">
        <f t="shared" si="435"/>
        <v>1900</v>
      </c>
      <c r="U1651" s="29"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00/01/1900</v>
      </c>
      <c r="V1651" s="33"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1900/01/00</v>
      </c>
      <c r="W1651" s="29"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00 gennaio 1900</v>
      </c>
      <c r="X1651" s="29">
        <v>1678</v>
      </c>
      <c r="Y1651" s="29" t="str">
        <f t="shared" si="428"/>
        <v>[' ', '', '', '--', '00 gennaio 1900', '00/01/1900', '1900/01/00'],</v>
      </c>
      <c r="Z1651" s="29" t="str">
        <f t="shared" si="429"/>
        <v xml:space="preserve"> () |  </v>
      </c>
      <c r="AA1651" s="29" t="str">
        <f t="shared" si="430"/>
        <v xml:space="preserve"> </v>
      </c>
      <c r="AB1651" s="29" t="str">
        <f t="shared" si="431"/>
        <v xml:space="preserve"> </v>
      </c>
      <c r="AC1651" s="29" t="str">
        <f t="shared" si="432"/>
        <v xml:space="preserve"> , 0 , 00 gennaio 1900</v>
      </c>
      <c r="AD1651" s="29" t="str">
        <f t="shared" si="433"/>
        <v>1900-01-00T08:00:00.000+02:00</v>
      </c>
      <c r="AE1651" s="29" t="str">
        <f t="shared" si="438"/>
        <v>--</v>
      </c>
      <c r="AF1651" s="29" t="str">
        <f t="shared" si="439"/>
        <v xml:space="preserve">  - 0 - </v>
      </c>
    </row>
    <row r="1652" spans="8:32" x14ac:dyDescent="0.2">
      <c r="H1652" s="29" t="str">
        <f t="shared" si="436"/>
        <v xml:space="preserve"> </v>
      </c>
      <c r="L1652" s="29">
        <f t="shared" si="437"/>
        <v>0</v>
      </c>
      <c r="Q1652" s="38"/>
      <c r="R1652" s="32">
        <f t="shared" si="434"/>
        <v>0</v>
      </c>
      <c r="S1652" s="32" t="str">
        <f>IF(ISERROR(DAY(Q1652)),TEXT(MATCH(TRIM(SUBSTITUTE(SUBSTITUTE(SUBSTITUTE(SUBSTITUTE(SUBSTITUTE(SUBSTITUTE(SUBSTITUTE(SUBSTITUTE(SUBSTITUTE(SUBSTITUTE(SUBSTITUTE(Q1652,1,""),2,""),3,""),4,""),5,""),6,""),7,""),8,""),9,""),0,""),"-","")),{"gennaio","febbraio","marzo","aprile","maggio","giugno","luglio","agosto","settembre","ottobre","novembre","dicembre"},0),"00"),TEXT(MONTH(Q1652)*29,"mmmm"))</f>
        <v>gennaio</v>
      </c>
      <c r="T1652" s="32">
        <f t="shared" si="435"/>
        <v>1900</v>
      </c>
      <c r="U1652" s="29"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00/01/1900</v>
      </c>
      <c r="V1652" s="33"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1900/01/00</v>
      </c>
      <c r="W1652" s="29"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00 gennaio 1900</v>
      </c>
      <c r="X1652" s="29">
        <v>1679</v>
      </c>
      <c r="Y1652" s="29" t="str">
        <f t="shared" si="428"/>
        <v>[' ', '', '', '--', '00 gennaio 1900', '00/01/1900', '1900/01/00'],</v>
      </c>
      <c r="Z1652" s="29" t="str">
        <f t="shared" si="429"/>
        <v xml:space="preserve"> () |  </v>
      </c>
      <c r="AA1652" s="29" t="str">
        <f t="shared" si="430"/>
        <v xml:space="preserve"> </v>
      </c>
      <c r="AB1652" s="29" t="str">
        <f t="shared" si="431"/>
        <v xml:space="preserve"> </v>
      </c>
      <c r="AC1652" s="29" t="str">
        <f t="shared" si="432"/>
        <v xml:space="preserve"> , 0 , 00 gennaio 1900</v>
      </c>
      <c r="AD1652" s="29" t="str">
        <f t="shared" si="433"/>
        <v>1900-01-00T08:00:00.000+02:00</v>
      </c>
      <c r="AE1652" s="29" t="str">
        <f t="shared" si="438"/>
        <v>--</v>
      </c>
      <c r="AF1652" s="29" t="str">
        <f t="shared" si="439"/>
        <v xml:space="preserve">  - 0 - </v>
      </c>
    </row>
    <row r="1653" spans="8:32" x14ac:dyDescent="0.2">
      <c r="H1653" s="29" t="str">
        <f t="shared" si="436"/>
        <v xml:space="preserve"> </v>
      </c>
      <c r="L1653" s="29">
        <f t="shared" si="437"/>
        <v>0</v>
      </c>
      <c r="Q1653" s="38"/>
      <c r="R1653" s="32">
        <f t="shared" si="434"/>
        <v>0</v>
      </c>
      <c r="S1653" s="32" t="str">
        <f>IF(ISERROR(DAY(Q1653)),TEXT(MATCH(TRIM(SUBSTITUTE(SUBSTITUTE(SUBSTITUTE(SUBSTITUTE(SUBSTITUTE(SUBSTITUTE(SUBSTITUTE(SUBSTITUTE(SUBSTITUTE(SUBSTITUTE(SUBSTITUTE(Q1653,1,""),2,""),3,""),4,""),5,""),6,""),7,""),8,""),9,""),0,""),"-","")),{"gennaio","febbraio","marzo","aprile","maggio","giugno","luglio","agosto","settembre","ottobre","novembre","dicembre"},0),"00"),TEXT(MONTH(Q1653)*29,"mmmm"))</f>
        <v>gennaio</v>
      </c>
      <c r="T1653" s="32">
        <f t="shared" si="435"/>
        <v>1900</v>
      </c>
      <c r="U1653" s="29"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00/01/1900</v>
      </c>
      <c r="V1653" s="33"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1900/01/00</v>
      </c>
      <c r="W1653" s="29"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00 gennaio 1900</v>
      </c>
      <c r="X1653" s="29">
        <v>1680</v>
      </c>
      <c r="Y1653" s="29" t="str">
        <f t="shared" si="428"/>
        <v>[' ', '', '', '--', '00 gennaio 1900', '00/01/1900', '1900/01/00'],</v>
      </c>
      <c r="Z1653" s="29" t="str">
        <f t="shared" si="429"/>
        <v xml:space="preserve"> () |  </v>
      </c>
      <c r="AA1653" s="29" t="str">
        <f t="shared" si="430"/>
        <v xml:space="preserve"> </v>
      </c>
      <c r="AB1653" s="29" t="str">
        <f t="shared" si="431"/>
        <v xml:space="preserve"> </v>
      </c>
      <c r="AC1653" s="29" t="str">
        <f t="shared" si="432"/>
        <v xml:space="preserve"> , 0 , 00 gennaio 1900</v>
      </c>
      <c r="AD1653" s="29" t="str">
        <f t="shared" si="433"/>
        <v>1900-01-00T08:00:00.000+02:00</v>
      </c>
      <c r="AE1653" s="29" t="str">
        <f t="shared" si="438"/>
        <v>--</v>
      </c>
      <c r="AF1653" s="29" t="str">
        <f t="shared" si="439"/>
        <v xml:space="preserve">  - 0 - </v>
      </c>
    </row>
    <row r="1654" spans="8:32" x14ac:dyDescent="0.2">
      <c r="H1654" s="29" t="str">
        <f t="shared" si="436"/>
        <v xml:space="preserve"> </v>
      </c>
      <c r="L1654" s="29">
        <f t="shared" si="437"/>
        <v>0</v>
      </c>
      <c r="Q1654" s="38"/>
      <c r="R1654" s="32">
        <f t="shared" si="434"/>
        <v>0</v>
      </c>
      <c r="S1654" s="32" t="str">
        <f>IF(ISERROR(DAY(Q1654)),TEXT(MATCH(TRIM(SUBSTITUTE(SUBSTITUTE(SUBSTITUTE(SUBSTITUTE(SUBSTITUTE(SUBSTITUTE(SUBSTITUTE(SUBSTITUTE(SUBSTITUTE(SUBSTITUTE(SUBSTITUTE(Q1654,1,""),2,""),3,""),4,""),5,""),6,""),7,""),8,""),9,""),0,""),"-","")),{"gennaio","febbraio","marzo","aprile","maggio","giugno","luglio","agosto","settembre","ottobre","novembre","dicembre"},0),"00"),TEXT(MONTH(Q1654)*29,"mmmm"))</f>
        <v>gennaio</v>
      </c>
      <c r="T1654" s="32">
        <f t="shared" si="435"/>
        <v>1900</v>
      </c>
      <c r="U1654" s="29"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00/01/1900</v>
      </c>
      <c r="V1654" s="33"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1900/01/00</v>
      </c>
      <c r="W1654" s="29"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00 gennaio 1900</v>
      </c>
      <c r="X1654" s="29">
        <v>1681</v>
      </c>
      <c r="Y1654" s="29" t="str">
        <f t="shared" si="428"/>
        <v>[' ', '', '', '--', '00 gennaio 1900', '00/01/1900', '1900/01/00'],</v>
      </c>
      <c r="Z1654" s="29" t="str">
        <f t="shared" si="429"/>
        <v xml:space="preserve"> () |  </v>
      </c>
      <c r="AA1654" s="29" t="str">
        <f t="shared" si="430"/>
        <v xml:space="preserve"> </v>
      </c>
      <c r="AB1654" s="29" t="str">
        <f t="shared" si="431"/>
        <v xml:space="preserve"> </v>
      </c>
      <c r="AC1654" s="29" t="str">
        <f t="shared" si="432"/>
        <v xml:space="preserve"> , 0 , 00 gennaio 1900</v>
      </c>
      <c r="AD1654" s="29" t="str">
        <f t="shared" si="433"/>
        <v>1900-01-00T08:00:00.000+02:00</v>
      </c>
      <c r="AE1654" s="29" t="str">
        <f t="shared" si="438"/>
        <v>--</v>
      </c>
      <c r="AF1654" s="29" t="str">
        <f t="shared" si="439"/>
        <v xml:space="preserve">  - 0 - </v>
      </c>
    </row>
    <row r="1655" spans="8:32" x14ac:dyDescent="0.2">
      <c r="H1655" s="29" t="str">
        <f t="shared" si="436"/>
        <v xml:space="preserve"> </v>
      </c>
      <c r="L1655" s="29">
        <f t="shared" si="437"/>
        <v>0</v>
      </c>
      <c r="Q1655" s="38"/>
      <c r="R1655" s="32">
        <f t="shared" si="434"/>
        <v>0</v>
      </c>
      <c r="S1655" s="32" t="str">
        <f>IF(ISERROR(DAY(Q1655)),TEXT(MATCH(TRIM(SUBSTITUTE(SUBSTITUTE(SUBSTITUTE(SUBSTITUTE(SUBSTITUTE(SUBSTITUTE(SUBSTITUTE(SUBSTITUTE(SUBSTITUTE(SUBSTITUTE(SUBSTITUTE(Q1655,1,""),2,""),3,""),4,""),5,""),6,""),7,""),8,""),9,""),0,""),"-","")),{"gennaio","febbraio","marzo","aprile","maggio","giugno","luglio","agosto","settembre","ottobre","novembre","dicembre"},0),"00"),TEXT(MONTH(Q1655)*29,"mmmm"))</f>
        <v>gennaio</v>
      </c>
      <c r="T1655" s="32">
        <f t="shared" si="435"/>
        <v>1900</v>
      </c>
      <c r="U1655" s="29"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00/01/1900</v>
      </c>
      <c r="V1655" s="33"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1900/01/00</v>
      </c>
      <c r="W1655" s="29"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00 gennaio 1900</v>
      </c>
      <c r="X1655" s="29">
        <v>1682</v>
      </c>
      <c r="Y1655" s="29" t="str">
        <f t="shared" si="428"/>
        <v>[' ', '', '', '--', '00 gennaio 1900', '00/01/1900', '1900/01/00'],</v>
      </c>
      <c r="Z1655" s="29" t="str">
        <f t="shared" si="429"/>
        <v xml:space="preserve"> () |  </v>
      </c>
      <c r="AA1655" s="29" t="str">
        <f t="shared" si="430"/>
        <v xml:space="preserve"> </v>
      </c>
      <c r="AB1655" s="29" t="str">
        <f t="shared" si="431"/>
        <v xml:space="preserve"> </v>
      </c>
      <c r="AC1655" s="29" t="str">
        <f t="shared" si="432"/>
        <v xml:space="preserve"> , 0 , 00 gennaio 1900</v>
      </c>
      <c r="AD1655" s="29" t="str">
        <f t="shared" si="433"/>
        <v>1900-01-00T08:00:00.000+02:00</v>
      </c>
      <c r="AE1655" s="29" t="str">
        <f t="shared" si="438"/>
        <v>--</v>
      </c>
      <c r="AF1655" s="29" t="str">
        <f t="shared" si="439"/>
        <v xml:space="preserve">  - 0 - </v>
      </c>
    </row>
    <row r="1656" spans="8:32" x14ac:dyDescent="0.2">
      <c r="H1656" s="29" t="str">
        <f t="shared" si="436"/>
        <v xml:space="preserve"> </v>
      </c>
      <c r="L1656" s="29">
        <f t="shared" si="437"/>
        <v>0</v>
      </c>
      <c r="Q1656" s="38"/>
      <c r="R1656" s="32">
        <f t="shared" si="434"/>
        <v>0</v>
      </c>
      <c r="S1656" s="32" t="str">
        <f>IF(ISERROR(DAY(Q1656)),TEXT(MATCH(TRIM(SUBSTITUTE(SUBSTITUTE(SUBSTITUTE(SUBSTITUTE(SUBSTITUTE(SUBSTITUTE(SUBSTITUTE(SUBSTITUTE(SUBSTITUTE(SUBSTITUTE(SUBSTITUTE(Q1656,1,""),2,""),3,""),4,""),5,""),6,""),7,""),8,""),9,""),0,""),"-","")),{"gennaio","febbraio","marzo","aprile","maggio","giugno","luglio","agosto","settembre","ottobre","novembre","dicembre"},0),"00"),TEXT(MONTH(Q1656)*29,"mmmm"))</f>
        <v>gennaio</v>
      </c>
      <c r="T1656" s="32">
        <f t="shared" si="435"/>
        <v>1900</v>
      </c>
      <c r="U1656" s="29"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00/01/1900</v>
      </c>
      <c r="V1656" s="33"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1900/01/00</v>
      </c>
      <c r="W1656" s="29"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00 gennaio 1900</v>
      </c>
      <c r="X1656" s="29">
        <v>1683</v>
      </c>
      <c r="Y1656" s="29" t="str">
        <f t="shared" si="428"/>
        <v>[' ', '', '', '--', '00 gennaio 1900', '00/01/1900', '1900/01/00'],</v>
      </c>
      <c r="Z1656" s="29" t="str">
        <f t="shared" si="429"/>
        <v xml:space="preserve"> () |  </v>
      </c>
      <c r="AA1656" s="29" t="str">
        <f t="shared" si="430"/>
        <v xml:space="preserve"> </v>
      </c>
      <c r="AB1656" s="29" t="str">
        <f t="shared" si="431"/>
        <v xml:space="preserve"> </v>
      </c>
      <c r="AC1656" s="29" t="str">
        <f t="shared" si="432"/>
        <v xml:space="preserve"> , 0 , 00 gennaio 1900</v>
      </c>
      <c r="AD1656" s="29" t="str">
        <f t="shared" si="433"/>
        <v>1900-01-00T08:00:00.000+02:00</v>
      </c>
      <c r="AE1656" s="29" t="str">
        <f t="shared" si="438"/>
        <v>--</v>
      </c>
      <c r="AF1656" s="29" t="str">
        <f t="shared" si="439"/>
        <v xml:space="preserve">  - 0 - </v>
      </c>
    </row>
    <row r="1657" spans="8:32" x14ac:dyDescent="0.2">
      <c r="H1657" s="29" t="str">
        <f t="shared" si="436"/>
        <v xml:space="preserve"> </v>
      </c>
      <c r="L1657" s="29">
        <f t="shared" si="437"/>
        <v>0</v>
      </c>
      <c r="Q1657" s="38"/>
      <c r="R1657" s="32">
        <f t="shared" si="434"/>
        <v>0</v>
      </c>
      <c r="S1657" s="32" t="str">
        <f>IF(ISERROR(DAY(Q1657)),TEXT(MATCH(TRIM(SUBSTITUTE(SUBSTITUTE(SUBSTITUTE(SUBSTITUTE(SUBSTITUTE(SUBSTITUTE(SUBSTITUTE(SUBSTITUTE(SUBSTITUTE(SUBSTITUTE(SUBSTITUTE(Q1657,1,""),2,""),3,""),4,""),5,""),6,""),7,""),8,""),9,""),0,""),"-","")),{"gennaio","febbraio","marzo","aprile","maggio","giugno","luglio","agosto","settembre","ottobre","novembre","dicembre"},0),"00"),TEXT(MONTH(Q1657)*29,"mmmm"))</f>
        <v>gennaio</v>
      </c>
      <c r="T1657" s="32">
        <f t="shared" si="435"/>
        <v>1900</v>
      </c>
      <c r="U1657" s="29"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00/01/1900</v>
      </c>
      <c r="V1657" s="33"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1900/01/00</v>
      </c>
      <c r="W1657" s="29"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00 gennaio 1900</v>
      </c>
      <c r="X1657" s="29">
        <v>1684</v>
      </c>
      <c r="Y1657" s="29" t="str">
        <f t="shared" si="428"/>
        <v>[' ', '', '', '--', '00 gennaio 1900', '00/01/1900', '1900/01/00'],</v>
      </c>
      <c r="Z1657" s="29" t="str">
        <f t="shared" si="429"/>
        <v xml:space="preserve"> () |  </v>
      </c>
      <c r="AA1657" s="29" t="str">
        <f t="shared" si="430"/>
        <v xml:space="preserve"> </v>
      </c>
      <c r="AB1657" s="29" t="str">
        <f t="shared" si="431"/>
        <v xml:space="preserve"> </v>
      </c>
      <c r="AC1657" s="29" t="str">
        <f t="shared" si="432"/>
        <v xml:space="preserve"> , 0 , 00 gennaio 1900</v>
      </c>
      <c r="AD1657" s="29" t="str">
        <f t="shared" si="433"/>
        <v>1900-01-00T08:00:00.000+02:00</v>
      </c>
      <c r="AE1657" s="29" t="str">
        <f t="shared" si="438"/>
        <v>--</v>
      </c>
      <c r="AF1657" s="29" t="str">
        <f t="shared" si="439"/>
        <v xml:space="preserve">  - 0 - </v>
      </c>
    </row>
    <row r="1658" spans="8:32" x14ac:dyDescent="0.2">
      <c r="H1658" s="29" t="str">
        <f t="shared" si="436"/>
        <v xml:space="preserve"> </v>
      </c>
      <c r="L1658" s="29">
        <f t="shared" si="437"/>
        <v>0</v>
      </c>
      <c r="Q1658" s="38"/>
      <c r="R1658" s="32">
        <f t="shared" si="434"/>
        <v>0</v>
      </c>
      <c r="S1658" s="32" t="str">
        <f>IF(ISERROR(DAY(Q1658)),TEXT(MATCH(TRIM(SUBSTITUTE(SUBSTITUTE(SUBSTITUTE(SUBSTITUTE(SUBSTITUTE(SUBSTITUTE(SUBSTITUTE(SUBSTITUTE(SUBSTITUTE(SUBSTITUTE(SUBSTITUTE(Q1658,1,""),2,""),3,""),4,""),5,""),6,""),7,""),8,""),9,""),0,""),"-","")),{"gennaio","febbraio","marzo","aprile","maggio","giugno","luglio","agosto","settembre","ottobre","novembre","dicembre"},0),"00"),TEXT(MONTH(Q1658)*29,"mmmm"))</f>
        <v>gennaio</v>
      </c>
      <c r="T1658" s="32">
        <f t="shared" si="435"/>
        <v>1900</v>
      </c>
      <c r="U1658" s="29"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00/01/1900</v>
      </c>
      <c r="V1658" s="33"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1900/01/00</v>
      </c>
      <c r="W1658" s="29"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00 gennaio 1900</v>
      </c>
      <c r="X1658" s="29">
        <v>1685</v>
      </c>
      <c r="Y1658" s="29" t="str">
        <f t="shared" si="428"/>
        <v>[' ', '', '', '--', '00 gennaio 1900', '00/01/1900', '1900/01/00'],</v>
      </c>
      <c r="Z1658" s="29" t="str">
        <f t="shared" si="429"/>
        <v xml:space="preserve"> () |  </v>
      </c>
      <c r="AA1658" s="29" t="str">
        <f t="shared" si="430"/>
        <v xml:space="preserve"> </v>
      </c>
      <c r="AB1658" s="29" t="str">
        <f t="shared" si="431"/>
        <v xml:space="preserve"> </v>
      </c>
      <c r="AC1658" s="29" t="str">
        <f t="shared" si="432"/>
        <v xml:space="preserve"> , 0 , 00 gennaio 1900</v>
      </c>
      <c r="AD1658" s="29" t="str">
        <f t="shared" si="433"/>
        <v>1900-01-00T08:00:00.000+02:00</v>
      </c>
      <c r="AE1658" s="29" t="str">
        <f t="shared" si="438"/>
        <v>--</v>
      </c>
      <c r="AF1658" s="29" t="str">
        <f t="shared" si="439"/>
        <v xml:space="preserve">  - 0 - </v>
      </c>
    </row>
    <row r="1659" spans="8:32" x14ac:dyDescent="0.2">
      <c r="H1659" s="29" t="str">
        <f t="shared" si="436"/>
        <v xml:space="preserve"> </v>
      </c>
      <c r="L1659" s="29">
        <f t="shared" si="437"/>
        <v>0</v>
      </c>
      <c r="Q1659" s="38"/>
      <c r="R1659" s="32">
        <f t="shared" si="434"/>
        <v>0</v>
      </c>
      <c r="S1659" s="32" t="str">
        <f>IF(ISERROR(DAY(Q1659)),TEXT(MATCH(TRIM(SUBSTITUTE(SUBSTITUTE(SUBSTITUTE(SUBSTITUTE(SUBSTITUTE(SUBSTITUTE(SUBSTITUTE(SUBSTITUTE(SUBSTITUTE(SUBSTITUTE(SUBSTITUTE(Q1659,1,""),2,""),3,""),4,""),5,""),6,""),7,""),8,""),9,""),0,""),"-","")),{"gennaio","febbraio","marzo","aprile","maggio","giugno","luglio","agosto","settembre","ottobre","novembre","dicembre"},0),"00"),TEXT(MONTH(Q1659)*29,"mmmm"))</f>
        <v>gennaio</v>
      </c>
      <c r="T1659" s="32">
        <f t="shared" si="435"/>
        <v>1900</v>
      </c>
      <c r="U1659" s="29"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00/01/1900</v>
      </c>
      <c r="V1659" s="33"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1900/01/00</v>
      </c>
      <c r="W1659" s="29"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00 gennaio 1900</v>
      </c>
      <c r="X1659" s="29">
        <v>1686</v>
      </c>
      <c r="Y1659" s="29" t="str">
        <f t="shared" si="428"/>
        <v>[' ', '', '', '--', '00 gennaio 1900', '00/01/1900', '1900/01/00'],</v>
      </c>
      <c r="Z1659" s="29" t="str">
        <f t="shared" si="429"/>
        <v xml:space="preserve"> () |  </v>
      </c>
      <c r="AA1659" s="29" t="str">
        <f t="shared" si="430"/>
        <v xml:space="preserve"> </v>
      </c>
      <c r="AB1659" s="29" t="str">
        <f t="shared" si="431"/>
        <v xml:space="preserve"> </v>
      </c>
      <c r="AC1659" s="29" t="str">
        <f t="shared" si="432"/>
        <v xml:space="preserve"> , 0 , 00 gennaio 1900</v>
      </c>
      <c r="AD1659" s="29" t="str">
        <f t="shared" si="433"/>
        <v>1900-01-00T08:00:00.000+02:00</v>
      </c>
      <c r="AE1659" s="29" t="str">
        <f t="shared" si="438"/>
        <v>--</v>
      </c>
      <c r="AF1659" s="29" t="str">
        <f t="shared" si="439"/>
        <v xml:space="preserve">  - 0 - </v>
      </c>
    </row>
    <row r="1660" spans="8:32" x14ac:dyDescent="0.2">
      <c r="H1660" s="29" t="str">
        <f t="shared" si="436"/>
        <v xml:space="preserve"> </v>
      </c>
      <c r="L1660" s="29">
        <f t="shared" si="437"/>
        <v>0</v>
      </c>
      <c r="Q1660" s="38"/>
      <c r="R1660" s="32">
        <f t="shared" si="434"/>
        <v>0</v>
      </c>
      <c r="S1660" s="32" t="str">
        <f>IF(ISERROR(DAY(Q1660)),TEXT(MATCH(TRIM(SUBSTITUTE(SUBSTITUTE(SUBSTITUTE(SUBSTITUTE(SUBSTITUTE(SUBSTITUTE(SUBSTITUTE(SUBSTITUTE(SUBSTITUTE(SUBSTITUTE(SUBSTITUTE(Q1660,1,""),2,""),3,""),4,""),5,""),6,""),7,""),8,""),9,""),0,""),"-","")),{"gennaio","febbraio","marzo","aprile","maggio","giugno","luglio","agosto","settembre","ottobre","novembre","dicembre"},0),"00"),TEXT(MONTH(Q1660)*29,"mmmm"))</f>
        <v>gennaio</v>
      </c>
      <c r="T1660" s="32">
        <f t="shared" si="435"/>
        <v>1900</v>
      </c>
      <c r="U1660" s="29"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00/01/1900</v>
      </c>
      <c r="V1660" s="33"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1900/01/00</v>
      </c>
      <c r="W1660" s="29"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00 gennaio 1900</v>
      </c>
      <c r="X1660" s="29">
        <v>1687</v>
      </c>
      <c r="Y1660" s="29" t="str">
        <f t="shared" si="428"/>
        <v>[' ', '', '', '--', '00 gennaio 1900', '00/01/1900', '1900/01/00'],</v>
      </c>
      <c r="Z1660" s="29" t="str">
        <f t="shared" si="429"/>
        <v xml:space="preserve"> () |  </v>
      </c>
      <c r="AA1660" s="29" t="str">
        <f t="shared" si="430"/>
        <v xml:space="preserve"> </v>
      </c>
      <c r="AB1660" s="29" t="str">
        <f t="shared" si="431"/>
        <v xml:space="preserve"> </v>
      </c>
      <c r="AC1660" s="29" t="str">
        <f t="shared" si="432"/>
        <v xml:space="preserve"> , 0 , 00 gennaio 1900</v>
      </c>
      <c r="AD1660" s="29" t="str">
        <f t="shared" si="433"/>
        <v>1900-01-00T08:00:00.000+02:00</v>
      </c>
      <c r="AE1660" s="29" t="str">
        <f t="shared" si="438"/>
        <v>--</v>
      </c>
      <c r="AF1660" s="29" t="str">
        <f t="shared" si="439"/>
        <v xml:space="preserve">  - 0 - </v>
      </c>
    </row>
    <row r="1661" spans="8:32" x14ac:dyDescent="0.2">
      <c r="H1661" s="29" t="str">
        <f t="shared" si="436"/>
        <v xml:space="preserve"> </v>
      </c>
      <c r="L1661" s="29">
        <f t="shared" si="437"/>
        <v>0</v>
      </c>
      <c r="Q1661" s="38"/>
      <c r="R1661" s="32">
        <f t="shared" si="434"/>
        <v>0</v>
      </c>
      <c r="S1661" s="32" t="str">
        <f>IF(ISERROR(DAY(Q1661)),TEXT(MATCH(TRIM(SUBSTITUTE(SUBSTITUTE(SUBSTITUTE(SUBSTITUTE(SUBSTITUTE(SUBSTITUTE(SUBSTITUTE(SUBSTITUTE(SUBSTITUTE(SUBSTITUTE(SUBSTITUTE(Q1661,1,""),2,""),3,""),4,""),5,""),6,""),7,""),8,""),9,""),0,""),"-","")),{"gennaio","febbraio","marzo","aprile","maggio","giugno","luglio","agosto","settembre","ottobre","novembre","dicembre"},0),"00"),TEXT(MONTH(Q1661)*29,"mmmm"))</f>
        <v>gennaio</v>
      </c>
      <c r="T1661" s="32">
        <f t="shared" si="435"/>
        <v>1900</v>
      </c>
      <c r="U1661" s="29"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00/01/1900</v>
      </c>
      <c r="V1661" s="33"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1900/01/00</v>
      </c>
      <c r="W1661" s="29"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00 gennaio 1900</v>
      </c>
      <c r="X1661" s="29">
        <v>1688</v>
      </c>
      <c r="Y1661" s="29" t="str">
        <f t="shared" si="428"/>
        <v>[' ', '', '', '--', '00 gennaio 1900', '00/01/1900', '1900/01/00'],</v>
      </c>
      <c r="Z1661" s="29" t="str">
        <f t="shared" si="429"/>
        <v xml:space="preserve"> () |  </v>
      </c>
      <c r="AA1661" s="29" t="str">
        <f t="shared" si="430"/>
        <v xml:space="preserve"> </v>
      </c>
      <c r="AB1661" s="29" t="str">
        <f t="shared" si="431"/>
        <v xml:space="preserve"> </v>
      </c>
      <c r="AC1661" s="29" t="str">
        <f t="shared" si="432"/>
        <v xml:space="preserve"> , 0 , 00 gennaio 1900</v>
      </c>
      <c r="AD1661" s="29" t="str">
        <f t="shared" si="433"/>
        <v>1900-01-00T08:00:00.000+02:00</v>
      </c>
      <c r="AE1661" s="29" t="str">
        <f t="shared" si="438"/>
        <v>--</v>
      </c>
      <c r="AF1661" s="29" t="str">
        <f t="shared" si="439"/>
        <v xml:space="preserve">  - 0 - </v>
      </c>
    </row>
    <row r="1662" spans="8:32" x14ac:dyDescent="0.2">
      <c r="H1662" s="29" t="str">
        <f t="shared" si="436"/>
        <v xml:space="preserve"> </v>
      </c>
      <c r="L1662" s="29">
        <f t="shared" si="437"/>
        <v>0</v>
      </c>
      <c r="Q1662" s="38"/>
      <c r="R1662" s="32">
        <f t="shared" si="434"/>
        <v>0</v>
      </c>
      <c r="S1662" s="32" t="str">
        <f>IF(ISERROR(DAY(Q1662)),TEXT(MATCH(TRIM(SUBSTITUTE(SUBSTITUTE(SUBSTITUTE(SUBSTITUTE(SUBSTITUTE(SUBSTITUTE(SUBSTITUTE(SUBSTITUTE(SUBSTITUTE(SUBSTITUTE(SUBSTITUTE(Q1662,1,""),2,""),3,""),4,""),5,""),6,""),7,""),8,""),9,""),0,""),"-","")),{"gennaio","febbraio","marzo","aprile","maggio","giugno","luglio","agosto","settembre","ottobre","novembre","dicembre"},0),"00"),TEXT(MONTH(Q1662)*29,"mmmm"))</f>
        <v>gennaio</v>
      </c>
      <c r="T1662" s="32">
        <f t="shared" si="435"/>
        <v>1900</v>
      </c>
      <c r="U1662" s="29"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00/01/1900</v>
      </c>
      <c r="V1662" s="33"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1900/01/00</v>
      </c>
      <c r="W1662" s="29"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00 gennaio 1900</v>
      </c>
      <c r="X1662" s="29">
        <v>1689</v>
      </c>
      <c r="Y1662" s="29" t="str">
        <f t="shared" si="428"/>
        <v>[' ', '', '', '--', '00 gennaio 1900', '00/01/1900', '1900/01/00'],</v>
      </c>
      <c r="Z1662" s="29" t="str">
        <f t="shared" si="429"/>
        <v xml:space="preserve"> () |  </v>
      </c>
      <c r="AA1662" s="29" t="str">
        <f t="shared" si="430"/>
        <v xml:space="preserve"> </v>
      </c>
      <c r="AB1662" s="29" t="str">
        <f t="shared" si="431"/>
        <v xml:space="preserve"> </v>
      </c>
      <c r="AC1662" s="29" t="str">
        <f t="shared" si="432"/>
        <v xml:space="preserve"> , 0 , 00 gennaio 1900</v>
      </c>
      <c r="AD1662" s="29" t="str">
        <f t="shared" si="433"/>
        <v>1900-01-00T08:00:00.000+02:00</v>
      </c>
      <c r="AE1662" s="29" t="str">
        <f t="shared" si="438"/>
        <v>--</v>
      </c>
      <c r="AF1662" s="29" t="str">
        <f t="shared" si="439"/>
        <v xml:space="preserve">  - 0 - </v>
      </c>
    </row>
    <row r="1663" spans="8:32" x14ac:dyDescent="0.2">
      <c r="H1663" s="29" t="str">
        <f t="shared" si="436"/>
        <v xml:space="preserve"> </v>
      </c>
      <c r="L1663" s="29">
        <f t="shared" si="437"/>
        <v>0</v>
      </c>
      <c r="Q1663" s="38"/>
      <c r="R1663" s="32">
        <f t="shared" si="434"/>
        <v>0</v>
      </c>
      <c r="S1663" s="32" t="str">
        <f>IF(ISERROR(DAY(Q1663)),TEXT(MATCH(TRIM(SUBSTITUTE(SUBSTITUTE(SUBSTITUTE(SUBSTITUTE(SUBSTITUTE(SUBSTITUTE(SUBSTITUTE(SUBSTITUTE(SUBSTITUTE(SUBSTITUTE(SUBSTITUTE(Q1663,1,""),2,""),3,""),4,""),5,""),6,""),7,""),8,""),9,""),0,""),"-","")),{"gennaio","febbraio","marzo","aprile","maggio","giugno","luglio","agosto","settembre","ottobre","novembre","dicembre"},0),"00"),TEXT(MONTH(Q1663)*29,"mmmm"))</f>
        <v>gennaio</v>
      </c>
      <c r="T1663" s="32">
        <f t="shared" si="435"/>
        <v>1900</v>
      </c>
      <c r="U1663" s="29"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00/01/1900</v>
      </c>
      <c r="V1663" s="33"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1900/01/00</v>
      </c>
      <c r="W1663" s="29"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00 gennaio 1900</v>
      </c>
      <c r="X1663" s="29">
        <v>1690</v>
      </c>
      <c r="Y1663" s="29" t="str">
        <f t="shared" si="428"/>
        <v>[' ', '', '', '--', '00 gennaio 1900', '00/01/1900', '1900/01/00'],</v>
      </c>
      <c r="Z1663" s="29" t="str">
        <f t="shared" si="429"/>
        <v xml:space="preserve"> () |  </v>
      </c>
      <c r="AA1663" s="29" t="str">
        <f t="shared" si="430"/>
        <v xml:space="preserve"> </v>
      </c>
      <c r="AB1663" s="29" t="str">
        <f t="shared" si="431"/>
        <v xml:space="preserve"> </v>
      </c>
      <c r="AC1663" s="29" t="str">
        <f t="shared" si="432"/>
        <v xml:space="preserve"> , 0 , 00 gennaio 1900</v>
      </c>
      <c r="AD1663" s="29" t="str">
        <f t="shared" si="433"/>
        <v>1900-01-00T08:00:00.000+02:00</v>
      </c>
      <c r="AE1663" s="29" t="str">
        <f t="shared" si="438"/>
        <v>--</v>
      </c>
      <c r="AF1663" s="29" t="str">
        <f t="shared" si="439"/>
        <v xml:space="preserve">  - 0 - </v>
      </c>
    </row>
    <row r="1664" spans="8:32" x14ac:dyDescent="0.2">
      <c r="H1664" s="29" t="str">
        <f t="shared" si="436"/>
        <v xml:space="preserve"> </v>
      </c>
      <c r="L1664" s="29">
        <f t="shared" si="437"/>
        <v>0</v>
      </c>
      <c r="Q1664" s="38"/>
      <c r="R1664" s="32">
        <f t="shared" si="434"/>
        <v>0</v>
      </c>
      <c r="S1664" s="32" t="str">
        <f>IF(ISERROR(DAY(Q1664)),TEXT(MATCH(TRIM(SUBSTITUTE(SUBSTITUTE(SUBSTITUTE(SUBSTITUTE(SUBSTITUTE(SUBSTITUTE(SUBSTITUTE(SUBSTITUTE(SUBSTITUTE(SUBSTITUTE(SUBSTITUTE(Q1664,1,""),2,""),3,""),4,""),5,""),6,""),7,""),8,""),9,""),0,""),"-","")),{"gennaio","febbraio","marzo","aprile","maggio","giugno","luglio","agosto","settembre","ottobre","novembre","dicembre"},0),"00"),TEXT(MONTH(Q1664)*29,"mmmm"))</f>
        <v>gennaio</v>
      </c>
      <c r="T1664" s="32">
        <f t="shared" si="435"/>
        <v>1900</v>
      </c>
      <c r="U1664" s="29"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00/01/1900</v>
      </c>
      <c r="V1664" s="33"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1900/01/00</v>
      </c>
      <c r="W1664" s="29"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00 gennaio 1900</v>
      </c>
      <c r="X1664" s="29">
        <v>1691</v>
      </c>
      <c r="Y1664" s="29" t="str">
        <f t="shared" si="428"/>
        <v>[' ', '', '', '--', '00 gennaio 1900', '00/01/1900', '1900/01/00'],</v>
      </c>
      <c r="Z1664" s="29" t="str">
        <f t="shared" si="429"/>
        <v xml:space="preserve"> () |  </v>
      </c>
      <c r="AA1664" s="29" t="str">
        <f t="shared" si="430"/>
        <v xml:space="preserve"> </v>
      </c>
      <c r="AB1664" s="29" t="str">
        <f t="shared" si="431"/>
        <v xml:space="preserve"> </v>
      </c>
      <c r="AC1664" s="29" t="str">
        <f t="shared" si="432"/>
        <v xml:space="preserve"> , 0 , 00 gennaio 1900</v>
      </c>
      <c r="AD1664" s="29" t="str">
        <f t="shared" si="433"/>
        <v>1900-01-00T08:00:00.000+02:00</v>
      </c>
      <c r="AE1664" s="29" t="str">
        <f t="shared" si="438"/>
        <v>--</v>
      </c>
      <c r="AF1664" s="29" t="str">
        <f t="shared" si="439"/>
        <v xml:space="preserve">  - 0 - </v>
      </c>
    </row>
    <row r="1665" spans="8:32" x14ac:dyDescent="0.2">
      <c r="H1665" s="29" t="str">
        <f t="shared" si="436"/>
        <v xml:space="preserve"> </v>
      </c>
      <c r="L1665" s="29">
        <f t="shared" si="437"/>
        <v>0</v>
      </c>
      <c r="Q1665" s="38"/>
      <c r="R1665" s="32">
        <f t="shared" si="434"/>
        <v>0</v>
      </c>
      <c r="S1665" s="32" t="str">
        <f>IF(ISERROR(DAY(Q1665)),TEXT(MATCH(TRIM(SUBSTITUTE(SUBSTITUTE(SUBSTITUTE(SUBSTITUTE(SUBSTITUTE(SUBSTITUTE(SUBSTITUTE(SUBSTITUTE(SUBSTITUTE(SUBSTITUTE(SUBSTITUTE(Q1665,1,""),2,""),3,""),4,""),5,""),6,""),7,""),8,""),9,""),0,""),"-","")),{"gennaio","febbraio","marzo","aprile","maggio","giugno","luglio","agosto","settembre","ottobre","novembre","dicembre"},0),"00"),TEXT(MONTH(Q1665)*29,"mmmm"))</f>
        <v>gennaio</v>
      </c>
      <c r="T1665" s="32">
        <f t="shared" si="435"/>
        <v>1900</v>
      </c>
      <c r="U1665" s="29"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00/01/1900</v>
      </c>
      <c r="V1665" s="33"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1900/01/00</v>
      </c>
      <c r="W1665" s="29"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00 gennaio 1900</v>
      </c>
      <c r="X1665" s="29">
        <v>1692</v>
      </c>
      <c r="Y1665" s="29" t="str">
        <f t="shared" si="428"/>
        <v>[' ', '', '', '--', '00 gennaio 1900', '00/01/1900', '1900/01/00'],</v>
      </c>
      <c r="Z1665" s="29" t="str">
        <f t="shared" si="429"/>
        <v xml:space="preserve"> () |  </v>
      </c>
      <c r="AA1665" s="29" t="str">
        <f t="shared" si="430"/>
        <v xml:space="preserve"> </v>
      </c>
      <c r="AB1665" s="29" t="str">
        <f t="shared" si="431"/>
        <v xml:space="preserve"> </v>
      </c>
      <c r="AC1665" s="29" t="str">
        <f t="shared" si="432"/>
        <v xml:space="preserve"> , 0 , 00 gennaio 1900</v>
      </c>
      <c r="AD1665" s="29" t="str">
        <f t="shared" si="433"/>
        <v>1900-01-00T08:00:00.000+02:00</v>
      </c>
      <c r="AE1665" s="29" t="str">
        <f t="shared" si="438"/>
        <v>--</v>
      </c>
      <c r="AF1665" s="29" t="str">
        <f t="shared" si="439"/>
        <v xml:space="preserve">  - 0 - </v>
      </c>
    </row>
    <row r="1666" spans="8:32" x14ac:dyDescent="0.2">
      <c r="H1666" s="29" t="str">
        <f t="shared" si="436"/>
        <v xml:space="preserve"> </v>
      </c>
      <c r="L1666" s="29">
        <f t="shared" si="437"/>
        <v>0</v>
      </c>
      <c r="Q1666" s="38"/>
      <c r="R1666" s="32">
        <f t="shared" si="434"/>
        <v>0</v>
      </c>
      <c r="S1666" s="32" t="str">
        <f>IF(ISERROR(DAY(Q1666)),TEXT(MATCH(TRIM(SUBSTITUTE(SUBSTITUTE(SUBSTITUTE(SUBSTITUTE(SUBSTITUTE(SUBSTITUTE(SUBSTITUTE(SUBSTITUTE(SUBSTITUTE(SUBSTITUTE(SUBSTITUTE(Q1666,1,""),2,""),3,""),4,""),5,""),6,""),7,""),8,""),9,""),0,""),"-","")),{"gennaio","febbraio","marzo","aprile","maggio","giugno","luglio","agosto","settembre","ottobre","novembre","dicembre"},0),"00"),TEXT(MONTH(Q1666)*29,"mmmm"))</f>
        <v>gennaio</v>
      </c>
      <c r="T1666" s="32">
        <f t="shared" si="435"/>
        <v>1900</v>
      </c>
      <c r="U1666" s="29"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00/01/1900</v>
      </c>
      <c r="V1666" s="33"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1900/01/00</v>
      </c>
      <c r="W1666" s="29"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00 gennaio 1900</v>
      </c>
      <c r="X1666" s="29">
        <v>1693</v>
      </c>
      <c r="Y1666" s="29" t="str">
        <f t="shared" ref="Y1666:Y1729" si="440">_xlfn.CONCAT("[" &amp; "'" &amp; D1666 &amp; " " &amp; E1666 &amp; "'" &amp; ", " &amp; "'" &amp; K1666 &amp; "'"&amp; ", " &amp; "'" &amp; O1666 &amp; "'" &amp; ", " &amp; "'" &amp; AE1666 &amp; "'" &amp; ", " &amp; "'" &amp; W1666 &amp; "'" &amp; ", " &amp; "'" &amp; U1666 &amp; "'" &amp; ", " &amp; "'" &amp; V1666 &amp; "'" &amp; "],")</f>
        <v>[' ', '', '', '--', '00 gennaio 1900', '00/01/1900', '1900/01/00'],</v>
      </c>
      <c r="Z1666" s="29" t="str">
        <f t="shared" ref="Z1666:Z1729" si="441">_xlfn.CONCAT(O1666 &amp; " (" &amp; Q1666 &amp; ") | " &amp; D1666 &amp; " " &amp; E1666)</f>
        <v xml:space="preserve"> () |  </v>
      </c>
      <c r="AA1666" s="29" t="str">
        <f t="shared" ref="AA1666:AA1729" si="442">_xlfn.CONCAT(K1666 &amp; " " &amp; O1666)</f>
        <v xml:space="preserve"> </v>
      </c>
      <c r="AB1666" s="29" t="str">
        <f t="shared" ref="AB1666:AB1729" si="443">_xlfn.CONCAT(K1666 &amp; " " &amp; O1666)</f>
        <v xml:space="preserve"> </v>
      </c>
      <c r="AC1666" s="29" t="str">
        <f t="shared" ref="AC1666:AC1729" si="444">_xlfn.CONCAT(H1666 &amp; ", " &amp; L1666 &amp; " " &amp; O1666 &amp; ", " &amp; LEFT(U1666,2) &amp; " " &amp; TEXT(VALUE(MID(U1666,4,2))*29,"mmmm") &amp; " " &amp; RIGHT(U1666,4))</f>
        <v xml:space="preserve"> , 0 , 00 gennaio 1900</v>
      </c>
      <c r="AD1666" s="29" t="str">
        <f t="shared" ref="AD1666:AD1729" si="445">_xlfn.CONCAT(RIGHT(U1666,4) &amp; "-" &amp; MID(U1666,4,2) &amp; "-" &amp; LEFT(U1666,2) &amp; "T08:00:00.000+02:00")</f>
        <v>1900-01-00T08:00:00.000+02:00</v>
      </c>
      <c r="AE1666" s="29" t="str">
        <f t="shared" si="438"/>
        <v>--</v>
      </c>
      <c r="AF1666" s="29" t="str">
        <f t="shared" si="439"/>
        <v xml:space="preserve">  - 0 - </v>
      </c>
    </row>
    <row r="1667" spans="8:32" x14ac:dyDescent="0.2">
      <c r="H1667" s="29" t="str">
        <f t="shared" si="436"/>
        <v xml:space="preserve"> </v>
      </c>
      <c r="L1667" s="29">
        <f t="shared" si="437"/>
        <v>0</v>
      </c>
      <c r="Q1667" s="38"/>
      <c r="R1667" s="32">
        <f t="shared" si="434"/>
        <v>0</v>
      </c>
      <c r="S1667" s="32" t="str">
        <f>IF(ISERROR(DAY(Q1667)),TEXT(MATCH(TRIM(SUBSTITUTE(SUBSTITUTE(SUBSTITUTE(SUBSTITUTE(SUBSTITUTE(SUBSTITUTE(SUBSTITUTE(SUBSTITUTE(SUBSTITUTE(SUBSTITUTE(SUBSTITUTE(Q1667,1,""),2,""),3,""),4,""),5,""),6,""),7,""),8,""),9,""),0,""),"-","")),{"gennaio","febbraio","marzo","aprile","maggio","giugno","luglio","agosto","settembre","ottobre","novembre","dicembre"},0),"00"),TEXT(MONTH(Q1667)*29,"mmmm"))</f>
        <v>gennaio</v>
      </c>
      <c r="T1667" s="32">
        <f t="shared" si="435"/>
        <v>1900</v>
      </c>
      <c r="U1667" s="29"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00/01/1900</v>
      </c>
      <c r="V1667" s="33"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1900/01/00</v>
      </c>
      <c r="W1667" s="29"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00 gennaio 1900</v>
      </c>
      <c r="X1667" s="29">
        <v>1694</v>
      </c>
      <c r="Y1667" s="29" t="str">
        <f t="shared" si="440"/>
        <v>[' ', '', '', '--', '00 gennaio 1900', '00/01/1900', '1900/01/00'],</v>
      </c>
      <c r="Z1667" s="29" t="str">
        <f t="shared" si="441"/>
        <v xml:space="preserve"> () |  </v>
      </c>
      <c r="AA1667" s="29" t="str">
        <f t="shared" si="442"/>
        <v xml:space="preserve"> </v>
      </c>
      <c r="AB1667" s="29" t="str">
        <f t="shared" si="443"/>
        <v xml:space="preserve"> </v>
      </c>
      <c r="AC1667" s="29" t="str">
        <f t="shared" si="444"/>
        <v xml:space="preserve"> , 0 , 00 gennaio 1900</v>
      </c>
      <c r="AD1667" s="29" t="str">
        <f t="shared" si="445"/>
        <v>1900-01-00T08:00:00.000+02:00</v>
      </c>
      <c r="AE1667" s="29" t="str">
        <f t="shared" si="438"/>
        <v>--</v>
      </c>
      <c r="AF1667" s="29" t="str">
        <f t="shared" si="439"/>
        <v xml:space="preserve">  - 0 - </v>
      </c>
    </row>
    <row r="1668" spans="8:32" x14ac:dyDescent="0.2">
      <c r="H1668" s="29" t="str">
        <f t="shared" si="436"/>
        <v xml:space="preserve"> </v>
      </c>
      <c r="L1668" s="29">
        <f t="shared" si="437"/>
        <v>0</v>
      </c>
      <c r="Q1668" s="38"/>
      <c r="R1668" s="32">
        <f t="shared" si="434"/>
        <v>0</v>
      </c>
      <c r="S1668" s="32" t="str">
        <f>IF(ISERROR(DAY(Q1668)),TEXT(MATCH(TRIM(SUBSTITUTE(SUBSTITUTE(SUBSTITUTE(SUBSTITUTE(SUBSTITUTE(SUBSTITUTE(SUBSTITUTE(SUBSTITUTE(SUBSTITUTE(SUBSTITUTE(SUBSTITUTE(Q1668,1,""),2,""),3,""),4,""),5,""),6,""),7,""),8,""),9,""),0,""),"-","")),{"gennaio","febbraio","marzo","aprile","maggio","giugno","luglio","agosto","settembre","ottobre","novembre","dicembre"},0),"00"),TEXT(MONTH(Q1668)*29,"mmmm"))</f>
        <v>gennaio</v>
      </c>
      <c r="T1668" s="32">
        <f t="shared" si="435"/>
        <v>1900</v>
      </c>
      <c r="U1668" s="29"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00/01/1900</v>
      </c>
      <c r="V1668" s="33"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1900/01/00</v>
      </c>
      <c r="W1668" s="29"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00 gennaio 1900</v>
      </c>
      <c r="X1668" s="29">
        <v>1695</v>
      </c>
      <c r="Y1668" s="29" t="str">
        <f t="shared" si="440"/>
        <v>[' ', '', '', '--', '00 gennaio 1900', '00/01/1900', '1900/01/00'],</v>
      </c>
      <c r="Z1668" s="29" t="str">
        <f t="shared" si="441"/>
        <v xml:space="preserve"> () |  </v>
      </c>
      <c r="AA1668" s="29" t="str">
        <f t="shared" si="442"/>
        <v xml:space="preserve"> </v>
      </c>
      <c r="AB1668" s="29" t="str">
        <f t="shared" si="443"/>
        <v xml:space="preserve"> </v>
      </c>
      <c r="AC1668" s="29" t="str">
        <f t="shared" si="444"/>
        <v xml:space="preserve"> , 0 , 00 gennaio 1900</v>
      </c>
      <c r="AD1668" s="29" t="str">
        <f t="shared" si="445"/>
        <v>1900-01-00T08:00:00.000+02:00</v>
      </c>
      <c r="AE1668" s="29" t="str">
        <f t="shared" si="438"/>
        <v>--</v>
      </c>
      <c r="AF1668" s="29" t="str">
        <f t="shared" si="439"/>
        <v xml:space="preserve">  - 0 - </v>
      </c>
    </row>
    <row r="1669" spans="8:32" x14ac:dyDescent="0.2">
      <c r="H1669" s="29" t="str">
        <f t="shared" si="436"/>
        <v xml:space="preserve"> </v>
      </c>
      <c r="L1669" s="29">
        <f t="shared" si="437"/>
        <v>0</v>
      </c>
      <c r="Q1669" s="38"/>
      <c r="R1669" s="32">
        <f t="shared" si="434"/>
        <v>0</v>
      </c>
      <c r="S1669" s="32" t="str">
        <f>IF(ISERROR(DAY(Q1669)),TEXT(MATCH(TRIM(SUBSTITUTE(SUBSTITUTE(SUBSTITUTE(SUBSTITUTE(SUBSTITUTE(SUBSTITUTE(SUBSTITUTE(SUBSTITUTE(SUBSTITUTE(SUBSTITUTE(SUBSTITUTE(Q1669,1,""),2,""),3,""),4,""),5,""),6,""),7,""),8,""),9,""),0,""),"-","")),{"gennaio","febbraio","marzo","aprile","maggio","giugno","luglio","agosto","settembre","ottobre","novembre","dicembre"},0),"00"),TEXT(MONTH(Q1669)*29,"mmmm"))</f>
        <v>gennaio</v>
      </c>
      <c r="T1669" s="32">
        <f t="shared" si="435"/>
        <v>1900</v>
      </c>
      <c r="U1669" s="29"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00/01/1900</v>
      </c>
      <c r="V1669" s="33"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1900/01/00</v>
      </c>
      <c r="W1669" s="29"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00 gennaio 1900</v>
      </c>
      <c r="X1669" s="29">
        <v>1696</v>
      </c>
      <c r="Y1669" s="29" t="str">
        <f t="shared" si="440"/>
        <v>[' ', '', '', '--', '00 gennaio 1900', '00/01/1900', '1900/01/00'],</v>
      </c>
      <c r="Z1669" s="29" t="str">
        <f t="shared" si="441"/>
        <v xml:space="preserve"> () |  </v>
      </c>
      <c r="AA1669" s="29" t="str">
        <f t="shared" si="442"/>
        <v xml:space="preserve"> </v>
      </c>
      <c r="AB1669" s="29" t="str">
        <f t="shared" si="443"/>
        <v xml:space="preserve"> </v>
      </c>
      <c r="AC1669" s="29" t="str">
        <f t="shared" si="444"/>
        <v xml:space="preserve"> , 0 , 00 gennaio 1900</v>
      </c>
      <c r="AD1669" s="29" t="str">
        <f t="shared" si="445"/>
        <v>1900-01-00T08:00:00.000+02:00</v>
      </c>
      <c r="AE1669" s="29" t="str">
        <f t="shared" si="438"/>
        <v>--</v>
      </c>
      <c r="AF1669" s="29" t="str">
        <f t="shared" si="439"/>
        <v xml:space="preserve">  - 0 - </v>
      </c>
    </row>
    <row r="1670" spans="8:32" x14ac:dyDescent="0.2">
      <c r="H1670" s="29" t="str">
        <f t="shared" si="436"/>
        <v xml:space="preserve"> </v>
      </c>
      <c r="L1670" s="29">
        <f t="shared" si="437"/>
        <v>0</v>
      </c>
      <c r="Q1670" s="38"/>
      <c r="R1670" s="32">
        <f t="shared" si="434"/>
        <v>0</v>
      </c>
      <c r="S1670" s="32" t="str">
        <f>IF(ISERROR(DAY(Q1670)),TEXT(MATCH(TRIM(SUBSTITUTE(SUBSTITUTE(SUBSTITUTE(SUBSTITUTE(SUBSTITUTE(SUBSTITUTE(SUBSTITUTE(SUBSTITUTE(SUBSTITUTE(SUBSTITUTE(SUBSTITUTE(Q1670,1,""),2,""),3,""),4,""),5,""),6,""),7,""),8,""),9,""),0,""),"-","")),{"gennaio","febbraio","marzo","aprile","maggio","giugno","luglio","agosto","settembre","ottobre","novembre","dicembre"},0),"00"),TEXT(MONTH(Q1670)*29,"mmmm"))</f>
        <v>gennaio</v>
      </c>
      <c r="T1670" s="32">
        <f t="shared" si="435"/>
        <v>1900</v>
      </c>
      <c r="U1670" s="29"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00/01/1900</v>
      </c>
      <c r="V1670" s="33"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1900/01/00</v>
      </c>
      <c r="W1670" s="29"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00 gennaio 1900</v>
      </c>
      <c r="X1670" s="29">
        <v>1697</v>
      </c>
      <c r="Y1670" s="29" t="str">
        <f t="shared" si="440"/>
        <v>[' ', '', '', '--', '00 gennaio 1900', '00/01/1900', '1900/01/00'],</v>
      </c>
      <c r="Z1670" s="29" t="str">
        <f t="shared" si="441"/>
        <v xml:space="preserve"> () |  </v>
      </c>
      <c r="AA1670" s="29" t="str">
        <f t="shared" si="442"/>
        <v xml:space="preserve"> </v>
      </c>
      <c r="AB1670" s="29" t="str">
        <f t="shared" si="443"/>
        <v xml:space="preserve"> </v>
      </c>
      <c r="AC1670" s="29" t="str">
        <f t="shared" si="444"/>
        <v xml:space="preserve"> , 0 , 00 gennaio 1900</v>
      </c>
      <c r="AD1670" s="29" t="str">
        <f t="shared" si="445"/>
        <v>1900-01-00T08:00:00.000+02:00</v>
      </c>
      <c r="AE1670" s="29" t="str">
        <f t="shared" si="438"/>
        <v>--</v>
      </c>
      <c r="AF1670" s="29" t="str">
        <f t="shared" si="439"/>
        <v xml:space="preserve">  - 0 - </v>
      </c>
    </row>
    <row r="1671" spans="8:32" x14ac:dyDescent="0.2">
      <c r="H1671" s="29" t="str">
        <f t="shared" si="436"/>
        <v xml:space="preserve"> </v>
      </c>
      <c r="L1671" s="29">
        <f t="shared" si="437"/>
        <v>0</v>
      </c>
      <c r="Q1671" s="38"/>
      <c r="R1671" s="32">
        <f t="shared" si="434"/>
        <v>0</v>
      </c>
      <c r="S1671" s="32" t="str">
        <f>IF(ISERROR(DAY(Q1671)),TEXT(MATCH(TRIM(SUBSTITUTE(SUBSTITUTE(SUBSTITUTE(SUBSTITUTE(SUBSTITUTE(SUBSTITUTE(SUBSTITUTE(SUBSTITUTE(SUBSTITUTE(SUBSTITUTE(SUBSTITUTE(Q1671,1,""),2,""),3,""),4,""),5,""),6,""),7,""),8,""),9,""),0,""),"-","")),{"gennaio","febbraio","marzo","aprile","maggio","giugno","luglio","agosto","settembre","ottobre","novembre","dicembre"},0),"00"),TEXT(MONTH(Q1671)*29,"mmmm"))</f>
        <v>gennaio</v>
      </c>
      <c r="T1671" s="32">
        <f t="shared" si="435"/>
        <v>1900</v>
      </c>
      <c r="U1671" s="29"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00/01/1900</v>
      </c>
      <c r="V1671" s="33"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1900/01/00</v>
      </c>
      <c r="W1671" s="29"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00 gennaio 1900</v>
      </c>
      <c r="X1671" s="29">
        <v>1698</v>
      </c>
      <c r="Y1671" s="29" t="str">
        <f t="shared" si="440"/>
        <v>[' ', '', '', '--', '00 gennaio 1900', '00/01/1900', '1900/01/00'],</v>
      </c>
      <c r="Z1671" s="29" t="str">
        <f t="shared" si="441"/>
        <v xml:space="preserve"> () |  </v>
      </c>
      <c r="AA1671" s="29" t="str">
        <f t="shared" si="442"/>
        <v xml:space="preserve"> </v>
      </c>
      <c r="AB1671" s="29" t="str">
        <f t="shared" si="443"/>
        <v xml:space="preserve"> </v>
      </c>
      <c r="AC1671" s="29" t="str">
        <f t="shared" si="444"/>
        <v xml:space="preserve"> , 0 , 00 gennaio 1900</v>
      </c>
      <c r="AD1671" s="29" t="str">
        <f t="shared" si="445"/>
        <v>1900-01-00T08:00:00.000+02:00</v>
      </c>
      <c r="AE1671" s="29" t="str">
        <f t="shared" si="438"/>
        <v>--</v>
      </c>
      <c r="AF1671" s="29" t="str">
        <f t="shared" si="439"/>
        <v xml:space="preserve">  - 0 - </v>
      </c>
    </row>
    <row r="1672" spans="8:32" x14ac:dyDescent="0.2">
      <c r="H1672" s="29" t="str">
        <f t="shared" si="436"/>
        <v xml:space="preserve"> </v>
      </c>
      <c r="L1672" s="29">
        <f t="shared" si="437"/>
        <v>0</v>
      </c>
      <c r="Q1672" s="38"/>
      <c r="R1672" s="32">
        <f t="shared" si="434"/>
        <v>0</v>
      </c>
      <c r="S1672" s="32" t="str">
        <f>IF(ISERROR(DAY(Q1672)),TEXT(MATCH(TRIM(SUBSTITUTE(SUBSTITUTE(SUBSTITUTE(SUBSTITUTE(SUBSTITUTE(SUBSTITUTE(SUBSTITUTE(SUBSTITUTE(SUBSTITUTE(SUBSTITUTE(SUBSTITUTE(Q1672,1,""),2,""),3,""),4,""),5,""),6,""),7,""),8,""),9,""),0,""),"-","")),{"gennaio","febbraio","marzo","aprile","maggio","giugno","luglio","agosto","settembre","ottobre","novembre","dicembre"},0),"00"),TEXT(MONTH(Q1672)*29,"mmmm"))</f>
        <v>gennaio</v>
      </c>
      <c r="T1672" s="32">
        <f t="shared" si="435"/>
        <v>1900</v>
      </c>
      <c r="U1672" s="29"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00/01/1900</v>
      </c>
      <c r="V1672" s="33"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1900/01/00</v>
      </c>
      <c r="W1672" s="29"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00 gennaio 1900</v>
      </c>
      <c r="X1672" s="29">
        <v>1699</v>
      </c>
      <c r="Y1672" s="29" t="str">
        <f t="shared" si="440"/>
        <v>[' ', '', '', '--', '00 gennaio 1900', '00/01/1900', '1900/01/00'],</v>
      </c>
      <c r="Z1672" s="29" t="str">
        <f t="shared" si="441"/>
        <v xml:space="preserve"> () |  </v>
      </c>
      <c r="AA1672" s="29" t="str">
        <f t="shared" si="442"/>
        <v xml:space="preserve"> </v>
      </c>
      <c r="AB1672" s="29" t="str">
        <f t="shared" si="443"/>
        <v xml:space="preserve"> </v>
      </c>
      <c r="AC1672" s="29" t="str">
        <f t="shared" si="444"/>
        <v xml:space="preserve"> , 0 , 00 gennaio 1900</v>
      </c>
      <c r="AD1672" s="29" t="str">
        <f t="shared" si="445"/>
        <v>1900-01-00T08:00:00.000+02:00</v>
      </c>
      <c r="AE1672" s="29" t="str">
        <f t="shared" si="438"/>
        <v>--</v>
      </c>
      <c r="AF1672" s="29" t="str">
        <f t="shared" si="439"/>
        <v xml:space="preserve">  - 0 - </v>
      </c>
    </row>
    <row r="1673" spans="8:32" x14ac:dyDescent="0.2">
      <c r="H1673" s="29" t="str">
        <f t="shared" si="436"/>
        <v xml:space="preserve"> </v>
      </c>
      <c r="L1673" s="29">
        <f t="shared" si="437"/>
        <v>0</v>
      </c>
      <c r="Q1673" s="38"/>
      <c r="R1673" s="32">
        <f t="shared" si="434"/>
        <v>0</v>
      </c>
      <c r="S1673" s="32" t="str">
        <f>IF(ISERROR(DAY(Q1673)),TEXT(MATCH(TRIM(SUBSTITUTE(SUBSTITUTE(SUBSTITUTE(SUBSTITUTE(SUBSTITUTE(SUBSTITUTE(SUBSTITUTE(SUBSTITUTE(SUBSTITUTE(SUBSTITUTE(SUBSTITUTE(Q1673,1,""),2,""),3,""),4,""),5,""),6,""),7,""),8,""),9,""),0,""),"-","")),{"gennaio","febbraio","marzo","aprile","maggio","giugno","luglio","agosto","settembre","ottobre","novembre","dicembre"},0),"00"),TEXT(MONTH(Q1673)*29,"mmmm"))</f>
        <v>gennaio</v>
      </c>
      <c r="T1673" s="32">
        <f t="shared" si="435"/>
        <v>1900</v>
      </c>
      <c r="U1673" s="29"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00/01/1900</v>
      </c>
      <c r="V1673" s="33"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1900/01/00</v>
      </c>
      <c r="W1673" s="29"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00 gennaio 1900</v>
      </c>
      <c r="X1673" s="29">
        <v>1700</v>
      </c>
      <c r="Y1673" s="29" t="str">
        <f t="shared" si="440"/>
        <v>[' ', '', '', '--', '00 gennaio 1900', '00/01/1900', '1900/01/00'],</v>
      </c>
      <c r="Z1673" s="29" t="str">
        <f t="shared" si="441"/>
        <v xml:space="preserve"> () |  </v>
      </c>
      <c r="AA1673" s="29" t="str">
        <f t="shared" si="442"/>
        <v xml:space="preserve"> </v>
      </c>
      <c r="AB1673" s="29" t="str">
        <f t="shared" si="443"/>
        <v xml:space="preserve"> </v>
      </c>
      <c r="AC1673" s="29" t="str">
        <f t="shared" si="444"/>
        <v xml:space="preserve"> , 0 , 00 gennaio 1900</v>
      </c>
      <c r="AD1673" s="29" t="str">
        <f t="shared" si="445"/>
        <v>1900-01-00T08:00:00.000+02:00</v>
      </c>
      <c r="AE1673" s="29" t="str">
        <f t="shared" si="438"/>
        <v>--</v>
      </c>
      <c r="AF1673" s="29" t="str">
        <f t="shared" si="439"/>
        <v xml:space="preserve">  - 0 - </v>
      </c>
    </row>
    <row r="1674" spans="8:32" x14ac:dyDescent="0.2">
      <c r="H1674" s="29" t="str">
        <f t="shared" si="436"/>
        <v xml:space="preserve"> </v>
      </c>
      <c r="L1674" s="29">
        <f t="shared" si="437"/>
        <v>0</v>
      </c>
      <c r="Q1674" s="38"/>
      <c r="R1674" s="32">
        <f t="shared" si="434"/>
        <v>0</v>
      </c>
      <c r="S1674" s="32" t="str">
        <f>IF(ISERROR(DAY(Q1674)),TEXT(MATCH(TRIM(SUBSTITUTE(SUBSTITUTE(SUBSTITUTE(SUBSTITUTE(SUBSTITUTE(SUBSTITUTE(SUBSTITUTE(SUBSTITUTE(SUBSTITUTE(SUBSTITUTE(SUBSTITUTE(Q1674,1,""),2,""),3,""),4,""),5,""),6,""),7,""),8,""),9,""),0,""),"-","")),{"gennaio","febbraio","marzo","aprile","maggio","giugno","luglio","agosto","settembre","ottobre","novembre","dicembre"},0),"00"),TEXT(MONTH(Q1674)*29,"mmmm"))</f>
        <v>gennaio</v>
      </c>
      <c r="T1674" s="32">
        <f t="shared" si="435"/>
        <v>1900</v>
      </c>
      <c r="U1674" s="29"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00/01/1900</v>
      </c>
      <c r="V1674" s="33"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1900/01/00</v>
      </c>
      <c r="W1674" s="29"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00 gennaio 1900</v>
      </c>
      <c r="X1674" s="29">
        <v>1701</v>
      </c>
      <c r="Y1674" s="29" t="str">
        <f t="shared" si="440"/>
        <v>[' ', '', '', '--', '00 gennaio 1900', '00/01/1900', '1900/01/00'],</v>
      </c>
      <c r="Z1674" s="29" t="str">
        <f t="shared" si="441"/>
        <v xml:space="preserve"> () |  </v>
      </c>
      <c r="AA1674" s="29" t="str">
        <f t="shared" si="442"/>
        <v xml:space="preserve"> </v>
      </c>
      <c r="AB1674" s="29" t="str">
        <f t="shared" si="443"/>
        <v xml:space="preserve"> </v>
      </c>
      <c r="AC1674" s="29" t="str">
        <f t="shared" si="444"/>
        <v xml:space="preserve"> , 0 , 00 gennaio 1900</v>
      </c>
      <c r="AD1674" s="29" t="str">
        <f t="shared" si="445"/>
        <v>1900-01-00T08:00:00.000+02:00</v>
      </c>
      <c r="AE1674" s="29" t="str">
        <f t="shared" si="438"/>
        <v>--</v>
      </c>
      <c r="AF1674" s="29" t="str">
        <f t="shared" si="439"/>
        <v xml:space="preserve">  - 0 - </v>
      </c>
    </row>
    <row r="1675" spans="8:32" x14ac:dyDescent="0.2">
      <c r="H1675" s="29" t="str">
        <f t="shared" si="436"/>
        <v xml:space="preserve"> </v>
      </c>
      <c r="L1675" s="29">
        <f t="shared" si="437"/>
        <v>0</v>
      </c>
      <c r="Q1675" s="38"/>
      <c r="R1675" s="32">
        <f t="shared" si="434"/>
        <v>0</v>
      </c>
      <c r="S1675" s="32" t="str">
        <f>IF(ISERROR(DAY(Q1675)),TEXT(MATCH(TRIM(SUBSTITUTE(SUBSTITUTE(SUBSTITUTE(SUBSTITUTE(SUBSTITUTE(SUBSTITUTE(SUBSTITUTE(SUBSTITUTE(SUBSTITUTE(SUBSTITUTE(SUBSTITUTE(Q1675,1,""),2,""),3,""),4,""),5,""),6,""),7,""),8,""),9,""),0,""),"-","")),{"gennaio","febbraio","marzo","aprile","maggio","giugno","luglio","agosto","settembre","ottobre","novembre","dicembre"},0),"00"),TEXT(MONTH(Q1675)*29,"mmmm"))</f>
        <v>gennaio</v>
      </c>
      <c r="T1675" s="32">
        <f t="shared" si="435"/>
        <v>1900</v>
      </c>
      <c r="U1675" s="29"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00/01/1900</v>
      </c>
      <c r="V1675" s="33"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1900/01/00</v>
      </c>
      <c r="W1675" s="29"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00 gennaio 1900</v>
      </c>
      <c r="X1675" s="29">
        <v>1702</v>
      </c>
      <c r="Y1675" s="29" t="str">
        <f t="shared" si="440"/>
        <v>[' ', '', '', '--', '00 gennaio 1900', '00/01/1900', '1900/01/00'],</v>
      </c>
      <c r="Z1675" s="29" t="str">
        <f t="shared" si="441"/>
        <v xml:space="preserve"> () |  </v>
      </c>
      <c r="AA1675" s="29" t="str">
        <f t="shared" si="442"/>
        <v xml:space="preserve"> </v>
      </c>
      <c r="AB1675" s="29" t="str">
        <f t="shared" si="443"/>
        <v xml:space="preserve"> </v>
      </c>
      <c r="AC1675" s="29" t="str">
        <f t="shared" si="444"/>
        <v xml:space="preserve"> , 0 , 00 gennaio 1900</v>
      </c>
      <c r="AD1675" s="29" t="str">
        <f t="shared" si="445"/>
        <v>1900-01-00T08:00:00.000+02:00</v>
      </c>
      <c r="AE1675" s="29" t="str">
        <f t="shared" si="438"/>
        <v>--</v>
      </c>
      <c r="AF1675" s="29" t="str">
        <f t="shared" si="439"/>
        <v xml:space="preserve">  - 0 - </v>
      </c>
    </row>
    <row r="1676" spans="8:32" x14ac:dyDescent="0.2">
      <c r="H1676" s="29" t="str">
        <f t="shared" si="436"/>
        <v xml:space="preserve"> </v>
      </c>
      <c r="L1676" s="29">
        <f t="shared" si="437"/>
        <v>0</v>
      </c>
      <c r="Q1676" s="38"/>
      <c r="R1676" s="32">
        <f t="shared" si="434"/>
        <v>0</v>
      </c>
      <c r="S1676" s="32" t="str">
        <f>IF(ISERROR(DAY(Q1676)),TEXT(MATCH(TRIM(SUBSTITUTE(SUBSTITUTE(SUBSTITUTE(SUBSTITUTE(SUBSTITUTE(SUBSTITUTE(SUBSTITUTE(SUBSTITUTE(SUBSTITUTE(SUBSTITUTE(SUBSTITUTE(Q1676,1,""),2,""),3,""),4,""),5,""),6,""),7,""),8,""),9,""),0,""),"-","")),{"gennaio","febbraio","marzo","aprile","maggio","giugno","luglio","agosto","settembre","ottobre","novembre","dicembre"},0),"00"),TEXT(MONTH(Q1676)*29,"mmmm"))</f>
        <v>gennaio</v>
      </c>
      <c r="T1676" s="32">
        <f t="shared" si="435"/>
        <v>1900</v>
      </c>
      <c r="U1676" s="29"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00/01/1900</v>
      </c>
      <c r="V1676" s="33"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1900/01/00</v>
      </c>
      <c r="W1676" s="29"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00 gennaio 1900</v>
      </c>
      <c r="X1676" s="29">
        <v>1703</v>
      </c>
      <c r="Y1676" s="29" t="str">
        <f t="shared" si="440"/>
        <v>[' ', '', '', '--', '00 gennaio 1900', '00/01/1900', '1900/01/00'],</v>
      </c>
      <c r="Z1676" s="29" t="str">
        <f t="shared" si="441"/>
        <v xml:space="preserve"> () |  </v>
      </c>
      <c r="AA1676" s="29" t="str">
        <f t="shared" si="442"/>
        <v xml:space="preserve"> </v>
      </c>
      <c r="AB1676" s="29" t="str">
        <f t="shared" si="443"/>
        <v xml:space="preserve"> </v>
      </c>
      <c r="AC1676" s="29" t="str">
        <f t="shared" si="444"/>
        <v xml:space="preserve"> , 0 , 00 gennaio 1900</v>
      </c>
      <c r="AD1676" s="29" t="str">
        <f t="shared" si="445"/>
        <v>1900-01-00T08:00:00.000+02:00</v>
      </c>
      <c r="AE1676" s="29" t="str">
        <f t="shared" si="438"/>
        <v>--</v>
      </c>
      <c r="AF1676" s="29" t="str">
        <f t="shared" si="439"/>
        <v xml:space="preserve">  - 0 - </v>
      </c>
    </row>
    <row r="1677" spans="8:32" x14ac:dyDescent="0.2">
      <c r="H1677" s="29" t="str">
        <f t="shared" si="436"/>
        <v xml:space="preserve"> </v>
      </c>
      <c r="L1677" s="29">
        <f t="shared" si="437"/>
        <v>0</v>
      </c>
      <c r="Q1677" s="38"/>
      <c r="R1677" s="32">
        <f t="shared" si="434"/>
        <v>0</v>
      </c>
      <c r="S1677" s="32" t="str">
        <f>IF(ISERROR(DAY(Q1677)),TEXT(MATCH(TRIM(SUBSTITUTE(SUBSTITUTE(SUBSTITUTE(SUBSTITUTE(SUBSTITUTE(SUBSTITUTE(SUBSTITUTE(SUBSTITUTE(SUBSTITUTE(SUBSTITUTE(SUBSTITUTE(Q1677,1,""),2,""),3,""),4,""),5,""),6,""),7,""),8,""),9,""),0,""),"-","")),{"gennaio","febbraio","marzo","aprile","maggio","giugno","luglio","agosto","settembre","ottobre","novembre","dicembre"},0),"00"),TEXT(MONTH(Q1677)*29,"mmmm"))</f>
        <v>gennaio</v>
      </c>
      <c r="T1677" s="32">
        <f t="shared" si="435"/>
        <v>1900</v>
      </c>
      <c r="U1677" s="29"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00/01/1900</v>
      </c>
      <c r="V1677" s="33"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1900/01/00</v>
      </c>
      <c r="W1677" s="29"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00 gennaio 1900</v>
      </c>
      <c r="X1677" s="29">
        <v>1704</v>
      </c>
      <c r="Y1677" s="29" t="str">
        <f t="shared" si="440"/>
        <v>[' ', '', '', '--', '00 gennaio 1900', '00/01/1900', '1900/01/00'],</v>
      </c>
      <c r="Z1677" s="29" t="str">
        <f t="shared" si="441"/>
        <v xml:space="preserve"> () |  </v>
      </c>
      <c r="AA1677" s="29" t="str">
        <f t="shared" si="442"/>
        <v xml:space="preserve"> </v>
      </c>
      <c r="AB1677" s="29" t="str">
        <f t="shared" si="443"/>
        <v xml:space="preserve"> </v>
      </c>
      <c r="AC1677" s="29" t="str">
        <f t="shared" si="444"/>
        <v xml:space="preserve"> , 0 , 00 gennaio 1900</v>
      </c>
      <c r="AD1677" s="29" t="str">
        <f t="shared" si="445"/>
        <v>1900-01-00T08:00:00.000+02:00</v>
      </c>
      <c r="AE1677" s="29" t="str">
        <f t="shared" si="438"/>
        <v>--</v>
      </c>
      <c r="AF1677" s="29" t="str">
        <f t="shared" si="439"/>
        <v xml:space="preserve">  - 0 - </v>
      </c>
    </row>
    <row r="1678" spans="8:32" x14ac:dyDescent="0.2">
      <c r="H1678" s="29" t="str">
        <f t="shared" si="436"/>
        <v xml:space="preserve"> </v>
      </c>
      <c r="L1678" s="29">
        <f t="shared" si="437"/>
        <v>0</v>
      </c>
      <c r="Q1678" s="38"/>
      <c r="R1678" s="32">
        <f t="shared" si="434"/>
        <v>0</v>
      </c>
      <c r="S1678" s="32" t="str">
        <f>IF(ISERROR(DAY(Q1678)),TEXT(MATCH(TRIM(SUBSTITUTE(SUBSTITUTE(SUBSTITUTE(SUBSTITUTE(SUBSTITUTE(SUBSTITUTE(SUBSTITUTE(SUBSTITUTE(SUBSTITUTE(SUBSTITUTE(SUBSTITUTE(Q1678,1,""),2,""),3,""),4,""),5,""),6,""),7,""),8,""),9,""),0,""),"-","")),{"gennaio","febbraio","marzo","aprile","maggio","giugno","luglio","agosto","settembre","ottobre","novembre","dicembre"},0),"00"),TEXT(MONTH(Q1678)*29,"mmmm"))</f>
        <v>gennaio</v>
      </c>
      <c r="T1678" s="32">
        <f t="shared" si="435"/>
        <v>1900</v>
      </c>
      <c r="U1678" s="29"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00/01/1900</v>
      </c>
      <c r="V1678" s="33"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1900/01/00</v>
      </c>
      <c r="W1678" s="29"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00 gennaio 1900</v>
      </c>
      <c r="X1678" s="29">
        <v>1705</v>
      </c>
      <c r="Y1678" s="29" t="str">
        <f t="shared" si="440"/>
        <v>[' ', '', '', '--', '00 gennaio 1900', '00/01/1900', '1900/01/00'],</v>
      </c>
      <c r="Z1678" s="29" t="str">
        <f t="shared" si="441"/>
        <v xml:space="preserve"> () |  </v>
      </c>
      <c r="AA1678" s="29" t="str">
        <f t="shared" si="442"/>
        <v xml:space="preserve"> </v>
      </c>
      <c r="AB1678" s="29" t="str">
        <f t="shared" si="443"/>
        <v xml:space="preserve"> </v>
      </c>
      <c r="AC1678" s="29" t="str">
        <f t="shared" si="444"/>
        <v xml:space="preserve"> , 0 , 00 gennaio 1900</v>
      </c>
      <c r="AD1678" s="29" t="str">
        <f t="shared" si="445"/>
        <v>1900-01-00T08:00:00.000+02:00</v>
      </c>
      <c r="AE1678" s="29" t="str">
        <f t="shared" si="438"/>
        <v>--</v>
      </c>
      <c r="AF1678" s="29" t="str">
        <f t="shared" si="439"/>
        <v xml:space="preserve">  - 0 - </v>
      </c>
    </row>
    <row r="1679" spans="8:32" x14ac:dyDescent="0.2">
      <c r="H1679" s="29" t="str">
        <f t="shared" si="436"/>
        <v xml:space="preserve"> </v>
      </c>
      <c r="L1679" s="29">
        <f t="shared" si="437"/>
        <v>0</v>
      </c>
      <c r="Q1679" s="38"/>
      <c r="R1679" s="32">
        <f t="shared" si="434"/>
        <v>0</v>
      </c>
      <c r="S1679" s="32" t="str">
        <f>IF(ISERROR(DAY(Q1679)),TEXT(MATCH(TRIM(SUBSTITUTE(SUBSTITUTE(SUBSTITUTE(SUBSTITUTE(SUBSTITUTE(SUBSTITUTE(SUBSTITUTE(SUBSTITUTE(SUBSTITUTE(SUBSTITUTE(SUBSTITUTE(Q1679,1,""),2,""),3,""),4,""),5,""),6,""),7,""),8,""),9,""),0,""),"-","")),{"gennaio","febbraio","marzo","aprile","maggio","giugno","luglio","agosto","settembre","ottobre","novembre","dicembre"},0),"00"),TEXT(MONTH(Q1679)*29,"mmmm"))</f>
        <v>gennaio</v>
      </c>
      <c r="T1679" s="32">
        <f t="shared" si="435"/>
        <v>1900</v>
      </c>
      <c r="U1679" s="29"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00/01/1900</v>
      </c>
      <c r="V1679" s="33"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1900/01/00</v>
      </c>
      <c r="W1679" s="29"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00 gennaio 1900</v>
      </c>
      <c r="X1679" s="29">
        <v>1706</v>
      </c>
      <c r="Y1679" s="29" t="str">
        <f t="shared" si="440"/>
        <v>[' ', '', '', '--', '00 gennaio 1900', '00/01/1900', '1900/01/00'],</v>
      </c>
      <c r="Z1679" s="29" t="str">
        <f t="shared" si="441"/>
        <v xml:space="preserve"> () |  </v>
      </c>
      <c r="AA1679" s="29" t="str">
        <f t="shared" si="442"/>
        <v xml:space="preserve"> </v>
      </c>
      <c r="AB1679" s="29" t="str">
        <f t="shared" si="443"/>
        <v xml:space="preserve"> </v>
      </c>
      <c r="AC1679" s="29" t="str">
        <f t="shared" si="444"/>
        <v xml:space="preserve"> , 0 , 00 gennaio 1900</v>
      </c>
      <c r="AD1679" s="29" t="str">
        <f t="shared" si="445"/>
        <v>1900-01-00T08:00:00.000+02:00</v>
      </c>
      <c r="AE1679" s="29" t="str">
        <f t="shared" si="438"/>
        <v>--</v>
      </c>
      <c r="AF1679" s="29" t="str">
        <f t="shared" si="439"/>
        <v xml:space="preserve">  - 0 - </v>
      </c>
    </row>
    <row r="1680" spans="8:32" x14ac:dyDescent="0.2">
      <c r="H1680" s="29" t="str">
        <f t="shared" si="436"/>
        <v xml:space="preserve"> </v>
      </c>
      <c r="L1680" s="29">
        <f t="shared" si="437"/>
        <v>0</v>
      </c>
      <c r="Q1680" s="38"/>
      <c r="R1680" s="32">
        <f t="shared" si="434"/>
        <v>0</v>
      </c>
      <c r="S1680" s="32" t="str">
        <f>IF(ISERROR(DAY(Q1680)),TEXT(MATCH(TRIM(SUBSTITUTE(SUBSTITUTE(SUBSTITUTE(SUBSTITUTE(SUBSTITUTE(SUBSTITUTE(SUBSTITUTE(SUBSTITUTE(SUBSTITUTE(SUBSTITUTE(SUBSTITUTE(Q1680,1,""),2,""),3,""),4,""),5,""),6,""),7,""),8,""),9,""),0,""),"-","")),{"gennaio","febbraio","marzo","aprile","maggio","giugno","luglio","agosto","settembre","ottobre","novembre","dicembre"},0),"00"),TEXT(MONTH(Q1680)*29,"mmmm"))</f>
        <v>gennaio</v>
      </c>
      <c r="T1680" s="32">
        <f t="shared" si="435"/>
        <v>1900</v>
      </c>
      <c r="U1680" s="29"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00/01/1900</v>
      </c>
      <c r="V1680" s="33"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1900/01/00</v>
      </c>
      <c r="W1680" s="29"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00 gennaio 1900</v>
      </c>
      <c r="X1680" s="29">
        <v>1707</v>
      </c>
      <c r="Y1680" s="29" t="str">
        <f t="shared" si="440"/>
        <v>[' ', '', '', '--', '00 gennaio 1900', '00/01/1900', '1900/01/00'],</v>
      </c>
      <c r="Z1680" s="29" t="str">
        <f t="shared" si="441"/>
        <v xml:space="preserve"> () |  </v>
      </c>
      <c r="AA1680" s="29" t="str">
        <f t="shared" si="442"/>
        <v xml:space="preserve"> </v>
      </c>
      <c r="AB1680" s="29" t="str">
        <f t="shared" si="443"/>
        <v xml:space="preserve"> </v>
      </c>
      <c r="AC1680" s="29" t="str">
        <f t="shared" si="444"/>
        <v xml:space="preserve"> , 0 , 00 gennaio 1900</v>
      </c>
      <c r="AD1680" s="29" t="str">
        <f t="shared" si="445"/>
        <v>1900-01-00T08:00:00.000+02:00</v>
      </c>
      <c r="AE1680" s="29" t="str">
        <f t="shared" si="438"/>
        <v>--</v>
      </c>
      <c r="AF1680" s="29" t="str">
        <f t="shared" si="439"/>
        <v xml:space="preserve">  - 0 - </v>
      </c>
    </row>
    <row r="1681" spans="8:32" x14ac:dyDescent="0.2">
      <c r="H1681" s="29" t="str">
        <f t="shared" si="436"/>
        <v xml:space="preserve"> </v>
      </c>
      <c r="L1681" s="29">
        <f t="shared" si="437"/>
        <v>0</v>
      </c>
      <c r="Q1681" s="38"/>
      <c r="R1681" s="32">
        <f t="shared" si="434"/>
        <v>0</v>
      </c>
      <c r="S1681" s="32" t="str">
        <f>IF(ISERROR(DAY(Q1681)),TEXT(MATCH(TRIM(SUBSTITUTE(SUBSTITUTE(SUBSTITUTE(SUBSTITUTE(SUBSTITUTE(SUBSTITUTE(SUBSTITUTE(SUBSTITUTE(SUBSTITUTE(SUBSTITUTE(SUBSTITUTE(Q1681,1,""),2,""),3,""),4,""),5,""),6,""),7,""),8,""),9,""),0,""),"-","")),{"gennaio","febbraio","marzo","aprile","maggio","giugno","luglio","agosto","settembre","ottobre","novembre","dicembre"},0),"00"),TEXT(MONTH(Q1681)*29,"mmmm"))</f>
        <v>gennaio</v>
      </c>
      <c r="T1681" s="32">
        <f t="shared" si="435"/>
        <v>1900</v>
      </c>
      <c r="U1681" s="29"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00/01/1900</v>
      </c>
      <c r="V1681" s="33"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1900/01/00</v>
      </c>
      <c r="W1681" s="29"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00 gennaio 1900</v>
      </c>
      <c r="X1681" s="29">
        <v>1708</v>
      </c>
      <c r="Y1681" s="29" t="str">
        <f t="shared" si="440"/>
        <v>[' ', '', '', '--', '00 gennaio 1900', '00/01/1900', '1900/01/00'],</v>
      </c>
      <c r="Z1681" s="29" t="str">
        <f t="shared" si="441"/>
        <v xml:space="preserve"> () |  </v>
      </c>
      <c r="AA1681" s="29" t="str">
        <f t="shared" si="442"/>
        <v xml:space="preserve"> </v>
      </c>
      <c r="AB1681" s="29" t="str">
        <f t="shared" si="443"/>
        <v xml:space="preserve"> </v>
      </c>
      <c r="AC1681" s="29" t="str">
        <f t="shared" si="444"/>
        <v xml:space="preserve"> , 0 , 00 gennaio 1900</v>
      </c>
      <c r="AD1681" s="29" t="str">
        <f t="shared" si="445"/>
        <v>1900-01-00T08:00:00.000+02:00</v>
      </c>
      <c r="AE1681" s="29" t="str">
        <f t="shared" si="438"/>
        <v>--</v>
      </c>
      <c r="AF1681" s="29" t="str">
        <f t="shared" si="439"/>
        <v xml:space="preserve">  - 0 - </v>
      </c>
    </row>
    <row r="1682" spans="8:32" x14ac:dyDescent="0.2">
      <c r="H1682" s="29" t="str">
        <f t="shared" si="436"/>
        <v xml:space="preserve"> </v>
      </c>
      <c r="L1682" s="29">
        <f t="shared" si="437"/>
        <v>0</v>
      </c>
      <c r="Q1682" s="38"/>
      <c r="R1682" s="32">
        <f t="shared" ref="R1682:R1745" si="446">IF(ISERROR(DAY(Q1682)),TEXT((LEFT(Q1682,2)),"00"),DAY(Q1682))</f>
        <v>0</v>
      </c>
      <c r="S1682" s="32" t="str">
        <f>IF(ISERROR(DAY(Q1682)),TEXT(MATCH(TRIM(SUBSTITUTE(SUBSTITUTE(SUBSTITUTE(SUBSTITUTE(SUBSTITUTE(SUBSTITUTE(SUBSTITUTE(SUBSTITUTE(SUBSTITUTE(SUBSTITUTE(SUBSTITUTE(Q1682,1,""),2,""),3,""),4,""),5,""),6,""),7,""),8,""),9,""),0,""),"-","")),{"gennaio","febbraio","marzo","aprile","maggio","giugno","luglio","agosto","settembre","ottobre","novembre","dicembre"},0),"00"),TEXT(MONTH(Q1682)*29,"mmmm"))</f>
        <v>gennaio</v>
      </c>
      <c r="T1682" s="32">
        <f t="shared" ref="T1682:T1745" si="447">IF(ISERROR(DAY(Q1682)),VALUE(RIGHT(Q1682,4)),YEAR(Q1682))</f>
        <v>1900</v>
      </c>
      <c r="U1682" s="29"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00/01/1900</v>
      </c>
      <c r="V1682" s="33"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1900/01/00</v>
      </c>
      <c r="W1682" s="29"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00 gennaio 1900</v>
      </c>
      <c r="X1682" s="29">
        <v>1709</v>
      </c>
      <c r="Y1682" s="29" t="str">
        <f t="shared" si="440"/>
        <v>[' ', '', '', '--', '00 gennaio 1900', '00/01/1900', '1900/01/00'],</v>
      </c>
      <c r="Z1682" s="29" t="str">
        <f t="shared" si="441"/>
        <v xml:space="preserve"> () |  </v>
      </c>
      <c r="AA1682" s="29" t="str">
        <f t="shared" si="442"/>
        <v xml:space="preserve"> </v>
      </c>
      <c r="AB1682" s="29" t="str">
        <f t="shared" si="443"/>
        <v xml:space="preserve"> </v>
      </c>
      <c r="AC1682" s="29" t="str">
        <f t="shared" si="444"/>
        <v xml:space="preserve"> , 0 , 00 gennaio 1900</v>
      </c>
      <c r="AD1682" s="29" t="str">
        <f t="shared" si="445"/>
        <v>1900-01-00T08:00:00.000+02:00</v>
      </c>
      <c r="AE1682" s="29" t="str">
        <f t="shared" si="438"/>
        <v>--</v>
      </c>
      <c r="AF1682" s="29" t="str">
        <f t="shared" si="439"/>
        <v xml:space="preserve">  - 0 - </v>
      </c>
    </row>
    <row r="1683" spans="8:32" x14ac:dyDescent="0.2">
      <c r="H1683" s="29" t="str">
        <f t="shared" si="436"/>
        <v xml:space="preserve"> </v>
      </c>
      <c r="L1683" s="29">
        <f t="shared" si="437"/>
        <v>0</v>
      </c>
      <c r="Q1683" s="38"/>
      <c r="R1683" s="32">
        <f t="shared" si="446"/>
        <v>0</v>
      </c>
      <c r="S1683" s="32" t="str">
        <f>IF(ISERROR(DAY(Q1683)),TEXT(MATCH(TRIM(SUBSTITUTE(SUBSTITUTE(SUBSTITUTE(SUBSTITUTE(SUBSTITUTE(SUBSTITUTE(SUBSTITUTE(SUBSTITUTE(SUBSTITUTE(SUBSTITUTE(SUBSTITUTE(Q1683,1,""),2,""),3,""),4,""),5,""),6,""),7,""),8,""),9,""),0,""),"-","")),{"gennaio","febbraio","marzo","aprile","maggio","giugno","luglio","agosto","settembre","ottobre","novembre","dicembre"},0),"00"),TEXT(MONTH(Q1683)*29,"mmmm"))</f>
        <v>gennaio</v>
      </c>
      <c r="T1683" s="32">
        <f t="shared" si="447"/>
        <v>1900</v>
      </c>
      <c r="U1683" s="29"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00/01/1900</v>
      </c>
      <c r="V1683" s="33"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1900/01/00</v>
      </c>
      <c r="W1683" s="29"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00 gennaio 1900</v>
      </c>
      <c r="X1683" s="29">
        <v>1710</v>
      </c>
      <c r="Y1683" s="29" t="str">
        <f t="shared" si="440"/>
        <v>[' ', '', '', '--', '00 gennaio 1900', '00/01/1900', '1900/01/00'],</v>
      </c>
      <c r="Z1683" s="29" t="str">
        <f t="shared" si="441"/>
        <v xml:space="preserve"> () |  </v>
      </c>
      <c r="AA1683" s="29" t="str">
        <f t="shared" si="442"/>
        <v xml:space="preserve"> </v>
      </c>
      <c r="AB1683" s="29" t="str">
        <f t="shared" si="443"/>
        <v xml:space="preserve"> </v>
      </c>
      <c r="AC1683" s="29" t="str">
        <f t="shared" si="444"/>
        <v xml:space="preserve"> , 0 , 00 gennaio 1900</v>
      </c>
      <c r="AD1683" s="29" t="str">
        <f t="shared" si="445"/>
        <v>1900-01-00T08:00:00.000+02:00</v>
      </c>
      <c r="AE1683" s="29" t="str">
        <f t="shared" si="438"/>
        <v>--</v>
      </c>
      <c r="AF1683" s="29" t="str">
        <f t="shared" si="439"/>
        <v xml:space="preserve">  - 0 - </v>
      </c>
    </row>
    <row r="1684" spans="8:32" x14ac:dyDescent="0.2">
      <c r="H1684" s="29" t="str">
        <f t="shared" si="436"/>
        <v xml:space="preserve"> </v>
      </c>
      <c r="L1684" s="29">
        <f t="shared" si="437"/>
        <v>0</v>
      </c>
      <c r="Q1684" s="38"/>
      <c r="R1684" s="32">
        <f t="shared" si="446"/>
        <v>0</v>
      </c>
      <c r="S1684" s="32" t="str">
        <f>IF(ISERROR(DAY(Q1684)),TEXT(MATCH(TRIM(SUBSTITUTE(SUBSTITUTE(SUBSTITUTE(SUBSTITUTE(SUBSTITUTE(SUBSTITUTE(SUBSTITUTE(SUBSTITUTE(SUBSTITUTE(SUBSTITUTE(SUBSTITUTE(Q1684,1,""),2,""),3,""),4,""),5,""),6,""),7,""),8,""),9,""),0,""),"-","")),{"gennaio","febbraio","marzo","aprile","maggio","giugno","luglio","agosto","settembre","ottobre","novembre","dicembre"},0),"00"),TEXT(MONTH(Q1684)*29,"mmmm"))</f>
        <v>gennaio</v>
      </c>
      <c r="T1684" s="32">
        <f t="shared" si="447"/>
        <v>1900</v>
      </c>
      <c r="U1684" s="29"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00/01/1900</v>
      </c>
      <c r="V1684" s="33"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1900/01/00</v>
      </c>
      <c r="W1684" s="29"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00 gennaio 1900</v>
      </c>
      <c r="X1684" s="29">
        <v>1711</v>
      </c>
      <c r="Y1684" s="29" t="str">
        <f t="shared" si="440"/>
        <v>[' ', '', '', '--', '00 gennaio 1900', '00/01/1900', '1900/01/00'],</v>
      </c>
      <c r="Z1684" s="29" t="str">
        <f t="shared" si="441"/>
        <v xml:space="preserve"> () |  </v>
      </c>
      <c r="AA1684" s="29" t="str">
        <f t="shared" si="442"/>
        <v xml:space="preserve"> </v>
      </c>
      <c r="AB1684" s="29" t="str">
        <f t="shared" si="443"/>
        <v xml:space="preserve"> </v>
      </c>
      <c r="AC1684" s="29" t="str">
        <f t="shared" si="444"/>
        <v xml:space="preserve"> , 0 , 00 gennaio 1900</v>
      </c>
      <c r="AD1684" s="29" t="str">
        <f t="shared" si="445"/>
        <v>1900-01-00T08:00:00.000+02:00</v>
      </c>
      <c r="AE1684" s="29" t="str">
        <f t="shared" si="438"/>
        <v>--</v>
      </c>
      <c r="AF1684" s="29" t="str">
        <f t="shared" si="439"/>
        <v xml:space="preserve">  - 0 - </v>
      </c>
    </row>
    <row r="1685" spans="8:32" x14ac:dyDescent="0.2">
      <c r="H1685" s="29" t="str">
        <f t="shared" si="436"/>
        <v xml:space="preserve"> </v>
      </c>
      <c r="L1685" s="29">
        <f t="shared" si="437"/>
        <v>0</v>
      </c>
      <c r="Q1685" s="38"/>
      <c r="R1685" s="32">
        <f t="shared" si="446"/>
        <v>0</v>
      </c>
      <c r="S1685" s="32" t="str">
        <f>IF(ISERROR(DAY(Q1685)),TEXT(MATCH(TRIM(SUBSTITUTE(SUBSTITUTE(SUBSTITUTE(SUBSTITUTE(SUBSTITUTE(SUBSTITUTE(SUBSTITUTE(SUBSTITUTE(SUBSTITUTE(SUBSTITUTE(SUBSTITUTE(Q1685,1,""),2,""),3,""),4,""),5,""),6,""),7,""),8,""),9,""),0,""),"-","")),{"gennaio","febbraio","marzo","aprile","maggio","giugno","luglio","agosto","settembre","ottobre","novembre","dicembre"},0),"00"),TEXT(MONTH(Q1685)*29,"mmmm"))</f>
        <v>gennaio</v>
      </c>
      <c r="T1685" s="32">
        <f t="shared" si="447"/>
        <v>1900</v>
      </c>
      <c r="U1685" s="29"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00/01/1900</v>
      </c>
      <c r="V1685" s="33"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1900/01/00</v>
      </c>
      <c r="W1685" s="29"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00 gennaio 1900</v>
      </c>
      <c r="X1685" s="29">
        <v>1712</v>
      </c>
      <c r="Y1685" s="29" t="str">
        <f t="shared" si="440"/>
        <v>[' ', '', '', '--', '00 gennaio 1900', '00/01/1900', '1900/01/00'],</v>
      </c>
      <c r="Z1685" s="29" t="str">
        <f t="shared" si="441"/>
        <v xml:space="preserve"> () |  </v>
      </c>
      <c r="AA1685" s="29" t="str">
        <f t="shared" si="442"/>
        <v xml:space="preserve"> </v>
      </c>
      <c r="AB1685" s="29" t="str">
        <f t="shared" si="443"/>
        <v xml:space="preserve"> </v>
      </c>
      <c r="AC1685" s="29" t="str">
        <f t="shared" si="444"/>
        <v xml:space="preserve"> , 0 , 00 gennaio 1900</v>
      </c>
      <c r="AD1685" s="29" t="str">
        <f t="shared" si="445"/>
        <v>1900-01-00T08:00:00.000+02:00</v>
      </c>
      <c r="AE1685" s="29" t="str">
        <f t="shared" si="438"/>
        <v>--</v>
      </c>
      <c r="AF1685" s="29" t="str">
        <f t="shared" si="439"/>
        <v xml:space="preserve">  - 0 - </v>
      </c>
    </row>
    <row r="1686" spans="8:32" x14ac:dyDescent="0.2">
      <c r="H1686" s="29" t="str">
        <f t="shared" si="436"/>
        <v xml:space="preserve"> </v>
      </c>
      <c r="L1686" s="29">
        <f t="shared" si="437"/>
        <v>0</v>
      </c>
      <c r="Q1686" s="38"/>
      <c r="R1686" s="32">
        <f t="shared" si="446"/>
        <v>0</v>
      </c>
      <c r="S1686" s="32" t="str">
        <f>IF(ISERROR(DAY(Q1686)),TEXT(MATCH(TRIM(SUBSTITUTE(SUBSTITUTE(SUBSTITUTE(SUBSTITUTE(SUBSTITUTE(SUBSTITUTE(SUBSTITUTE(SUBSTITUTE(SUBSTITUTE(SUBSTITUTE(SUBSTITUTE(Q1686,1,""),2,""),3,""),4,""),5,""),6,""),7,""),8,""),9,""),0,""),"-","")),{"gennaio","febbraio","marzo","aprile","maggio","giugno","luglio","agosto","settembre","ottobre","novembre","dicembre"},0),"00"),TEXT(MONTH(Q1686)*29,"mmmm"))</f>
        <v>gennaio</v>
      </c>
      <c r="T1686" s="32">
        <f t="shared" si="447"/>
        <v>1900</v>
      </c>
      <c r="U1686" s="29"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00/01/1900</v>
      </c>
      <c r="V1686" s="33"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1900/01/00</v>
      </c>
      <c r="W1686" s="29"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00 gennaio 1900</v>
      </c>
      <c r="X1686" s="29">
        <v>1713</v>
      </c>
      <c r="Y1686" s="29" t="str">
        <f t="shared" si="440"/>
        <v>[' ', '', '', '--', '00 gennaio 1900', '00/01/1900', '1900/01/00'],</v>
      </c>
      <c r="Z1686" s="29" t="str">
        <f t="shared" si="441"/>
        <v xml:space="preserve"> () |  </v>
      </c>
      <c r="AA1686" s="29" t="str">
        <f t="shared" si="442"/>
        <v xml:space="preserve"> </v>
      </c>
      <c r="AB1686" s="29" t="str">
        <f t="shared" si="443"/>
        <v xml:space="preserve"> </v>
      </c>
      <c r="AC1686" s="29" t="str">
        <f t="shared" si="444"/>
        <v xml:space="preserve"> , 0 , 00 gennaio 1900</v>
      </c>
      <c r="AD1686" s="29" t="str">
        <f t="shared" si="445"/>
        <v>1900-01-00T08:00:00.000+02:00</v>
      </c>
      <c r="AE1686" s="29" t="str">
        <f t="shared" si="438"/>
        <v>--</v>
      </c>
      <c r="AF1686" s="29" t="str">
        <f t="shared" si="439"/>
        <v xml:space="preserve">  - 0 - </v>
      </c>
    </row>
    <row r="1687" spans="8:32" x14ac:dyDescent="0.2">
      <c r="H1687" s="29" t="str">
        <f t="shared" si="436"/>
        <v xml:space="preserve"> </v>
      </c>
      <c r="L1687" s="29">
        <f t="shared" si="437"/>
        <v>0</v>
      </c>
      <c r="Q1687" s="38"/>
      <c r="R1687" s="32">
        <f t="shared" si="446"/>
        <v>0</v>
      </c>
      <c r="S1687" s="32" t="str">
        <f>IF(ISERROR(DAY(Q1687)),TEXT(MATCH(TRIM(SUBSTITUTE(SUBSTITUTE(SUBSTITUTE(SUBSTITUTE(SUBSTITUTE(SUBSTITUTE(SUBSTITUTE(SUBSTITUTE(SUBSTITUTE(SUBSTITUTE(SUBSTITUTE(Q1687,1,""),2,""),3,""),4,""),5,""),6,""),7,""),8,""),9,""),0,""),"-","")),{"gennaio","febbraio","marzo","aprile","maggio","giugno","luglio","agosto","settembre","ottobre","novembre","dicembre"},0),"00"),TEXT(MONTH(Q1687)*29,"mmmm"))</f>
        <v>gennaio</v>
      </c>
      <c r="T1687" s="32">
        <f t="shared" si="447"/>
        <v>1900</v>
      </c>
      <c r="U1687" s="29"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00/01/1900</v>
      </c>
      <c r="V1687" s="33"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1900/01/00</v>
      </c>
      <c r="W1687" s="29"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00 gennaio 1900</v>
      </c>
      <c r="X1687" s="29">
        <v>1714</v>
      </c>
      <c r="Y1687" s="29" t="str">
        <f t="shared" si="440"/>
        <v>[' ', '', '', '--', '00 gennaio 1900', '00/01/1900', '1900/01/00'],</v>
      </c>
      <c r="Z1687" s="29" t="str">
        <f t="shared" si="441"/>
        <v xml:space="preserve"> () |  </v>
      </c>
      <c r="AA1687" s="29" t="str">
        <f t="shared" si="442"/>
        <v xml:space="preserve"> </v>
      </c>
      <c r="AB1687" s="29" t="str">
        <f t="shared" si="443"/>
        <v xml:space="preserve"> </v>
      </c>
      <c r="AC1687" s="29" t="str">
        <f t="shared" si="444"/>
        <v xml:space="preserve"> , 0 , 00 gennaio 1900</v>
      </c>
      <c r="AD1687" s="29" t="str">
        <f t="shared" si="445"/>
        <v>1900-01-00T08:00:00.000+02:00</v>
      </c>
      <c r="AE1687" s="29" t="str">
        <f t="shared" si="438"/>
        <v>--</v>
      </c>
      <c r="AF1687" s="29" t="str">
        <f t="shared" si="439"/>
        <v xml:space="preserve">  - 0 - </v>
      </c>
    </row>
    <row r="1688" spans="8:32" x14ac:dyDescent="0.2">
      <c r="H1688" s="29" t="str">
        <f t="shared" si="436"/>
        <v xml:space="preserve"> </v>
      </c>
      <c r="L1688" s="29">
        <f t="shared" si="437"/>
        <v>0</v>
      </c>
      <c r="Q1688" s="38"/>
      <c r="R1688" s="32">
        <f t="shared" si="446"/>
        <v>0</v>
      </c>
      <c r="S1688" s="32" t="str">
        <f>IF(ISERROR(DAY(Q1688)),TEXT(MATCH(TRIM(SUBSTITUTE(SUBSTITUTE(SUBSTITUTE(SUBSTITUTE(SUBSTITUTE(SUBSTITUTE(SUBSTITUTE(SUBSTITUTE(SUBSTITUTE(SUBSTITUTE(SUBSTITUTE(Q1688,1,""),2,""),3,""),4,""),5,""),6,""),7,""),8,""),9,""),0,""),"-","")),{"gennaio","febbraio","marzo","aprile","maggio","giugno","luglio","agosto","settembre","ottobre","novembre","dicembre"},0),"00"),TEXT(MONTH(Q1688)*29,"mmmm"))</f>
        <v>gennaio</v>
      </c>
      <c r="T1688" s="32">
        <f t="shared" si="447"/>
        <v>1900</v>
      </c>
      <c r="U1688" s="29"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00/01/1900</v>
      </c>
      <c r="V1688" s="33"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1900/01/00</v>
      </c>
      <c r="W1688" s="29"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00 gennaio 1900</v>
      </c>
      <c r="X1688" s="29">
        <v>1715</v>
      </c>
      <c r="Y1688" s="29" t="str">
        <f t="shared" si="440"/>
        <v>[' ', '', '', '--', '00 gennaio 1900', '00/01/1900', '1900/01/00'],</v>
      </c>
      <c r="Z1688" s="29" t="str">
        <f t="shared" si="441"/>
        <v xml:space="preserve"> () |  </v>
      </c>
      <c r="AA1688" s="29" t="str">
        <f t="shared" si="442"/>
        <v xml:space="preserve"> </v>
      </c>
      <c r="AB1688" s="29" t="str">
        <f t="shared" si="443"/>
        <v xml:space="preserve"> </v>
      </c>
      <c r="AC1688" s="29" t="str">
        <f t="shared" si="444"/>
        <v xml:space="preserve"> , 0 , 00 gennaio 1900</v>
      </c>
      <c r="AD1688" s="29" t="str">
        <f t="shared" si="445"/>
        <v>1900-01-00T08:00:00.000+02:00</v>
      </c>
      <c r="AE1688" s="29" t="str">
        <f t="shared" si="438"/>
        <v>--</v>
      </c>
      <c r="AF1688" s="29" t="str">
        <f t="shared" si="439"/>
        <v xml:space="preserve">  - 0 - </v>
      </c>
    </row>
    <row r="1689" spans="8:32" x14ac:dyDescent="0.2">
      <c r="H1689" s="29" t="str">
        <f t="shared" si="436"/>
        <v xml:space="preserve"> </v>
      </c>
      <c r="L1689" s="29">
        <f t="shared" si="437"/>
        <v>0</v>
      </c>
      <c r="Q1689" s="38"/>
      <c r="R1689" s="32">
        <f t="shared" si="446"/>
        <v>0</v>
      </c>
      <c r="S1689" s="32" t="str">
        <f>IF(ISERROR(DAY(Q1689)),TEXT(MATCH(TRIM(SUBSTITUTE(SUBSTITUTE(SUBSTITUTE(SUBSTITUTE(SUBSTITUTE(SUBSTITUTE(SUBSTITUTE(SUBSTITUTE(SUBSTITUTE(SUBSTITUTE(SUBSTITUTE(Q1689,1,""),2,""),3,""),4,""),5,""),6,""),7,""),8,""),9,""),0,""),"-","")),{"gennaio","febbraio","marzo","aprile","maggio","giugno","luglio","agosto","settembre","ottobre","novembre","dicembre"},0),"00"),TEXT(MONTH(Q1689)*29,"mmmm"))</f>
        <v>gennaio</v>
      </c>
      <c r="T1689" s="32">
        <f t="shared" si="447"/>
        <v>1900</v>
      </c>
      <c r="U1689" s="29"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00/01/1900</v>
      </c>
      <c r="V1689" s="33"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1900/01/00</v>
      </c>
      <c r="W1689" s="29"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00 gennaio 1900</v>
      </c>
      <c r="X1689" s="29">
        <v>1716</v>
      </c>
      <c r="Y1689" s="29" t="str">
        <f t="shared" si="440"/>
        <v>[' ', '', '', '--', '00 gennaio 1900', '00/01/1900', '1900/01/00'],</v>
      </c>
      <c r="Z1689" s="29" t="str">
        <f t="shared" si="441"/>
        <v xml:space="preserve"> () |  </v>
      </c>
      <c r="AA1689" s="29" t="str">
        <f t="shared" si="442"/>
        <v xml:space="preserve"> </v>
      </c>
      <c r="AB1689" s="29" t="str">
        <f t="shared" si="443"/>
        <v xml:space="preserve"> </v>
      </c>
      <c r="AC1689" s="29" t="str">
        <f t="shared" si="444"/>
        <v xml:space="preserve"> , 0 , 00 gennaio 1900</v>
      </c>
      <c r="AD1689" s="29" t="str">
        <f t="shared" si="445"/>
        <v>1900-01-00T08:00:00.000+02:00</v>
      </c>
      <c r="AE1689" s="29" t="str">
        <f t="shared" si="438"/>
        <v>--</v>
      </c>
      <c r="AF1689" s="29" t="str">
        <f t="shared" si="439"/>
        <v xml:space="preserve">  - 0 - </v>
      </c>
    </row>
    <row r="1690" spans="8:32" x14ac:dyDescent="0.2">
      <c r="H1690" s="29" t="str">
        <f t="shared" si="436"/>
        <v xml:space="preserve"> </v>
      </c>
      <c r="L1690" s="29">
        <f t="shared" si="437"/>
        <v>0</v>
      </c>
      <c r="Q1690" s="38"/>
      <c r="R1690" s="32">
        <f t="shared" si="446"/>
        <v>0</v>
      </c>
      <c r="S1690" s="32" t="str">
        <f>IF(ISERROR(DAY(Q1690)),TEXT(MATCH(TRIM(SUBSTITUTE(SUBSTITUTE(SUBSTITUTE(SUBSTITUTE(SUBSTITUTE(SUBSTITUTE(SUBSTITUTE(SUBSTITUTE(SUBSTITUTE(SUBSTITUTE(SUBSTITUTE(Q1690,1,""),2,""),3,""),4,""),5,""),6,""),7,""),8,""),9,""),0,""),"-","")),{"gennaio","febbraio","marzo","aprile","maggio","giugno","luglio","agosto","settembre","ottobre","novembre","dicembre"},0),"00"),TEXT(MONTH(Q1690)*29,"mmmm"))</f>
        <v>gennaio</v>
      </c>
      <c r="T1690" s="32">
        <f t="shared" si="447"/>
        <v>1900</v>
      </c>
      <c r="U1690" s="29"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00/01/1900</v>
      </c>
      <c r="V1690" s="33"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1900/01/00</v>
      </c>
      <c r="W1690" s="29"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00 gennaio 1900</v>
      </c>
      <c r="X1690" s="29">
        <v>1717</v>
      </c>
      <c r="Y1690" s="29" t="str">
        <f t="shared" si="440"/>
        <v>[' ', '', '', '--', '00 gennaio 1900', '00/01/1900', '1900/01/00'],</v>
      </c>
      <c r="Z1690" s="29" t="str">
        <f t="shared" si="441"/>
        <v xml:space="preserve"> () |  </v>
      </c>
      <c r="AA1690" s="29" t="str">
        <f t="shared" si="442"/>
        <v xml:space="preserve"> </v>
      </c>
      <c r="AB1690" s="29" t="str">
        <f t="shared" si="443"/>
        <v xml:space="preserve"> </v>
      </c>
      <c r="AC1690" s="29" t="str">
        <f t="shared" si="444"/>
        <v xml:space="preserve"> , 0 , 00 gennaio 1900</v>
      </c>
      <c r="AD1690" s="29" t="str">
        <f t="shared" si="445"/>
        <v>1900-01-00T08:00:00.000+02:00</v>
      </c>
      <c r="AE1690" s="29" t="str">
        <f t="shared" si="438"/>
        <v>--</v>
      </c>
      <c r="AF1690" s="29" t="str">
        <f t="shared" si="439"/>
        <v xml:space="preserve">  - 0 - </v>
      </c>
    </row>
    <row r="1691" spans="8:32" x14ac:dyDescent="0.2">
      <c r="H1691" s="29" t="str">
        <f t="shared" si="436"/>
        <v xml:space="preserve"> </v>
      </c>
      <c r="L1691" s="29">
        <f t="shared" si="437"/>
        <v>0</v>
      </c>
      <c r="Q1691" s="38"/>
      <c r="R1691" s="32">
        <f t="shared" si="446"/>
        <v>0</v>
      </c>
      <c r="S1691" s="32" t="str">
        <f>IF(ISERROR(DAY(Q1691)),TEXT(MATCH(TRIM(SUBSTITUTE(SUBSTITUTE(SUBSTITUTE(SUBSTITUTE(SUBSTITUTE(SUBSTITUTE(SUBSTITUTE(SUBSTITUTE(SUBSTITUTE(SUBSTITUTE(SUBSTITUTE(Q1691,1,""),2,""),3,""),4,""),5,""),6,""),7,""),8,""),9,""),0,""),"-","")),{"gennaio","febbraio","marzo","aprile","maggio","giugno","luglio","agosto","settembre","ottobre","novembre","dicembre"},0),"00"),TEXT(MONTH(Q1691)*29,"mmmm"))</f>
        <v>gennaio</v>
      </c>
      <c r="T1691" s="32">
        <f t="shared" si="447"/>
        <v>1900</v>
      </c>
      <c r="U1691" s="29"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00/01/1900</v>
      </c>
      <c r="V1691" s="33"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1900/01/00</v>
      </c>
      <c r="W1691" s="29"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00 gennaio 1900</v>
      </c>
      <c r="X1691" s="29">
        <v>1718</v>
      </c>
      <c r="Y1691" s="29" t="str">
        <f t="shared" si="440"/>
        <v>[' ', '', '', '--', '00 gennaio 1900', '00/01/1900', '1900/01/00'],</v>
      </c>
      <c r="Z1691" s="29" t="str">
        <f t="shared" si="441"/>
        <v xml:space="preserve"> () |  </v>
      </c>
      <c r="AA1691" s="29" t="str">
        <f t="shared" si="442"/>
        <v xml:space="preserve"> </v>
      </c>
      <c r="AB1691" s="29" t="str">
        <f t="shared" si="443"/>
        <v xml:space="preserve"> </v>
      </c>
      <c r="AC1691" s="29" t="str">
        <f t="shared" si="444"/>
        <v xml:space="preserve"> , 0 , 00 gennaio 1900</v>
      </c>
      <c r="AD1691" s="29" t="str">
        <f t="shared" si="445"/>
        <v>1900-01-00T08:00:00.000+02:00</v>
      </c>
      <c r="AE1691" s="29" t="str">
        <f t="shared" si="438"/>
        <v>--</v>
      </c>
      <c r="AF1691" s="29" t="str">
        <f t="shared" si="439"/>
        <v xml:space="preserve">  - 0 - </v>
      </c>
    </row>
    <row r="1692" spans="8:32" x14ac:dyDescent="0.2">
      <c r="H1692" s="29" t="str">
        <f t="shared" si="436"/>
        <v xml:space="preserve"> </v>
      </c>
      <c r="L1692" s="29">
        <f t="shared" si="437"/>
        <v>0</v>
      </c>
      <c r="Q1692" s="38"/>
      <c r="R1692" s="32">
        <f t="shared" si="446"/>
        <v>0</v>
      </c>
      <c r="S1692" s="32" t="str">
        <f>IF(ISERROR(DAY(Q1692)),TEXT(MATCH(TRIM(SUBSTITUTE(SUBSTITUTE(SUBSTITUTE(SUBSTITUTE(SUBSTITUTE(SUBSTITUTE(SUBSTITUTE(SUBSTITUTE(SUBSTITUTE(SUBSTITUTE(SUBSTITUTE(Q1692,1,""),2,""),3,""),4,""),5,""),6,""),7,""),8,""),9,""),0,""),"-","")),{"gennaio","febbraio","marzo","aprile","maggio","giugno","luglio","agosto","settembre","ottobre","novembre","dicembre"},0),"00"),TEXT(MONTH(Q1692)*29,"mmmm"))</f>
        <v>gennaio</v>
      </c>
      <c r="T1692" s="32">
        <f t="shared" si="447"/>
        <v>1900</v>
      </c>
      <c r="U1692" s="29"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00/01/1900</v>
      </c>
      <c r="V1692" s="33"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1900/01/00</v>
      </c>
      <c r="W1692" s="29"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00 gennaio 1900</v>
      </c>
      <c r="X1692" s="29">
        <v>1719</v>
      </c>
      <c r="Y1692" s="29" t="str">
        <f t="shared" si="440"/>
        <v>[' ', '', '', '--', '00 gennaio 1900', '00/01/1900', '1900/01/00'],</v>
      </c>
      <c r="Z1692" s="29" t="str">
        <f t="shared" si="441"/>
        <v xml:space="preserve"> () |  </v>
      </c>
      <c r="AA1692" s="29" t="str">
        <f t="shared" si="442"/>
        <v xml:space="preserve"> </v>
      </c>
      <c r="AB1692" s="29" t="str">
        <f t="shared" si="443"/>
        <v xml:space="preserve"> </v>
      </c>
      <c r="AC1692" s="29" t="str">
        <f t="shared" si="444"/>
        <v xml:space="preserve"> , 0 , 00 gennaio 1900</v>
      </c>
      <c r="AD1692" s="29" t="str">
        <f t="shared" si="445"/>
        <v>1900-01-00T08:00:00.000+02:00</v>
      </c>
      <c r="AE1692" s="29" t="str">
        <f t="shared" si="438"/>
        <v>--</v>
      </c>
      <c r="AF1692" s="29" t="str">
        <f t="shared" si="439"/>
        <v xml:space="preserve">  - 0 - </v>
      </c>
    </row>
    <row r="1693" spans="8:32" x14ac:dyDescent="0.2">
      <c r="H1693" s="29" t="str">
        <f t="shared" si="436"/>
        <v xml:space="preserve"> </v>
      </c>
      <c r="L1693" s="29">
        <f t="shared" si="437"/>
        <v>0</v>
      </c>
      <c r="Q1693" s="38"/>
      <c r="R1693" s="32">
        <f t="shared" si="446"/>
        <v>0</v>
      </c>
      <c r="S1693" s="32" t="str">
        <f>IF(ISERROR(DAY(Q1693)),TEXT(MATCH(TRIM(SUBSTITUTE(SUBSTITUTE(SUBSTITUTE(SUBSTITUTE(SUBSTITUTE(SUBSTITUTE(SUBSTITUTE(SUBSTITUTE(SUBSTITUTE(SUBSTITUTE(SUBSTITUTE(Q1693,1,""),2,""),3,""),4,""),5,""),6,""),7,""),8,""),9,""),0,""),"-","")),{"gennaio","febbraio","marzo","aprile","maggio","giugno","luglio","agosto","settembre","ottobre","novembre","dicembre"},0),"00"),TEXT(MONTH(Q1693)*29,"mmmm"))</f>
        <v>gennaio</v>
      </c>
      <c r="T1693" s="32">
        <f t="shared" si="447"/>
        <v>1900</v>
      </c>
      <c r="U1693" s="29"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00/01/1900</v>
      </c>
      <c r="V1693" s="33"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1900/01/00</v>
      </c>
      <c r="W1693" s="29"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00 gennaio 1900</v>
      </c>
      <c r="X1693" s="29">
        <v>1720</v>
      </c>
      <c r="Y1693" s="29" t="str">
        <f t="shared" si="440"/>
        <v>[' ', '', '', '--', '00 gennaio 1900', '00/01/1900', '1900/01/00'],</v>
      </c>
      <c r="Z1693" s="29" t="str">
        <f t="shared" si="441"/>
        <v xml:space="preserve"> () |  </v>
      </c>
      <c r="AA1693" s="29" t="str">
        <f t="shared" si="442"/>
        <v xml:space="preserve"> </v>
      </c>
      <c r="AB1693" s="29" t="str">
        <f t="shared" si="443"/>
        <v xml:space="preserve"> </v>
      </c>
      <c r="AC1693" s="29" t="str">
        <f t="shared" si="444"/>
        <v xml:space="preserve"> , 0 , 00 gennaio 1900</v>
      </c>
      <c r="AD1693" s="29" t="str">
        <f t="shared" si="445"/>
        <v>1900-01-00T08:00:00.000+02:00</v>
      </c>
      <c r="AE1693" s="29" t="str">
        <f t="shared" si="438"/>
        <v>--</v>
      </c>
      <c r="AF1693" s="29" t="str">
        <f t="shared" si="439"/>
        <v xml:space="preserve">  - 0 - </v>
      </c>
    </row>
    <row r="1694" spans="8:32" x14ac:dyDescent="0.2">
      <c r="H1694" s="29" t="str">
        <f t="shared" si="436"/>
        <v xml:space="preserve"> </v>
      </c>
      <c r="L1694" s="29">
        <f t="shared" si="437"/>
        <v>0</v>
      </c>
      <c r="Q1694" s="38"/>
      <c r="R1694" s="32">
        <f t="shared" si="446"/>
        <v>0</v>
      </c>
      <c r="S1694" s="32" t="str">
        <f>IF(ISERROR(DAY(Q1694)),TEXT(MATCH(TRIM(SUBSTITUTE(SUBSTITUTE(SUBSTITUTE(SUBSTITUTE(SUBSTITUTE(SUBSTITUTE(SUBSTITUTE(SUBSTITUTE(SUBSTITUTE(SUBSTITUTE(SUBSTITUTE(Q1694,1,""),2,""),3,""),4,""),5,""),6,""),7,""),8,""),9,""),0,""),"-","")),{"gennaio","febbraio","marzo","aprile","maggio","giugno","luglio","agosto","settembre","ottobre","novembre","dicembre"},0),"00"),TEXT(MONTH(Q1694)*29,"mmmm"))</f>
        <v>gennaio</v>
      </c>
      <c r="T1694" s="32">
        <f t="shared" si="447"/>
        <v>1900</v>
      </c>
      <c r="U1694" s="29"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00/01/1900</v>
      </c>
      <c r="V1694" s="33"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1900/01/00</v>
      </c>
      <c r="W1694" s="29"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00 gennaio 1900</v>
      </c>
      <c r="X1694" s="29">
        <v>1721</v>
      </c>
      <c r="Y1694" s="29" t="str">
        <f t="shared" si="440"/>
        <v>[' ', '', '', '--', '00 gennaio 1900', '00/01/1900', '1900/01/00'],</v>
      </c>
      <c r="Z1694" s="29" t="str">
        <f t="shared" si="441"/>
        <v xml:space="preserve"> () |  </v>
      </c>
      <c r="AA1694" s="29" t="str">
        <f t="shared" si="442"/>
        <v xml:space="preserve"> </v>
      </c>
      <c r="AB1694" s="29" t="str">
        <f t="shared" si="443"/>
        <v xml:space="preserve"> </v>
      </c>
      <c r="AC1694" s="29" t="str">
        <f t="shared" si="444"/>
        <v xml:space="preserve"> , 0 , 00 gennaio 1900</v>
      </c>
      <c r="AD1694" s="29" t="str">
        <f t="shared" si="445"/>
        <v>1900-01-00T08:00:00.000+02:00</v>
      </c>
      <c r="AE1694" s="29" t="str">
        <f t="shared" si="438"/>
        <v>--</v>
      </c>
      <c r="AF1694" s="29" t="str">
        <f t="shared" si="439"/>
        <v xml:space="preserve">  - 0 - </v>
      </c>
    </row>
    <row r="1695" spans="8:32" x14ac:dyDescent="0.2">
      <c r="H1695" s="29" t="str">
        <f t="shared" si="436"/>
        <v xml:space="preserve"> </v>
      </c>
      <c r="L1695" s="29">
        <f t="shared" si="437"/>
        <v>0</v>
      </c>
      <c r="Q1695" s="38"/>
      <c r="R1695" s="32">
        <f t="shared" si="446"/>
        <v>0</v>
      </c>
      <c r="S1695" s="32" t="str">
        <f>IF(ISERROR(DAY(Q1695)),TEXT(MATCH(TRIM(SUBSTITUTE(SUBSTITUTE(SUBSTITUTE(SUBSTITUTE(SUBSTITUTE(SUBSTITUTE(SUBSTITUTE(SUBSTITUTE(SUBSTITUTE(SUBSTITUTE(SUBSTITUTE(Q1695,1,""),2,""),3,""),4,""),5,""),6,""),7,""),8,""),9,""),0,""),"-","")),{"gennaio","febbraio","marzo","aprile","maggio","giugno","luglio","agosto","settembre","ottobre","novembre","dicembre"},0),"00"),TEXT(MONTH(Q1695)*29,"mmmm"))</f>
        <v>gennaio</v>
      </c>
      <c r="T1695" s="32">
        <f t="shared" si="447"/>
        <v>1900</v>
      </c>
      <c r="U1695" s="29"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00/01/1900</v>
      </c>
      <c r="V1695" s="33"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1900/01/00</v>
      </c>
      <c r="W1695" s="29"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00 gennaio 1900</v>
      </c>
      <c r="X1695" s="29">
        <v>1722</v>
      </c>
      <c r="Y1695" s="29" t="str">
        <f t="shared" si="440"/>
        <v>[' ', '', '', '--', '00 gennaio 1900', '00/01/1900', '1900/01/00'],</v>
      </c>
      <c r="Z1695" s="29" t="str">
        <f t="shared" si="441"/>
        <v xml:space="preserve"> () |  </v>
      </c>
      <c r="AA1695" s="29" t="str">
        <f t="shared" si="442"/>
        <v xml:space="preserve"> </v>
      </c>
      <c r="AB1695" s="29" t="str">
        <f t="shared" si="443"/>
        <v xml:space="preserve"> </v>
      </c>
      <c r="AC1695" s="29" t="str">
        <f t="shared" si="444"/>
        <v xml:space="preserve"> , 0 , 00 gennaio 1900</v>
      </c>
      <c r="AD1695" s="29" t="str">
        <f t="shared" si="445"/>
        <v>1900-01-00T08:00:00.000+02:00</v>
      </c>
      <c r="AE1695" s="29" t="str">
        <f t="shared" si="438"/>
        <v>--</v>
      </c>
      <c r="AF1695" s="29" t="str">
        <f t="shared" si="439"/>
        <v xml:space="preserve">  - 0 - </v>
      </c>
    </row>
    <row r="1696" spans="8:32" x14ac:dyDescent="0.2">
      <c r="H1696" s="29" t="str">
        <f t="shared" ref="H1696:H1759" si="448">_xlfn.CONCAT(D1696 &amp; " " &amp; E1696)</f>
        <v xml:space="preserve"> </v>
      </c>
      <c r="L1696" s="29">
        <f t="shared" si="437"/>
        <v>0</v>
      </c>
      <c r="Q1696" s="38"/>
      <c r="R1696" s="32">
        <f t="shared" si="446"/>
        <v>0</v>
      </c>
      <c r="S1696" s="32" t="str">
        <f>IF(ISERROR(DAY(Q1696)),TEXT(MATCH(TRIM(SUBSTITUTE(SUBSTITUTE(SUBSTITUTE(SUBSTITUTE(SUBSTITUTE(SUBSTITUTE(SUBSTITUTE(SUBSTITUTE(SUBSTITUTE(SUBSTITUTE(SUBSTITUTE(Q1696,1,""),2,""),3,""),4,""),5,""),6,""),7,""),8,""),9,""),0,""),"-","")),{"gennaio","febbraio","marzo","aprile","maggio","giugno","luglio","agosto","settembre","ottobre","novembre","dicembre"},0),"00"),TEXT(MONTH(Q1696)*29,"mmmm"))</f>
        <v>gennaio</v>
      </c>
      <c r="T1696" s="32">
        <f t="shared" si="447"/>
        <v>1900</v>
      </c>
      <c r="U1696" s="29"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00/01/1900</v>
      </c>
      <c r="V1696" s="33"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1900/01/00</v>
      </c>
      <c r="W1696" s="29"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00 gennaio 1900</v>
      </c>
      <c r="X1696" s="29">
        <v>1723</v>
      </c>
      <c r="Y1696" s="29" t="str">
        <f t="shared" si="440"/>
        <v>[' ', '', '', '--', '00 gennaio 1900', '00/01/1900', '1900/01/00'],</v>
      </c>
      <c r="Z1696" s="29" t="str">
        <f t="shared" si="441"/>
        <v xml:space="preserve"> () |  </v>
      </c>
      <c r="AA1696" s="29" t="str">
        <f t="shared" si="442"/>
        <v xml:space="preserve"> </v>
      </c>
      <c r="AB1696" s="29" t="str">
        <f t="shared" si="443"/>
        <v xml:space="preserve"> </v>
      </c>
      <c r="AC1696" s="29" t="str">
        <f t="shared" si="444"/>
        <v xml:space="preserve"> , 0 , 00 gennaio 1900</v>
      </c>
      <c r="AD1696" s="29" t="str">
        <f t="shared" si="445"/>
        <v>1900-01-00T08:00:00.000+02:00</v>
      </c>
      <c r="AE1696" s="29" t="str">
        <f t="shared" si="438"/>
        <v>--</v>
      </c>
      <c r="AF1696" s="29" t="str">
        <f t="shared" si="439"/>
        <v xml:space="preserve">  - 0 - </v>
      </c>
    </row>
    <row r="1697" spans="8:32" x14ac:dyDescent="0.2">
      <c r="H1697" s="29" t="str">
        <f t="shared" si="448"/>
        <v xml:space="preserve"> </v>
      </c>
      <c r="L1697" s="29">
        <f t="shared" si="437"/>
        <v>0</v>
      </c>
      <c r="Q1697" s="38"/>
      <c r="R1697" s="32">
        <f t="shared" si="446"/>
        <v>0</v>
      </c>
      <c r="S1697" s="32" t="str">
        <f>IF(ISERROR(DAY(Q1697)),TEXT(MATCH(TRIM(SUBSTITUTE(SUBSTITUTE(SUBSTITUTE(SUBSTITUTE(SUBSTITUTE(SUBSTITUTE(SUBSTITUTE(SUBSTITUTE(SUBSTITUTE(SUBSTITUTE(SUBSTITUTE(Q1697,1,""),2,""),3,""),4,""),5,""),6,""),7,""),8,""),9,""),0,""),"-","")),{"gennaio","febbraio","marzo","aprile","maggio","giugno","luglio","agosto","settembre","ottobre","novembre","dicembre"},0),"00"),TEXT(MONTH(Q1697)*29,"mmmm"))</f>
        <v>gennaio</v>
      </c>
      <c r="T1697" s="32">
        <f t="shared" si="447"/>
        <v>1900</v>
      </c>
      <c r="U1697" s="29"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00/01/1900</v>
      </c>
      <c r="V1697" s="33"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1900/01/00</v>
      </c>
      <c r="W1697" s="29"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00 gennaio 1900</v>
      </c>
      <c r="X1697" s="29">
        <v>1724</v>
      </c>
      <c r="Y1697" s="29" t="str">
        <f t="shared" si="440"/>
        <v>[' ', '', '', '--', '00 gennaio 1900', '00/01/1900', '1900/01/00'],</v>
      </c>
      <c r="Z1697" s="29" t="str">
        <f t="shared" si="441"/>
        <v xml:space="preserve"> () |  </v>
      </c>
      <c r="AA1697" s="29" t="str">
        <f t="shared" si="442"/>
        <v xml:space="preserve"> </v>
      </c>
      <c r="AB1697" s="29" t="str">
        <f t="shared" si="443"/>
        <v xml:space="preserve"> </v>
      </c>
      <c r="AC1697" s="29" t="str">
        <f t="shared" si="444"/>
        <v xml:space="preserve"> , 0 , 00 gennaio 1900</v>
      </c>
      <c r="AD1697" s="29" t="str">
        <f t="shared" si="445"/>
        <v>1900-01-00T08:00:00.000+02:00</v>
      </c>
      <c r="AE1697" s="29" t="str">
        <f t="shared" si="438"/>
        <v>--</v>
      </c>
      <c r="AF1697" s="29" t="str">
        <f t="shared" si="439"/>
        <v xml:space="preserve">  - 0 - </v>
      </c>
    </row>
    <row r="1698" spans="8:32" x14ac:dyDescent="0.2">
      <c r="H1698" s="29" t="str">
        <f t="shared" si="448"/>
        <v xml:space="preserve"> </v>
      </c>
      <c r="L1698" s="29">
        <f t="shared" si="437"/>
        <v>0</v>
      </c>
      <c r="Q1698" s="38"/>
      <c r="R1698" s="32">
        <f t="shared" si="446"/>
        <v>0</v>
      </c>
      <c r="S1698" s="32" t="str">
        <f>IF(ISERROR(DAY(Q1698)),TEXT(MATCH(TRIM(SUBSTITUTE(SUBSTITUTE(SUBSTITUTE(SUBSTITUTE(SUBSTITUTE(SUBSTITUTE(SUBSTITUTE(SUBSTITUTE(SUBSTITUTE(SUBSTITUTE(SUBSTITUTE(Q1698,1,""),2,""),3,""),4,""),5,""),6,""),7,""),8,""),9,""),0,""),"-","")),{"gennaio","febbraio","marzo","aprile","maggio","giugno","luglio","agosto","settembre","ottobre","novembre","dicembre"},0),"00"),TEXT(MONTH(Q1698)*29,"mmmm"))</f>
        <v>gennaio</v>
      </c>
      <c r="T1698" s="32">
        <f t="shared" si="447"/>
        <v>1900</v>
      </c>
      <c r="U1698" s="29"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00/01/1900</v>
      </c>
      <c r="V1698" s="33"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1900/01/00</v>
      </c>
      <c r="W1698" s="29"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00 gennaio 1900</v>
      </c>
      <c r="X1698" s="29">
        <v>1725</v>
      </c>
      <c r="Y1698" s="29" t="str">
        <f t="shared" si="440"/>
        <v>[' ', '', '', '--', '00 gennaio 1900', '00/01/1900', '1900/01/00'],</v>
      </c>
      <c r="Z1698" s="29" t="str">
        <f t="shared" si="441"/>
        <v xml:space="preserve"> () |  </v>
      </c>
      <c r="AA1698" s="29" t="str">
        <f t="shared" si="442"/>
        <v xml:space="preserve"> </v>
      </c>
      <c r="AB1698" s="29" t="str">
        <f t="shared" si="443"/>
        <v xml:space="preserve"> </v>
      </c>
      <c r="AC1698" s="29" t="str">
        <f t="shared" si="444"/>
        <v xml:space="preserve"> , 0 , 00 gennaio 1900</v>
      </c>
      <c r="AD1698" s="29" t="str">
        <f t="shared" si="445"/>
        <v>1900-01-00T08:00:00.000+02:00</v>
      </c>
      <c r="AE1698" s="29" t="str">
        <f t="shared" si="438"/>
        <v>--</v>
      </c>
      <c r="AF1698" s="29" t="str">
        <f t="shared" si="439"/>
        <v xml:space="preserve">  - 0 - </v>
      </c>
    </row>
    <row r="1699" spans="8:32" x14ac:dyDescent="0.2">
      <c r="H1699" s="29" t="str">
        <f t="shared" si="448"/>
        <v xml:space="preserve"> </v>
      </c>
      <c r="L1699" s="29">
        <f t="shared" si="437"/>
        <v>0</v>
      </c>
      <c r="Q1699" s="38"/>
      <c r="R1699" s="32">
        <f t="shared" si="446"/>
        <v>0</v>
      </c>
      <c r="S1699" s="32" t="str">
        <f>IF(ISERROR(DAY(Q1699)),TEXT(MATCH(TRIM(SUBSTITUTE(SUBSTITUTE(SUBSTITUTE(SUBSTITUTE(SUBSTITUTE(SUBSTITUTE(SUBSTITUTE(SUBSTITUTE(SUBSTITUTE(SUBSTITUTE(SUBSTITUTE(Q1699,1,""),2,""),3,""),4,""),5,""),6,""),7,""),8,""),9,""),0,""),"-","")),{"gennaio","febbraio","marzo","aprile","maggio","giugno","luglio","agosto","settembre","ottobre","novembre","dicembre"},0),"00"),TEXT(MONTH(Q1699)*29,"mmmm"))</f>
        <v>gennaio</v>
      </c>
      <c r="T1699" s="32">
        <f t="shared" si="447"/>
        <v>1900</v>
      </c>
      <c r="U1699" s="29"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00/01/1900</v>
      </c>
      <c r="V1699" s="33"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1900/01/00</v>
      </c>
      <c r="W1699" s="29"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00 gennaio 1900</v>
      </c>
      <c r="X1699" s="29">
        <v>1726</v>
      </c>
      <c r="Y1699" s="29" t="str">
        <f t="shared" si="440"/>
        <v>[' ', '', '', '--', '00 gennaio 1900', '00/01/1900', '1900/01/00'],</v>
      </c>
      <c r="Z1699" s="29" t="str">
        <f t="shared" si="441"/>
        <v xml:space="preserve"> () |  </v>
      </c>
      <c r="AA1699" s="29" t="str">
        <f t="shared" si="442"/>
        <v xml:space="preserve"> </v>
      </c>
      <c r="AB1699" s="29" t="str">
        <f t="shared" si="443"/>
        <v xml:space="preserve"> </v>
      </c>
      <c r="AC1699" s="29" t="str">
        <f t="shared" si="444"/>
        <v xml:space="preserve"> , 0 , 00 gennaio 1900</v>
      </c>
      <c r="AD1699" s="29" t="str">
        <f t="shared" si="445"/>
        <v>1900-01-00T08:00:00.000+02:00</v>
      </c>
      <c r="AE1699" s="29" t="str">
        <f t="shared" si="438"/>
        <v>--</v>
      </c>
      <c r="AF1699" s="29" t="str">
        <f t="shared" si="439"/>
        <v xml:space="preserve">  - 0 - </v>
      </c>
    </row>
    <row r="1700" spans="8:32" x14ac:dyDescent="0.2">
      <c r="H1700" s="29" t="str">
        <f t="shared" si="448"/>
        <v xml:space="preserve"> </v>
      </c>
      <c r="L1700" s="29">
        <f t="shared" si="437"/>
        <v>0</v>
      </c>
      <c r="Q1700" s="38"/>
      <c r="R1700" s="32">
        <f t="shared" si="446"/>
        <v>0</v>
      </c>
      <c r="S1700" s="32" t="str">
        <f>IF(ISERROR(DAY(Q1700)),TEXT(MATCH(TRIM(SUBSTITUTE(SUBSTITUTE(SUBSTITUTE(SUBSTITUTE(SUBSTITUTE(SUBSTITUTE(SUBSTITUTE(SUBSTITUTE(SUBSTITUTE(SUBSTITUTE(SUBSTITUTE(Q1700,1,""),2,""),3,""),4,""),5,""),6,""),7,""),8,""),9,""),0,""),"-","")),{"gennaio","febbraio","marzo","aprile","maggio","giugno","luglio","agosto","settembre","ottobre","novembre","dicembre"},0),"00"),TEXT(MONTH(Q1700)*29,"mmmm"))</f>
        <v>gennaio</v>
      </c>
      <c r="T1700" s="32">
        <f t="shared" si="447"/>
        <v>1900</v>
      </c>
      <c r="U1700" s="29"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00/01/1900</v>
      </c>
      <c r="V1700" s="33"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1900/01/00</v>
      </c>
      <c r="W1700" s="29"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00 gennaio 1900</v>
      </c>
      <c r="X1700" s="29">
        <v>1727</v>
      </c>
      <c r="Y1700" s="29" t="str">
        <f t="shared" si="440"/>
        <v>[' ', '', '', '--', '00 gennaio 1900', '00/01/1900', '1900/01/00'],</v>
      </c>
      <c r="Z1700" s="29" t="str">
        <f t="shared" si="441"/>
        <v xml:space="preserve"> () |  </v>
      </c>
      <c r="AA1700" s="29" t="str">
        <f t="shared" si="442"/>
        <v xml:space="preserve"> </v>
      </c>
      <c r="AB1700" s="29" t="str">
        <f t="shared" si="443"/>
        <v xml:space="preserve"> </v>
      </c>
      <c r="AC1700" s="29" t="str">
        <f t="shared" si="444"/>
        <v xml:space="preserve"> , 0 , 00 gennaio 1900</v>
      </c>
      <c r="AD1700" s="29" t="str">
        <f t="shared" si="445"/>
        <v>1900-01-00T08:00:00.000+02:00</v>
      </c>
      <c r="AE1700" s="29" t="str">
        <f t="shared" si="438"/>
        <v>--</v>
      </c>
      <c r="AF1700" s="29" t="str">
        <f t="shared" si="439"/>
        <v xml:space="preserve">  - 0 - </v>
      </c>
    </row>
    <row r="1701" spans="8:32" x14ac:dyDescent="0.2">
      <c r="H1701" s="29" t="str">
        <f t="shared" si="448"/>
        <v xml:space="preserve"> </v>
      </c>
      <c r="L1701" s="29">
        <f t="shared" si="437"/>
        <v>0</v>
      </c>
      <c r="Q1701" s="38"/>
      <c r="R1701" s="32">
        <f t="shared" si="446"/>
        <v>0</v>
      </c>
      <c r="S1701" s="32" t="str">
        <f>IF(ISERROR(DAY(Q1701)),TEXT(MATCH(TRIM(SUBSTITUTE(SUBSTITUTE(SUBSTITUTE(SUBSTITUTE(SUBSTITUTE(SUBSTITUTE(SUBSTITUTE(SUBSTITUTE(SUBSTITUTE(SUBSTITUTE(SUBSTITUTE(Q1701,1,""),2,""),3,""),4,""),5,""),6,""),7,""),8,""),9,""),0,""),"-","")),{"gennaio","febbraio","marzo","aprile","maggio","giugno","luglio","agosto","settembre","ottobre","novembre","dicembre"},0),"00"),TEXT(MONTH(Q1701)*29,"mmmm"))</f>
        <v>gennaio</v>
      </c>
      <c r="T1701" s="32">
        <f t="shared" si="447"/>
        <v>1900</v>
      </c>
      <c r="U1701" s="29"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00/01/1900</v>
      </c>
      <c r="V1701" s="33"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1900/01/00</v>
      </c>
      <c r="W1701" s="29"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00 gennaio 1900</v>
      </c>
      <c r="X1701" s="29">
        <v>1728</v>
      </c>
      <c r="Y1701" s="29" t="str">
        <f t="shared" si="440"/>
        <v>[' ', '', '', '--', '00 gennaio 1900', '00/01/1900', '1900/01/00'],</v>
      </c>
      <c r="Z1701" s="29" t="str">
        <f t="shared" si="441"/>
        <v xml:space="preserve"> () |  </v>
      </c>
      <c r="AA1701" s="29" t="str">
        <f t="shared" si="442"/>
        <v xml:space="preserve"> </v>
      </c>
      <c r="AB1701" s="29" t="str">
        <f t="shared" si="443"/>
        <v xml:space="preserve"> </v>
      </c>
      <c r="AC1701" s="29" t="str">
        <f t="shared" si="444"/>
        <v xml:space="preserve"> , 0 , 00 gennaio 1900</v>
      </c>
      <c r="AD1701" s="29" t="str">
        <f t="shared" si="445"/>
        <v>1900-01-00T08:00:00.000+02:00</v>
      </c>
      <c r="AE1701" s="29" t="str">
        <f t="shared" si="438"/>
        <v>--</v>
      </c>
      <c r="AF1701" s="29" t="str">
        <f t="shared" si="439"/>
        <v xml:space="preserve">  - 0 - </v>
      </c>
    </row>
    <row r="1702" spans="8:32" x14ac:dyDescent="0.2">
      <c r="H1702" s="29" t="str">
        <f t="shared" si="448"/>
        <v xml:space="preserve"> </v>
      </c>
      <c r="L1702" s="29">
        <f t="shared" ref="L1702:L1765" si="449">IF(J1702&lt;&gt;"",_xlfn.CONCAT(J1702 &amp; " " &amp; K1702),K1702)</f>
        <v>0</v>
      </c>
      <c r="Q1702" s="38"/>
      <c r="R1702" s="32">
        <f t="shared" si="446"/>
        <v>0</v>
      </c>
      <c r="S1702" s="32" t="str">
        <f>IF(ISERROR(DAY(Q1702)),TEXT(MATCH(TRIM(SUBSTITUTE(SUBSTITUTE(SUBSTITUTE(SUBSTITUTE(SUBSTITUTE(SUBSTITUTE(SUBSTITUTE(SUBSTITUTE(SUBSTITUTE(SUBSTITUTE(SUBSTITUTE(Q1702,1,""),2,""),3,""),4,""),5,""),6,""),7,""),8,""),9,""),0,""),"-","")),{"gennaio","febbraio","marzo","aprile","maggio","giugno","luglio","agosto","settembre","ottobre","novembre","dicembre"},0),"00"),TEXT(MONTH(Q1702)*29,"mmmm"))</f>
        <v>gennaio</v>
      </c>
      <c r="T1702" s="32">
        <f t="shared" si="447"/>
        <v>1900</v>
      </c>
      <c r="U1702" s="29"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00/01/1900</v>
      </c>
      <c r="V1702" s="33"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1900/01/00</v>
      </c>
      <c r="W1702" s="29"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00 gennaio 1900</v>
      </c>
      <c r="X1702" s="29">
        <v>1729</v>
      </c>
      <c r="Y1702" s="29" t="str">
        <f t="shared" si="440"/>
        <v>[' ', '', '', '--', '00 gennaio 1900', '00/01/1900', '1900/01/00'],</v>
      </c>
      <c r="Z1702" s="29" t="str">
        <f t="shared" si="441"/>
        <v xml:space="preserve"> () |  </v>
      </c>
      <c r="AA1702" s="29" t="str">
        <f t="shared" si="442"/>
        <v xml:space="preserve"> </v>
      </c>
      <c r="AB1702" s="29" t="str">
        <f t="shared" si="443"/>
        <v xml:space="preserve"> </v>
      </c>
      <c r="AC1702" s="29" t="str">
        <f t="shared" si="444"/>
        <v xml:space="preserve"> , 0 , 00 gennaio 1900</v>
      </c>
      <c r="AD1702" s="29" t="str">
        <f t="shared" si="445"/>
        <v>1900-01-00T08:00:00.000+02:00</v>
      </c>
      <c r="AE1702" s="29" t="str">
        <f t="shared" si="438"/>
        <v>--</v>
      </c>
      <c r="AF1702" s="29" t="str">
        <f t="shared" si="439"/>
        <v xml:space="preserve">  - 0 - </v>
      </c>
    </row>
    <row r="1703" spans="8:32" x14ac:dyDescent="0.2">
      <c r="H1703" s="29" t="str">
        <f t="shared" si="448"/>
        <v xml:space="preserve"> </v>
      </c>
      <c r="L1703" s="29">
        <f t="shared" si="449"/>
        <v>0</v>
      </c>
      <c r="Q1703" s="38"/>
      <c r="R1703" s="32">
        <f t="shared" si="446"/>
        <v>0</v>
      </c>
      <c r="S1703" s="32" t="str">
        <f>IF(ISERROR(DAY(Q1703)),TEXT(MATCH(TRIM(SUBSTITUTE(SUBSTITUTE(SUBSTITUTE(SUBSTITUTE(SUBSTITUTE(SUBSTITUTE(SUBSTITUTE(SUBSTITUTE(SUBSTITUTE(SUBSTITUTE(SUBSTITUTE(Q1703,1,""),2,""),3,""),4,""),5,""),6,""),7,""),8,""),9,""),0,""),"-","")),{"gennaio","febbraio","marzo","aprile","maggio","giugno","luglio","agosto","settembre","ottobre","novembre","dicembre"},0),"00"),TEXT(MONTH(Q1703)*29,"mmmm"))</f>
        <v>gennaio</v>
      </c>
      <c r="T1703" s="32">
        <f t="shared" si="447"/>
        <v>1900</v>
      </c>
      <c r="U1703" s="29"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00/01/1900</v>
      </c>
      <c r="V1703" s="33"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1900/01/00</v>
      </c>
      <c r="W1703" s="29"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00 gennaio 1900</v>
      </c>
      <c r="X1703" s="29">
        <v>1730</v>
      </c>
      <c r="Y1703" s="29" t="str">
        <f t="shared" si="440"/>
        <v>[' ', '', '', '--', '00 gennaio 1900', '00/01/1900', '1900/01/00'],</v>
      </c>
      <c r="Z1703" s="29" t="str">
        <f t="shared" si="441"/>
        <v xml:space="preserve"> () |  </v>
      </c>
      <c r="AA1703" s="29" t="str">
        <f t="shared" si="442"/>
        <v xml:space="preserve"> </v>
      </c>
      <c r="AB1703" s="29" t="str">
        <f t="shared" si="443"/>
        <v xml:space="preserve"> </v>
      </c>
      <c r="AC1703" s="29" t="str">
        <f t="shared" si="444"/>
        <v xml:space="preserve"> , 0 , 00 gennaio 1900</v>
      </c>
      <c r="AD1703" s="29" t="str">
        <f t="shared" si="445"/>
        <v>1900-01-00T08:00:00.000+02:00</v>
      </c>
      <c r="AE1703" s="29" t="str">
        <f t="shared" ref="AE1703:AE1766" si="450">_xlfn.CONCAT(F1703 &amp; "-" &amp; M1703 &amp; "-" &amp; P1703)</f>
        <v>--</v>
      </c>
      <c r="AF1703" s="29" t="str">
        <f t="shared" ref="AF1703:AF1766" si="451">_xlfn.CONCAT(H1703 &amp; " - " &amp; L1703 &amp; " - " &amp; O1703)</f>
        <v xml:space="preserve">  - 0 - </v>
      </c>
    </row>
    <row r="1704" spans="8:32" x14ac:dyDescent="0.2">
      <c r="H1704" s="29" t="str">
        <f t="shared" si="448"/>
        <v xml:space="preserve"> </v>
      </c>
      <c r="L1704" s="29">
        <f t="shared" si="449"/>
        <v>0</v>
      </c>
      <c r="Q1704" s="38"/>
      <c r="R1704" s="32">
        <f t="shared" si="446"/>
        <v>0</v>
      </c>
      <c r="S1704" s="32" t="str">
        <f>IF(ISERROR(DAY(Q1704)),TEXT(MATCH(TRIM(SUBSTITUTE(SUBSTITUTE(SUBSTITUTE(SUBSTITUTE(SUBSTITUTE(SUBSTITUTE(SUBSTITUTE(SUBSTITUTE(SUBSTITUTE(SUBSTITUTE(SUBSTITUTE(Q1704,1,""),2,""),3,""),4,""),5,""),6,""),7,""),8,""),9,""),0,""),"-","")),{"gennaio","febbraio","marzo","aprile","maggio","giugno","luglio","agosto","settembre","ottobre","novembre","dicembre"},0),"00"),TEXT(MONTH(Q1704)*29,"mmmm"))</f>
        <v>gennaio</v>
      </c>
      <c r="T1704" s="32">
        <f t="shared" si="447"/>
        <v>1900</v>
      </c>
      <c r="U1704" s="29"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00/01/1900</v>
      </c>
      <c r="V1704" s="33"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1900/01/00</v>
      </c>
      <c r="W1704" s="29"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00 gennaio 1900</v>
      </c>
      <c r="X1704" s="29">
        <v>1731</v>
      </c>
      <c r="Y1704" s="29" t="str">
        <f t="shared" si="440"/>
        <v>[' ', '', '', '--', '00 gennaio 1900', '00/01/1900', '1900/01/00'],</v>
      </c>
      <c r="Z1704" s="29" t="str">
        <f t="shared" si="441"/>
        <v xml:space="preserve"> () |  </v>
      </c>
      <c r="AA1704" s="29" t="str">
        <f t="shared" si="442"/>
        <v xml:space="preserve"> </v>
      </c>
      <c r="AB1704" s="29" t="str">
        <f t="shared" si="443"/>
        <v xml:space="preserve"> </v>
      </c>
      <c r="AC1704" s="29" t="str">
        <f t="shared" si="444"/>
        <v xml:space="preserve"> , 0 , 00 gennaio 1900</v>
      </c>
      <c r="AD1704" s="29" t="str">
        <f t="shared" si="445"/>
        <v>1900-01-00T08:00:00.000+02:00</v>
      </c>
      <c r="AE1704" s="29" t="str">
        <f t="shared" si="450"/>
        <v>--</v>
      </c>
      <c r="AF1704" s="29" t="str">
        <f t="shared" si="451"/>
        <v xml:space="preserve">  - 0 - </v>
      </c>
    </row>
    <row r="1705" spans="8:32" x14ac:dyDescent="0.2">
      <c r="H1705" s="29" t="str">
        <f t="shared" si="448"/>
        <v xml:space="preserve"> </v>
      </c>
      <c r="L1705" s="29">
        <f t="shared" si="449"/>
        <v>0</v>
      </c>
      <c r="Q1705" s="38"/>
      <c r="R1705" s="32">
        <f t="shared" si="446"/>
        <v>0</v>
      </c>
      <c r="S1705" s="32" t="str">
        <f>IF(ISERROR(DAY(Q1705)),TEXT(MATCH(TRIM(SUBSTITUTE(SUBSTITUTE(SUBSTITUTE(SUBSTITUTE(SUBSTITUTE(SUBSTITUTE(SUBSTITUTE(SUBSTITUTE(SUBSTITUTE(SUBSTITUTE(SUBSTITUTE(Q1705,1,""),2,""),3,""),4,""),5,""),6,""),7,""),8,""),9,""),0,""),"-","")),{"gennaio","febbraio","marzo","aprile","maggio","giugno","luglio","agosto","settembre","ottobre","novembre","dicembre"},0),"00"),TEXT(MONTH(Q1705)*29,"mmmm"))</f>
        <v>gennaio</v>
      </c>
      <c r="T1705" s="32">
        <f t="shared" si="447"/>
        <v>1900</v>
      </c>
      <c r="U1705" s="29"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00/01/1900</v>
      </c>
      <c r="V1705" s="33"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1900/01/00</v>
      </c>
      <c r="W1705" s="29"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00 gennaio 1900</v>
      </c>
      <c r="X1705" s="29">
        <v>1732</v>
      </c>
      <c r="Y1705" s="29" t="str">
        <f t="shared" si="440"/>
        <v>[' ', '', '', '--', '00 gennaio 1900', '00/01/1900', '1900/01/00'],</v>
      </c>
      <c r="Z1705" s="29" t="str">
        <f t="shared" si="441"/>
        <v xml:space="preserve"> () |  </v>
      </c>
      <c r="AA1705" s="29" t="str">
        <f t="shared" si="442"/>
        <v xml:space="preserve"> </v>
      </c>
      <c r="AB1705" s="29" t="str">
        <f t="shared" si="443"/>
        <v xml:space="preserve"> </v>
      </c>
      <c r="AC1705" s="29" t="str">
        <f t="shared" si="444"/>
        <v xml:space="preserve"> , 0 , 00 gennaio 1900</v>
      </c>
      <c r="AD1705" s="29" t="str">
        <f t="shared" si="445"/>
        <v>1900-01-00T08:00:00.000+02:00</v>
      </c>
      <c r="AE1705" s="29" t="str">
        <f t="shared" si="450"/>
        <v>--</v>
      </c>
      <c r="AF1705" s="29" t="str">
        <f t="shared" si="451"/>
        <v xml:space="preserve">  - 0 - </v>
      </c>
    </row>
    <row r="1706" spans="8:32" x14ac:dyDescent="0.2">
      <c r="H1706" s="29" t="str">
        <f t="shared" si="448"/>
        <v xml:space="preserve"> </v>
      </c>
      <c r="L1706" s="29">
        <f t="shared" si="449"/>
        <v>0</v>
      </c>
      <c r="Q1706" s="38"/>
      <c r="R1706" s="32">
        <f t="shared" si="446"/>
        <v>0</v>
      </c>
      <c r="S1706" s="32" t="str">
        <f>IF(ISERROR(DAY(Q1706)),TEXT(MATCH(TRIM(SUBSTITUTE(SUBSTITUTE(SUBSTITUTE(SUBSTITUTE(SUBSTITUTE(SUBSTITUTE(SUBSTITUTE(SUBSTITUTE(SUBSTITUTE(SUBSTITUTE(SUBSTITUTE(Q1706,1,""),2,""),3,""),4,""),5,""),6,""),7,""),8,""),9,""),0,""),"-","")),{"gennaio","febbraio","marzo","aprile","maggio","giugno","luglio","agosto","settembre","ottobre","novembre","dicembre"},0),"00"),TEXT(MONTH(Q1706)*29,"mmmm"))</f>
        <v>gennaio</v>
      </c>
      <c r="T1706" s="32">
        <f t="shared" si="447"/>
        <v>1900</v>
      </c>
      <c r="U1706" s="29"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00/01/1900</v>
      </c>
      <c r="V1706" s="33"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1900/01/00</v>
      </c>
      <c r="W1706" s="29"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00 gennaio 1900</v>
      </c>
      <c r="X1706" s="29">
        <v>1733</v>
      </c>
      <c r="Y1706" s="29" t="str">
        <f t="shared" si="440"/>
        <v>[' ', '', '', '--', '00 gennaio 1900', '00/01/1900', '1900/01/00'],</v>
      </c>
      <c r="Z1706" s="29" t="str">
        <f t="shared" si="441"/>
        <v xml:space="preserve"> () |  </v>
      </c>
      <c r="AA1706" s="29" t="str">
        <f t="shared" si="442"/>
        <v xml:space="preserve"> </v>
      </c>
      <c r="AB1706" s="29" t="str">
        <f t="shared" si="443"/>
        <v xml:space="preserve"> </v>
      </c>
      <c r="AC1706" s="29" t="str">
        <f t="shared" si="444"/>
        <v xml:space="preserve"> , 0 , 00 gennaio 1900</v>
      </c>
      <c r="AD1706" s="29" t="str">
        <f t="shared" si="445"/>
        <v>1900-01-00T08:00:00.000+02:00</v>
      </c>
      <c r="AE1706" s="29" t="str">
        <f t="shared" si="450"/>
        <v>--</v>
      </c>
      <c r="AF1706" s="29" t="str">
        <f t="shared" si="451"/>
        <v xml:space="preserve">  - 0 - </v>
      </c>
    </row>
    <row r="1707" spans="8:32" x14ac:dyDescent="0.2">
      <c r="H1707" s="29" t="str">
        <f t="shared" si="448"/>
        <v xml:space="preserve"> </v>
      </c>
      <c r="L1707" s="29">
        <f t="shared" si="449"/>
        <v>0</v>
      </c>
      <c r="Q1707" s="38"/>
      <c r="R1707" s="32">
        <f t="shared" si="446"/>
        <v>0</v>
      </c>
      <c r="S1707" s="32" t="str">
        <f>IF(ISERROR(DAY(Q1707)),TEXT(MATCH(TRIM(SUBSTITUTE(SUBSTITUTE(SUBSTITUTE(SUBSTITUTE(SUBSTITUTE(SUBSTITUTE(SUBSTITUTE(SUBSTITUTE(SUBSTITUTE(SUBSTITUTE(SUBSTITUTE(Q1707,1,""),2,""),3,""),4,""),5,""),6,""),7,""),8,""),9,""),0,""),"-","")),{"gennaio","febbraio","marzo","aprile","maggio","giugno","luglio","agosto","settembre","ottobre","novembre","dicembre"},0),"00"),TEXT(MONTH(Q1707)*29,"mmmm"))</f>
        <v>gennaio</v>
      </c>
      <c r="T1707" s="32">
        <f t="shared" si="447"/>
        <v>1900</v>
      </c>
      <c r="U1707" s="29"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00/01/1900</v>
      </c>
      <c r="V1707" s="33"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1900/01/00</v>
      </c>
      <c r="W1707" s="29"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00 gennaio 1900</v>
      </c>
      <c r="X1707" s="29">
        <v>1734</v>
      </c>
      <c r="Y1707" s="29" t="str">
        <f t="shared" si="440"/>
        <v>[' ', '', '', '--', '00 gennaio 1900', '00/01/1900', '1900/01/00'],</v>
      </c>
      <c r="Z1707" s="29" t="str">
        <f t="shared" si="441"/>
        <v xml:space="preserve"> () |  </v>
      </c>
      <c r="AA1707" s="29" t="str">
        <f t="shared" si="442"/>
        <v xml:space="preserve"> </v>
      </c>
      <c r="AB1707" s="29" t="str">
        <f t="shared" si="443"/>
        <v xml:space="preserve"> </v>
      </c>
      <c r="AC1707" s="29" t="str">
        <f t="shared" si="444"/>
        <v xml:space="preserve"> , 0 , 00 gennaio 1900</v>
      </c>
      <c r="AD1707" s="29" t="str">
        <f t="shared" si="445"/>
        <v>1900-01-00T08:00:00.000+02:00</v>
      </c>
      <c r="AE1707" s="29" t="str">
        <f t="shared" si="450"/>
        <v>--</v>
      </c>
      <c r="AF1707" s="29" t="str">
        <f t="shared" si="451"/>
        <v xml:space="preserve">  - 0 - </v>
      </c>
    </row>
    <row r="1708" spans="8:32" x14ac:dyDescent="0.2">
      <c r="H1708" s="29" t="str">
        <f t="shared" si="448"/>
        <v xml:space="preserve"> </v>
      </c>
      <c r="L1708" s="29">
        <f t="shared" si="449"/>
        <v>0</v>
      </c>
      <c r="Q1708" s="38"/>
      <c r="R1708" s="32">
        <f t="shared" si="446"/>
        <v>0</v>
      </c>
      <c r="S1708" s="32" t="str">
        <f>IF(ISERROR(DAY(Q1708)),TEXT(MATCH(TRIM(SUBSTITUTE(SUBSTITUTE(SUBSTITUTE(SUBSTITUTE(SUBSTITUTE(SUBSTITUTE(SUBSTITUTE(SUBSTITUTE(SUBSTITUTE(SUBSTITUTE(SUBSTITUTE(Q1708,1,""),2,""),3,""),4,""),5,""),6,""),7,""),8,""),9,""),0,""),"-","")),{"gennaio","febbraio","marzo","aprile","maggio","giugno","luglio","agosto","settembre","ottobre","novembre","dicembre"},0),"00"),TEXT(MONTH(Q1708)*29,"mmmm"))</f>
        <v>gennaio</v>
      </c>
      <c r="T1708" s="32">
        <f t="shared" si="447"/>
        <v>1900</v>
      </c>
      <c r="U1708" s="29"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00/01/1900</v>
      </c>
      <c r="V1708" s="33"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1900/01/00</v>
      </c>
      <c r="W1708" s="29"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00 gennaio 1900</v>
      </c>
      <c r="X1708" s="29">
        <v>1735</v>
      </c>
      <c r="Y1708" s="29" t="str">
        <f t="shared" si="440"/>
        <v>[' ', '', '', '--', '00 gennaio 1900', '00/01/1900', '1900/01/00'],</v>
      </c>
      <c r="Z1708" s="29" t="str">
        <f t="shared" si="441"/>
        <v xml:space="preserve"> () |  </v>
      </c>
      <c r="AA1708" s="29" t="str">
        <f t="shared" si="442"/>
        <v xml:space="preserve"> </v>
      </c>
      <c r="AB1708" s="29" t="str">
        <f t="shared" si="443"/>
        <v xml:space="preserve"> </v>
      </c>
      <c r="AC1708" s="29" t="str">
        <f t="shared" si="444"/>
        <v xml:space="preserve"> , 0 , 00 gennaio 1900</v>
      </c>
      <c r="AD1708" s="29" t="str">
        <f t="shared" si="445"/>
        <v>1900-01-00T08:00:00.000+02:00</v>
      </c>
      <c r="AE1708" s="29" t="str">
        <f t="shared" si="450"/>
        <v>--</v>
      </c>
      <c r="AF1708" s="29" t="str">
        <f t="shared" si="451"/>
        <v xml:space="preserve">  - 0 - </v>
      </c>
    </row>
    <row r="1709" spans="8:32" x14ac:dyDescent="0.2">
      <c r="H1709" s="29" t="str">
        <f t="shared" si="448"/>
        <v xml:space="preserve"> </v>
      </c>
      <c r="L1709" s="29">
        <f t="shared" si="449"/>
        <v>0</v>
      </c>
      <c r="Q1709" s="38"/>
      <c r="R1709" s="32">
        <f t="shared" si="446"/>
        <v>0</v>
      </c>
      <c r="S1709" s="32" t="str">
        <f>IF(ISERROR(DAY(Q1709)),TEXT(MATCH(TRIM(SUBSTITUTE(SUBSTITUTE(SUBSTITUTE(SUBSTITUTE(SUBSTITUTE(SUBSTITUTE(SUBSTITUTE(SUBSTITUTE(SUBSTITUTE(SUBSTITUTE(SUBSTITUTE(Q1709,1,""),2,""),3,""),4,""),5,""),6,""),7,""),8,""),9,""),0,""),"-","")),{"gennaio","febbraio","marzo","aprile","maggio","giugno","luglio","agosto","settembre","ottobre","novembre","dicembre"},0),"00"),TEXT(MONTH(Q1709)*29,"mmmm"))</f>
        <v>gennaio</v>
      </c>
      <c r="T1709" s="32">
        <f t="shared" si="447"/>
        <v>1900</v>
      </c>
      <c r="U1709" s="29"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00/01/1900</v>
      </c>
      <c r="V1709" s="33"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1900/01/00</v>
      </c>
      <c r="W1709" s="29"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00 gennaio 1900</v>
      </c>
      <c r="X1709" s="29">
        <v>1736</v>
      </c>
      <c r="Y1709" s="29" t="str">
        <f t="shared" si="440"/>
        <v>[' ', '', '', '--', '00 gennaio 1900', '00/01/1900', '1900/01/00'],</v>
      </c>
      <c r="Z1709" s="29" t="str">
        <f t="shared" si="441"/>
        <v xml:space="preserve"> () |  </v>
      </c>
      <c r="AA1709" s="29" t="str">
        <f t="shared" si="442"/>
        <v xml:space="preserve"> </v>
      </c>
      <c r="AB1709" s="29" t="str">
        <f t="shared" si="443"/>
        <v xml:space="preserve"> </v>
      </c>
      <c r="AC1709" s="29" t="str">
        <f t="shared" si="444"/>
        <v xml:space="preserve"> , 0 , 00 gennaio 1900</v>
      </c>
      <c r="AD1709" s="29" t="str">
        <f t="shared" si="445"/>
        <v>1900-01-00T08:00:00.000+02:00</v>
      </c>
      <c r="AE1709" s="29" t="str">
        <f t="shared" si="450"/>
        <v>--</v>
      </c>
      <c r="AF1709" s="29" t="str">
        <f t="shared" si="451"/>
        <v xml:space="preserve">  - 0 - </v>
      </c>
    </row>
    <row r="1710" spans="8:32" x14ac:dyDescent="0.2">
      <c r="H1710" s="29" t="str">
        <f t="shared" si="448"/>
        <v xml:space="preserve"> </v>
      </c>
      <c r="L1710" s="29">
        <f t="shared" si="449"/>
        <v>0</v>
      </c>
      <c r="Q1710" s="38"/>
      <c r="R1710" s="32">
        <f t="shared" si="446"/>
        <v>0</v>
      </c>
      <c r="S1710" s="32" t="str">
        <f>IF(ISERROR(DAY(Q1710)),TEXT(MATCH(TRIM(SUBSTITUTE(SUBSTITUTE(SUBSTITUTE(SUBSTITUTE(SUBSTITUTE(SUBSTITUTE(SUBSTITUTE(SUBSTITUTE(SUBSTITUTE(SUBSTITUTE(SUBSTITUTE(Q1710,1,""),2,""),3,""),4,""),5,""),6,""),7,""),8,""),9,""),0,""),"-","")),{"gennaio","febbraio","marzo","aprile","maggio","giugno","luglio","agosto","settembre","ottobre","novembre","dicembre"},0),"00"),TEXT(MONTH(Q1710)*29,"mmmm"))</f>
        <v>gennaio</v>
      </c>
      <c r="T1710" s="32">
        <f t="shared" si="447"/>
        <v>1900</v>
      </c>
      <c r="U1710" s="29"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00/01/1900</v>
      </c>
      <c r="V1710" s="33"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1900/01/00</v>
      </c>
      <c r="W1710" s="29"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00 gennaio 1900</v>
      </c>
      <c r="X1710" s="29">
        <v>1737</v>
      </c>
      <c r="Y1710" s="29" t="str">
        <f t="shared" si="440"/>
        <v>[' ', '', '', '--', '00 gennaio 1900', '00/01/1900', '1900/01/00'],</v>
      </c>
      <c r="Z1710" s="29" t="str">
        <f t="shared" si="441"/>
        <v xml:space="preserve"> () |  </v>
      </c>
      <c r="AA1710" s="29" t="str">
        <f t="shared" si="442"/>
        <v xml:space="preserve"> </v>
      </c>
      <c r="AB1710" s="29" t="str">
        <f t="shared" si="443"/>
        <v xml:space="preserve"> </v>
      </c>
      <c r="AC1710" s="29" t="str">
        <f t="shared" si="444"/>
        <v xml:space="preserve"> , 0 , 00 gennaio 1900</v>
      </c>
      <c r="AD1710" s="29" t="str">
        <f t="shared" si="445"/>
        <v>1900-01-00T08:00:00.000+02:00</v>
      </c>
      <c r="AE1710" s="29" t="str">
        <f t="shared" si="450"/>
        <v>--</v>
      </c>
      <c r="AF1710" s="29" t="str">
        <f t="shared" si="451"/>
        <v xml:space="preserve">  - 0 - </v>
      </c>
    </row>
    <row r="1711" spans="8:32" x14ac:dyDescent="0.2">
      <c r="H1711" s="29" t="str">
        <f t="shared" si="448"/>
        <v xml:space="preserve"> </v>
      </c>
      <c r="L1711" s="29">
        <f t="shared" si="449"/>
        <v>0</v>
      </c>
      <c r="Q1711" s="38"/>
      <c r="R1711" s="32">
        <f t="shared" si="446"/>
        <v>0</v>
      </c>
      <c r="S1711" s="32" t="str">
        <f>IF(ISERROR(DAY(Q1711)),TEXT(MATCH(TRIM(SUBSTITUTE(SUBSTITUTE(SUBSTITUTE(SUBSTITUTE(SUBSTITUTE(SUBSTITUTE(SUBSTITUTE(SUBSTITUTE(SUBSTITUTE(SUBSTITUTE(SUBSTITUTE(Q1711,1,""),2,""),3,""),4,""),5,""),6,""),7,""),8,""),9,""),0,""),"-","")),{"gennaio","febbraio","marzo","aprile","maggio","giugno","luglio","agosto","settembre","ottobre","novembre","dicembre"},0),"00"),TEXT(MONTH(Q1711)*29,"mmmm"))</f>
        <v>gennaio</v>
      </c>
      <c r="T1711" s="32">
        <f t="shared" si="447"/>
        <v>1900</v>
      </c>
      <c r="U1711" s="29"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00/01/1900</v>
      </c>
      <c r="V1711" s="33"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1900/01/00</v>
      </c>
      <c r="W1711" s="29"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00 gennaio 1900</v>
      </c>
      <c r="X1711" s="29">
        <v>1738</v>
      </c>
      <c r="Y1711" s="29" t="str">
        <f t="shared" si="440"/>
        <v>[' ', '', '', '--', '00 gennaio 1900', '00/01/1900', '1900/01/00'],</v>
      </c>
      <c r="Z1711" s="29" t="str">
        <f t="shared" si="441"/>
        <v xml:space="preserve"> () |  </v>
      </c>
      <c r="AA1711" s="29" t="str">
        <f t="shared" si="442"/>
        <v xml:space="preserve"> </v>
      </c>
      <c r="AB1711" s="29" t="str">
        <f t="shared" si="443"/>
        <v xml:space="preserve"> </v>
      </c>
      <c r="AC1711" s="29" t="str">
        <f t="shared" si="444"/>
        <v xml:space="preserve"> , 0 , 00 gennaio 1900</v>
      </c>
      <c r="AD1711" s="29" t="str">
        <f t="shared" si="445"/>
        <v>1900-01-00T08:00:00.000+02:00</v>
      </c>
      <c r="AE1711" s="29" t="str">
        <f t="shared" si="450"/>
        <v>--</v>
      </c>
      <c r="AF1711" s="29" t="str">
        <f t="shared" si="451"/>
        <v xml:space="preserve">  - 0 - </v>
      </c>
    </row>
    <row r="1712" spans="8:32" x14ac:dyDescent="0.2">
      <c r="H1712" s="29" t="str">
        <f t="shared" si="448"/>
        <v xml:space="preserve"> </v>
      </c>
      <c r="L1712" s="29">
        <f t="shared" si="449"/>
        <v>0</v>
      </c>
      <c r="Q1712" s="38"/>
      <c r="R1712" s="32">
        <f t="shared" si="446"/>
        <v>0</v>
      </c>
      <c r="S1712" s="32" t="str">
        <f>IF(ISERROR(DAY(Q1712)),TEXT(MATCH(TRIM(SUBSTITUTE(SUBSTITUTE(SUBSTITUTE(SUBSTITUTE(SUBSTITUTE(SUBSTITUTE(SUBSTITUTE(SUBSTITUTE(SUBSTITUTE(SUBSTITUTE(SUBSTITUTE(Q1712,1,""),2,""),3,""),4,""),5,""),6,""),7,""),8,""),9,""),0,""),"-","")),{"gennaio","febbraio","marzo","aprile","maggio","giugno","luglio","agosto","settembre","ottobre","novembre","dicembre"},0),"00"),TEXT(MONTH(Q1712)*29,"mmmm"))</f>
        <v>gennaio</v>
      </c>
      <c r="T1712" s="32">
        <f t="shared" si="447"/>
        <v>1900</v>
      </c>
      <c r="U1712" s="29"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00/01/1900</v>
      </c>
      <c r="V1712" s="33"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1900/01/00</v>
      </c>
      <c r="W1712" s="29"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00 gennaio 1900</v>
      </c>
      <c r="X1712" s="29">
        <v>1739</v>
      </c>
      <c r="Y1712" s="29" t="str">
        <f t="shared" si="440"/>
        <v>[' ', '', '', '--', '00 gennaio 1900', '00/01/1900', '1900/01/00'],</v>
      </c>
      <c r="Z1712" s="29" t="str">
        <f t="shared" si="441"/>
        <v xml:space="preserve"> () |  </v>
      </c>
      <c r="AA1712" s="29" t="str">
        <f t="shared" si="442"/>
        <v xml:space="preserve"> </v>
      </c>
      <c r="AB1712" s="29" t="str">
        <f t="shared" si="443"/>
        <v xml:space="preserve"> </v>
      </c>
      <c r="AC1712" s="29" t="str">
        <f t="shared" si="444"/>
        <v xml:space="preserve"> , 0 , 00 gennaio 1900</v>
      </c>
      <c r="AD1712" s="29" t="str">
        <f t="shared" si="445"/>
        <v>1900-01-00T08:00:00.000+02:00</v>
      </c>
      <c r="AE1712" s="29" t="str">
        <f t="shared" si="450"/>
        <v>--</v>
      </c>
      <c r="AF1712" s="29" t="str">
        <f t="shared" si="451"/>
        <v xml:space="preserve">  - 0 - </v>
      </c>
    </row>
    <row r="1713" spans="8:32" x14ac:dyDescent="0.2">
      <c r="H1713" s="29" t="str">
        <f t="shared" si="448"/>
        <v xml:space="preserve"> </v>
      </c>
      <c r="L1713" s="29">
        <f t="shared" si="449"/>
        <v>0</v>
      </c>
      <c r="Q1713" s="38"/>
      <c r="R1713" s="32">
        <f t="shared" si="446"/>
        <v>0</v>
      </c>
      <c r="S1713" s="32" t="str">
        <f>IF(ISERROR(DAY(Q1713)),TEXT(MATCH(TRIM(SUBSTITUTE(SUBSTITUTE(SUBSTITUTE(SUBSTITUTE(SUBSTITUTE(SUBSTITUTE(SUBSTITUTE(SUBSTITUTE(SUBSTITUTE(SUBSTITUTE(SUBSTITUTE(Q1713,1,""),2,""),3,""),4,""),5,""),6,""),7,""),8,""),9,""),0,""),"-","")),{"gennaio","febbraio","marzo","aprile","maggio","giugno","luglio","agosto","settembre","ottobre","novembre","dicembre"},0),"00"),TEXT(MONTH(Q1713)*29,"mmmm"))</f>
        <v>gennaio</v>
      </c>
      <c r="T1713" s="32">
        <f t="shared" si="447"/>
        <v>1900</v>
      </c>
      <c r="U1713" s="29"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00/01/1900</v>
      </c>
      <c r="V1713" s="33"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1900/01/00</v>
      </c>
      <c r="W1713" s="29"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00 gennaio 1900</v>
      </c>
      <c r="X1713" s="29">
        <v>1740</v>
      </c>
      <c r="Y1713" s="29" t="str">
        <f t="shared" si="440"/>
        <v>[' ', '', '', '--', '00 gennaio 1900', '00/01/1900', '1900/01/00'],</v>
      </c>
      <c r="Z1713" s="29" t="str">
        <f t="shared" si="441"/>
        <v xml:space="preserve"> () |  </v>
      </c>
      <c r="AA1713" s="29" t="str">
        <f t="shared" si="442"/>
        <v xml:space="preserve"> </v>
      </c>
      <c r="AB1713" s="29" t="str">
        <f t="shared" si="443"/>
        <v xml:space="preserve"> </v>
      </c>
      <c r="AC1713" s="29" t="str">
        <f t="shared" si="444"/>
        <v xml:space="preserve"> , 0 , 00 gennaio 1900</v>
      </c>
      <c r="AD1713" s="29" t="str">
        <f t="shared" si="445"/>
        <v>1900-01-00T08:00:00.000+02:00</v>
      </c>
      <c r="AE1713" s="29" t="str">
        <f t="shared" si="450"/>
        <v>--</v>
      </c>
      <c r="AF1713" s="29" t="str">
        <f t="shared" si="451"/>
        <v xml:space="preserve">  - 0 - </v>
      </c>
    </row>
    <row r="1714" spans="8:32" x14ac:dyDescent="0.2">
      <c r="H1714" s="29" t="str">
        <f t="shared" si="448"/>
        <v xml:space="preserve"> </v>
      </c>
      <c r="L1714" s="29">
        <f t="shared" si="449"/>
        <v>0</v>
      </c>
      <c r="Q1714" s="38"/>
      <c r="R1714" s="32">
        <f t="shared" si="446"/>
        <v>0</v>
      </c>
      <c r="S1714" s="32" t="str">
        <f>IF(ISERROR(DAY(Q1714)),TEXT(MATCH(TRIM(SUBSTITUTE(SUBSTITUTE(SUBSTITUTE(SUBSTITUTE(SUBSTITUTE(SUBSTITUTE(SUBSTITUTE(SUBSTITUTE(SUBSTITUTE(SUBSTITUTE(SUBSTITUTE(Q1714,1,""),2,""),3,""),4,""),5,""),6,""),7,""),8,""),9,""),0,""),"-","")),{"gennaio","febbraio","marzo","aprile","maggio","giugno","luglio","agosto","settembre","ottobre","novembre","dicembre"},0),"00"),TEXT(MONTH(Q1714)*29,"mmmm"))</f>
        <v>gennaio</v>
      </c>
      <c r="T1714" s="32">
        <f t="shared" si="447"/>
        <v>1900</v>
      </c>
      <c r="U1714" s="29"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00/01/1900</v>
      </c>
      <c r="V1714" s="33"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1900/01/00</v>
      </c>
      <c r="W1714" s="29"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00 gennaio 1900</v>
      </c>
      <c r="X1714" s="29">
        <v>1741</v>
      </c>
      <c r="Y1714" s="29" t="str">
        <f t="shared" si="440"/>
        <v>[' ', '', '', '--', '00 gennaio 1900', '00/01/1900', '1900/01/00'],</v>
      </c>
      <c r="Z1714" s="29" t="str">
        <f t="shared" si="441"/>
        <v xml:space="preserve"> () |  </v>
      </c>
      <c r="AA1714" s="29" t="str">
        <f t="shared" si="442"/>
        <v xml:space="preserve"> </v>
      </c>
      <c r="AB1714" s="29" t="str">
        <f t="shared" si="443"/>
        <v xml:space="preserve"> </v>
      </c>
      <c r="AC1714" s="29" t="str">
        <f t="shared" si="444"/>
        <v xml:space="preserve"> , 0 , 00 gennaio 1900</v>
      </c>
      <c r="AD1714" s="29" t="str">
        <f t="shared" si="445"/>
        <v>1900-01-00T08:00:00.000+02:00</v>
      </c>
      <c r="AE1714" s="29" t="str">
        <f t="shared" si="450"/>
        <v>--</v>
      </c>
      <c r="AF1714" s="29" t="str">
        <f t="shared" si="451"/>
        <v xml:space="preserve">  - 0 - </v>
      </c>
    </row>
    <row r="1715" spans="8:32" x14ac:dyDescent="0.2">
      <c r="H1715" s="29" t="str">
        <f t="shared" si="448"/>
        <v xml:space="preserve"> </v>
      </c>
      <c r="L1715" s="29">
        <f t="shared" si="449"/>
        <v>0</v>
      </c>
      <c r="Q1715" s="38"/>
      <c r="R1715" s="32">
        <f t="shared" si="446"/>
        <v>0</v>
      </c>
      <c r="S1715" s="32" t="str">
        <f>IF(ISERROR(DAY(Q1715)),TEXT(MATCH(TRIM(SUBSTITUTE(SUBSTITUTE(SUBSTITUTE(SUBSTITUTE(SUBSTITUTE(SUBSTITUTE(SUBSTITUTE(SUBSTITUTE(SUBSTITUTE(SUBSTITUTE(SUBSTITUTE(Q1715,1,""),2,""),3,""),4,""),5,""),6,""),7,""),8,""),9,""),0,""),"-","")),{"gennaio","febbraio","marzo","aprile","maggio","giugno","luglio","agosto","settembre","ottobre","novembre","dicembre"},0),"00"),TEXT(MONTH(Q1715)*29,"mmmm"))</f>
        <v>gennaio</v>
      </c>
      <c r="T1715" s="32">
        <f t="shared" si="447"/>
        <v>1900</v>
      </c>
      <c r="U1715" s="29"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00/01/1900</v>
      </c>
      <c r="V1715" s="33"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1900/01/00</v>
      </c>
      <c r="W1715" s="29"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00 gennaio 1900</v>
      </c>
      <c r="X1715" s="29">
        <v>1742</v>
      </c>
      <c r="Y1715" s="29" t="str">
        <f t="shared" si="440"/>
        <v>[' ', '', '', '--', '00 gennaio 1900', '00/01/1900', '1900/01/00'],</v>
      </c>
      <c r="Z1715" s="29" t="str">
        <f t="shared" si="441"/>
        <v xml:space="preserve"> () |  </v>
      </c>
      <c r="AA1715" s="29" t="str">
        <f t="shared" si="442"/>
        <v xml:space="preserve"> </v>
      </c>
      <c r="AB1715" s="29" t="str">
        <f t="shared" si="443"/>
        <v xml:space="preserve"> </v>
      </c>
      <c r="AC1715" s="29" t="str">
        <f t="shared" si="444"/>
        <v xml:space="preserve"> , 0 , 00 gennaio 1900</v>
      </c>
      <c r="AD1715" s="29" t="str">
        <f t="shared" si="445"/>
        <v>1900-01-00T08:00:00.000+02:00</v>
      </c>
      <c r="AE1715" s="29" t="str">
        <f t="shared" si="450"/>
        <v>--</v>
      </c>
      <c r="AF1715" s="29" t="str">
        <f t="shared" si="451"/>
        <v xml:space="preserve">  - 0 - </v>
      </c>
    </row>
    <row r="1716" spans="8:32" x14ac:dyDescent="0.2">
      <c r="H1716" s="29" t="str">
        <f t="shared" si="448"/>
        <v xml:space="preserve"> </v>
      </c>
      <c r="L1716" s="29">
        <f t="shared" si="449"/>
        <v>0</v>
      </c>
      <c r="Q1716" s="38"/>
      <c r="R1716" s="32">
        <f t="shared" si="446"/>
        <v>0</v>
      </c>
      <c r="S1716" s="32" t="str">
        <f>IF(ISERROR(DAY(Q1716)),TEXT(MATCH(TRIM(SUBSTITUTE(SUBSTITUTE(SUBSTITUTE(SUBSTITUTE(SUBSTITUTE(SUBSTITUTE(SUBSTITUTE(SUBSTITUTE(SUBSTITUTE(SUBSTITUTE(SUBSTITUTE(Q1716,1,""),2,""),3,""),4,""),5,""),6,""),7,""),8,""),9,""),0,""),"-","")),{"gennaio","febbraio","marzo","aprile","maggio","giugno","luglio","agosto","settembre","ottobre","novembre","dicembre"},0),"00"),TEXT(MONTH(Q1716)*29,"mmmm"))</f>
        <v>gennaio</v>
      </c>
      <c r="T1716" s="32">
        <f t="shared" si="447"/>
        <v>1900</v>
      </c>
      <c r="U1716" s="29"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00/01/1900</v>
      </c>
      <c r="V1716" s="33"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1900/01/00</v>
      </c>
      <c r="W1716" s="29"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00 gennaio 1900</v>
      </c>
      <c r="X1716" s="29">
        <v>1743</v>
      </c>
      <c r="Y1716" s="29" t="str">
        <f t="shared" si="440"/>
        <v>[' ', '', '', '--', '00 gennaio 1900', '00/01/1900', '1900/01/00'],</v>
      </c>
      <c r="Z1716" s="29" t="str">
        <f t="shared" si="441"/>
        <v xml:space="preserve"> () |  </v>
      </c>
      <c r="AA1716" s="29" t="str">
        <f t="shared" si="442"/>
        <v xml:space="preserve"> </v>
      </c>
      <c r="AB1716" s="29" t="str">
        <f t="shared" si="443"/>
        <v xml:space="preserve"> </v>
      </c>
      <c r="AC1716" s="29" t="str">
        <f t="shared" si="444"/>
        <v xml:space="preserve"> , 0 , 00 gennaio 1900</v>
      </c>
      <c r="AD1716" s="29" t="str">
        <f t="shared" si="445"/>
        <v>1900-01-00T08:00:00.000+02:00</v>
      </c>
      <c r="AE1716" s="29" t="str">
        <f t="shared" si="450"/>
        <v>--</v>
      </c>
      <c r="AF1716" s="29" t="str">
        <f t="shared" si="451"/>
        <v xml:space="preserve">  - 0 - </v>
      </c>
    </row>
    <row r="1717" spans="8:32" x14ac:dyDescent="0.2">
      <c r="H1717" s="29" t="str">
        <f t="shared" si="448"/>
        <v xml:space="preserve"> </v>
      </c>
      <c r="L1717" s="29">
        <f t="shared" si="449"/>
        <v>0</v>
      </c>
      <c r="Q1717" s="38"/>
      <c r="R1717" s="32">
        <f t="shared" si="446"/>
        <v>0</v>
      </c>
      <c r="S1717" s="32" t="str">
        <f>IF(ISERROR(DAY(Q1717)),TEXT(MATCH(TRIM(SUBSTITUTE(SUBSTITUTE(SUBSTITUTE(SUBSTITUTE(SUBSTITUTE(SUBSTITUTE(SUBSTITUTE(SUBSTITUTE(SUBSTITUTE(SUBSTITUTE(SUBSTITUTE(Q1717,1,""),2,""),3,""),4,""),5,""),6,""),7,""),8,""),9,""),0,""),"-","")),{"gennaio","febbraio","marzo","aprile","maggio","giugno","luglio","agosto","settembre","ottobre","novembre","dicembre"},0),"00"),TEXT(MONTH(Q1717)*29,"mmmm"))</f>
        <v>gennaio</v>
      </c>
      <c r="T1717" s="32">
        <f t="shared" si="447"/>
        <v>1900</v>
      </c>
      <c r="U1717" s="29"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00/01/1900</v>
      </c>
      <c r="V1717" s="33"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1900/01/00</v>
      </c>
      <c r="W1717" s="29"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00 gennaio 1900</v>
      </c>
      <c r="X1717" s="29">
        <v>1744</v>
      </c>
      <c r="Y1717" s="29" t="str">
        <f t="shared" si="440"/>
        <v>[' ', '', '', '--', '00 gennaio 1900', '00/01/1900', '1900/01/00'],</v>
      </c>
      <c r="Z1717" s="29" t="str">
        <f t="shared" si="441"/>
        <v xml:space="preserve"> () |  </v>
      </c>
      <c r="AA1717" s="29" t="str">
        <f t="shared" si="442"/>
        <v xml:space="preserve"> </v>
      </c>
      <c r="AB1717" s="29" t="str">
        <f t="shared" si="443"/>
        <v xml:space="preserve"> </v>
      </c>
      <c r="AC1717" s="29" t="str">
        <f t="shared" si="444"/>
        <v xml:space="preserve"> , 0 , 00 gennaio 1900</v>
      </c>
      <c r="AD1717" s="29" t="str">
        <f t="shared" si="445"/>
        <v>1900-01-00T08:00:00.000+02:00</v>
      </c>
      <c r="AE1717" s="29" t="str">
        <f t="shared" si="450"/>
        <v>--</v>
      </c>
      <c r="AF1717" s="29" t="str">
        <f t="shared" si="451"/>
        <v xml:space="preserve">  - 0 - </v>
      </c>
    </row>
    <row r="1718" spans="8:32" x14ac:dyDescent="0.2">
      <c r="H1718" s="29" t="str">
        <f t="shared" si="448"/>
        <v xml:space="preserve"> </v>
      </c>
      <c r="L1718" s="29">
        <f t="shared" si="449"/>
        <v>0</v>
      </c>
      <c r="Q1718" s="38"/>
      <c r="R1718" s="32">
        <f t="shared" si="446"/>
        <v>0</v>
      </c>
      <c r="S1718" s="32" t="str">
        <f>IF(ISERROR(DAY(Q1718)),TEXT(MATCH(TRIM(SUBSTITUTE(SUBSTITUTE(SUBSTITUTE(SUBSTITUTE(SUBSTITUTE(SUBSTITUTE(SUBSTITUTE(SUBSTITUTE(SUBSTITUTE(SUBSTITUTE(SUBSTITUTE(Q1718,1,""),2,""),3,""),4,""),5,""),6,""),7,""),8,""),9,""),0,""),"-","")),{"gennaio","febbraio","marzo","aprile","maggio","giugno","luglio","agosto","settembre","ottobre","novembre","dicembre"},0),"00"),TEXT(MONTH(Q1718)*29,"mmmm"))</f>
        <v>gennaio</v>
      </c>
      <c r="T1718" s="32">
        <f t="shared" si="447"/>
        <v>1900</v>
      </c>
      <c r="U1718" s="29"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00/01/1900</v>
      </c>
      <c r="V1718" s="33"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1900/01/00</v>
      </c>
      <c r="W1718" s="29"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00 gennaio 1900</v>
      </c>
      <c r="X1718" s="29">
        <v>1745</v>
      </c>
      <c r="Y1718" s="29" t="str">
        <f t="shared" si="440"/>
        <v>[' ', '', '', '--', '00 gennaio 1900', '00/01/1900', '1900/01/00'],</v>
      </c>
      <c r="Z1718" s="29" t="str">
        <f t="shared" si="441"/>
        <v xml:space="preserve"> () |  </v>
      </c>
      <c r="AA1718" s="29" t="str">
        <f t="shared" si="442"/>
        <v xml:space="preserve"> </v>
      </c>
      <c r="AB1718" s="29" t="str">
        <f t="shared" si="443"/>
        <v xml:space="preserve"> </v>
      </c>
      <c r="AC1718" s="29" t="str">
        <f t="shared" si="444"/>
        <v xml:space="preserve"> , 0 , 00 gennaio 1900</v>
      </c>
      <c r="AD1718" s="29" t="str">
        <f t="shared" si="445"/>
        <v>1900-01-00T08:00:00.000+02:00</v>
      </c>
      <c r="AE1718" s="29" t="str">
        <f t="shared" si="450"/>
        <v>--</v>
      </c>
      <c r="AF1718" s="29" t="str">
        <f t="shared" si="451"/>
        <v xml:space="preserve">  - 0 - </v>
      </c>
    </row>
    <row r="1719" spans="8:32" x14ac:dyDescent="0.2">
      <c r="H1719" s="29" t="str">
        <f t="shared" si="448"/>
        <v xml:space="preserve"> </v>
      </c>
      <c r="L1719" s="29">
        <f t="shared" si="449"/>
        <v>0</v>
      </c>
      <c r="Q1719" s="38"/>
      <c r="R1719" s="32">
        <f t="shared" si="446"/>
        <v>0</v>
      </c>
      <c r="S1719" s="32" t="str">
        <f>IF(ISERROR(DAY(Q1719)),TEXT(MATCH(TRIM(SUBSTITUTE(SUBSTITUTE(SUBSTITUTE(SUBSTITUTE(SUBSTITUTE(SUBSTITUTE(SUBSTITUTE(SUBSTITUTE(SUBSTITUTE(SUBSTITUTE(SUBSTITUTE(Q1719,1,""),2,""),3,""),4,""),5,""),6,""),7,""),8,""),9,""),0,""),"-","")),{"gennaio","febbraio","marzo","aprile","maggio","giugno","luglio","agosto","settembre","ottobre","novembre","dicembre"},0),"00"),TEXT(MONTH(Q1719)*29,"mmmm"))</f>
        <v>gennaio</v>
      </c>
      <c r="T1719" s="32">
        <f t="shared" si="447"/>
        <v>1900</v>
      </c>
      <c r="U1719" s="29"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00/01/1900</v>
      </c>
      <c r="V1719" s="33"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1900/01/00</v>
      </c>
      <c r="W1719" s="29"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00 gennaio 1900</v>
      </c>
      <c r="X1719" s="29">
        <v>1746</v>
      </c>
      <c r="Y1719" s="29" t="str">
        <f t="shared" si="440"/>
        <v>[' ', '', '', '--', '00 gennaio 1900', '00/01/1900', '1900/01/00'],</v>
      </c>
      <c r="Z1719" s="29" t="str">
        <f t="shared" si="441"/>
        <v xml:space="preserve"> () |  </v>
      </c>
      <c r="AA1719" s="29" t="str">
        <f t="shared" si="442"/>
        <v xml:space="preserve"> </v>
      </c>
      <c r="AB1719" s="29" t="str">
        <f t="shared" si="443"/>
        <v xml:space="preserve"> </v>
      </c>
      <c r="AC1719" s="29" t="str">
        <f t="shared" si="444"/>
        <v xml:space="preserve"> , 0 , 00 gennaio 1900</v>
      </c>
      <c r="AD1719" s="29" t="str">
        <f t="shared" si="445"/>
        <v>1900-01-00T08:00:00.000+02:00</v>
      </c>
      <c r="AE1719" s="29" t="str">
        <f t="shared" si="450"/>
        <v>--</v>
      </c>
      <c r="AF1719" s="29" t="str">
        <f t="shared" si="451"/>
        <v xml:space="preserve">  - 0 - </v>
      </c>
    </row>
    <row r="1720" spans="8:32" x14ac:dyDescent="0.2">
      <c r="H1720" s="29" t="str">
        <f t="shared" si="448"/>
        <v xml:space="preserve"> </v>
      </c>
      <c r="L1720" s="29">
        <f t="shared" si="449"/>
        <v>0</v>
      </c>
      <c r="Q1720" s="38"/>
      <c r="R1720" s="32">
        <f t="shared" si="446"/>
        <v>0</v>
      </c>
      <c r="S1720" s="32" t="str">
        <f>IF(ISERROR(DAY(Q1720)),TEXT(MATCH(TRIM(SUBSTITUTE(SUBSTITUTE(SUBSTITUTE(SUBSTITUTE(SUBSTITUTE(SUBSTITUTE(SUBSTITUTE(SUBSTITUTE(SUBSTITUTE(SUBSTITUTE(SUBSTITUTE(Q1720,1,""),2,""),3,""),4,""),5,""),6,""),7,""),8,""),9,""),0,""),"-","")),{"gennaio","febbraio","marzo","aprile","maggio","giugno","luglio","agosto","settembre","ottobre","novembre","dicembre"},0),"00"),TEXT(MONTH(Q1720)*29,"mmmm"))</f>
        <v>gennaio</v>
      </c>
      <c r="T1720" s="32">
        <f t="shared" si="447"/>
        <v>1900</v>
      </c>
      <c r="U1720" s="29"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00/01/1900</v>
      </c>
      <c r="V1720" s="33"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1900/01/00</v>
      </c>
      <c r="W1720" s="29"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00 gennaio 1900</v>
      </c>
      <c r="X1720" s="29">
        <v>1747</v>
      </c>
      <c r="Y1720" s="29" t="str">
        <f t="shared" si="440"/>
        <v>[' ', '', '', '--', '00 gennaio 1900', '00/01/1900', '1900/01/00'],</v>
      </c>
      <c r="Z1720" s="29" t="str">
        <f t="shared" si="441"/>
        <v xml:space="preserve"> () |  </v>
      </c>
      <c r="AA1720" s="29" t="str">
        <f t="shared" si="442"/>
        <v xml:space="preserve"> </v>
      </c>
      <c r="AB1720" s="29" t="str">
        <f t="shared" si="443"/>
        <v xml:space="preserve"> </v>
      </c>
      <c r="AC1720" s="29" t="str">
        <f t="shared" si="444"/>
        <v xml:space="preserve"> , 0 , 00 gennaio 1900</v>
      </c>
      <c r="AD1720" s="29" t="str">
        <f t="shared" si="445"/>
        <v>1900-01-00T08:00:00.000+02:00</v>
      </c>
      <c r="AE1720" s="29" t="str">
        <f t="shared" si="450"/>
        <v>--</v>
      </c>
      <c r="AF1720" s="29" t="str">
        <f t="shared" si="451"/>
        <v xml:space="preserve">  - 0 - </v>
      </c>
    </row>
    <row r="1721" spans="8:32" x14ac:dyDescent="0.2">
      <c r="H1721" s="29" t="str">
        <f t="shared" si="448"/>
        <v xml:space="preserve"> </v>
      </c>
      <c r="L1721" s="29">
        <f t="shared" si="449"/>
        <v>0</v>
      </c>
      <c r="Q1721" s="38"/>
      <c r="R1721" s="32">
        <f t="shared" si="446"/>
        <v>0</v>
      </c>
      <c r="S1721" s="32"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32">
        <f t="shared" si="447"/>
        <v>1900</v>
      </c>
      <c r="U1721" s="29"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00/01/1900</v>
      </c>
      <c r="V1721" s="33"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1900/01/00</v>
      </c>
      <c r="W1721" s="29"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00 gennaio 1900</v>
      </c>
      <c r="X1721" s="29">
        <v>1748</v>
      </c>
      <c r="Y1721" s="29" t="str">
        <f t="shared" si="440"/>
        <v>[' ', '', '', '--', '00 gennaio 1900', '00/01/1900', '1900/01/00'],</v>
      </c>
      <c r="Z1721" s="29" t="str">
        <f t="shared" si="441"/>
        <v xml:space="preserve"> () |  </v>
      </c>
      <c r="AA1721" s="29" t="str">
        <f t="shared" si="442"/>
        <v xml:space="preserve"> </v>
      </c>
      <c r="AB1721" s="29" t="str">
        <f t="shared" si="443"/>
        <v xml:space="preserve"> </v>
      </c>
      <c r="AC1721" s="29" t="str">
        <f t="shared" si="444"/>
        <v xml:space="preserve"> , 0 , 00 gennaio 1900</v>
      </c>
      <c r="AD1721" s="29" t="str">
        <f t="shared" si="445"/>
        <v>1900-01-00T08:00:00.000+02:00</v>
      </c>
      <c r="AE1721" s="29" t="str">
        <f t="shared" si="450"/>
        <v>--</v>
      </c>
      <c r="AF1721" s="29" t="str">
        <f t="shared" si="451"/>
        <v xml:space="preserve">  - 0 - </v>
      </c>
    </row>
    <row r="1722" spans="8:32" x14ac:dyDescent="0.2">
      <c r="H1722" s="29" t="str">
        <f t="shared" si="448"/>
        <v xml:space="preserve"> </v>
      </c>
      <c r="L1722" s="29">
        <f t="shared" si="449"/>
        <v>0</v>
      </c>
      <c r="Q1722" s="38"/>
      <c r="R1722" s="32">
        <f t="shared" si="446"/>
        <v>0</v>
      </c>
      <c r="S1722" s="32"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32">
        <f t="shared" si="447"/>
        <v>1900</v>
      </c>
      <c r="U1722" s="29"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00/01/1900</v>
      </c>
      <c r="V1722" s="33"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1900/01/00</v>
      </c>
      <c r="W1722" s="29"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00 gennaio 1900</v>
      </c>
      <c r="X1722" s="29">
        <v>1749</v>
      </c>
      <c r="Y1722" s="29" t="str">
        <f t="shared" si="440"/>
        <v>[' ', '', '', '--', '00 gennaio 1900', '00/01/1900', '1900/01/00'],</v>
      </c>
      <c r="Z1722" s="29" t="str">
        <f t="shared" si="441"/>
        <v xml:space="preserve"> () |  </v>
      </c>
      <c r="AA1722" s="29" t="str">
        <f t="shared" si="442"/>
        <v xml:space="preserve"> </v>
      </c>
      <c r="AB1722" s="29" t="str">
        <f t="shared" si="443"/>
        <v xml:space="preserve"> </v>
      </c>
      <c r="AC1722" s="29" t="str">
        <f t="shared" si="444"/>
        <v xml:space="preserve"> , 0 , 00 gennaio 1900</v>
      </c>
      <c r="AD1722" s="29" t="str">
        <f t="shared" si="445"/>
        <v>1900-01-00T08:00:00.000+02:00</v>
      </c>
      <c r="AE1722" s="29" t="str">
        <f t="shared" si="450"/>
        <v>--</v>
      </c>
      <c r="AF1722" s="29" t="str">
        <f t="shared" si="451"/>
        <v xml:space="preserve">  - 0 - </v>
      </c>
    </row>
    <row r="1723" spans="8:32" x14ac:dyDescent="0.2">
      <c r="H1723" s="29" t="str">
        <f t="shared" si="448"/>
        <v xml:space="preserve"> </v>
      </c>
      <c r="L1723" s="29">
        <f t="shared" si="449"/>
        <v>0</v>
      </c>
      <c r="Q1723" s="38"/>
      <c r="R1723" s="32">
        <f t="shared" si="446"/>
        <v>0</v>
      </c>
      <c r="S1723" s="32"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32">
        <f t="shared" si="447"/>
        <v>1900</v>
      </c>
      <c r="U1723" s="29"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00/01/1900</v>
      </c>
      <c r="V1723" s="33"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1900/01/00</v>
      </c>
      <c r="W1723" s="29"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00 gennaio 1900</v>
      </c>
      <c r="X1723" s="29">
        <v>1750</v>
      </c>
      <c r="Y1723" s="29" t="str">
        <f t="shared" si="440"/>
        <v>[' ', '', '', '--', '00 gennaio 1900', '00/01/1900', '1900/01/00'],</v>
      </c>
      <c r="Z1723" s="29" t="str">
        <f t="shared" si="441"/>
        <v xml:space="preserve"> () |  </v>
      </c>
      <c r="AA1723" s="29" t="str">
        <f t="shared" si="442"/>
        <v xml:space="preserve"> </v>
      </c>
      <c r="AB1723" s="29" t="str">
        <f t="shared" si="443"/>
        <v xml:space="preserve"> </v>
      </c>
      <c r="AC1723" s="29" t="str">
        <f t="shared" si="444"/>
        <v xml:space="preserve"> , 0 , 00 gennaio 1900</v>
      </c>
      <c r="AD1723" s="29" t="str">
        <f t="shared" si="445"/>
        <v>1900-01-00T08:00:00.000+02:00</v>
      </c>
      <c r="AE1723" s="29" t="str">
        <f t="shared" si="450"/>
        <v>--</v>
      </c>
      <c r="AF1723" s="29" t="str">
        <f t="shared" si="451"/>
        <v xml:space="preserve">  - 0 - </v>
      </c>
    </row>
    <row r="1724" spans="8:32" x14ac:dyDescent="0.2">
      <c r="H1724" s="29" t="str">
        <f t="shared" si="448"/>
        <v xml:space="preserve"> </v>
      </c>
      <c r="L1724" s="29">
        <f t="shared" si="449"/>
        <v>0</v>
      </c>
      <c r="Q1724" s="38"/>
      <c r="R1724" s="32">
        <f t="shared" si="446"/>
        <v>0</v>
      </c>
      <c r="S1724" s="32"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32">
        <f t="shared" si="447"/>
        <v>1900</v>
      </c>
      <c r="U1724" s="29"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00/01/1900</v>
      </c>
      <c r="V1724" s="33"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1900/01/00</v>
      </c>
      <c r="W1724" s="29"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00 gennaio 1900</v>
      </c>
      <c r="X1724" s="29">
        <v>1751</v>
      </c>
      <c r="Y1724" s="29" t="str">
        <f t="shared" si="440"/>
        <v>[' ', '', '', '--', '00 gennaio 1900', '00/01/1900', '1900/01/00'],</v>
      </c>
      <c r="Z1724" s="29" t="str">
        <f t="shared" si="441"/>
        <v xml:space="preserve"> () |  </v>
      </c>
      <c r="AA1724" s="29" t="str">
        <f t="shared" si="442"/>
        <v xml:space="preserve"> </v>
      </c>
      <c r="AB1724" s="29" t="str">
        <f t="shared" si="443"/>
        <v xml:space="preserve"> </v>
      </c>
      <c r="AC1724" s="29" t="str">
        <f t="shared" si="444"/>
        <v xml:space="preserve"> , 0 , 00 gennaio 1900</v>
      </c>
      <c r="AD1724" s="29" t="str">
        <f t="shared" si="445"/>
        <v>1900-01-00T08:00:00.000+02:00</v>
      </c>
      <c r="AE1724" s="29" t="str">
        <f t="shared" si="450"/>
        <v>--</v>
      </c>
      <c r="AF1724" s="29" t="str">
        <f t="shared" si="451"/>
        <v xml:space="preserve">  - 0 - </v>
      </c>
    </row>
    <row r="1725" spans="8:32" x14ac:dyDescent="0.2">
      <c r="H1725" s="29" t="str">
        <f t="shared" si="448"/>
        <v xml:space="preserve"> </v>
      </c>
      <c r="L1725" s="29">
        <f t="shared" si="449"/>
        <v>0</v>
      </c>
      <c r="Q1725" s="38"/>
      <c r="R1725" s="32">
        <f t="shared" si="446"/>
        <v>0</v>
      </c>
      <c r="S1725" s="32"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32">
        <f t="shared" si="447"/>
        <v>1900</v>
      </c>
      <c r="U1725" s="29"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00/01/1900</v>
      </c>
      <c r="V1725" s="33"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1900/01/00</v>
      </c>
      <c r="W1725" s="29"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00 gennaio 1900</v>
      </c>
      <c r="X1725" s="29">
        <v>1752</v>
      </c>
      <c r="Y1725" s="29" t="str">
        <f t="shared" si="440"/>
        <v>[' ', '', '', '--', '00 gennaio 1900', '00/01/1900', '1900/01/00'],</v>
      </c>
      <c r="Z1725" s="29" t="str">
        <f t="shared" si="441"/>
        <v xml:space="preserve"> () |  </v>
      </c>
      <c r="AA1725" s="29" t="str">
        <f t="shared" si="442"/>
        <v xml:space="preserve"> </v>
      </c>
      <c r="AB1725" s="29" t="str">
        <f t="shared" si="443"/>
        <v xml:space="preserve"> </v>
      </c>
      <c r="AC1725" s="29" t="str">
        <f t="shared" si="444"/>
        <v xml:space="preserve"> , 0 , 00 gennaio 1900</v>
      </c>
      <c r="AD1725" s="29" t="str">
        <f t="shared" si="445"/>
        <v>1900-01-00T08:00:00.000+02:00</v>
      </c>
      <c r="AE1725" s="29" t="str">
        <f t="shared" si="450"/>
        <v>--</v>
      </c>
      <c r="AF1725" s="29" t="str">
        <f t="shared" si="451"/>
        <v xml:space="preserve">  - 0 - </v>
      </c>
    </row>
    <row r="1726" spans="8:32" x14ac:dyDescent="0.2">
      <c r="H1726" s="29" t="str">
        <f t="shared" si="448"/>
        <v xml:space="preserve"> </v>
      </c>
      <c r="L1726" s="29">
        <f t="shared" si="449"/>
        <v>0</v>
      </c>
      <c r="Q1726" s="38"/>
      <c r="R1726" s="32">
        <f t="shared" si="446"/>
        <v>0</v>
      </c>
      <c r="S1726" s="32" t="str">
        <f>IF(ISERROR(DAY(Q1726)),TEXT(MATCH(TRIM(SUBSTITUTE(SUBSTITUTE(SUBSTITUTE(SUBSTITUTE(SUBSTITUTE(SUBSTITUTE(SUBSTITUTE(SUBSTITUTE(SUBSTITUTE(SUBSTITUTE(SUBSTITUTE(Q1726,1,""),2,""),3,""),4,""),5,""),6,""),7,""),8,""),9,""),0,""),"-","")),{"gennaio","febbraio","marzo","aprile","maggio","giugno","luglio","agosto","settembre","ottobre","novembre","dicembre"},0),"00"),TEXT(MONTH(Q1726)*29,"mmmm"))</f>
        <v>gennaio</v>
      </c>
      <c r="T1726" s="32">
        <f t="shared" si="447"/>
        <v>1900</v>
      </c>
      <c r="U1726" s="29"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00/01/1900</v>
      </c>
      <c r="V1726" s="33"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1900/01/00</v>
      </c>
      <c r="W1726" s="29"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00 gennaio 1900</v>
      </c>
      <c r="X1726" s="29">
        <v>1753</v>
      </c>
      <c r="Y1726" s="29" t="str">
        <f t="shared" si="440"/>
        <v>[' ', '', '', '--', '00 gennaio 1900', '00/01/1900', '1900/01/00'],</v>
      </c>
      <c r="Z1726" s="29" t="str">
        <f t="shared" si="441"/>
        <v xml:space="preserve"> () |  </v>
      </c>
      <c r="AA1726" s="29" t="str">
        <f t="shared" si="442"/>
        <v xml:space="preserve"> </v>
      </c>
      <c r="AB1726" s="29" t="str">
        <f t="shared" si="443"/>
        <v xml:space="preserve"> </v>
      </c>
      <c r="AC1726" s="29" t="str">
        <f t="shared" si="444"/>
        <v xml:space="preserve"> , 0 , 00 gennaio 1900</v>
      </c>
      <c r="AD1726" s="29" t="str">
        <f t="shared" si="445"/>
        <v>1900-01-00T08:00:00.000+02:00</v>
      </c>
      <c r="AE1726" s="29" t="str">
        <f t="shared" si="450"/>
        <v>--</v>
      </c>
      <c r="AF1726" s="29" t="str">
        <f t="shared" si="451"/>
        <v xml:space="preserve">  - 0 - </v>
      </c>
    </row>
    <row r="1727" spans="8:32" x14ac:dyDescent="0.2">
      <c r="H1727" s="29" t="str">
        <f t="shared" si="448"/>
        <v xml:space="preserve"> </v>
      </c>
      <c r="L1727" s="29">
        <f t="shared" si="449"/>
        <v>0</v>
      </c>
      <c r="Q1727" s="38"/>
      <c r="R1727" s="32">
        <f t="shared" si="446"/>
        <v>0</v>
      </c>
      <c r="S1727" s="32" t="str">
        <f>IF(ISERROR(DAY(Q1727)),TEXT(MATCH(TRIM(SUBSTITUTE(SUBSTITUTE(SUBSTITUTE(SUBSTITUTE(SUBSTITUTE(SUBSTITUTE(SUBSTITUTE(SUBSTITUTE(SUBSTITUTE(SUBSTITUTE(SUBSTITUTE(Q1727,1,""),2,""),3,""),4,""),5,""),6,""),7,""),8,""),9,""),0,""),"-","")),{"gennaio","febbraio","marzo","aprile","maggio","giugno","luglio","agosto","settembre","ottobre","novembre","dicembre"},0),"00"),TEXT(MONTH(Q1727)*29,"mmmm"))</f>
        <v>gennaio</v>
      </c>
      <c r="T1727" s="32">
        <f t="shared" si="447"/>
        <v>1900</v>
      </c>
      <c r="U1727" s="29"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00/01/1900</v>
      </c>
      <c r="V1727" s="33"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1900/01/00</v>
      </c>
      <c r="W1727" s="29"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00 gennaio 1900</v>
      </c>
      <c r="X1727" s="29">
        <v>1754</v>
      </c>
      <c r="Y1727" s="29" t="str">
        <f t="shared" si="440"/>
        <v>[' ', '', '', '--', '00 gennaio 1900', '00/01/1900', '1900/01/00'],</v>
      </c>
      <c r="Z1727" s="29" t="str">
        <f t="shared" si="441"/>
        <v xml:space="preserve"> () |  </v>
      </c>
      <c r="AA1727" s="29" t="str">
        <f t="shared" si="442"/>
        <v xml:space="preserve"> </v>
      </c>
      <c r="AB1727" s="29" t="str">
        <f t="shared" si="443"/>
        <v xml:space="preserve"> </v>
      </c>
      <c r="AC1727" s="29" t="str">
        <f t="shared" si="444"/>
        <v xml:space="preserve"> , 0 , 00 gennaio 1900</v>
      </c>
      <c r="AD1727" s="29" t="str">
        <f t="shared" si="445"/>
        <v>1900-01-00T08:00:00.000+02:00</v>
      </c>
      <c r="AE1727" s="29" t="str">
        <f t="shared" si="450"/>
        <v>--</v>
      </c>
      <c r="AF1727" s="29" t="str">
        <f t="shared" si="451"/>
        <v xml:space="preserve">  - 0 - </v>
      </c>
    </row>
    <row r="1728" spans="8:32" x14ac:dyDescent="0.2">
      <c r="H1728" s="29" t="str">
        <f t="shared" si="448"/>
        <v xml:space="preserve"> </v>
      </c>
      <c r="L1728" s="29">
        <f t="shared" si="449"/>
        <v>0</v>
      </c>
      <c r="Q1728" s="38"/>
      <c r="R1728" s="32">
        <f t="shared" si="446"/>
        <v>0</v>
      </c>
      <c r="S1728" s="32" t="str">
        <f>IF(ISERROR(DAY(Q1728)),TEXT(MATCH(TRIM(SUBSTITUTE(SUBSTITUTE(SUBSTITUTE(SUBSTITUTE(SUBSTITUTE(SUBSTITUTE(SUBSTITUTE(SUBSTITUTE(SUBSTITUTE(SUBSTITUTE(SUBSTITUTE(Q1728,1,""),2,""),3,""),4,""),5,""),6,""),7,""),8,""),9,""),0,""),"-","")),{"gennaio","febbraio","marzo","aprile","maggio","giugno","luglio","agosto","settembre","ottobre","novembre","dicembre"},0),"00"),TEXT(MONTH(Q1728)*29,"mmmm"))</f>
        <v>gennaio</v>
      </c>
      <c r="T1728" s="32">
        <f t="shared" si="447"/>
        <v>1900</v>
      </c>
      <c r="U1728" s="29"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00/01/1900</v>
      </c>
      <c r="V1728" s="33"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1900/01/00</v>
      </c>
      <c r="W1728" s="29"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00 gennaio 1900</v>
      </c>
      <c r="X1728" s="29">
        <v>1755</v>
      </c>
      <c r="Y1728" s="29" t="str">
        <f t="shared" si="440"/>
        <v>[' ', '', '', '--', '00 gennaio 1900', '00/01/1900', '1900/01/00'],</v>
      </c>
      <c r="Z1728" s="29" t="str">
        <f t="shared" si="441"/>
        <v xml:space="preserve"> () |  </v>
      </c>
      <c r="AA1728" s="29" t="str">
        <f t="shared" si="442"/>
        <v xml:space="preserve"> </v>
      </c>
      <c r="AB1728" s="29" t="str">
        <f t="shared" si="443"/>
        <v xml:space="preserve"> </v>
      </c>
      <c r="AC1728" s="29" t="str">
        <f t="shared" si="444"/>
        <v xml:space="preserve"> , 0 , 00 gennaio 1900</v>
      </c>
      <c r="AD1728" s="29" t="str">
        <f t="shared" si="445"/>
        <v>1900-01-00T08:00:00.000+02:00</v>
      </c>
      <c r="AE1728" s="29" t="str">
        <f t="shared" si="450"/>
        <v>--</v>
      </c>
      <c r="AF1728" s="29" t="str">
        <f t="shared" si="451"/>
        <v xml:space="preserve">  - 0 - </v>
      </c>
    </row>
    <row r="1729" spans="8:32" x14ac:dyDescent="0.2">
      <c r="H1729" s="29" t="str">
        <f t="shared" si="448"/>
        <v xml:space="preserve"> </v>
      </c>
      <c r="L1729" s="29">
        <f t="shared" si="449"/>
        <v>0</v>
      </c>
      <c r="Q1729" s="38"/>
      <c r="R1729" s="32">
        <f t="shared" si="446"/>
        <v>0</v>
      </c>
      <c r="S1729" s="32" t="str">
        <f>IF(ISERROR(DAY(Q1729)),TEXT(MATCH(TRIM(SUBSTITUTE(SUBSTITUTE(SUBSTITUTE(SUBSTITUTE(SUBSTITUTE(SUBSTITUTE(SUBSTITUTE(SUBSTITUTE(SUBSTITUTE(SUBSTITUTE(SUBSTITUTE(Q1729,1,""),2,""),3,""),4,""),5,""),6,""),7,""),8,""),9,""),0,""),"-","")),{"gennaio","febbraio","marzo","aprile","maggio","giugno","luglio","agosto","settembre","ottobre","novembre","dicembre"},0),"00"),TEXT(MONTH(Q1729)*29,"mmmm"))</f>
        <v>gennaio</v>
      </c>
      <c r="T1729" s="32">
        <f t="shared" si="447"/>
        <v>1900</v>
      </c>
      <c r="U1729" s="29"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00/01/1900</v>
      </c>
      <c r="V1729" s="33"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1900/01/00</v>
      </c>
      <c r="W1729" s="29"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00 gennaio 1900</v>
      </c>
      <c r="X1729" s="29">
        <v>1756</v>
      </c>
      <c r="Y1729" s="29" t="str">
        <f t="shared" si="440"/>
        <v>[' ', '', '', '--', '00 gennaio 1900', '00/01/1900', '1900/01/00'],</v>
      </c>
      <c r="Z1729" s="29" t="str">
        <f t="shared" si="441"/>
        <v xml:space="preserve"> () |  </v>
      </c>
      <c r="AA1729" s="29" t="str">
        <f t="shared" si="442"/>
        <v xml:space="preserve"> </v>
      </c>
      <c r="AB1729" s="29" t="str">
        <f t="shared" si="443"/>
        <v xml:space="preserve"> </v>
      </c>
      <c r="AC1729" s="29" t="str">
        <f t="shared" si="444"/>
        <v xml:space="preserve"> , 0 , 00 gennaio 1900</v>
      </c>
      <c r="AD1729" s="29" t="str">
        <f t="shared" si="445"/>
        <v>1900-01-00T08:00:00.000+02:00</v>
      </c>
      <c r="AE1729" s="29" t="str">
        <f t="shared" si="450"/>
        <v>--</v>
      </c>
      <c r="AF1729" s="29" t="str">
        <f t="shared" si="451"/>
        <v xml:space="preserve">  - 0 - </v>
      </c>
    </row>
    <row r="1730" spans="8:32" x14ac:dyDescent="0.2">
      <c r="H1730" s="29" t="str">
        <f t="shared" si="448"/>
        <v xml:space="preserve"> </v>
      </c>
      <c r="L1730" s="29">
        <f t="shared" si="449"/>
        <v>0</v>
      </c>
      <c r="Q1730" s="38"/>
      <c r="R1730" s="32">
        <f t="shared" si="446"/>
        <v>0</v>
      </c>
      <c r="S1730" s="32" t="str">
        <f>IF(ISERROR(DAY(Q1730)),TEXT(MATCH(TRIM(SUBSTITUTE(SUBSTITUTE(SUBSTITUTE(SUBSTITUTE(SUBSTITUTE(SUBSTITUTE(SUBSTITUTE(SUBSTITUTE(SUBSTITUTE(SUBSTITUTE(SUBSTITUTE(Q1730,1,""),2,""),3,""),4,""),5,""),6,""),7,""),8,""),9,""),0,""),"-","")),{"gennaio","febbraio","marzo","aprile","maggio","giugno","luglio","agosto","settembre","ottobre","novembre","dicembre"},0),"00"),TEXT(MONTH(Q1730)*29,"mmmm"))</f>
        <v>gennaio</v>
      </c>
      <c r="T1730" s="32">
        <f t="shared" si="447"/>
        <v>1900</v>
      </c>
      <c r="U1730" s="29"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00/01/1900</v>
      </c>
      <c r="V1730" s="33"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1900/01/00</v>
      </c>
      <c r="W1730" s="29"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00 gennaio 1900</v>
      </c>
      <c r="X1730" s="29">
        <v>1757</v>
      </c>
      <c r="Y1730" s="29" t="str">
        <f t="shared" ref="Y1730:Y1793" si="452">_xlfn.CONCAT("[" &amp; "'" &amp; D1730 &amp; " " &amp; E1730 &amp; "'" &amp; ", " &amp; "'" &amp; K1730 &amp; "'"&amp; ", " &amp; "'" &amp; O1730 &amp; "'" &amp; ", " &amp; "'" &amp; AE1730 &amp; "'" &amp; ", " &amp; "'" &amp; W1730 &amp; "'" &amp; ", " &amp; "'" &amp; U1730 &amp; "'" &amp; ", " &amp; "'" &amp; V1730 &amp; "'" &amp; "],")</f>
        <v>[' ', '', '', '--', '00 gennaio 1900', '00/01/1900', '1900/01/00'],</v>
      </c>
      <c r="Z1730" s="29" t="str">
        <f t="shared" ref="Z1730:Z1793" si="453">_xlfn.CONCAT(O1730 &amp; " (" &amp; Q1730 &amp; ") | " &amp; D1730 &amp; " " &amp; E1730)</f>
        <v xml:space="preserve"> () |  </v>
      </c>
      <c r="AA1730" s="29" t="str">
        <f t="shared" ref="AA1730:AA1793" si="454">_xlfn.CONCAT(K1730 &amp; " " &amp; O1730)</f>
        <v xml:space="preserve"> </v>
      </c>
      <c r="AB1730" s="29" t="str">
        <f t="shared" ref="AB1730:AB1793" si="455">_xlfn.CONCAT(K1730 &amp; " " &amp; O1730)</f>
        <v xml:space="preserve"> </v>
      </c>
      <c r="AC1730" s="29" t="str">
        <f t="shared" ref="AC1730:AC1793" si="456">_xlfn.CONCAT(H1730 &amp; ", " &amp; L1730 &amp; " " &amp; O1730 &amp; ", " &amp; LEFT(U1730,2) &amp; " " &amp; TEXT(VALUE(MID(U1730,4,2))*29,"mmmm") &amp; " " &amp; RIGHT(U1730,4))</f>
        <v xml:space="preserve"> , 0 , 00 gennaio 1900</v>
      </c>
      <c r="AD1730" s="29" t="str">
        <f t="shared" ref="AD1730:AD1793" si="457">_xlfn.CONCAT(RIGHT(U1730,4) &amp; "-" &amp; MID(U1730,4,2) &amp; "-" &amp; LEFT(U1730,2) &amp; "T08:00:00.000+02:00")</f>
        <v>1900-01-00T08:00:00.000+02:00</v>
      </c>
      <c r="AE1730" s="29" t="str">
        <f t="shared" si="450"/>
        <v>--</v>
      </c>
      <c r="AF1730" s="29" t="str">
        <f t="shared" si="451"/>
        <v xml:space="preserve">  - 0 - </v>
      </c>
    </row>
    <row r="1731" spans="8:32" x14ac:dyDescent="0.2">
      <c r="H1731" s="29" t="str">
        <f t="shared" si="448"/>
        <v xml:space="preserve"> </v>
      </c>
      <c r="L1731" s="29">
        <f t="shared" si="449"/>
        <v>0</v>
      </c>
      <c r="Q1731" s="38"/>
      <c r="R1731" s="32">
        <f t="shared" si="446"/>
        <v>0</v>
      </c>
      <c r="S1731" s="32" t="str">
        <f>IF(ISERROR(DAY(Q1731)),TEXT(MATCH(TRIM(SUBSTITUTE(SUBSTITUTE(SUBSTITUTE(SUBSTITUTE(SUBSTITUTE(SUBSTITUTE(SUBSTITUTE(SUBSTITUTE(SUBSTITUTE(SUBSTITUTE(SUBSTITUTE(Q1731,1,""),2,""),3,""),4,""),5,""),6,""),7,""),8,""),9,""),0,""),"-","")),{"gennaio","febbraio","marzo","aprile","maggio","giugno","luglio","agosto","settembre","ottobre","novembre","dicembre"},0),"00"),TEXT(MONTH(Q1731)*29,"mmmm"))</f>
        <v>gennaio</v>
      </c>
      <c r="T1731" s="32">
        <f t="shared" si="447"/>
        <v>1900</v>
      </c>
      <c r="U1731" s="29"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00/01/1900</v>
      </c>
      <c r="V1731" s="33"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1900/01/00</v>
      </c>
      <c r="W1731" s="29"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00 gennaio 1900</v>
      </c>
      <c r="X1731" s="29">
        <v>1758</v>
      </c>
      <c r="Y1731" s="29" t="str">
        <f t="shared" si="452"/>
        <v>[' ', '', '', '--', '00 gennaio 1900', '00/01/1900', '1900/01/00'],</v>
      </c>
      <c r="Z1731" s="29" t="str">
        <f t="shared" si="453"/>
        <v xml:space="preserve"> () |  </v>
      </c>
      <c r="AA1731" s="29" t="str">
        <f t="shared" si="454"/>
        <v xml:space="preserve"> </v>
      </c>
      <c r="AB1731" s="29" t="str">
        <f t="shared" si="455"/>
        <v xml:space="preserve"> </v>
      </c>
      <c r="AC1731" s="29" t="str">
        <f t="shared" si="456"/>
        <v xml:space="preserve"> , 0 , 00 gennaio 1900</v>
      </c>
      <c r="AD1731" s="29" t="str">
        <f t="shared" si="457"/>
        <v>1900-01-00T08:00:00.000+02:00</v>
      </c>
      <c r="AE1731" s="29" t="str">
        <f t="shared" si="450"/>
        <v>--</v>
      </c>
      <c r="AF1731" s="29" t="str">
        <f t="shared" si="451"/>
        <v xml:space="preserve">  - 0 - </v>
      </c>
    </row>
    <row r="1732" spans="8:32" x14ac:dyDescent="0.2">
      <c r="H1732" s="29" t="str">
        <f t="shared" si="448"/>
        <v xml:space="preserve"> </v>
      </c>
      <c r="L1732" s="29">
        <f t="shared" si="449"/>
        <v>0</v>
      </c>
      <c r="Q1732" s="38"/>
      <c r="R1732" s="32">
        <f t="shared" si="446"/>
        <v>0</v>
      </c>
      <c r="S1732" s="32" t="str">
        <f>IF(ISERROR(DAY(Q1732)),TEXT(MATCH(TRIM(SUBSTITUTE(SUBSTITUTE(SUBSTITUTE(SUBSTITUTE(SUBSTITUTE(SUBSTITUTE(SUBSTITUTE(SUBSTITUTE(SUBSTITUTE(SUBSTITUTE(SUBSTITUTE(Q1732,1,""),2,""),3,""),4,""),5,""),6,""),7,""),8,""),9,""),0,""),"-","")),{"gennaio","febbraio","marzo","aprile","maggio","giugno","luglio","agosto","settembre","ottobre","novembre","dicembre"},0),"00"),TEXT(MONTH(Q1732)*29,"mmmm"))</f>
        <v>gennaio</v>
      </c>
      <c r="T1732" s="32">
        <f t="shared" si="447"/>
        <v>1900</v>
      </c>
      <c r="U1732" s="29"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00/01/1900</v>
      </c>
      <c r="V1732" s="33"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1900/01/00</v>
      </c>
      <c r="W1732" s="29"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00 gennaio 1900</v>
      </c>
      <c r="X1732" s="29">
        <v>1759</v>
      </c>
      <c r="Y1732" s="29" t="str">
        <f t="shared" si="452"/>
        <v>[' ', '', '', '--', '00 gennaio 1900', '00/01/1900', '1900/01/00'],</v>
      </c>
      <c r="Z1732" s="29" t="str">
        <f t="shared" si="453"/>
        <v xml:space="preserve"> () |  </v>
      </c>
      <c r="AA1732" s="29" t="str">
        <f t="shared" si="454"/>
        <v xml:space="preserve"> </v>
      </c>
      <c r="AB1732" s="29" t="str">
        <f t="shared" si="455"/>
        <v xml:space="preserve"> </v>
      </c>
      <c r="AC1732" s="29" t="str">
        <f t="shared" si="456"/>
        <v xml:space="preserve"> , 0 , 00 gennaio 1900</v>
      </c>
      <c r="AD1732" s="29" t="str">
        <f t="shared" si="457"/>
        <v>1900-01-00T08:00:00.000+02:00</v>
      </c>
      <c r="AE1732" s="29" t="str">
        <f t="shared" si="450"/>
        <v>--</v>
      </c>
      <c r="AF1732" s="29" t="str">
        <f t="shared" si="451"/>
        <v xml:space="preserve">  - 0 - </v>
      </c>
    </row>
    <row r="1733" spans="8:32" x14ac:dyDescent="0.2">
      <c r="H1733" s="29" t="str">
        <f t="shared" si="448"/>
        <v xml:space="preserve"> </v>
      </c>
      <c r="L1733" s="29">
        <f t="shared" si="449"/>
        <v>0</v>
      </c>
      <c r="Q1733" s="38"/>
      <c r="R1733" s="32">
        <f t="shared" si="446"/>
        <v>0</v>
      </c>
      <c r="S1733" s="32" t="str">
        <f>IF(ISERROR(DAY(Q1733)),TEXT(MATCH(TRIM(SUBSTITUTE(SUBSTITUTE(SUBSTITUTE(SUBSTITUTE(SUBSTITUTE(SUBSTITUTE(SUBSTITUTE(SUBSTITUTE(SUBSTITUTE(SUBSTITUTE(SUBSTITUTE(Q1733,1,""),2,""),3,""),4,""),5,""),6,""),7,""),8,""),9,""),0,""),"-","")),{"gennaio","febbraio","marzo","aprile","maggio","giugno","luglio","agosto","settembre","ottobre","novembre","dicembre"},0),"00"),TEXT(MONTH(Q1733)*29,"mmmm"))</f>
        <v>gennaio</v>
      </c>
      <c r="T1733" s="32">
        <f t="shared" si="447"/>
        <v>1900</v>
      </c>
      <c r="U1733" s="29"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00/01/1900</v>
      </c>
      <c r="V1733" s="33"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1900/01/00</v>
      </c>
      <c r="W1733" s="29"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00 gennaio 1900</v>
      </c>
      <c r="X1733" s="29">
        <v>1760</v>
      </c>
      <c r="Y1733" s="29" t="str">
        <f t="shared" si="452"/>
        <v>[' ', '', '', '--', '00 gennaio 1900', '00/01/1900', '1900/01/00'],</v>
      </c>
      <c r="Z1733" s="29" t="str">
        <f t="shared" si="453"/>
        <v xml:space="preserve"> () |  </v>
      </c>
      <c r="AA1733" s="29" t="str">
        <f t="shared" si="454"/>
        <v xml:space="preserve"> </v>
      </c>
      <c r="AB1733" s="29" t="str">
        <f t="shared" si="455"/>
        <v xml:space="preserve"> </v>
      </c>
      <c r="AC1733" s="29" t="str">
        <f t="shared" si="456"/>
        <v xml:space="preserve"> , 0 , 00 gennaio 1900</v>
      </c>
      <c r="AD1733" s="29" t="str">
        <f t="shared" si="457"/>
        <v>1900-01-00T08:00:00.000+02:00</v>
      </c>
      <c r="AE1733" s="29" t="str">
        <f t="shared" si="450"/>
        <v>--</v>
      </c>
      <c r="AF1733" s="29" t="str">
        <f t="shared" si="451"/>
        <v xml:space="preserve">  - 0 - </v>
      </c>
    </row>
    <row r="1734" spans="8:32" x14ac:dyDescent="0.2">
      <c r="H1734" s="29" t="str">
        <f t="shared" si="448"/>
        <v xml:space="preserve"> </v>
      </c>
      <c r="L1734" s="29">
        <f t="shared" si="449"/>
        <v>0</v>
      </c>
      <c r="Q1734" s="38"/>
      <c r="R1734" s="32">
        <f t="shared" si="446"/>
        <v>0</v>
      </c>
      <c r="S1734" s="32" t="str">
        <f>IF(ISERROR(DAY(Q1734)),TEXT(MATCH(TRIM(SUBSTITUTE(SUBSTITUTE(SUBSTITUTE(SUBSTITUTE(SUBSTITUTE(SUBSTITUTE(SUBSTITUTE(SUBSTITUTE(SUBSTITUTE(SUBSTITUTE(SUBSTITUTE(Q1734,1,""),2,""),3,""),4,""),5,""),6,""),7,""),8,""),9,""),0,""),"-","")),{"gennaio","febbraio","marzo","aprile","maggio","giugno","luglio","agosto","settembre","ottobre","novembre","dicembre"},0),"00"),TEXT(MONTH(Q1734)*29,"mmmm"))</f>
        <v>gennaio</v>
      </c>
      <c r="T1734" s="32">
        <f t="shared" si="447"/>
        <v>1900</v>
      </c>
      <c r="U1734" s="29"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00/01/1900</v>
      </c>
      <c r="V1734" s="33"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1900/01/00</v>
      </c>
      <c r="W1734" s="29"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00 gennaio 1900</v>
      </c>
      <c r="X1734" s="29">
        <v>1761</v>
      </c>
      <c r="Y1734" s="29" t="str">
        <f t="shared" si="452"/>
        <v>[' ', '', '', '--', '00 gennaio 1900', '00/01/1900', '1900/01/00'],</v>
      </c>
      <c r="Z1734" s="29" t="str">
        <f t="shared" si="453"/>
        <v xml:space="preserve"> () |  </v>
      </c>
      <c r="AA1734" s="29" t="str">
        <f t="shared" si="454"/>
        <v xml:space="preserve"> </v>
      </c>
      <c r="AB1734" s="29" t="str">
        <f t="shared" si="455"/>
        <v xml:space="preserve"> </v>
      </c>
      <c r="AC1734" s="29" t="str">
        <f t="shared" si="456"/>
        <v xml:space="preserve"> , 0 , 00 gennaio 1900</v>
      </c>
      <c r="AD1734" s="29" t="str">
        <f t="shared" si="457"/>
        <v>1900-01-00T08:00:00.000+02:00</v>
      </c>
      <c r="AE1734" s="29" t="str">
        <f t="shared" si="450"/>
        <v>--</v>
      </c>
      <c r="AF1734" s="29" t="str">
        <f t="shared" si="451"/>
        <v xml:space="preserve">  - 0 - </v>
      </c>
    </row>
    <row r="1735" spans="8:32" x14ac:dyDescent="0.2">
      <c r="H1735" s="29" t="str">
        <f t="shared" si="448"/>
        <v xml:space="preserve"> </v>
      </c>
      <c r="L1735" s="29">
        <f t="shared" si="449"/>
        <v>0</v>
      </c>
      <c r="Q1735" s="38"/>
      <c r="R1735" s="32">
        <f t="shared" si="446"/>
        <v>0</v>
      </c>
      <c r="S1735" s="32" t="str">
        <f>IF(ISERROR(DAY(Q1735)),TEXT(MATCH(TRIM(SUBSTITUTE(SUBSTITUTE(SUBSTITUTE(SUBSTITUTE(SUBSTITUTE(SUBSTITUTE(SUBSTITUTE(SUBSTITUTE(SUBSTITUTE(SUBSTITUTE(SUBSTITUTE(Q1735,1,""),2,""),3,""),4,""),5,""),6,""),7,""),8,""),9,""),0,""),"-","")),{"gennaio","febbraio","marzo","aprile","maggio","giugno","luglio","agosto","settembre","ottobre","novembre","dicembre"},0),"00"),TEXT(MONTH(Q1735)*29,"mmmm"))</f>
        <v>gennaio</v>
      </c>
      <c r="T1735" s="32">
        <f t="shared" si="447"/>
        <v>1900</v>
      </c>
      <c r="U1735" s="29"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00/01/1900</v>
      </c>
      <c r="V1735" s="33"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1900/01/00</v>
      </c>
      <c r="W1735" s="29"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00 gennaio 1900</v>
      </c>
      <c r="X1735" s="29">
        <v>1762</v>
      </c>
      <c r="Y1735" s="29" t="str">
        <f t="shared" si="452"/>
        <v>[' ', '', '', '--', '00 gennaio 1900', '00/01/1900', '1900/01/00'],</v>
      </c>
      <c r="Z1735" s="29" t="str">
        <f t="shared" si="453"/>
        <v xml:space="preserve"> () |  </v>
      </c>
      <c r="AA1735" s="29" t="str">
        <f t="shared" si="454"/>
        <v xml:space="preserve"> </v>
      </c>
      <c r="AB1735" s="29" t="str">
        <f t="shared" si="455"/>
        <v xml:space="preserve"> </v>
      </c>
      <c r="AC1735" s="29" t="str">
        <f t="shared" si="456"/>
        <v xml:space="preserve"> , 0 , 00 gennaio 1900</v>
      </c>
      <c r="AD1735" s="29" t="str">
        <f t="shared" si="457"/>
        <v>1900-01-00T08:00:00.000+02:00</v>
      </c>
      <c r="AE1735" s="29" t="str">
        <f t="shared" si="450"/>
        <v>--</v>
      </c>
      <c r="AF1735" s="29" t="str">
        <f t="shared" si="451"/>
        <v xml:space="preserve">  - 0 - </v>
      </c>
    </row>
    <row r="1736" spans="8:32" x14ac:dyDescent="0.2">
      <c r="H1736" s="29" t="str">
        <f t="shared" si="448"/>
        <v xml:space="preserve"> </v>
      </c>
      <c r="L1736" s="29">
        <f t="shared" si="449"/>
        <v>0</v>
      </c>
      <c r="Q1736" s="38"/>
      <c r="R1736" s="32">
        <f t="shared" si="446"/>
        <v>0</v>
      </c>
      <c r="S1736" s="32" t="str">
        <f>IF(ISERROR(DAY(Q1736)),TEXT(MATCH(TRIM(SUBSTITUTE(SUBSTITUTE(SUBSTITUTE(SUBSTITUTE(SUBSTITUTE(SUBSTITUTE(SUBSTITUTE(SUBSTITUTE(SUBSTITUTE(SUBSTITUTE(SUBSTITUTE(Q1736,1,""),2,""),3,""),4,""),5,""),6,""),7,""),8,""),9,""),0,""),"-","")),{"gennaio","febbraio","marzo","aprile","maggio","giugno","luglio","agosto","settembre","ottobre","novembre","dicembre"},0),"00"),TEXT(MONTH(Q1736)*29,"mmmm"))</f>
        <v>gennaio</v>
      </c>
      <c r="T1736" s="32">
        <f t="shared" si="447"/>
        <v>1900</v>
      </c>
      <c r="U1736" s="29"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00/01/1900</v>
      </c>
      <c r="V1736" s="33"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1900/01/00</v>
      </c>
      <c r="W1736" s="29"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00 gennaio 1900</v>
      </c>
      <c r="X1736" s="29">
        <v>1763</v>
      </c>
      <c r="Y1736" s="29" t="str">
        <f t="shared" si="452"/>
        <v>[' ', '', '', '--', '00 gennaio 1900', '00/01/1900', '1900/01/00'],</v>
      </c>
      <c r="Z1736" s="29" t="str">
        <f t="shared" si="453"/>
        <v xml:space="preserve"> () |  </v>
      </c>
      <c r="AA1736" s="29" t="str">
        <f t="shared" si="454"/>
        <v xml:space="preserve"> </v>
      </c>
      <c r="AB1736" s="29" t="str">
        <f t="shared" si="455"/>
        <v xml:space="preserve"> </v>
      </c>
      <c r="AC1736" s="29" t="str">
        <f t="shared" si="456"/>
        <v xml:space="preserve"> , 0 , 00 gennaio 1900</v>
      </c>
      <c r="AD1736" s="29" t="str">
        <f t="shared" si="457"/>
        <v>1900-01-00T08:00:00.000+02:00</v>
      </c>
      <c r="AE1736" s="29" t="str">
        <f t="shared" si="450"/>
        <v>--</v>
      </c>
      <c r="AF1736" s="29" t="str">
        <f t="shared" si="451"/>
        <v xml:space="preserve">  - 0 - </v>
      </c>
    </row>
    <row r="1737" spans="8:32" x14ac:dyDescent="0.2">
      <c r="H1737" s="29" t="str">
        <f t="shared" si="448"/>
        <v xml:space="preserve"> </v>
      </c>
      <c r="L1737" s="29">
        <f t="shared" si="449"/>
        <v>0</v>
      </c>
      <c r="Q1737" s="38"/>
      <c r="R1737" s="32">
        <f t="shared" si="446"/>
        <v>0</v>
      </c>
      <c r="S1737" s="32" t="str">
        <f>IF(ISERROR(DAY(Q1737)),TEXT(MATCH(TRIM(SUBSTITUTE(SUBSTITUTE(SUBSTITUTE(SUBSTITUTE(SUBSTITUTE(SUBSTITUTE(SUBSTITUTE(SUBSTITUTE(SUBSTITUTE(SUBSTITUTE(SUBSTITUTE(Q1737,1,""),2,""),3,""),4,""),5,""),6,""),7,""),8,""),9,""),0,""),"-","")),{"gennaio","febbraio","marzo","aprile","maggio","giugno","luglio","agosto","settembre","ottobre","novembre","dicembre"},0),"00"),TEXT(MONTH(Q1737)*29,"mmmm"))</f>
        <v>gennaio</v>
      </c>
      <c r="T1737" s="32">
        <f t="shared" si="447"/>
        <v>1900</v>
      </c>
      <c r="U1737" s="29"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00/01/1900</v>
      </c>
      <c r="V1737" s="33"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1900/01/00</v>
      </c>
      <c r="W1737" s="29"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00 gennaio 1900</v>
      </c>
      <c r="X1737" s="29">
        <v>1764</v>
      </c>
      <c r="Y1737" s="29" t="str">
        <f t="shared" si="452"/>
        <v>[' ', '', '', '--', '00 gennaio 1900', '00/01/1900', '1900/01/00'],</v>
      </c>
      <c r="Z1737" s="29" t="str">
        <f t="shared" si="453"/>
        <v xml:space="preserve"> () |  </v>
      </c>
      <c r="AA1737" s="29" t="str">
        <f t="shared" si="454"/>
        <v xml:space="preserve"> </v>
      </c>
      <c r="AB1737" s="29" t="str">
        <f t="shared" si="455"/>
        <v xml:space="preserve"> </v>
      </c>
      <c r="AC1737" s="29" t="str">
        <f t="shared" si="456"/>
        <v xml:space="preserve"> , 0 , 00 gennaio 1900</v>
      </c>
      <c r="AD1737" s="29" t="str">
        <f t="shared" si="457"/>
        <v>1900-01-00T08:00:00.000+02:00</v>
      </c>
      <c r="AE1737" s="29" t="str">
        <f t="shared" si="450"/>
        <v>--</v>
      </c>
      <c r="AF1737" s="29" t="str">
        <f t="shared" si="451"/>
        <v xml:space="preserve">  - 0 - </v>
      </c>
    </row>
    <row r="1738" spans="8:32" x14ac:dyDescent="0.2">
      <c r="H1738" s="29" t="str">
        <f t="shared" si="448"/>
        <v xml:space="preserve"> </v>
      </c>
      <c r="L1738" s="29">
        <f t="shared" si="449"/>
        <v>0</v>
      </c>
      <c r="Q1738" s="38"/>
      <c r="R1738" s="32">
        <f t="shared" si="446"/>
        <v>0</v>
      </c>
      <c r="S1738" s="32" t="str">
        <f>IF(ISERROR(DAY(Q1738)),TEXT(MATCH(TRIM(SUBSTITUTE(SUBSTITUTE(SUBSTITUTE(SUBSTITUTE(SUBSTITUTE(SUBSTITUTE(SUBSTITUTE(SUBSTITUTE(SUBSTITUTE(SUBSTITUTE(SUBSTITUTE(Q1738,1,""),2,""),3,""),4,""),5,""),6,""),7,""),8,""),9,""),0,""),"-","")),{"gennaio","febbraio","marzo","aprile","maggio","giugno","luglio","agosto","settembre","ottobre","novembre","dicembre"},0),"00"),TEXT(MONTH(Q1738)*29,"mmmm"))</f>
        <v>gennaio</v>
      </c>
      <c r="T1738" s="32">
        <f t="shared" si="447"/>
        <v>1900</v>
      </c>
      <c r="U1738" s="29"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00/01/1900</v>
      </c>
      <c r="V1738" s="33"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1900/01/00</v>
      </c>
      <c r="W1738" s="29"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00 gennaio 1900</v>
      </c>
      <c r="X1738" s="29">
        <v>1765</v>
      </c>
      <c r="Y1738" s="29" t="str">
        <f t="shared" si="452"/>
        <v>[' ', '', '', '--', '00 gennaio 1900', '00/01/1900', '1900/01/00'],</v>
      </c>
      <c r="Z1738" s="29" t="str">
        <f t="shared" si="453"/>
        <v xml:space="preserve"> () |  </v>
      </c>
      <c r="AA1738" s="29" t="str">
        <f t="shared" si="454"/>
        <v xml:space="preserve"> </v>
      </c>
      <c r="AB1738" s="29" t="str">
        <f t="shared" si="455"/>
        <v xml:space="preserve"> </v>
      </c>
      <c r="AC1738" s="29" t="str">
        <f t="shared" si="456"/>
        <v xml:space="preserve"> , 0 , 00 gennaio 1900</v>
      </c>
      <c r="AD1738" s="29" t="str">
        <f t="shared" si="457"/>
        <v>1900-01-00T08:00:00.000+02:00</v>
      </c>
      <c r="AE1738" s="29" t="str">
        <f t="shared" si="450"/>
        <v>--</v>
      </c>
      <c r="AF1738" s="29" t="str">
        <f t="shared" si="451"/>
        <v xml:space="preserve">  - 0 - </v>
      </c>
    </row>
    <row r="1739" spans="8:32" x14ac:dyDescent="0.2">
      <c r="H1739" s="29" t="str">
        <f t="shared" si="448"/>
        <v xml:space="preserve"> </v>
      </c>
      <c r="L1739" s="29">
        <f t="shared" si="449"/>
        <v>0</v>
      </c>
      <c r="Q1739" s="38"/>
      <c r="R1739" s="32">
        <f t="shared" si="446"/>
        <v>0</v>
      </c>
      <c r="S1739" s="32" t="str">
        <f>IF(ISERROR(DAY(Q1739)),TEXT(MATCH(TRIM(SUBSTITUTE(SUBSTITUTE(SUBSTITUTE(SUBSTITUTE(SUBSTITUTE(SUBSTITUTE(SUBSTITUTE(SUBSTITUTE(SUBSTITUTE(SUBSTITUTE(SUBSTITUTE(Q1739,1,""),2,""),3,""),4,""),5,""),6,""),7,""),8,""),9,""),0,""),"-","")),{"gennaio","febbraio","marzo","aprile","maggio","giugno","luglio","agosto","settembre","ottobre","novembre","dicembre"},0),"00"),TEXT(MONTH(Q1739)*29,"mmmm"))</f>
        <v>gennaio</v>
      </c>
      <c r="T1739" s="32">
        <f t="shared" si="447"/>
        <v>1900</v>
      </c>
      <c r="U1739" s="29"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00/01/1900</v>
      </c>
      <c r="V1739" s="33"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1900/01/00</v>
      </c>
      <c r="W1739" s="29"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00 gennaio 1900</v>
      </c>
      <c r="X1739" s="29">
        <v>1766</v>
      </c>
      <c r="Y1739" s="29" t="str">
        <f t="shared" si="452"/>
        <v>[' ', '', '', '--', '00 gennaio 1900', '00/01/1900', '1900/01/00'],</v>
      </c>
      <c r="Z1739" s="29" t="str">
        <f t="shared" si="453"/>
        <v xml:space="preserve"> () |  </v>
      </c>
      <c r="AA1739" s="29" t="str">
        <f t="shared" si="454"/>
        <v xml:space="preserve"> </v>
      </c>
      <c r="AB1739" s="29" t="str">
        <f t="shared" si="455"/>
        <v xml:space="preserve"> </v>
      </c>
      <c r="AC1739" s="29" t="str">
        <f t="shared" si="456"/>
        <v xml:space="preserve"> , 0 , 00 gennaio 1900</v>
      </c>
      <c r="AD1739" s="29" t="str">
        <f t="shared" si="457"/>
        <v>1900-01-00T08:00:00.000+02:00</v>
      </c>
      <c r="AE1739" s="29" t="str">
        <f t="shared" si="450"/>
        <v>--</v>
      </c>
      <c r="AF1739" s="29" t="str">
        <f t="shared" si="451"/>
        <v xml:space="preserve">  - 0 - </v>
      </c>
    </row>
    <row r="1740" spans="8:32" x14ac:dyDescent="0.2">
      <c r="H1740" s="29" t="str">
        <f t="shared" si="448"/>
        <v xml:space="preserve"> </v>
      </c>
      <c r="L1740" s="29">
        <f t="shared" si="449"/>
        <v>0</v>
      </c>
      <c r="Q1740" s="38"/>
      <c r="R1740" s="32">
        <f t="shared" si="446"/>
        <v>0</v>
      </c>
      <c r="S1740" s="32" t="str">
        <f>IF(ISERROR(DAY(Q1740)),TEXT(MATCH(TRIM(SUBSTITUTE(SUBSTITUTE(SUBSTITUTE(SUBSTITUTE(SUBSTITUTE(SUBSTITUTE(SUBSTITUTE(SUBSTITUTE(SUBSTITUTE(SUBSTITUTE(SUBSTITUTE(Q1740,1,""),2,""),3,""),4,""),5,""),6,""),7,""),8,""),9,""),0,""),"-","")),{"gennaio","febbraio","marzo","aprile","maggio","giugno","luglio","agosto","settembre","ottobre","novembre","dicembre"},0),"00"),TEXT(MONTH(Q1740)*29,"mmmm"))</f>
        <v>gennaio</v>
      </c>
      <c r="T1740" s="32">
        <f t="shared" si="447"/>
        <v>1900</v>
      </c>
      <c r="U1740" s="29"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00/01/1900</v>
      </c>
      <c r="V1740" s="33"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1900/01/00</v>
      </c>
      <c r="W1740" s="29"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00 gennaio 1900</v>
      </c>
      <c r="X1740" s="29">
        <v>1767</v>
      </c>
      <c r="Y1740" s="29" t="str">
        <f t="shared" si="452"/>
        <v>[' ', '', '', '--', '00 gennaio 1900', '00/01/1900', '1900/01/00'],</v>
      </c>
      <c r="Z1740" s="29" t="str">
        <f t="shared" si="453"/>
        <v xml:space="preserve"> () |  </v>
      </c>
      <c r="AA1740" s="29" t="str">
        <f t="shared" si="454"/>
        <v xml:space="preserve"> </v>
      </c>
      <c r="AB1740" s="29" t="str">
        <f t="shared" si="455"/>
        <v xml:space="preserve"> </v>
      </c>
      <c r="AC1740" s="29" t="str">
        <f t="shared" si="456"/>
        <v xml:space="preserve"> , 0 , 00 gennaio 1900</v>
      </c>
      <c r="AD1740" s="29" t="str">
        <f t="shared" si="457"/>
        <v>1900-01-00T08:00:00.000+02:00</v>
      </c>
      <c r="AE1740" s="29" t="str">
        <f t="shared" si="450"/>
        <v>--</v>
      </c>
      <c r="AF1740" s="29" t="str">
        <f t="shared" si="451"/>
        <v xml:space="preserve">  - 0 - </v>
      </c>
    </row>
    <row r="1741" spans="8:32" x14ac:dyDescent="0.2">
      <c r="H1741" s="29" t="str">
        <f t="shared" si="448"/>
        <v xml:space="preserve"> </v>
      </c>
      <c r="L1741" s="29">
        <f t="shared" si="449"/>
        <v>0</v>
      </c>
      <c r="Q1741" s="38"/>
      <c r="R1741" s="32">
        <f t="shared" si="446"/>
        <v>0</v>
      </c>
      <c r="S1741" s="32" t="str">
        <f>IF(ISERROR(DAY(Q1741)),TEXT(MATCH(TRIM(SUBSTITUTE(SUBSTITUTE(SUBSTITUTE(SUBSTITUTE(SUBSTITUTE(SUBSTITUTE(SUBSTITUTE(SUBSTITUTE(SUBSTITUTE(SUBSTITUTE(SUBSTITUTE(Q1741,1,""),2,""),3,""),4,""),5,""),6,""),7,""),8,""),9,""),0,""),"-","")),{"gennaio","febbraio","marzo","aprile","maggio","giugno","luglio","agosto","settembre","ottobre","novembre","dicembre"},0),"00"),TEXT(MONTH(Q1741)*29,"mmmm"))</f>
        <v>gennaio</v>
      </c>
      <c r="T1741" s="32">
        <f t="shared" si="447"/>
        <v>1900</v>
      </c>
      <c r="U1741" s="29"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00/01/1900</v>
      </c>
      <c r="V1741" s="33"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1900/01/00</v>
      </c>
      <c r="W1741" s="29"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00 gennaio 1900</v>
      </c>
      <c r="X1741" s="29">
        <v>1768</v>
      </c>
      <c r="Y1741" s="29" t="str">
        <f t="shared" si="452"/>
        <v>[' ', '', '', '--', '00 gennaio 1900', '00/01/1900', '1900/01/00'],</v>
      </c>
      <c r="Z1741" s="29" t="str">
        <f t="shared" si="453"/>
        <v xml:space="preserve"> () |  </v>
      </c>
      <c r="AA1741" s="29" t="str">
        <f t="shared" si="454"/>
        <v xml:space="preserve"> </v>
      </c>
      <c r="AB1741" s="29" t="str">
        <f t="shared" si="455"/>
        <v xml:space="preserve"> </v>
      </c>
      <c r="AC1741" s="29" t="str">
        <f t="shared" si="456"/>
        <v xml:space="preserve"> , 0 , 00 gennaio 1900</v>
      </c>
      <c r="AD1741" s="29" t="str">
        <f t="shared" si="457"/>
        <v>1900-01-00T08:00:00.000+02:00</v>
      </c>
      <c r="AE1741" s="29" t="str">
        <f t="shared" si="450"/>
        <v>--</v>
      </c>
      <c r="AF1741" s="29" t="str">
        <f t="shared" si="451"/>
        <v xml:space="preserve">  - 0 - </v>
      </c>
    </row>
    <row r="1742" spans="8:32" x14ac:dyDescent="0.2">
      <c r="H1742" s="29" t="str">
        <f t="shared" si="448"/>
        <v xml:space="preserve"> </v>
      </c>
      <c r="L1742" s="29">
        <f t="shared" si="449"/>
        <v>0</v>
      </c>
      <c r="Q1742" s="38"/>
      <c r="R1742" s="32">
        <f t="shared" si="446"/>
        <v>0</v>
      </c>
      <c r="S1742" s="32" t="str">
        <f>IF(ISERROR(DAY(Q1742)),TEXT(MATCH(TRIM(SUBSTITUTE(SUBSTITUTE(SUBSTITUTE(SUBSTITUTE(SUBSTITUTE(SUBSTITUTE(SUBSTITUTE(SUBSTITUTE(SUBSTITUTE(SUBSTITUTE(SUBSTITUTE(Q1742,1,""),2,""),3,""),4,""),5,""),6,""),7,""),8,""),9,""),0,""),"-","")),{"gennaio","febbraio","marzo","aprile","maggio","giugno","luglio","agosto","settembre","ottobre","novembre","dicembre"},0),"00"),TEXT(MONTH(Q1742)*29,"mmmm"))</f>
        <v>gennaio</v>
      </c>
      <c r="T1742" s="32">
        <f t="shared" si="447"/>
        <v>1900</v>
      </c>
      <c r="U1742" s="29"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00/01/1900</v>
      </c>
      <c r="V1742" s="33"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1900/01/00</v>
      </c>
      <c r="W1742" s="29"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00 gennaio 1900</v>
      </c>
      <c r="X1742" s="29">
        <v>1769</v>
      </c>
      <c r="Y1742" s="29" t="str">
        <f t="shared" si="452"/>
        <v>[' ', '', '', '--', '00 gennaio 1900', '00/01/1900', '1900/01/00'],</v>
      </c>
      <c r="Z1742" s="29" t="str">
        <f t="shared" si="453"/>
        <v xml:space="preserve"> () |  </v>
      </c>
      <c r="AA1742" s="29" t="str">
        <f t="shared" si="454"/>
        <v xml:space="preserve"> </v>
      </c>
      <c r="AB1742" s="29" t="str">
        <f t="shared" si="455"/>
        <v xml:space="preserve"> </v>
      </c>
      <c r="AC1742" s="29" t="str">
        <f t="shared" si="456"/>
        <v xml:space="preserve"> , 0 , 00 gennaio 1900</v>
      </c>
      <c r="AD1742" s="29" t="str">
        <f t="shared" si="457"/>
        <v>1900-01-00T08:00:00.000+02:00</v>
      </c>
      <c r="AE1742" s="29" t="str">
        <f t="shared" si="450"/>
        <v>--</v>
      </c>
      <c r="AF1742" s="29" t="str">
        <f t="shared" si="451"/>
        <v xml:space="preserve">  - 0 - </v>
      </c>
    </row>
    <row r="1743" spans="8:32" x14ac:dyDescent="0.2">
      <c r="H1743" s="29" t="str">
        <f t="shared" si="448"/>
        <v xml:space="preserve"> </v>
      </c>
      <c r="L1743" s="29">
        <f t="shared" si="449"/>
        <v>0</v>
      </c>
      <c r="Q1743" s="38"/>
      <c r="R1743" s="32">
        <f t="shared" si="446"/>
        <v>0</v>
      </c>
      <c r="S1743" s="32" t="str">
        <f>IF(ISERROR(DAY(Q1743)),TEXT(MATCH(TRIM(SUBSTITUTE(SUBSTITUTE(SUBSTITUTE(SUBSTITUTE(SUBSTITUTE(SUBSTITUTE(SUBSTITUTE(SUBSTITUTE(SUBSTITUTE(SUBSTITUTE(SUBSTITUTE(Q1743,1,""),2,""),3,""),4,""),5,""),6,""),7,""),8,""),9,""),0,""),"-","")),{"gennaio","febbraio","marzo","aprile","maggio","giugno","luglio","agosto","settembre","ottobre","novembre","dicembre"},0),"00"),TEXT(MONTH(Q1743)*29,"mmmm"))</f>
        <v>gennaio</v>
      </c>
      <c r="T1743" s="32">
        <f t="shared" si="447"/>
        <v>1900</v>
      </c>
      <c r="U1743" s="29"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00/01/1900</v>
      </c>
      <c r="V1743" s="33"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1900/01/00</v>
      </c>
      <c r="W1743" s="29"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00 gennaio 1900</v>
      </c>
      <c r="X1743" s="29">
        <v>1770</v>
      </c>
      <c r="Y1743" s="29" t="str">
        <f t="shared" si="452"/>
        <v>[' ', '', '', '--', '00 gennaio 1900', '00/01/1900', '1900/01/00'],</v>
      </c>
      <c r="Z1743" s="29" t="str">
        <f t="shared" si="453"/>
        <v xml:space="preserve"> () |  </v>
      </c>
      <c r="AA1743" s="29" t="str">
        <f t="shared" si="454"/>
        <v xml:space="preserve"> </v>
      </c>
      <c r="AB1743" s="29" t="str">
        <f t="shared" si="455"/>
        <v xml:space="preserve"> </v>
      </c>
      <c r="AC1743" s="29" t="str">
        <f t="shared" si="456"/>
        <v xml:space="preserve"> , 0 , 00 gennaio 1900</v>
      </c>
      <c r="AD1743" s="29" t="str">
        <f t="shared" si="457"/>
        <v>1900-01-00T08:00:00.000+02:00</v>
      </c>
      <c r="AE1743" s="29" t="str">
        <f t="shared" si="450"/>
        <v>--</v>
      </c>
      <c r="AF1743" s="29" t="str">
        <f t="shared" si="451"/>
        <v xml:space="preserve">  - 0 - </v>
      </c>
    </row>
    <row r="1744" spans="8:32" x14ac:dyDescent="0.2">
      <c r="H1744" s="29" t="str">
        <f t="shared" si="448"/>
        <v xml:space="preserve"> </v>
      </c>
      <c r="L1744" s="29">
        <f t="shared" si="449"/>
        <v>0</v>
      </c>
      <c r="Q1744" s="38"/>
      <c r="R1744" s="32">
        <f t="shared" si="446"/>
        <v>0</v>
      </c>
      <c r="S1744" s="32" t="str">
        <f>IF(ISERROR(DAY(Q1744)),TEXT(MATCH(TRIM(SUBSTITUTE(SUBSTITUTE(SUBSTITUTE(SUBSTITUTE(SUBSTITUTE(SUBSTITUTE(SUBSTITUTE(SUBSTITUTE(SUBSTITUTE(SUBSTITUTE(SUBSTITUTE(Q1744,1,""),2,""),3,""),4,""),5,""),6,""),7,""),8,""),9,""),0,""),"-","")),{"gennaio","febbraio","marzo","aprile","maggio","giugno","luglio","agosto","settembre","ottobre","novembre","dicembre"},0),"00"),TEXT(MONTH(Q1744)*29,"mmmm"))</f>
        <v>gennaio</v>
      </c>
      <c r="T1744" s="32">
        <f t="shared" si="447"/>
        <v>1900</v>
      </c>
      <c r="U1744" s="29"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00/01/1900</v>
      </c>
      <c r="V1744" s="33"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1900/01/00</v>
      </c>
      <c r="W1744" s="29"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00 gennaio 1900</v>
      </c>
      <c r="X1744" s="29">
        <v>1771</v>
      </c>
      <c r="Y1744" s="29" t="str">
        <f t="shared" si="452"/>
        <v>[' ', '', '', '--', '00 gennaio 1900', '00/01/1900', '1900/01/00'],</v>
      </c>
      <c r="Z1744" s="29" t="str">
        <f t="shared" si="453"/>
        <v xml:space="preserve"> () |  </v>
      </c>
      <c r="AA1744" s="29" t="str">
        <f t="shared" si="454"/>
        <v xml:space="preserve"> </v>
      </c>
      <c r="AB1744" s="29" t="str">
        <f t="shared" si="455"/>
        <v xml:space="preserve"> </v>
      </c>
      <c r="AC1744" s="29" t="str">
        <f t="shared" si="456"/>
        <v xml:space="preserve"> , 0 , 00 gennaio 1900</v>
      </c>
      <c r="AD1744" s="29" t="str">
        <f t="shared" si="457"/>
        <v>1900-01-00T08:00:00.000+02:00</v>
      </c>
      <c r="AE1744" s="29" t="str">
        <f t="shared" si="450"/>
        <v>--</v>
      </c>
      <c r="AF1744" s="29" t="str">
        <f t="shared" si="451"/>
        <v xml:space="preserve">  - 0 - </v>
      </c>
    </row>
    <row r="1745" spans="8:32" x14ac:dyDescent="0.2">
      <c r="H1745" s="29" t="str">
        <f t="shared" si="448"/>
        <v xml:space="preserve"> </v>
      </c>
      <c r="L1745" s="29">
        <f t="shared" si="449"/>
        <v>0</v>
      </c>
      <c r="Q1745" s="38"/>
      <c r="R1745" s="32">
        <f t="shared" si="446"/>
        <v>0</v>
      </c>
      <c r="S1745" s="32" t="str">
        <f>IF(ISERROR(DAY(Q1745)),TEXT(MATCH(TRIM(SUBSTITUTE(SUBSTITUTE(SUBSTITUTE(SUBSTITUTE(SUBSTITUTE(SUBSTITUTE(SUBSTITUTE(SUBSTITUTE(SUBSTITUTE(SUBSTITUTE(SUBSTITUTE(Q1745,1,""),2,""),3,""),4,""),5,""),6,""),7,""),8,""),9,""),0,""),"-","")),{"gennaio","febbraio","marzo","aprile","maggio","giugno","luglio","agosto","settembre","ottobre","novembre","dicembre"},0),"00"),TEXT(MONTH(Q1745)*29,"mmmm"))</f>
        <v>gennaio</v>
      </c>
      <c r="T1745" s="32">
        <f t="shared" si="447"/>
        <v>1900</v>
      </c>
      <c r="U1745" s="29"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00/01/1900</v>
      </c>
      <c r="V1745" s="33"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1900/01/00</v>
      </c>
      <c r="W1745" s="29"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00 gennaio 1900</v>
      </c>
      <c r="X1745" s="29">
        <v>1772</v>
      </c>
      <c r="Y1745" s="29" t="str">
        <f t="shared" si="452"/>
        <v>[' ', '', '', '--', '00 gennaio 1900', '00/01/1900', '1900/01/00'],</v>
      </c>
      <c r="Z1745" s="29" t="str">
        <f t="shared" si="453"/>
        <v xml:space="preserve"> () |  </v>
      </c>
      <c r="AA1745" s="29" t="str">
        <f t="shared" si="454"/>
        <v xml:space="preserve"> </v>
      </c>
      <c r="AB1745" s="29" t="str">
        <f t="shared" si="455"/>
        <v xml:space="preserve"> </v>
      </c>
      <c r="AC1745" s="29" t="str">
        <f t="shared" si="456"/>
        <v xml:space="preserve"> , 0 , 00 gennaio 1900</v>
      </c>
      <c r="AD1745" s="29" t="str">
        <f t="shared" si="457"/>
        <v>1900-01-00T08:00:00.000+02:00</v>
      </c>
      <c r="AE1745" s="29" t="str">
        <f t="shared" si="450"/>
        <v>--</v>
      </c>
      <c r="AF1745" s="29" t="str">
        <f t="shared" si="451"/>
        <v xml:space="preserve">  - 0 - </v>
      </c>
    </row>
    <row r="1746" spans="8:32" x14ac:dyDescent="0.2">
      <c r="H1746" s="29" t="str">
        <f t="shared" si="448"/>
        <v xml:space="preserve"> </v>
      </c>
      <c r="L1746" s="29">
        <f t="shared" si="449"/>
        <v>0</v>
      </c>
      <c r="Q1746" s="38"/>
      <c r="R1746" s="32">
        <f t="shared" ref="R1746:R1809" si="458">IF(ISERROR(DAY(Q1746)),TEXT((LEFT(Q1746,2)),"00"),DAY(Q1746))</f>
        <v>0</v>
      </c>
      <c r="S1746" s="32" t="str">
        <f>IF(ISERROR(DAY(Q1746)),TEXT(MATCH(TRIM(SUBSTITUTE(SUBSTITUTE(SUBSTITUTE(SUBSTITUTE(SUBSTITUTE(SUBSTITUTE(SUBSTITUTE(SUBSTITUTE(SUBSTITUTE(SUBSTITUTE(SUBSTITUTE(Q1746,1,""),2,""),3,""),4,""),5,""),6,""),7,""),8,""),9,""),0,""),"-","")),{"gennaio","febbraio","marzo","aprile","maggio","giugno","luglio","agosto","settembre","ottobre","novembre","dicembre"},0),"00"),TEXT(MONTH(Q1746)*29,"mmmm"))</f>
        <v>gennaio</v>
      </c>
      <c r="T1746" s="32">
        <f t="shared" ref="T1746:T1809" si="459">IF(ISERROR(DAY(Q1746)),VALUE(RIGHT(Q1746,4)),YEAR(Q1746))</f>
        <v>1900</v>
      </c>
      <c r="U1746" s="29"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00/01/1900</v>
      </c>
      <c r="V1746" s="33"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1900/01/00</v>
      </c>
      <c r="W1746" s="29"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00 gennaio 1900</v>
      </c>
      <c r="X1746" s="29">
        <v>1773</v>
      </c>
      <c r="Y1746" s="29" t="str">
        <f t="shared" si="452"/>
        <v>[' ', '', '', '--', '00 gennaio 1900', '00/01/1900', '1900/01/00'],</v>
      </c>
      <c r="Z1746" s="29" t="str">
        <f t="shared" si="453"/>
        <v xml:space="preserve"> () |  </v>
      </c>
      <c r="AA1746" s="29" t="str">
        <f t="shared" si="454"/>
        <v xml:space="preserve"> </v>
      </c>
      <c r="AB1746" s="29" t="str">
        <f t="shared" si="455"/>
        <v xml:space="preserve"> </v>
      </c>
      <c r="AC1746" s="29" t="str">
        <f t="shared" si="456"/>
        <v xml:space="preserve"> , 0 , 00 gennaio 1900</v>
      </c>
      <c r="AD1746" s="29" t="str">
        <f t="shared" si="457"/>
        <v>1900-01-00T08:00:00.000+02:00</v>
      </c>
      <c r="AE1746" s="29" t="str">
        <f t="shared" si="450"/>
        <v>--</v>
      </c>
      <c r="AF1746" s="29" t="str">
        <f t="shared" si="451"/>
        <v xml:space="preserve">  - 0 - </v>
      </c>
    </row>
    <row r="1747" spans="8:32" x14ac:dyDescent="0.2">
      <c r="H1747" s="29" t="str">
        <f t="shared" si="448"/>
        <v xml:space="preserve"> </v>
      </c>
      <c r="L1747" s="29">
        <f t="shared" si="449"/>
        <v>0</v>
      </c>
      <c r="Q1747" s="38"/>
      <c r="R1747" s="32">
        <f t="shared" si="458"/>
        <v>0</v>
      </c>
      <c r="S1747" s="32" t="str">
        <f>IF(ISERROR(DAY(Q1747)),TEXT(MATCH(TRIM(SUBSTITUTE(SUBSTITUTE(SUBSTITUTE(SUBSTITUTE(SUBSTITUTE(SUBSTITUTE(SUBSTITUTE(SUBSTITUTE(SUBSTITUTE(SUBSTITUTE(SUBSTITUTE(Q1747,1,""),2,""),3,""),4,""),5,""),6,""),7,""),8,""),9,""),0,""),"-","")),{"gennaio","febbraio","marzo","aprile","maggio","giugno","luglio","agosto","settembre","ottobre","novembre","dicembre"},0),"00"),TEXT(MONTH(Q1747)*29,"mmmm"))</f>
        <v>gennaio</v>
      </c>
      <c r="T1747" s="32">
        <f t="shared" si="459"/>
        <v>1900</v>
      </c>
      <c r="U1747" s="29"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00/01/1900</v>
      </c>
      <c r="V1747" s="33"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1900/01/00</v>
      </c>
      <c r="W1747" s="29"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00 gennaio 1900</v>
      </c>
      <c r="X1747" s="29">
        <v>1774</v>
      </c>
      <c r="Y1747" s="29" t="str">
        <f t="shared" si="452"/>
        <v>[' ', '', '', '--', '00 gennaio 1900', '00/01/1900', '1900/01/00'],</v>
      </c>
      <c r="Z1747" s="29" t="str">
        <f t="shared" si="453"/>
        <v xml:space="preserve"> () |  </v>
      </c>
      <c r="AA1747" s="29" t="str">
        <f t="shared" si="454"/>
        <v xml:space="preserve"> </v>
      </c>
      <c r="AB1747" s="29" t="str">
        <f t="shared" si="455"/>
        <v xml:space="preserve"> </v>
      </c>
      <c r="AC1747" s="29" t="str">
        <f t="shared" si="456"/>
        <v xml:space="preserve"> , 0 , 00 gennaio 1900</v>
      </c>
      <c r="AD1747" s="29" t="str">
        <f t="shared" si="457"/>
        <v>1900-01-00T08:00:00.000+02:00</v>
      </c>
      <c r="AE1747" s="29" t="str">
        <f t="shared" si="450"/>
        <v>--</v>
      </c>
      <c r="AF1747" s="29" t="str">
        <f t="shared" si="451"/>
        <v xml:space="preserve">  - 0 - </v>
      </c>
    </row>
    <row r="1748" spans="8:32" x14ac:dyDescent="0.2">
      <c r="H1748" s="29" t="str">
        <f t="shared" si="448"/>
        <v xml:space="preserve"> </v>
      </c>
      <c r="L1748" s="29">
        <f t="shared" si="449"/>
        <v>0</v>
      </c>
      <c r="Q1748" s="38"/>
      <c r="R1748" s="32">
        <f t="shared" si="458"/>
        <v>0</v>
      </c>
      <c r="S1748" s="32" t="str">
        <f>IF(ISERROR(DAY(Q1748)),TEXT(MATCH(TRIM(SUBSTITUTE(SUBSTITUTE(SUBSTITUTE(SUBSTITUTE(SUBSTITUTE(SUBSTITUTE(SUBSTITUTE(SUBSTITUTE(SUBSTITUTE(SUBSTITUTE(SUBSTITUTE(Q1748,1,""),2,""),3,""),4,""),5,""),6,""),7,""),8,""),9,""),0,""),"-","")),{"gennaio","febbraio","marzo","aprile","maggio","giugno","luglio","agosto","settembre","ottobre","novembre","dicembre"},0),"00"),TEXT(MONTH(Q1748)*29,"mmmm"))</f>
        <v>gennaio</v>
      </c>
      <c r="T1748" s="32">
        <f t="shared" si="459"/>
        <v>1900</v>
      </c>
      <c r="U1748" s="29"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00/01/1900</v>
      </c>
      <c r="V1748" s="33"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1900/01/00</v>
      </c>
      <c r="W1748" s="29"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00 gennaio 1900</v>
      </c>
      <c r="X1748" s="29">
        <v>1775</v>
      </c>
      <c r="Y1748" s="29" t="str">
        <f t="shared" si="452"/>
        <v>[' ', '', '', '--', '00 gennaio 1900', '00/01/1900', '1900/01/00'],</v>
      </c>
      <c r="Z1748" s="29" t="str">
        <f t="shared" si="453"/>
        <v xml:space="preserve"> () |  </v>
      </c>
      <c r="AA1748" s="29" t="str">
        <f t="shared" si="454"/>
        <v xml:space="preserve"> </v>
      </c>
      <c r="AB1748" s="29" t="str">
        <f t="shared" si="455"/>
        <v xml:space="preserve"> </v>
      </c>
      <c r="AC1748" s="29" t="str">
        <f t="shared" si="456"/>
        <v xml:space="preserve"> , 0 , 00 gennaio 1900</v>
      </c>
      <c r="AD1748" s="29" t="str">
        <f t="shared" si="457"/>
        <v>1900-01-00T08:00:00.000+02:00</v>
      </c>
      <c r="AE1748" s="29" t="str">
        <f t="shared" si="450"/>
        <v>--</v>
      </c>
      <c r="AF1748" s="29" t="str">
        <f t="shared" si="451"/>
        <v xml:space="preserve">  - 0 - </v>
      </c>
    </row>
    <row r="1749" spans="8:32" x14ac:dyDescent="0.2">
      <c r="H1749" s="29" t="str">
        <f t="shared" si="448"/>
        <v xml:space="preserve"> </v>
      </c>
      <c r="L1749" s="29">
        <f t="shared" si="449"/>
        <v>0</v>
      </c>
      <c r="Q1749" s="38"/>
      <c r="R1749" s="32">
        <f t="shared" si="458"/>
        <v>0</v>
      </c>
      <c r="S1749" s="32" t="str">
        <f>IF(ISERROR(DAY(Q1749)),TEXT(MATCH(TRIM(SUBSTITUTE(SUBSTITUTE(SUBSTITUTE(SUBSTITUTE(SUBSTITUTE(SUBSTITUTE(SUBSTITUTE(SUBSTITUTE(SUBSTITUTE(SUBSTITUTE(SUBSTITUTE(Q1749,1,""),2,""),3,""),4,""),5,""),6,""),7,""),8,""),9,""),0,""),"-","")),{"gennaio","febbraio","marzo","aprile","maggio","giugno","luglio","agosto","settembre","ottobre","novembre","dicembre"},0),"00"),TEXT(MONTH(Q1749)*29,"mmmm"))</f>
        <v>gennaio</v>
      </c>
      <c r="T1749" s="32">
        <f t="shared" si="459"/>
        <v>1900</v>
      </c>
      <c r="U1749" s="29"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00/01/1900</v>
      </c>
      <c r="V1749" s="33"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1900/01/00</v>
      </c>
      <c r="W1749" s="29"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00 gennaio 1900</v>
      </c>
      <c r="X1749" s="29">
        <v>1776</v>
      </c>
      <c r="Y1749" s="29" t="str">
        <f t="shared" si="452"/>
        <v>[' ', '', '', '--', '00 gennaio 1900', '00/01/1900', '1900/01/00'],</v>
      </c>
      <c r="Z1749" s="29" t="str">
        <f t="shared" si="453"/>
        <v xml:space="preserve"> () |  </v>
      </c>
      <c r="AA1749" s="29" t="str">
        <f t="shared" si="454"/>
        <v xml:space="preserve"> </v>
      </c>
      <c r="AB1749" s="29" t="str">
        <f t="shared" si="455"/>
        <v xml:space="preserve"> </v>
      </c>
      <c r="AC1749" s="29" t="str">
        <f t="shared" si="456"/>
        <v xml:space="preserve"> , 0 , 00 gennaio 1900</v>
      </c>
      <c r="AD1749" s="29" t="str">
        <f t="shared" si="457"/>
        <v>1900-01-00T08:00:00.000+02:00</v>
      </c>
      <c r="AE1749" s="29" t="str">
        <f t="shared" si="450"/>
        <v>--</v>
      </c>
      <c r="AF1749" s="29" t="str">
        <f t="shared" si="451"/>
        <v xml:space="preserve">  - 0 - </v>
      </c>
    </row>
    <row r="1750" spans="8:32" x14ac:dyDescent="0.2">
      <c r="H1750" s="29" t="str">
        <f t="shared" si="448"/>
        <v xml:space="preserve"> </v>
      </c>
      <c r="L1750" s="29">
        <f t="shared" si="449"/>
        <v>0</v>
      </c>
      <c r="Q1750" s="38"/>
      <c r="R1750" s="32">
        <f t="shared" si="458"/>
        <v>0</v>
      </c>
      <c r="S1750" s="32" t="str">
        <f>IF(ISERROR(DAY(Q1750)),TEXT(MATCH(TRIM(SUBSTITUTE(SUBSTITUTE(SUBSTITUTE(SUBSTITUTE(SUBSTITUTE(SUBSTITUTE(SUBSTITUTE(SUBSTITUTE(SUBSTITUTE(SUBSTITUTE(SUBSTITUTE(Q1750,1,""),2,""),3,""),4,""),5,""),6,""),7,""),8,""),9,""),0,""),"-","")),{"gennaio","febbraio","marzo","aprile","maggio","giugno","luglio","agosto","settembre","ottobre","novembre","dicembre"},0),"00"),TEXT(MONTH(Q1750)*29,"mmmm"))</f>
        <v>gennaio</v>
      </c>
      <c r="T1750" s="32">
        <f t="shared" si="459"/>
        <v>1900</v>
      </c>
      <c r="U1750" s="29"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00/01/1900</v>
      </c>
      <c r="V1750" s="33"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1900/01/00</v>
      </c>
      <c r="W1750" s="29"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00 gennaio 1900</v>
      </c>
      <c r="X1750" s="29">
        <v>1777</v>
      </c>
      <c r="Y1750" s="29" t="str">
        <f t="shared" si="452"/>
        <v>[' ', '', '', '--', '00 gennaio 1900', '00/01/1900', '1900/01/00'],</v>
      </c>
      <c r="Z1750" s="29" t="str">
        <f t="shared" si="453"/>
        <v xml:space="preserve"> () |  </v>
      </c>
      <c r="AA1750" s="29" t="str">
        <f t="shared" si="454"/>
        <v xml:space="preserve"> </v>
      </c>
      <c r="AB1750" s="29" t="str">
        <f t="shared" si="455"/>
        <v xml:space="preserve"> </v>
      </c>
      <c r="AC1750" s="29" t="str">
        <f t="shared" si="456"/>
        <v xml:space="preserve"> , 0 , 00 gennaio 1900</v>
      </c>
      <c r="AD1750" s="29" t="str">
        <f t="shared" si="457"/>
        <v>1900-01-00T08:00:00.000+02:00</v>
      </c>
      <c r="AE1750" s="29" t="str">
        <f t="shared" si="450"/>
        <v>--</v>
      </c>
      <c r="AF1750" s="29" t="str">
        <f t="shared" si="451"/>
        <v xml:space="preserve">  - 0 - </v>
      </c>
    </row>
    <row r="1751" spans="8:32" x14ac:dyDescent="0.2">
      <c r="H1751" s="29" t="str">
        <f t="shared" si="448"/>
        <v xml:space="preserve"> </v>
      </c>
      <c r="L1751" s="29">
        <f t="shared" si="449"/>
        <v>0</v>
      </c>
      <c r="Q1751" s="38"/>
      <c r="R1751" s="32">
        <f t="shared" si="458"/>
        <v>0</v>
      </c>
      <c r="S1751" s="32" t="str">
        <f>IF(ISERROR(DAY(Q1751)),TEXT(MATCH(TRIM(SUBSTITUTE(SUBSTITUTE(SUBSTITUTE(SUBSTITUTE(SUBSTITUTE(SUBSTITUTE(SUBSTITUTE(SUBSTITUTE(SUBSTITUTE(SUBSTITUTE(SUBSTITUTE(Q1751,1,""),2,""),3,""),4,""),5,""),6,""),7,""),8,""),9,""),0,""),"-","")),{"gennaio","febbraio","marzo","aprile","maggio","giugno","luglio","agosto","settembre","ottobre","novembre","dicembre"},0),"00"),TEXT(MONTH(Q1751)*29,"mmmm"))</f>
        <v>gennaio</v>
      </c>
      <c r="T1751" s="32">
        <f t="shared" si="459"/>
        <v>1900</v>
      </c>
      <c r="U1751" s="29"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00/01/1900</v>
      </c>
      <c r="V1751" s="33"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1900/01/00</v>
      </c>
      <c r="W1751" s="29"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00 gennaio 1900</v>
      </c>
      <c r="X1751" s="29">
        <v>1778</v>
      </c>
      <c r="Y1751" s="29" t="str">
        <f t="shared" si="452"/>
        <v>[' ', '', '', '--', '00 gennaio 1900', '00/01/1900', '1900/01/00'],</v>
      </c>
      <c r="Z1751" s="29" t="str">
        <f t="shared" si="453"/>
        <v xml:space="preserve"> () |  </v>
      </c>
      <c r="AA1751" s="29" t="str">
        <f t="shared" si="454"/>
        <v xml:space="preserve"> </v>
      </c>
      <c r="AB1751" s="29" t="str">
        <f t="shared" si="455"/>
        <v xml:space="preserve"> </v>
      </c>
      <c r="AC1751" s="29" t="str">
        <f t="shared" si="456"/>
        <v xml:space="preserve"> , 0 , 00 gennaio 1900</v>
      </c>
      <c r="AD1751" s="29" t="str">
        <f t="shared" si="457"/>
        <v>1900-01-00T08:00:00.000+02:00</v>
      </c>
      <c r="AE1751" s="29" t="str">
        <f t="shared" si="450"/>
        <v>--</v>
      </c>
      <c r="AF1751" s="29" t="str">
        <f t="shared" si="451"/>
        <v xml:space="preserve">  - 0 - </v>
      </c>
    </row>
    <row r="1752" spans="8:32" x14ac:dyDescent="0.2">
      <c r="H1752" s="29" t="str">
        <f t="shared" si="448"/>
        <v xml:space="preserve"> </v>
      </c>
      <c r="L1752" s="29">
        <f t="shared" si="449"/>
        <v>0</v>
      </c>
      <c r="Q1752" s="38"/>
      <c r="R1752" s="32">
        <f t="shared" si="458"/>
        <v>0</v>
      </c>
      <c r="S1752" s="32"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32">
        <f t="shared" si="459"/>
        <v>1900</v>
      </c>
      <c r="U1752" s="29"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3"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9"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9">
        <v>1779</v>
      </c>
      <c r="Y1752" s="29" t="str">
        <f t="shared" si="452"/>
        <v>[' ', '', '', '--', '00 gennaio 1900', '00/01/1900', '1900/01/00'],</v>
      </c>
      <c r="Z1752" s="29" t="str">
        <f t="shared" si="453"/>
        <v xml:space="preserve"> () |  </v>
      </c>
      <c r="AA1752" s="29" t="str">
        <f t="shared" si="454"/>
        <v xml:space="preserve"> </v>
      </c>
      <c r="AB1752" s="29" t="str">
        <f t="shared" si="455"/>
        <v xml:space="preserve"> </v>
      </c>
      <c r="AC1752" s="29" t="str">
        <f t="shared" si="456"/>
        <v xml:space="preserve"> , 0 , 00 gennaio 1900</v>
      </c>
      <c r="AD1752" s="29" t="str">
        <f t="shared" si="457"/>
        <v>1900-01-00T08:00:00.000+02:00</v>
      </c>
      <c r="AE1752" s="29" t="str">
        <f t="shared" si="450"/>
        <v>--</v>
      </c>
      <c r="AF1752" s="29" t="str">
        <f t="shared" si="451"/>
        <v xml:space="preserve">  - 0 - </v>
      </c>
    </row>
    <row r="1753" spans="8:32" x14ac:dyDescent="0.2">
      <c r="H1753" s="29" t="str">
        <f t="shared" si="448"/>
        <v xml:space="preserve"> </v>
      </c>
      <c r="L1753" s="29">
        <f t="shared" si="449"/>
        <v>0</v>
      </c>
      <c r="Q1753" s="38"/>
      <c r="R1753" s="32">
        <f t="shared" si="458"/>
        <v>0</v>
      </c>
      <c r="S1753" s="32"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32">
        <f t="shared" si="459"/>
        <v>1900</v>
      </c>
      <c r="U1753" s="29"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3"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9"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9">
        <v>1780</v>
      </c>
      <c r="Y1753" s="29" t="str">
        <f t="shared" si="452"/>
        <v>[' ', '', '', '--', '00 gennaio 1900', '00/01/1900', '1900/01/00'],</v>
      </c>
      <c r="Z1753" s="29" t="str">
        <f t="shared" si="453"/>
        <v xml:space="preserve"> () |  </v>
      </c>
      <c r="AA1753" s="29" t="str">
        <f t="shared" si="454"/>
        <v xml:space="preserve"> </v>
      </c>
      <c r="AB1753" s="29" t="str">
        <f t="shared" si="455"/>
        <v xml:space="preserve"> </v>
      </c>
      <c r="AC1753" s="29" t="str">
        <f t="shared" si="456"/>
        <v xml:space="preserve"> , 0 , 00 gennaio 1900</v>
      </c>
      <c r="AD1753" s="29" t="str">
        <f t="shared" si="457"/>
        <v>1900-01-00T08:00:00.000+02:00</v>
      </c>
      <c r="AE1753" s="29" t="str">
        <f t="shared" si="450"/>
        <v>--</v>
      </c>
      <c r="AF1753" s="29" t="str">
        <f t="shared" si="451"/>
        <v xml:space="preserve">  - 0 - </v>
      </c>
    </row>
    <row r="1754" spans="8:32" x14ac:dyDescent="0.2">
      <c r="H1754" s="29" t="str">
        <f t="shared" si="448"/>
        <v xml:space="preserve"> </v>
      </c>
      <c r="L1754" s="29">
        <f t="shared" si="449"/>
        <v>0</v>
      </c>
      <c r="Q1754" s="38"/>
      <c r="R1754" s="32">
        <f t="shared" si="458"/>
        <v>0</v>
      </c>
      <c r="S1754" s="32"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32">
        <f t="shared" si="459"/>
        <v>1900</v>
      </c>
      <c r="U1754" s="29"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3"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9"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9">
        <v>1781</v>
      </c>
      <c r="Y1754" s="29" t="str">
        <f t="shared" si="452"/>
        <v>[' ', '', '', '--', '00 gennaio 1900', '00/01/1900', '1900/01/00'],</v>
      </c>
      <c r="Z1754" s="29" t="str">
        <f t="shared" si="453"/>
        <v xml:space="preserve"> () |  </v>
      </c>
      <c r="AA1754" s="29" t="str">
        <f t="shared" si="454"/>
        <v xml:space="preserve"> </v>
      </c>
      <c r="AB1754" s="29" t="str">
        <f t="shared" si="455"/>
        <v xml:space="preserve"> </v>
      </c>
      <c r="AC1754" s="29" t="str">
        <f t="shared" si="456"/>
        <v xml:space="preserve"> , 0 , 00 gennaio 1900</v>
      </c>
      <c r="AD1754" s="29" t="str">
        <f t="shared" si="457"/>
        <v>1900-01-00T08:00:00.000+02:00</v>
      </c>
      <c r="AE1754" s="29" t="str">
        <f t="shared" si="450"/>
        <v>--</v>
      </c>
      <c r="AF1754" s="29" t="str">
        <f t="shared" si="451"/>
        <v xml:space="preserve">  - 0 - </v>
      </c>
    </row>
    <row r="1755" spans="8:32" x14ac:dyDescent="0.2">
      <c r="H1755" s="29" t="str">
        <f t="shared" si="448"/>
        <v xml:space="preserve"> </v>
      </c>
      <c r="L1755" s="29">
        <f t="shared" si="449"/>
        <v>0</v>
      </c>
      <c r="Q1755" s="38"/>
      <c r="R1755" s="32">
        <f t="shared" si="458"/>
        <v>0</v>
      </c>
      <c r="S1755" s="32"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32">
        <f t="shared" si="459"/>
        <v>1900</v>
      </c>
      <c r="U1755" s="29"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3"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9"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9">
        <v>1782</v>
      </c>
      <c r="Y1755" s="29" t="str">
        <f t="shared" si="452"/>
        <v>[' ', '', '', '--', '00 gennaio 1900', '00/01/1900', '1900/01/00'],</v>
      </c>
      <c r="Z1755" s="29" t="str">
        <f t="shared" si="453"/>
        <v xml:space="preserve"> () |  </v>
      </c>
      <c r="AA1755" s="29" t="str">
        <f t="shared" si="454"/>
        <v xml:space="preserve"> </v>
      </c>
      <c r="AB1755" s="29" t="str">
        <f t="shared" si="455"/>
        <v xml:space="preserve"> </v>
      </c>
      <c r="AC1755" s="29" t="str">
        <f t="shared" si="456"/>
        <v xml:space="preserve"> , 0 , 00 gennaio 1900</v>
      </c>
      <c r="AD1755" s="29" t="str">
        <f t="shared" si="457"/>
        <v>1900-01-00T08:00:00.000+02:00</v>
      </c>
      <c r="AE1755" s="29" t="str">
        <f t="shared" si="450"/>
        <v>--</v>
      </c>
      <c r="AF1755" s="29" t="str">
        <f t="shared" si="451"/>
        <v xml:space="preserve">  - 0 - </v>
      </c>
    </row>
    <row r="1756" spans="8:32" x14ac:dyDescent="0.2">
      <c r="H1756" s="29" t="str">
        <f t="shared" si="448"/>
        <v xml:space="preserve"> </v>
      </c>
      <c r="L1756" s="29">
        <f t="shared" si="449"/>
        <v>0</v>
      </c>
      <c r="Q1756" s="38"/>
      <c r="R1756" s="32">
        <f t="shared" si="458"/>
        <v>0</v>
      </c>
      <c r="S1756" s="32"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32">
        <f t="shared" si="459"/>
        <v>1900</v>
      </c>
      <c r="U1756" s="29"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3"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9"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9">
        <v>1783</v>
      </c>
      <c r="Y1756" s="29" t="str">
        <f t="shared" si="452"/>
        <v>[' ', '', '', '--', '00 gennaio 1900', '00/01/1900', '1900/01/00'],</v>
      </c>
      <c r="Z1756" s="29" t="str">
        <f t="shared" si="453"/>
        <v xml:space="preserve"> () |  </v>
      </c>
      <c r="AA1756" s="29" t="str">
        <f t="shared" si="454"/>
        <v xml:space="preserve"> </v>
      </c>
      <c r="AB1756" s="29" t="str">
        <f t="shared" si="455"/>
        <v xml:space="preserve"> </v>
      </c>
      <c r="AC1756" s="29" t="str">
        <f t="shared" si="456"/>
        <v xml:space="preserve"> , 0 , 00 gennaio 1900</v>
      </c>
      <c r="AD1756" s="29" t="str">
        <f t="shared" si="457"/>
        <v>1900-01-00T08:00:00.000+02:00</v>
      </c>
      <c r="AE1756" s="29" t="str">
        <f t="shared" si="450"/>
        <v>--</v>
      </c>
      <c r="AF1756" s="29" t="str">
        <f t="shared" si="451"/>
        <v xml:space="preserve">  - 0 - </v>
      </c>
    </row>
    <row r="1757" spans="8:32" x14ac:dyDescent="0.2">
      <c r="H1757" s="29" t="str">
        <f t="shared" si="448"/>
        <v xml:space="preserve"> </v>
      </c>
      <c r="L1757" s="29">
        <f t="shared" si="449"/>
        <v>0</v>
      </c>
      <c r="Q1757" s="38"/>
      <c r="R1757" s="32">
        <f t="shared" si="458"/>
        <v>0</v>
      </c>
      <c r="S1757" s="32"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32">
        <f t="shared" si="459"/>
        <v>1900</v>
      </c>
      <c r="U1757" s="29"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3"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9"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9">
        <v>1784</v>
      </c>
      <c r="Y1757" s="29" t="str">
        <f t="shared" si="452"/>
        <v>[' ', '', '', '--', '00 gennaio 1900', '00/01/1900', '1900/01/00'],</v>
      </c>
      <c r="Z1757" s="29" t="str">
        <f t="shared" si="453"/>
        <v xml:space="preserve"> () |  </v>
      </c>
      <c r="AA1757" s="29" t="str">
        <f t="shared" si="454"/>
        <v xml:space="preserve"> </v>
      </c>
      <c r="AB1757" s="29" t="str">
        <f t="shared" si="455"/>
        <v xml:space="preserve"> </v>
      </c>
      <c r="AC1757" s="29" t="str">
        <f t="shared" si="456"/>
        <v xml:space="preserve"> , 0 , 00 gennaio 1900</v>
      </c>
      <c r="AD1757" s="29" t="str">
        <f t="shared" si="457"/>
        <v>1900-01-00T08:00:00.000+02:00</v>
      </c>
      <c r="AE1757" s="29" t="str">
        <f t="shared" si="450"/>
        <v>--</v>
      </c>
      <c r="AF1757" s="29" t="str">
        <f t="shared" si="451"/>
        <v xml:space="preserve">  - 0 - </v>
      </c>
    </row>
    <row r="1758" spans="8:32" x14ac:dyDescent="0.2">
      <c r="H1758" s="29" t="str">
        <f t="shared" si="448"/>
        <v xml:space="preserve"> </v>
      </c>
      <c r="L1758" s="29">
        <f t="shared" si="449"/>
        <v>0</v>
      </c>
      <c r="Q1758" s="38"/>
      <c r="R1758" s="32">
        <f t="shared" si="458"/>
        <v>0</v>
      </c>
      <c r="S1758" s="32"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32">
        <f t="shared" si="459"/>
        <v>1900</v>
      </c>
      <c r="U1758" s="29"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3"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9"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9">
        <v>1785</v>
      </c>
      <c r="Y1758" s="29" t="str">
        <f t="shared" si="452"/>
        <v>[' ', '', '', '--', '00 gennaio 1900', '00/01/1900', '1900/01/00'],</v>
      </c>
      <c r="Z1758" s="29" t="str">
        <f t="shared" si="453"/>
        <v xml:space="preserve"> () |  </v>
      </c>
      <c r="AA1758" s="29" t="str">
        <f t="shared" si="454"/>
        <v xml:space="preserve"> </v>
      </c>
      <c r="AB1758" s="29" t="str">
        <f t="shared" si="455"/>
        <v xml:space="preserve"> </v>
      </c>
      <c r="AC1758" s="29" t="str">
        <f t="shared" si="456"/>
        <v xml:space="preserve"> , 0 , 00 gennaio 1900</v>
      </c>
      <c r="AD1758" s="29" t="str">
        <f t="shared" si="457"/>
        <v>1900-01-00T08:00:00.000+02:00</v>
      </c>
      <c r="AE1758" s="29" t="str">
        <f t="shared" si="450"/>
        <v>--</v>
      </c>
      <c r="AF1758" s="29" t="str">
        <f t="shared" si="451"/>
        <v xml:space="preserve">  - 0 - </v>
      </c>
    </row>
    <row r="1759" spans="8:32" x14ac:dyDescent="0.2">
      <c r="H1759" s="29" t="str">
        <f t="shared" si="448"/>
        <v xml:space="preserve"> </v>
      </c>
      <c r="L1759" s="29">
        <f t="shared" si="449"/>
        <v>0</v>
      </c>
      <c r="Q1759" s="38"/>
      <c r="R1759" s="32">
        <f t="shared" si="458"/>
        <v>0</v>
      </c>
      <c r="S1759" s="32"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32">
        <f t="shared" si="459"/>
        <v>1900</v>
      </c>
      <c r="U1759" s="29"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3"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9"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9">
        <v>1786</v>
      </c>
      <c r="Y1759" s="29" t="str">
        <f t="shared" si="452"/>
        <v>[' ', '', '', '--', '00 gennaio 1900', '00/01/1900', '1900/01/00'],</v>
      </c>
      <c r="Z1759" s="29" t="str">
        <f t="shared" si="453"/>
        <v xml:space="preserve"> () |  </v>
      </c>
      <c r="AA1759" s="29" t="str">
        <f t="shared" si="454"/>
        <v xml:space="preserve"> </v>
      </c>
      <c r="AB1759" s="29" t="str">
        <f t="shared" si="455"/>
        <v xml:space="preserve"> </v>
      </c>
      <c r="AC1759" s="29" t="str">
        <f t="shared" si="456"/>
        <v xml:space="preserve"> , 0 , 00 gennaio 1900</v>
      </c>
      <c r="AD1759" s="29" t="str">
        <f t="shared" si="457"/>
        <v>1900-01-00T08:00:00.000+02:00</v>
      </c>
      <c r="AE1759" s="29" t="str">
        <f t="shared" si="450"/>
        <v>--</v>
      </c>
      <c r="AF1759" s="29" t="str">
        <f t="shared" si="451"/>
        <v xml:space="preserve">  - 0 - </v>
      </c>
    </row>
    <row r="1760" spans="8:32" x14ac:dyDescent="0.2">
      <c r="H1760" s="29" t="str">
        <f t="shared" ref="H1760:H1823" si="460">_xlfn.CONCAT(D1760 &amp; " " &amp; E1760)</f>
        <v xml:space="preserve"> </v>
      </c>
      <c r="L1760" s="29">
        <f t="shared" si="449"/>
        <v>0</v>
      </c>
      <c r="Q1760" s="38"/>
      <c r="R1760" s="32">
        <f t="shared" si="458"/>
        <v>0</v>
      </c>
      <c r="S1760" s="32"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32">
        <f t="shared" si="459"/>
        <v>1900</v>
      </c>
      <c r="U1760" s="29"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3"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9"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9">
        <v>1787</v>
      </c>
      <c r="Y1760" s="29" t="str">
        <f t="shared" si="452"/>
        <v>[' ', '', '', '--', '00 gennaio 1900', '00/01/1900', '1900/01/00'],</v>
      </c>
      <c r="Z1760" s="29" t="str">
        <f t="shared" si="453"/>
        <v xml:space="preserve"> () |  </v>
      </c>
      <c r="AA1760" s="29" t="str">
        <f t="shared" si="454"/>
        <v xml:space="preserve"> </v>
      </c>
      <c r="AB1760" s="29" t="str">
        <f t="shared" si="455"/>
        <v xml:space="preserve"> </v>
      </c>
      <c r="AC1760" s="29" t="str">
        <f t="shared" si="456"/>
        <v xml:space="preserve"> , 0 , 00 gennaio 1900</v>
      </c>
      <c r="AD1760" s="29" t="str">
        <f t="shared" si="457"/>
        <v>1900-01-00T08:00:00.000+02:00</v>
      </c>
      <c r="AE1760" s="29" t="str">
        <f t="shared" si="450"/>
        <v>--</v>
      </c>
      <c r="AF1760" s="29" t="str">
        <f t="shared" si="451"/>
        <v xml:space="preserve">  - 0 - </v>
      </c>
    </row>
    <row r="1761" spans="8:32" x14ac:dyDescent="0.2">
      <c r="H1761" s="29" t="str">
        <f t="shared" si="460"/>
        <v xml:space="preserve"> </v>
      </c>
      <c r="L1761" s="29">
        <f t="shared" si="449"/>
        <v>0</v>
      </c>
      <c r="Q1761" s="38"/>
      <c r="R1761" s="32">
        <f t="shared" si="458"/>
        <v>0</v>
      </c>
      <c r="S1761" s="32"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32">
        <f t="shared" si="459"/>
        <v>1900</v>
      </c>
      <c r="U1761" s="29"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3"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9"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9">
        <v>1788</v>
      </c>
      <c r="Y1761" s="29" t="str">
        <f t="shared" si="452"/>
        <v>[' ', '', '', '--', '00 gennaio 1900', '00/01/1900', '1900/01/00'],</v>
      </c>
      <c r="Z1761" s="29" t="str">
        <f t="shared" si="453"/>
        <v xml:space="preserve"> () |  </v>
      </c>
      <c r="AA1761" s="29" t="str">
        <f t="shared" si="454"/>
        <v xml:space="preserve"> </v>
      </c>
      <c r="AB1761" s="29" t="str">
        <f t="shared" si="455"/>
        <v xml:space="preserve"> </v>
      </c>
      <c r="AC1761" s="29" t="str">
        <f t="shared" si="456"/>
        <v xml:space="preserve"> , 0 , 00 gennaio 1900</v>
      </c>
      <c r="AD1761" s="29" t="str">
        <f t="shared" si="457"/>
        <v>1900-01-00T08:00:00.000+02:00</v>
      </c>
      <c r="AE1761" s="29" t="str">
        <f t="shared" si="450"/>
        <v>--</v>
      </c>
      <c r="AF1761" s="29" t="str">
        <f t="shared" si="451"/>
        <v xml:space="preserve">  - 0 - </v>
      </c>
    </row>
    <row r="1762" spans="8:32" x14ac:dyDescent="0.2">
      <c r="H1762" s="29" t="str">
        <f t="shared" si="460"/>
        <v xml:space="preserve"> </v>
      </c>
      <c r="L1762" s="29">
        <f t="shared" si="449"/>
        <v>0</v>
      </c>
      <c r="Q1762" s="38"/>
      <c r="R1762" s="32">
        <f t="shared" si="458"/>
        <v>0</v>
      </c>
      <c r="S1762" s="32"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32">
        <f t="shared" si="459"/>
        <v>1900</v>
      </c>
      <c r="U1762" s="29"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3"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9"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9">
        <v>1789</v>
      </c>
      <c r="Y1762" s="29" t="str">
        <f t="shared" si="452"/>
        <v>[' ', '', '', '--', '00 gennaio 1900', '00/01/1900', '1900/01/00'],</v>
      </c>
      <c r="Z1762" s="29" t="str">
        <f t="shared" si="453"/>
        <v xml:space="preserve"> () |  </v>
      </c>
      <c r="AA1762" s="29" t="str">
        <f t="shared" si="454"/>
        <v xml:space="preserve"> </v>
      </c>
      <c r="AB1762" s="29" t="str">
        <f t="shared" si="455"/>
        <v xml:space="preserve"> </v>
      </c>
      <c r="AC1762" s="29" t="str">
        <f t="shared" si="456"/>
        <v xml:space="preserve"> , 0 , 00 gennaio 1900</v>
      </c>
      <c r="AD1762" s="29" t="str">
        <f t="shared" si="457"/>
        <v>1900-01-00T08:00:00.000+02:00</v>
      </c>
      <c r="AE1762" s="29" t="str">
        <f t="shared" si="450"/>
        <v>--</v>
      </c>
      <c r="AF1762" s="29" t="str">
        <f t="shared" si="451"/>
        <v xml:space="preserve">  - 0 - </v>
      </c>
    </row>
    <row r="1763" spans="8:32" x14ac:dyDescent="0.2">
      <c r="H1763" s="29" t="str">
        <f t="shared" si="460"/>
        <v xml:space="preserve"> </v>
      </c>
      <c r="L1763" s="29">
        <f t="shared" si="449"/>
        <v>0</v>
      </c>
      <c r="Q1763" s="38"/>
      <c r="R1763" s="32">
        <f t="shared" si="458"/>
        <v>0</v>
      </c>
      <c r="S1763" s="32"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32">
        <f t="shared" si="459"/>
        <v>1900</v>
      </c>
      <c r="U1763" s="29"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3"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9"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9">
        <v>1790</v>
      </c>
      <c r="Y1763" s="29" t="str">
        <f t="shared" si="452"/>
        <v>[' ', '', '', '--', '00 gennaio 1900', '00/01/1900', '1900/01/00'],</v>
      </c>
      <c r="Z1763" s="29" t="str">
        <f t="shared" si="453"/>
        <v xml:space="preserve"> () |  </v>
      </c>
      <c r="AA1763" s="29" t="str">
        <f t="shared" si="454"/>
        <v xml:space="preserve"> </v>
      </c>
      <c r="AB1763" s="29" t="str">
        <f t="shared" si="455"/>
        <v xml:space="preserve"> </v>
      </c>
      <c r="AC1763" s="29" t="str">
        <f t="shared" si="456"/>
        <v xml:space="preserve"> , 0 , 00 gennaio 1900</v>
      </c>
      <c r="AD1763" s="29" t="str">
        <f t="shared" si="457"/>
        <v>1900-01-00T08:00:00.000+02:00</v>
      </c>
      <c r="AE1763" s="29" t="str">
        <f t="shared" si="450"/>
        <v>--</v>
      </c>
      <c r="AF1763" s="29" t="str">
        <f t="shared" si="451"/>
        <v xml:space="preserve">  - 0 - </v>
      </c>
    </row>
    <row r="1764" spans="8:32" x14ac:dyDescent="0.2">
      <c r="H1764" s="29" t="str">
        <f t="shared" si="460"/>
        <v xml:space="preserve"> </v>
      </c>
      <c r="L1764" s="29">
        <f t="shared" si="449"/>
        <v>0</v>
      </c>
      <c r="Q1764" s="38"/>
      <c r="R1764" s="32">
        <f t="shared" si="458"/>
        <v>0</v>
      </c>
      <c r="S1764" s="32"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32">
        <f t="shared" si="459"/>
        <v>1900</v>
      </c>
      <c r="U1764" s="29"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3"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9"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9">
        <v>1791</v>
      </c>
      <c r="Y1764" s="29" t="str">
        <f t="shared" si="452"/>
        <v>[' ', '', '', '--', '00 gennaio 1900', '00/01/1900', '1900/01/00'],</v>
      </c>
      <c r="Z1764" s="29" t="str">
        <f t="shared" si="453"/>
        <v xml:space="preserve"> () |  </v>
      </c>
      <c r="AA1764" s="29" t="str">
        <f t="shared" si="454"/>
        <v xml:space="preserve"> </v>
      </c>
      <c r="AB1764" s="29" t="str">
        <f t="shared" si="455"/>
        <v xml:space="preserve"> </v>
      </c>
      <c r="AC1764" s="29" t="str">
        <f t="shared" si="456"/>
        <v xml:space="preserve"> , 0 , 00 gennaio 1900</v>
      </c>
      <c r="AD1764" s="29" t="str">
        <f t="shared" si="457"/>
        <v>1900-01-00T08:00:00.000+02:00</v>
      </c>
      <c r="AE1764" s="29" t="str">
        <f t="shared" si="450"/>
        <v>--</v>
      </c>
      <c r="AF1764" s="29" t="str">
        <f t="shared" si="451"/>
        <v xml:space="preserve">  - 0 - </v>
      </c>
    </row>
    <row r="1765" spans="8:32" x14ac:dyDescent="0.2">
      <c r="H1765" s="29" t="str">
        <f t="shared" si="460"/>
        <v xml:space="preserve"> </v>
      </c>
      <c r="L1765" s="29">
        <f t="shared" si="449"/>
        <v>0</v>
      </c>
      <c r="Q1765" s="38"/>
      <c r="R1765" s="32">
        <f t="shared" si="458"/>
        <v>0</v>
      </c>
      <c r="S1765" s="32"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32">
        <f t="shared" si="459"/>
        <v>1900</v>
      </c>
      <c r="U1765" s="29"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3"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9"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9">
        <v>1792</v>
      </c>
      <c r="Y1765" s="29" t="str">
        <f t="shared" si="452"/>
        <v>[' ', '', '', '--', '00 gennaio 1900', '00/01/1900', '1900/01/00'],</v>
      </c>
      <c r="Z1765" s="29" t="str">
        <f t="shared" si="453"/>
        <v xml:space="preserve"> () |  </v>
      </c>
      <c r="AA1765" s="29" t="str">
        <f t="shared" si="454"/>
        <v xml:space="preserve"> </v>
      </c>
      <c r="AB1765" s="29" t="str">
        <f t="shared" si="455"/>
        <v xml:space="preserve"> </v>
      </c>
      <c r="AC1765" s="29" t="str">
        <f t="shared" si="456"/>
        <v xml:space="preserve"> , 0 , 00 gennaio 1900</v>
      </c>
      <c r="AD1765" s="29" t="str">
        <f t="shared" si="457"/>
        <v>1900-01-00T08:00:00.000+02:00</v>
      </c>
      <c r="AE1765" s="29" t="str">
        <f t="shared" si="450"/>
        <v>--</v>
      </c>
      <c r="AF1765" s="29" t="str">
        <f t="shared" si="451"/>
        <v xml:space="preserve">  - 0 - </v>
      </c>
    </row>
    <row r="1766" spans="8:32" x14ac:dyDescent="0.2">
      <c r="H1766" s="29" t="str">
        <f t="shared" si="460"/>
        <v xml:space="preserve"> </v>
      </c>
      <c r="L1766" s="29">
        <f t="shared" ref="L1766:L1829" si="461">IF(J1766&lt;&gt;"",_xlfn.CONCAT(J1766 &amp; " " &amp; K1766),K1766)</f>
        <v>0</v>
      </c>
      <c r="Q1766" s="38"/>
      <c r="R1766" s="32">
        <f t="shared" si="458"/>
        <v>0</v>
      </c>
      <c r="S1766" s="32"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32">
        <f t="shared" si="459"/>
        <v>1900</v>
      </c>
      <c r="U1766" s="29"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3"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9"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9">
        <v>1793</v>
      </c>
      <c r="Y1766" s="29" t="str">
        <f t="shared" si="452"/>
        <v>[' ', '', '', '--', '00 gennaio 1900', '00/01/1900', '1900/01/00'],</v>
      </c>
      <c r="Z1766" s="29" t="str">
        <f t="shared" si="453"/>
        <v xml:space="preserve"> () |  </v>
      </c>
      <c r="AA1766" s="29" t="str">
        <f t="shared" si="454"/>
        <v xml:space="preserve"> </v>
      </c>
      <c r="AB1766" s="29" t="str">
        <f t="shared" si="455"/>
        <v xml:space="preserve"> </v>
      </c>
      <c r="AC1766" s="29" t="str">
        <f t="shared" si="456"/>
        <v xml:space="preserve"> , 0 , 00 gennaio 1900</v>
      </c>
      <c r="AD1766" s="29" t="str">
        <f t="shared" si="457"/>
        <v>1900-01-00T08:00:00.000+02:00</v>
      </c>
      <c r="AE1766" s="29" t="str">
        <f t="shared" si="450"/>
        <v>--</v>
      </c>
      <c r="AF1766" s="29" t="str">
        <f t="shared" si="451"/>
        <v xml:space="preserve">  - 0 - </v>
      </c>
    </row>
    <row r="1767" spans="8:32" x14ac:dyDescent="0.2">
      <c r="H1767" s="29" t="str">
        <f t="shared" si="460"/>
        <v xml:space="preserve"> </v>
      </c>
      <c r="L1767" s="29">
        <f t="shared" si="461"/>
        <v>0</v>
      </c>
      <c r="Q1767" s="38"/>
      <c r="R1767" s="32">
        <f t="shared" si="458"/>
        <v>0</v>
      </c>
      <c r="S1767" s="32"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32">
        <f t="shared" si="459"/>
        <v>1900</v>
      </c>
      <c r="U1767" s="29"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3"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9"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9">
        <v>1794</v>
      </c>
      <c r="Y1767" s="29" t="str">
        <f t="shared" si="452"/>
        <v>[' ', '', '', '--', '00 gennaio 1900', '00/01/1900', '1900/01/00'],</v>
      </c>
      <c r="Z1767" s="29" t="str">
        <f t="shared" si="453"/>
        <v xml:space="preserve"> () |  </v>
      </c>
      <c r="AA1767" s="29" t="str">
        <f t="shared" si="454"/>
        <v xml:space="preserve"> </v>
      </c>
      <c r="AB1767" s="29" t="str">
        <f t="shared" si="455"/>
        <v xml:space="preserve"> </v>
      </c>
      <c r="AC1767" s="29" t="str">
        <f t="shared" si="456"/>
        <v xml:space="preserve"> , 0 , 00 gennaio 1900</v>
      </c>
      <c r="AD1767" s="29" t="str">
        <f t="shared" si="457"/>
        <v>1900-01-00T08:00:00.000+02:00</v>
      </c>
      <c r="AE1767" s="29" t="str">
        <f t="shared" ref="AE1767:AE1830" si="462">_xlfn.CONCAT(F1767 &amp; "-" &amp; M1767 &amp; "-" &amp; P1767)</f>
        <v>--</v>
      </c>
      <c r="AF1767" s="29" t="str">
        <f t="shared" ref="AF1767:AF1830" si="463">_xlfn.CONCAT(H1767 &amp; " - " &amp; L1767 &amp; " - " &amp; O1767)</f>
        <v xml:space="preserve">  - 0 - </v>
      </c>
    </row>
    <row r="1768" spans="8:32" x14ac:dyDescent="0.2">
      <c r="H1768" s="29" t="str">
        <f t="shared" si="460"/>
        <v xml:space="preserve"> </v>
      </c>
      <c r="L1768" s="29">
        <f t="shared" si="461"/>
        <v>0</v>
      </c>
      <c r="Q1768" s="38"/>
      <c r="R1768" s="32">
        <f t="shared" si="458"/>
        <v>0</v>
      </c>
      <c r="S1768" s="32"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32">
        <f t="shared" si="459"/>
        <v>1900</v>
      </c>
      <c r="U1768" s="29"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3"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9"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9">
        <v>1795</v>
      </c>
      <c r="Y1768" s="29" t="str">
        <f t="shared" si="452"/>
        <v>[' ', '', '', '--', '00 gennaio 1900', '00/01/1900', '1900/01/00'],</v>
      </c>
      <c r="Z1768" s="29" t="str">
        <f t="shared" si="453"/>
        <v xml:space="preserve"> () |  </v>
      </c>
      <c r="AA1768" s="29" t="str">
        <f t="shared" si="454"/>
        <v xml:space="preserve"> </v>
      </c>
      <c r="AB1768" s="29" t="str">
        <f t="shared" si="455"/>
        <v xml:space="preserve"> </v>
      </c>
      <c r="AC1768" s="29" t="str">
        <f t="shared" si="456"/>
        <v xml:space="preserve"> , 0 , 00 gennaio 1900</v>
      </c>
      <c r="AD1768" s="29" t="str">
        <f t="shared" si="457"/>
        <v>1900-01-00T08:00:00.000+02:00</v>
      </c>
      <c r="AE1768" s="29" t="str">
        <f t="shared" si="462"/>
        <v>--</v>
      </c>
      <c r="AF1768" s="29" t="str">
        <f t="shared" si="463"/>
        <v xml:space="preserve">  - 0 - </v>
      </c>
    </row>
    <row r="1769" spans="8:32" x14ac:dyDescent="0.2">
      <c r="H1769" s="29" t="str">
        <f t="shared" si="460"/>
        <v xml:space="preserve"> </v>
      </c>
      <c r="L1769" s="29">
        <f t="shared" si="461"/>
        <v>0</v>
      </c>
      <c r="Q1769" s="38"/>
      <c r="R1769" s="32">
        <f t="shared" si="458"/>
        <v>0</v>
      </c>
      <c r="S1769" s="32"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32">
        <f t="shared" si="459"/>
        <v>1900</v>
      </c>
      <c r="U1769" s="29"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3"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9"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9">
        <v>1796</v>
      </c>
      <c r="Y1769" s="29" t="str">
        <f t="shared" si="452"/>
        <v>[' ', '', '', '--', '00 gennaio 1900', '00/01/1900', '1900/01/00'],</v>
      </c>
      <c r="Z1769" s="29" t="str">
        <f t="shared" si="453"/>
        <v xml:space="preserve"> () |  </v>
      </c>
      <c r="AA1769" s="29" t="str">
        <f t="shared" si="454"/>
        <v xml:space="preserve"> </v>
      </c>
      <c r="AB1769" s="29" t="str">
        <f t="shared" si="455"/>
        <v xml:space="preserve"> </v>
      </c>
      <c r="AC1769" s="29" t="str">
        <f t="shared" si="456"/>
        <v xml:space="preserve"> , 0 , 00 gennaio 1900</v>
      </c>
      <c r="AD1769" s="29" t="str">
        <f t="shared" si="457"/>
        <v>1900-01-00T08:00:00.000+02:00</v>
      </c>
      <c r="AE1769" s="29" t="str">
        <f t="shared" si="462"/>
        <v>--</v>
      </c>
      <c r="AF1769" s="29" t="str">
        <f t="shared" si="463"/>
        <v xml:space="preserve">  - 0 - </v>
      </c>
    </row>
    <row r="1770" spans="8:32" x14ac:dyDescent="0.2">
      <c r="H1770" s="29" t="str">
        <f t="shared" si="460"/>
        <v xml:space="preserve"> </v>
      </c>
      <c r="L1770" s="29">
        <f t="shared" si="461"/>
        <v>0</v>
      </c>
      <c r="Q1770" s="38"/>
      <c r="R1770" s="32">
        <f t="shared" si="458"/>
        <v>0</v>
      </c>
      <c r="S1770" s="32"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32">
        <f t="shared" si="459"/>
        <v>1900</v>
      </c>
      <c r="U1770" s="29"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3"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9"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9">
        <v>1797</v>
      </c>
      <c r="Y1770" s="29" t="str">
        <f t="shared" si="452"/>
        <v>[' ', '', '', '--', '00 gennaio 1900', '00/01/1900', '1900/01/00'],</v>
      </c>
      <c r="Z1770" s="29" t="str">
        <f t="shared" si="453"/>
        <v xml:space="preserve"> () |  </v>
      </c>
      <c r="AA1770" s="29" t="str">
        <f t="shared" si="454"/>
        <v xml:space="preserve"> </v>
      </c>
      <c r="AB1770" s="29" t="str">
        <f t="shared" si="455"/>
        <v xml:space="preserve"> </v>
      </c>
      <c r="AC1770" s="29" t="str">
        <f t="shared" si="456"/>
        <v xml:space="preserve"> , 0 , 00 gennaio 1900</v>
      </c>
      <c r="AD1770" s="29" t="str">
        <f t="shared" si="457"/>
        <v>1900-01-00T08:00:00.000+02:00</v>
      </c>
      <c r="AE1770" s="29" t="str">
        <f t="shared" si="462"/>
        <v>--</v>
      </c>
      <c r="AF1770" s="29" t="str">
        <f t="shared" si="463"/>
        <v xml:space="preserve">  - 0 - </v>
      </c>
    </row>
    <row r="1771" spans="8:32" x14ac:dyDescent="0.2">
      <c r="H1771" s="29" t="str">
        <f t="shared" si="460"/>
        <v xml:space="preserve"> </v>
      </c>
      <c r="L1771" s="29">
        <f t="shared" si="461"/>
        <v>0</v>
      </c>
      <c r="Q1771" s="38"/>
      <c r="R1771" s="32">
        <f t="shared" si="458"/>
        <v>0</v>
      </c>
      <c r="S1771" s="32"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32">
        <f t="shared" si="459"/>
        <v>1900</v>
      </c>
      <c r="U1771" s="29"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3"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9"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9">
        <v>1798</v>
      </c>
      <c r="Y1771" s="29" t="str">
        <f t="shared" si="452"/>
        <v>[' ', '', '', '--', '00 gennaio 1900', '00/01/1900', '1900/01/00'],</v>
      </c>
      <c r="Z1771" s="29" t="str">
        <f t="shared" si="453"/>
        <v xml:space="preserve"> () |  </v>
      </c>
      <c r="AA1771" s="29" t="str">
        <f t="shared" si="454"/>
        <v xml:space="preserve"> </v>
      </c>
      <c r="AB1771" s="29" t="str">
        <f t="shared" si="455"/>
        <v xml:space="preserve"> </v>
      </c>
      <c r="AC1771" s="29" t="str">
        <f t="shared" si="456"/>
        <v xml:space="preserve"> , 0 , 00 gennaio 1900</v>
      </c>
      <c r="AD1771" s="29" t="str">
        <f t="shared" si="457"/>
        <v>1900-01-00T08:00:00.000+02:00</v>
      </c>
      <c r="AE1771" s="29" t="str">
        <f t="shared" si="462"/>
        <v>--</v>
      </c>
      <c r="AF1771" s="29" t="str">
        <f t="shared" si="463"/>
        <v xml:space="preserve">  - 0 - </v>
      </c>
    </row>
    <row r="1772" spans="8:32" x14ac:dyDescent="0.2">
      <c r="H1772" s="29" t="str">
        <f t="shared" si="460"/>
        <v xml:space="preserve"> </v>
      </c>
      <c r="L1772" s="29">
        <f t="shared" si="461"/>
        <v>0</v>
      </c>
      <c r="Q1772" s="38"/>
      <c r="R1772" s="32">
        <f t="shared" si="458"/>
        <v>0</v>
      </c>
      <c r="S1772" s="32"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32">
        <f t="shared" si="459"/>
        <v>1900</v>
      </c>
      <c r="U1772" s="29"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3"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9"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9">
        <v>1799</v>
      </c>
      <c r="Y1772" s="29" t="str">
        <f t="shared" si="452"/>
        <v>[' ', '', '', '--', '00 gennaio 1900', '00/01/1900', '1900/01/00'],</v>
      </c>
      <c r="Z1772" s="29" t="str">
        <f t="shared" si="453"/>
        <v xml:space="preserve"> () |  </v>
      </c>
      <c r="AA1772" s="29" t="str">
        <f t="shared" si="454"/>
        <v xml:space="preserve"> </v>
      </c>
      <c r="AB1772" s="29" t="str">
        <f t="shared" si="455"/>
        <v xml:space="preserve"> </v>
      </c>
      <c r="AC1772" s="29" t="str">
        <f t="shared" si="456"/>
        <v xml:space="preserve"> , 0 , 00 gennaio 1900</v>
      </c>
      <c r="AD1772" s="29" t="str">
        <f t="shared" si="457"/>
        <v>1900-01-00T08:00:00.000+02:00</v>
      </c>
      <c r="AE1772" s="29" t="str">
        <f t="shared" si="462"/>
        <v>--</v>
      </c>
      <c r="AF1772" s="29" t="str">
        <f t="shared" si="463"/>
        <v xml:space="preserve">  - 0 - </v>
      </c>
    </row>
    <row r="1773" spans="8:32" x14ac:dyDescent="0.2">
      <c r="H1773" s="29" t="str">
        <f t="shared" si="460"/>
        <v xml:space="preserve"> </v>
      </c>
      <c r="L1773" s="29">
        <f t="shared" si="461"/>
        <v>0</v>
      </c>
      <c r="Q1773" s="38"/>
      <c r="R1773" s="32">
        <f t="shared" si="458"/>
        <v>0</v>
      </c>
      <c r="S1773" s="32"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32">
        <f t="shared" si="459"/>
        <v>1900</v>
      </c>
      <c r="U1773" s="29"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3"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9"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9">
        <v>1800</v>
      </c>
      <c r="Y1773" s="29" t="str">
        <f t="shared" si="452"/>
        <v>[' ', '', '', '--', '00 gennaio 1900', '00/01/1900', '1900/01/00'],</v>
      </c>
      <c r="Z1773" s="29" t="str">
        <f t="shared" si="453"/>
        <v xml:space="preserve"> () |  </v>
      </c>
      <c r="AA1773" s="29" t="str">
        <f t="shared" si="454"/>
        <v xml:space="preserve"> </v>
      </c>
      <c r="AB1773" s="29" t="str">
        <f t="shared" si="455"/>
        <v xml:space="preserve"> </v>
      </c>
      <c r="AC1773" s="29" t="str">
        <f t="shared" si="456"/>
        <v xml:space="preserve"> , 0 , 00 gennaio 1900</v>
      </c>
      <c r="AD1773" s="29" t="str">
        <f t="shared" si="457"/>
        <v>1900-01-00T08:00:00.000+02:00</v>
      </c>
      <c r="AE1773" s="29" t="str">
        <f t="shared" si="462"/>
        <v>--</v>
      </c>
      <c r="AF1773" s="29" t="str">
        <f t="shared" si="463"/>
        <v xml:space="preserve">  - 0 - </v>
      </c>
    </row>
    <row r="1774" spans="8:32" x14ac:dyDescent="0.2">
      <c r="H1774" s="29" t="str">
        <f t="shared" si="460"/>
        <v xml:space="preserve"> </v>
      </c>
      <c r="L1774" s="29">
        <f t="shared" si="461"/>
        <v>0</v>
      </c>
      <c r="Q1774" s="38"/>
      <c r="R1774" s="32">
        <f t="shared" si="458"/>
        <v>0</v>
      </c>
      <c r="S1774" s="32"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32">
        <f t="shared" si="459"/>
        <v>1900</v>
      </c>
      <c r="U1774" s="29"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3"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9"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9">
        <v>1801</v>
      </c>
      <c r="Y1774" s="29" t="str">
        <f t="shared" si="452"/>
        <v>[' ', '', '', '--', '00 gennaio 1900', '00/01/1900', '1900/01/00'],</v>
      </c>
      <c r="Z1774" s="29" t="str">
        <f t="shared" si="453"/>
        <v xml:space="preserve"> () |  </v>
      </c>
      <c r="AA1774" s="29" t="str">
        <f t="shared" si="454"/>
        <v xml:space="preserve"> </v>
      </c>
      <c r="AB1774" s="29" t="str">
        <f t="shared" si="455"/>
        <v xml:space="preserve"> </v>
      </c>
      <c r="AC1774" s="29" t="str">
        <f t="shared" si="456"/>
        <v xml:space="preserve"> , 0 , 00 gennaio 1900</v>
      </c>
      <c r="AD1774" s="29" t="str">
        <f t="shared" si="457"/>
        <v>1900-01-00T08:00:00.000+02:00</v>
      </c>
      <c r="AE1774" s="29" t="str">
        <f t="shared" si="462"/>
        <v>--</v>
      </c>
      <c r="AF1774" s="29" t="str">
        <f t="shared" si="463"/>
        <v xml:space="preserve">  - 0 - </v>
      </c>
    </row>
    <row r="1775" spans="8:32" x14ac:dyDescent="0.2">
      <c r="H1775" s="29" t="str">
        <f t="shared" si="460"/>
        <v xml:space="preserve"> </v>
      </c>
      <c r="L1775" s="29">
        <f t="shared" si="461"/>
        <v>0</v>
      </c>
      <c r="Q1775" s="38"/>
      <c r="R1775" s="32">
        <f t="shared" si="458"/>
        <v>0</v>
      </c>
      <c r="S1775" s="32"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32">
        <f t="shared" si="459"/>
        <v>1900</v>
      </c>
      <c r="U1775" s="29"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3"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9"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9">
        <v>1802</v>
      </c>
      <c r="Y1775" s="29" t="str">
        <f t="shared" si="452"/>
        <v>[' ', '', '', '--', '00 gennaio 1900', '00/01/1900', '1900/01/00'],</v>
      </c>
      <c r="Z1775" s="29" t="str">
        <f t="shared" si="453"/>
        <v xml:space="preserve"> () |  </v>
      </c>
      <c r="AA1775" s="29" t="str">
        <f t="shared" si="454"/>
        <v xml:space="preserve"> </v>
      </c>
      <c r="AB1775" s="29" t="str">
        <f t="shared" si="455"/>
        <v xml:space="preserve"> </v>
      </c>
      <c r="AC1775" s="29" t="str">
        <f t="shared" si="456"/>
        <v xml:space="preserve"> , 0 , 00 gennaio 1900</v>
      </c>
      <c r="AD1775" s="29" t="str">
        <f t="shared" si="457"/>
        <v>1900-01-00T08:00:00.000+02:00</v>
      </c>
      <c r="AE1775" s="29" t="str">
        <f t="shared" si="462"/>
        <v>--</v>
      </c>
      <c r="AF1775" s="29" t="str">
        <f t="shared" si="463"/>
        <v xml:space="preserve">  - 0 - </v>
      </c>
    </row>
    <row r="1776" spans="8:32" x14ac:dyDescent="0.2">
      <c r="H1776" s="29" t="str">
        <f t="shared" si="460"/>
        <v xml:space="preserve"> </v>
      </c>
      <c r="L1776" s="29">
        <f t="shared" si="461"/>
        <v>0</v>
      </c>
      <c r="Q1776" s="38"/>
      <c r="R1776" s="32">
        <f t="shared" si="458"/>
        <v>0</v>
      </c>
      <c r="S1776" s="32"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32">
        <f t="shared" si="459"/>
        <v>1900</v>
      </c>
      <c r="U1776" s="29"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3"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9"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9">
        <v>1803</v>
      </c>
      <c r="Y1776" s="29" t="str">
        <f t="shared" si="452"/>
        <v>[' ', '', '', '--', '00 gennaio 1900', '00/01/1900', '1900/01/00'],</v>
      </c>
      <c r="Z1776" s="29" t="str">
        <f t="shared" si="453"/>
        <v xml:space="preserve"> () |  </v>
      </c>
      <c r="AA1776" s="29" t="str">
        <f t="shared" si="454"/>
        <v xml:space="preserve"> </v>
      </c>
      <c r="AB1776" s="29" t="str">
        <f t="shared" si="455"/>
        <v xml:space="preserve"> </v>
      </c>
      <c r="AC1776" s="29" t="str">
        <f t="shared" si="456"/>
        <v xml:space="preserve"> , 0 , 00 gennaio 1900</v>
      </c>
      <c r="AD1776" s="29" t="str">
        <f t="shared" si="457"/>
        <v>1900-01-00T08:00:00.000+02:00</v>
      </c>
      <c r="AE1776" s="29" t="str">
        <f t="shared" si="462"/>
        <v>--</v>
      </c>
      <c r="AF1776" s="29" t="str">
        <f t="shared" si="463"/>
        <v xml:space="preserve">  - 0 - </v>
      </c>
    </row>
    <row r="1777" spans="8:32" x14ac:dyDescent="0.2">
      <c r="H1777" s="29" t="str">
        <f t="shared" si="460"/>
        <v xml:space="preserve"> </v>
      </c>
      <c r="L1777" s="29">
        <f t="shared" si="461"/>
        <v>0</v>
      </c>
      <c r="Q1777" s="38"/>
      <c r="R1777" s="32">
        <f t="shared" si="458"/>
        <v>0</v>
      </c>
      <c r="S1777" s="32"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32">
        <f t="shared" si="459"/>
        <v>1900</v>
      </c>
      <c r="U1777" s="29"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3"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9"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9">
        <v>1804</v>
      </c>
      <c r="Y1777" s="29" t="str">
        <f t="shared" si="452"/>
        <v>[' ', '', '', '--', '00 gennaio 1900', '00/01/1900', '1900/01/00'],</v>
      </c>
      <c r="Z1777" s="29" t="str">
        <f t="shared" si="453"/>
        <v xml:space="preserve"> () |  </v>
      </c>
      <c r="AA1777" s="29" t="str">
        <f t="shared" si="454"/>
        <v xml:space="preserve"> </v>
      </c>
      <c r="AB1777" s="29" t="str">
        <f t="shared" si="455"/>
        <v xml:space="preserve"> </v>
      </c>
      <c r="AC1777" s="29" t="str">
        <f t="shared" si="456"/>
        <v xml:space="preserve"> , 0 , 00 gennaio 1900</v>
      </c>
      <c r="AD1777" s="29" t="str">
        <f t="shared" si="457"/>
        <v>1900-01-00T08:00:00.000+02:00</v>
      </c>
      <c r="AE1777" s="29" t="str">
        <f t="shared" si="462"/>
        <v>--</v>
      </c>
      <c r="AF1777" s="29" t="str">
        <f t="shared" si="463"/>
        <v xml:space="preserve">  - 0 - </v>
      </c>
    </row>
    <row r="1778" spans="8:32" x14ac:dyDescent="0.2">
      <c r="H1778" s="29" t="str">
        <f t="shared" si="460"/>
        <v xml:space="preserve"> </v>
      </c>
      <c r="L1778" s="29">
        <f t="shared" si="461"/>
        <v>0</v>
      </c>
      <c r="Q1778" s="38"/>
      <c r="R1778" s="32">
        <f t="shared" si="458"/>
        <v>0</v>
      </c>
      <c r="S1778" s="32"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32">
        <f t="shared" si="459"/>
        <v>1900</v>
      </c>
      <c r="U1778" s="29"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3"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9"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9">
        <v>1805</v>
      </c>
      <c r="Y1778" s="29" t="str">
        <f t="shared" si="452"/>
        <v>[' ', '', '', '--', '00 gennaio 1900', '00/01/1900', '1900/01/00'],</v>
      </c>
      <c r="Z1778" s="29" t="str">
        <f t="shared" si="453"/>
        <v xml:space="preserve"> () |  </v>
      </c>
      <c r="AA1778" s="29" t="str">
        <f t="shared" si="454"/>
        <v xml:space="preserve"> </v>
      </c>
      <c r="AB1778" s="29" t="str">
        <f t="shared" si="455"/>
        <v xml:space="preserve"> </v>
      </c>
      <c r="AC1778" s="29" t="str">
        <f t="shared" si="456"/>
        <v xml:space="preserve"> , 0 , 00 gennaio 1900</v>
      </c>
      <c r="AD1778" s="29" t="str">
        <f t="shared" si="457"/>
        <v>1900-01-00T08:00:00.000+02:00</v>
      </c>
      <c r="AE1778" s="29" t="str">
        <f t="shared" si="462"/>
        <v>--</v>
      </c>
      <c r="AF1778" s="29" t="str">
        <f t="shared" si="463"/>
        <v xml:space="preserve">  - 0 - </v>
      </c>
    </row>
    <row r="1779" spans="8:32" x14ac:dyDescent="0.2">
      <c r="H1779" s="29" t="str">
        <f t="shared" si="460"/>
        <v xml:space="preserve"> </v>
      </c>
      <c r="L1779" s="29">
        <f t="shared" si="461"/>
        <v>0</v>
      </c>
      <c r="Q1779" s="38"/>
      <c r="R1779" s="32">
        <f t="shared" si="458"/>
        <v>0</v>
      </c>
      <c r="S1779" s="32"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32">
        <f t="shared" si="459"/>
        <v>1900</v>
      </c>
      <c r="U1779" s="29"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3"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9"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9">
        <v>1806</v>
      </c>
      <c r="Y1779" s="29" t="str">
        <f t="shared" si="452"/>
        <v>[' ', '', '', '--', '00 gennaio 1900', '00/01/1900', '1900/01/00'],</v>
      </c>
      <c r="Z1779" s="29" t="str">
        <f t="shared" si="453"/>
        <v xml:space="preserve"> () |  </v>
      </c>
      <c r="AA1779" s="29" t="str">
        <f t="shared" si="454"/>
        <v xml:space="preserve"> </v>
      </c>
      <c r="AB1779" s="29" t="str">
        <f t="shared" si="455"/>
        <v xml:space="preserve"> </v>
      </c>
      <c r="AC1779" s="29" t="str">
        <f t="shared" si="456"/>
        <v xml:space="preserve"> , 0 , 00 gennaio 1900</v>
      </c>
      <c r="AD1779" s="29" t="str">
        <f t="shared" si="457"/>
        <v>1900-01-00T08:00:00.000+02:00</v>
      </c>
      <c r="AE1779" s="29" t="str">
        <f t="shared" si="462"/>
        <v>--</v>
      </c>
      <c r="AF1779" s="29" t="str">
        <f t="shared" si="463"/>
        <v xml:space="preserve">  - 0 - </v>
      </c>
    </row>
    <row r="1780" spans="8:32" x14ac:dyDescent="0.2">
      <c r="H1780" s="29" t="str">
        <f t="shared" si="460"/>
        <v xml:space="preserve"> </v>
      </c>
      <c r="L1780" s="29">
        <f t="shared" si="461"/>
        <v>0</v>
      </c>
      <c r="Q1780" s="38"/>
      <c r="R1780" s="32">
        <f t="shared" si="458"/>
        <v>0</v>
      </c>
      <c r="S1780" s="32"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32">
        <f t="shared" si="459"/>
        <v>1900</v>
      </c>
      <c r="U1780" s="29"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3"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9"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9">
        <v>1807</v>
      </c>
      <c r="Y1780" s="29" t="str">
        <f t="shared" si="452"/>
        <v>[' ', '', '', '--', '00 gennaio 1900', '00/01/1900', '1900/01/00'],</v>
      </c>
      <c r="Z1780" s="29" t="str">
        <f t="shared" si="453"/>
        <v xml:space="preserve"> () |  </v>
      </c>
      <c r="AA1780" s="29" t="str">
        <f t="shared" si="454"/>
        <v xml:space="preserve"> </v>
      </c>
      <c r="AB1780" s="29" t="str">
        <f t="shared" si="455"/>
        <v xml:space="preserve"> </v>
      </c>
      <c r="AC1780" s="29" t="str">
        <f t="shared" si="456"/>
        <v xml:space="preserve"> , 0 , 00 gennaio 1900</v>
      </c>
      <c r="AD1780" s="29" t="str">
        <f t="shared" si="457"/>
        <v>1900-01-00T08:00:00.000+02:00</v>
      </c>
      <c r="AE1780" s="29" t="str">
        <f t="shared" si="462"/>
        <v>--</v>
      </c>
      <c r="AF1780" s="29" t="str">
        <f t="shared" si="463"/>
        <v xml:space="preserve">  - 0 - </v>
      </c>
    </row>
    <row r="1781" spans="8:32" x14ac:dyDescent="0.2">
      <c r="H1781" s="29" t="str">
        <f t="shared" si="460"/>
        <v xml:space="preserve"> </v>
      </c>
      <c r="L1781" s="29">
        <f t="shared" si="461"/>
        <v>0</v>
      </c>
      <c r="Q1781" s="38"/>
      <c r="R1781" s="32">
        <f t="shared" si="458"/>
        <v>0</v>
      </c>
      <c r="S1781" s="32"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32">
        <f t="shared" si="459"/>
        <v>1900</v>
      </c>
      <c r="U1781" s="29"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3"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9"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9">
        <v>1808</v>
      </c>
      <c r="Y1781" s="29" t="str">
        <f t="shared" si="452"/>
        <v>[' ', '', '', '--', '00 gennaio 1900', '00/01/1900', '1900/01/00'],</v>
      </c>
      <c r="Z1781" s="29" t="str">
        <f t="shared" si="453"/>
        <v xml:space="preserve"> () |  </v>
      </c>
      <c r="AA1781" s="29" t="str">
        <f t="shared" si="454"/>
        <v xml:space="preserve"> </v>
      </c>
      <c r="AB1781" s="29" t="str">
        <f t="shared" si="455"/>
        <v xml:space="preserve"> </v>
      </c>
      <c r="AC1781" s="29" t="str">
        <f t="shared" si="456"/>
        <v xml:space="preserve"> , 0 , 00 gennaio 1900</v>
      </c>
      <c r="AD1781" s="29" t="str">
        <f t="shared" si="457"/>
        <v>1900-01-00T08:00:00.000+02:00</v>
      </c>
      <c r="AE1781" s="29" t="str">
        <f t="shared" si="462"/>
        <v>--</v>
      </c>
      <c r="AF1781" s="29" t="str">
        <f t="shared" si="463"/>
        <v xml:space="preserve">  - 0 - </v>
      </c>
    </row>
    <row r="1782" spans="8:32" x14ac:dyDescent="0.2">
      <c r="H1782" s="29" t="str">
        <f t="shared" si="460"/>
        <v xml:space="preserve"> </v>
      </c>
      <c r="L1782" s="29">
        <f t="shared" si="461"/>
        <v>0</v>
      </c>
      <c r="Q1782" s="38"/>
      <c r="R1782" s="32">
        <f t="shared" si="458"/>
        <v>0</v>
      </c>
      <c r="S1782" s="32"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32">
        <f t="shared" si="459"/>
        <v>1900</v>
      </c>
      <c r="U1782" s="29"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3"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9"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9">
        <v>1809</v>
      </c>
      <c r="Y1782" s="29" t="str">
        <f t="shared" si="452"/>
        <v>[' ', '', '', '--', '00 gennaio 1900', '00/01/1900', '1900/01/00'],</v>
      </c>
      <c r="Z1782" s="29" t="str">
        <f t="shared" si="453"/>
        <v xml:space="preserve"> () |  </v>
      </c>
      <c r="AA1782" s="29" t="str">
        <f t="shared" si="454"/>
        <v xml:space="preserve"> </v>
      </c>
      <c r="AB1782" s="29" t="str">
        <f t="shared" si="455"/>
        <v xml:space="preserve"> </v>
      </c>
      <c r="AC1782" s="29" t="str">
        <f t="shared" si="456"/>
        <v xml:space="preserve"> , 0 , 00 gennaio 1900</v>
      </c>
      <c r="AD1782" s="29" t="str">
        <f t="shared" si="457"/>
        <v>1900-01-00T08:00:00.000+02:00</v>
      </c>
      <c r="AE1782" s="29" t="str">
        <f t="shared" si="462"/>
        <v>--</v>
      </c>
      <c r="AF1782" s="29" t="str">
        <f t="shared" si="463"/>
        <v xml:space="preserve">  - 0 - </v>
      </c>
    </row>
    <row r="1783" spans="8:32" x14ac:dyDescent="0.2">
      <c r="H1783" s="29" t="str">
        <f t="shared" si="460"/>
        <v xml:space="preserve"> </v>
      </c>
      <c r="L1783" s="29">
        <f t="shared" si="461"/>
        <v>0</v>
      </c>
      <c r="Q1783" s="38"/>
      <c r="R1783" s="32">
        <f t="shared" si="458"/>
        <v>0</v>
      </c>
      <c r="S1783" s="32"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32">
        <f t="shared" si="459"/>
        <v>1900</v>
      </c>
      <c r="U1783" s="29"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3"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9"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9">
        <v>1810</v>
      </c>
      <c r="Y1783" s="29" t="str">
        <f t="shared" si="452"/>
        <v>[' ', '', '', '--', '00 gennaio 1900', '00/01/1900', '1900/01/00'],</v>
      </c>
      <c r="Z1783" s="29" t="str">
        <f t="shared" si="453"/>
        <v xml:space="preserve"> () |  </v>
      </c>
      <c r="AA1783" s="29" t="str">
        <f t="shared" si="454"/>
        <v xml:space="preserve"> </v>
      </c>
      <c r="AB1783" s="29" t="str">
        <f t="shared" si="455"/>
        <v xml:space="preserve"> </v>
      </c>
      <c r="AC1783" s="29" t="str">
        <f t="shared" si="456"/>
        <v xml:space="preserve"> , 0 , 00 gennaio 1900</v>
      </c>
      <c r="AD1783" s="29" t="str">
        <f t="shared" si="457"/>
        <v>1900-01-00T08:00:00.000+02:00</v>
      </c>
      <c r="AE1783" s="29" t="str">
        <f t="shared" si="462"/>
        <v>--</v>
      </c>
      <c r="AF1783" s="29" t="str">
        <f t="shared" si="463"/>
        <v xml:space="preserve">  - 0 - </v>
      </c>
    </row>
    <row r="1784" spans="8:32" x14ac:dyDescent="0.2">
      <c r="H1784" s="29" t="str">
        <f t="shared" si="460"/>
        <v xml:space="preserve"> </v>
      </c>
      <c r="L1784" s="29">
        <f t="shared" si="461"/>
        <v>0</v>
      </c>
      <c r="Q1784" s="38"/>
      <c r="R1784" s="32">
        <f t="shared" si="458"/>
        <v>0</v>
      </c>
      <c r="S1784" s="32"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32">
        <f t="shared" si="459"/>
        <v>1900</v>
      </c>
      <c r="U1784" s="29"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3"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9"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9">
        <v>1811</v>
      </c>
      <c r="Y1784" s="29" t="str">
        <f t="shared" si="452"/>
        <v>[' ', '', '', '--', '00 gennaio 1900', '00/01/1900', '1900/01/00'],</v>
      </c>
      <c r="Z1784" s="29" t="str">
        <f t="shared" si="453"/>
        <v xml:space="preserve"> () |  </v>
      </c>
      <c r="AA1784" s="29" t="str">
        <f t="shared" si="454"/>
        <v xml:space="preserve"> </v>
      </c>
      <c r="AB1784" s="29" t="str">
        <f t="shared" si="455"/>
        <v xml:space="preserve"> </v>
      </c>
      <c r="AC1784" s="29" t="str">
        <f t="shared" si="456"/>
        <v xml:space="preserve"> , 0 , 00 gennaio 1900</v>
      </c>
      <c r="AD1784" s="29" t="str">
        <f t="shared" si="457"/>
        <v>1900-01-00T08:00:00.000+02:00</v>
      </c>
      <c r="AE1784" s="29" t="str">
        <f t="shared" si="462"/>
        <v>--</v>
      </c>
      <c r="AF1784" s="29" t="str">
        <f t="shared" si="463"/>
        <v xml:space="preserve">  - 0 - </v>
      </c>
    </row>
    <row r="1785" spans="8:32" x14ac:dyDescent="0.2">
      <c r="H1785" s="29" t="str">
        <f t="shared" si="460"/>
        <v xml:space="preserve"> </v>
      </c>
      <c r="L1785" s="29">
        <f t="shared" si="461"/>
        <v>0</v>
      </c>
      <c r="Q1785" s="38"/>
      <c r="R1785" s="32">
        <f t="shared" si="458"/>
        <v>0</v>
      </c>
      <c r="S1785" s="32"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32">
        <f t="shared" si="459"/>
        <v>1900</v>
      </c>
      <c r="U1785" s="29"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3"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9"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9">
        <v>1812</v>
      </c>
      <c r="Y1785" s="29" t="str">
        <f t="shared" si="452"/>
        <v>[' ', '', '', '--', '00 gennaio 1900', '00/01/1900', '1900/01/00'],</v>
      </c>
      <c r="Z1785" s="29" t="str">
        <f t="shared" si="453"/>
        <v xml:space="preserve"> () |  </v>
      </c>
      <c r="AA1785" s="29" t="str">
        <f t="shared" si="454"/>
        <v xml:space="preserve"> </v>
      </c>
      <c r="AB1785" s="29" t="str">
        <f t="shared" si="455"/>
        <v xml:space="preserve"> </v>
      </c>
      <c r="AC1785" s="29" t="str">
        <f t="shared" si="456"/>
        <v xml:space="preserve"> , 0 , 00 gennaio 1900</v>
      </c>
      <c r="AD1785" s="29" t="str">
        <f t="shared" si="457"/>
        <v>1900-01-00T08:00:00.000+02:00</v>
      </c>
      <c r="AE1785" s="29" t="str">
        <f t="shared" si="462"/>
        <v>--</v>
      </c>
      <c r="AF1785" s="29" t="str">
        <f t="shared" si="463"/>
        <v xml:space="preserve">  - 0 - </v>
      </c>
    </row>
    <row r="1786" spans="8:32" x14ac:dyDescent="0.2">
      <c r="H1786" s="29" t="str">
        <f t="shared" si="460"/>
        <v xml:space="preserve"> </v>
      </c>
      <c r="L1786" s="29">
        <f t="shared" si="461"/>
        <v>0</v>
      </c>
      <c r="Q1786" s="38"/>
      <c r="R1786" s="32">
        <f t="shared" si="458"/>
        <v>0</v>
      </c>
      <c r="S1786" s="32"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32">
        <f t="shared" si="459"/>
        <v>1900</v>
      </c>
      <c r="U1786" s="29"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3"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9"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9">
        <v>1813</v>
      </c>
      <c r="Y1786" s="29" t="str">
        <f t="shared" si="452"/>
        <v>[' ', '', '', '--', '00 gennaio 1900', '00/01/1900', '1900/01/00'],</v>
      </c>
      <c r="Z1786" s="29" t="str">
        <f t="shared" si="453"/>
        <v xml:space="preserve"> () |  </v>
      </c>
      <c r="AA1786" s="29" t="str">
        <f t="shared" si="454"/>
        <v xml:space="preserve"> </v>
      </c>
      <c r="AB1786" s="29" t="str">
        <f t="shared" si="455"/>
        <v xml:space="preserve"> </v>
      </c>
      <c r="AC1786" s="29" t="str">
        <f t="shared" si="456"/>
        <v xml:space="preserve"> , 0 , 00 gennaio 1900</v>
      </c>
      <c r="AD1786" s="29" t="str">
        <f t="shared" si="457"/>
        <v>1900-01-00T08:00:00.000+02:00</v>
      </c>
      <c r="AE1786" s="29" t="str">
        <f t="shared" si="462"/>
        <v>--</v>
      </c>
      <c r="AF1786" s="29" t="str">
        <f t="shared" si="463"/>
        <v xml:space="preserve">  - 0 - </v>
      </c>
    </row>
    <row r="1787" spans="8:32" x14ac:dyDescent="0.2">
      <c r="H1787" s="29" t="str">
        <f t="shared" si="460"/>
        <v xml:space="preserve"> </v>
      </c>
      <c r="L1787" s="29">
        <f t="shared" si="461"/>
        <v>0</v>
      </c>
      <c r="Q1787" s="38"/>
      <c r="R1787" s="32">
        <f t="shared" si="458"/>
        <v>0</v>
      </c>
      <c r="S1787" s="32"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32">
        <f t="shared" si="459"/>
        <v>1900</v>
      </c>
      <c r="U1787" s="29"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3"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9"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9">
        <v>1814</v>
      </c>
      <c r="Y1787" s="29" t="str">
        <f t="shared" si="452"/>
        <v>[' ', '', '', '--', '00 gennaio 1900', '00/01/1900', '1900/01/00'],</v>
      </c>
      <c r="Z1787" s="29" t="str">
        <f t="shared" si="453"/>
        <v xml:space="preserve"> () |  </v>
      </c>
      <c r="AA1787" s="29" t="str">
        <f t="shared" si="454"/>
        <v xml:space="preserve"> </v>
      </c>
      <c r="AB1787" s="29" t="str">
        <f t="shared" si="455"/>
        <v xml:space="preserve"> </v>
      </c>
      <c r="AC1787" s="29" t="str">
        <f t="shared" si="456"/>
        <v xml:space="preserve"> , 0 , 00 gennaio 1900</v>
      </c>
      <c r="AD1787" s="29" t="str">
        <f t="shared" si="457"/>
        <v>1900-01-00T08:00:00.000+02:00</v>
      </c>
      <c r="AE1787" s="29" t="str">
        <f t="shared" si="462"/>
        <v>--</v>
      </c>
      <c r="AF1787" s="29" t="str">
        <f t="shared" si="463"/>
        <v xml:space="preserve">  - 0 - </v>
      </c>
    </row>
    <row r="1788" spans="8:32" x14ac:dyDescent="0.2">
      <c r="H1788" s="29" t="str">
        <f t="shared" si="460"/>
        <v xml:space="preserve"> </v>
      </c>
      <c r="L1788" s="29">
        <f t="shared" si="461"/>
        <v>0</v>
      </c>
      <c r="Q1788" s="38"/>
      <c r="R1788" s="32">
        <f t="shared" si="458"/>
        <v>0</v>
      </c>
      <c r="S1788" s="32"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32">
        <f t="shared" si="459"/>
        <v>1900</v>
      </c>
      <c r="U1788" s="29"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3"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9"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9">
        <v>1815</v>
      </c>
      <c r="Y1788" s="29" t="str">
        <f t="shared" si="452"/>
        <v>[' ', '', '', '--', '00 gennaio 1900', '00/01/1900', '1900/01/00'],</v>
      </c>
      <c r="Z1788" s="29" t="str">
        <f t="shared" si="453"/>
        <v xml:space="preserve"> () |  </v>
      </c>
      <c r="AA1788" s="29" t="str">
        <f t="shared" si="454"/>
        <v xml:space="preserve"> </v>
      </c>
      <c r="AB1788" s="29" t="str">
        <f t="shared" si="455"/>
        <v xml:space="preserve"> </v>
      </c>
      <c r="AC1788" s="29" t="str">
        <f t="shared" si="456"/>
        <v xml:space="preserve"> , 0 , 00 gennaio 1900</v>
      </c>
      <c r="AD1788" s="29" t="str">
        <f t="shared" si="457"/>
        <v>1900-01-00T08:00:00.000+02:00</v>
      </c>
      <c r="AE1788" s="29" t="str">
        <f t="shared" si="462"/>
        <v>--</v>
      </c>
      <c r="AF1788" s="29" t="str">
        <f t="shared" si="463"/>
        <v xml:space="preserve">  - 0 - </v>
      </c>
    </row>
    <row r="1789" spans="8:32" x14ac:dyDescent="0.2">
      <c r="H1789" s="29" t="str">
        <f t="shared" si="460"/>
        <v xml:space="preserve"> </v>
      </c>
      <c r="L1789" s="29">
        <f t="shared" si="461"/>
        <v>0</v>
      </c>
      <c r="Q1789" s="38"/>
      <c r="R1789" s="32">
        <f t="shared" si="458"/>
        <v>0</v>
      </c>
      <c r="S1789" s="32"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32">
        <f t="shared" si="459"/>
        <v>1900</v>
      </c>
      <c r="U1789" s="29"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3"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9"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9">
        <v>1816</v>
      </c>
      <c r="Y1789" s="29" t="str">
        <f t="shared" si="452"/>
        <v>[' ', '', '', '--', '00 gennaio 1900', '00/01/1900', '1900/01/00'],</v>
      </c>
      <c r="Z1789" s="29" t="str">
        <f t="shared" si="453"/>
        <v xml:space="preserve"> () |  </v>
      </c>
      <c r="AA1789" s="29" t="str">
        <f t="shared" si="454"/>
        <v xml:space="preserve"> </v>
      </c>
      <c r="AB1789" s="29" t="str">
        <f t="shared" si="455"/>
        <v xml:space="preserve"> </v>
      </c>
      <c r="AC1789" s="29" t="str">
        <f t="shared" si="456"/>
        <v xml:space="preserve"> , 0 , 00 gennaio 1900</v>
      </c>
      <c r="AD1789" s="29" t="str">
        <f t="shared" si="457"/>
        <v>1900-01-00T08:00:00.000+02:00</v>
      </c>
      <c r="AE1789" s="29" t="str">
        <f t="shared" si="462"/>
        <v>--</v>
      </c>
      <c r="AF1789" s="29" t="str">
        <f t="shared" si="463"/>
        <v xml:space="preserve">  - 0 - </v>
      </c>
    </row>
    <row r="1790" spans="8:32" x14ac:dyDescent="0.2">
      <c r="H1790" s="29" t="str">
        <f t="shared" si="460"/>
        <v xml:space="preserve"> </v>
      </c>
      <c r="L1790" s="29">
        <f t="shared" si="461"/>
        <v>0</v>
      </c>
      <c r="Q1790" s="38"/>
      <c r="R1790" s="32">
        <f t="shared" si="458"/>
        <v>0</v>
      </c>
      <c r="S1790" s="32"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32">
        <f t="shared" si="459"/>
        <v>1900</v>
      </c>
      <c r="U1790" s="29"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3"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9"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9">
        <v>1817</v>
      </c>
      <c r="Y1790" s="29" t="str">
        <f t="shared" si="452"/>
        <v>[' ', '', '', '--', '00 gennaio 1900', '00/01/1900', '1900/01/00'],</v>
      </c>
      <c r="Z1790" s="29" t="str">
        <f t="shared" si="453"/>
        <v xml:space="preserve"> () |  </v>
      </c>
      <c r="AA1790" s="29" t="str">
        <f t="shared" si="454"/>
        <v xml:space="preserve"> </v>
      </c>
      <c r="AB1790" s="29" t="str">
        <f t="shared" si="455"/>
        <v xml:space="preserve"> </v>
      </c>
      <c r="AC1790" s="29" t="str">
        <f t="shared" si="456"/>
        <v xml:space="preserve"> , 0 , 00 gennaio 1900</v>
      </c>
      <c r="AD1790" s="29" t="str">
        <f t="shared" si="457"/>
        <v>1900-01-00T08:00:00.000+02:00</v>
      </c>
      <c r="AE1790" s="29" t="str">
        <f t="shared" si="462"/>
        <v>--</v>
      </c>
      <c r="AF1790" s="29" t="str">
        <f t="shared" si="463"/>
        <v xml:space="preserve">  - 0 - </v>
      </c>
    </row>
    <row r="1791" spans="8:32" x14ac:dyDescent="0.2">
      <c r="H1791" s="29" t="str">
        <f t="shared" si="460"/>
        <v xml:space="preserve"> </v>
      </c>
      <c r="L1791" s="29">
        <f t="shared" si="461"/>
        <v>0</v>
      </c>
      <c r="Q1791" s="38"/>
      <c r="R1791" s="32">
        <f t="shared" si="458"/>
        <v>0</v>
      </c>
      <c r="S1791" s="32"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32">
        <f t="shared" si="459"/>
        <v>1900</v>
      </c>
      <c r="U1791" s="29"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3"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9"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9">
        <v>1818</v>
      </c>
      <c r="Y1791" s="29" t="str">
        <f t="shared" si="452"/>
        <v>[' ', '', '', '--', '00 gennaio 1900', '00/01/1900', '1900/01/00'],</v>
      </c>
      <c r="Z1791" s="29" t="str">
        <f t="shared" si="453"/>
        <v xml:space="preserve"> () |  </v>
      </c>
      <c r="AA1791" s="29" t="str">
        <f t="shared" si="454"/>
        <v xml:space="preserve"> </v>
      </c>
      <c r="AB1791" s="29" t="str">
        <f t="shared" si="455"/>
        <v xml:space="preserve"> </v>
      </c>
      <c r="AC1791" s="29" t="str">
        <f t="shared" si="456"/>
        <v xml:space="preserve"> , 0 , 00 gennaio 1900</v>
      </c>
      <c r="AD1791" s="29" t="str">
        <f t="shared" si="457"/>
        <v>1900-01-00T08:00:00.000+02:00</v>
      </c>
      <c r="AE1791" s="29" t="str">
        <f t="shared" si="462"/>
        <v>--</v>
      </c>
      <c r="AF1791" s="29" t="str">
        <f t="shared" si="463"/>
        <v xml:space="preserve">  - 0 - </v>
      </c>
    </row>
    <row r="1792" spans="8:32" x14ac:dyDescent="0.2">
      <c r="H1792" s="29" t="str">
        <f t="shared" si="460"/>
        <v xml:space="preserve"> </v>
      </c>
      <c r="L1792" s="29">
        <f t="shared" si="461"/>
        <v>0</v>
      </c>
      <c r="Q1792" s="38"/>
      <c r="R1792" s="32">
        <f t="shared" si="458"/>
        <v>0</v>
      </c>
      <c r="S1792" s="32"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32">
        <f t="shared" si="459"/>
        <v>1900</v>
      </c>
      <c r="U1792" s="29"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3"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9"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9">
        <v>1819</v>
      </c>
      <c r="Y1792" s="29" t="str">
        <f t="shared" si="452"/>
        <v>[' ', '', '', '--', '00 gennaio 1900', '00/01/1900', '1900/01/00'],</v>
      </c>
      <c r="Z1792" s="29" t="str">
        <f t="shared" si="453"/>
        <v xml:space="preserve"> () |  </v>
      </c>
      <c r="AA1792" s="29" t="str">
        <f t="shared" si="454"/>
        <v xml:space="preserve"> </v>
      </c>
      <c r="AB1792" s="29" t="str">
        <f t="shared" si="455"/>
        <v xml:space="preserve"> </v>
      </c>
      <c r="AC1792" s="29" t="str">
        <f t="shared" si="456"/>
        <v xml:space="preserve"> , 0 , 00 gennaio 1900</v>
      </c>
      <c r="AD1792" s="29" t="str">
        <f t="shared" si="457"/>
        <v>1900-01-00T08:00:00.000+02:00</v>
      </c>
      <c r="AE1792" s="29" t="str">
        <f t="shared" si="462"/>
        <v>--</v>
      </c>
      <c r="AF1792" s="29" t="str">
        <f t="shared" si="463"/>
        <v xml:space="preserve">  - 0 - </v>
      </c>
    </row>
    <row r="1793" spans="8:32" x14ac:dyDescent="0.2">
      <c r="H1793" s="29" t="str">
        <f t="shared" si="460"/>
        <v xml:space="preserve"> </v>
      </c>
      <c r="L1793" s="29">
        <f t="shared" si="461"/>
        <v>0</v>
      </c>
      <c r="Q1793" s="38"/>
      <c r="R1793" s="32">
        <f t="shared" si="458"/>
        <v>0</v>
      </c>
      <c r="S1793" s="32"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32">
        <f t="shared" si="459"/>
        <v>1900</v>
      </c>
      <c r="U1793" s="29"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3"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9"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9">
        <v>1820</v>
      </c>
      <c r="Y1793" s="29" t="str">
        <f t="shared" si="452"/>
        <v>[' ', '', '', '--', '00 gennaio 1900', '00/01/1900', '1900/01/00'],</v>
      </c>
      <c r="Z1793" s="29" t="str">
        <f t="shared" si="453"/>
        <v xml:space="preserve"> () |  </v>
      </c>
      <c r="AA1793" s="29" t="str">
        <f t="shared" si="454"/>
        <v xml:space="preserve"> </v>
      </c>
      <c r="AB1793" s="29" t="str">
        <f t="shared" si="455"/>
        <v xml:space="preserve"> </v>
      </c>
      <c r="AC1793" s="29" t="str">
        <f t="shared" si="456"/>
        <v xml:space="preserve"> , 0 , 00 gennaio 1900</v>
      </c>
      <c r="AD1793" s="29" t="str">
        <f t="shared" si="457"/>
        <v>1900-01-00T08:00:00.000+02:00</v>
      </c>
      <c r="AE1793" s="29" t="str">
        <f t="shared" si="462"/>
        <v>--</v>
      </c>
      <c r="AF1793" s="29" t="str">
        <f t="shared" si="463"/>
        <v xml:space="preserve">  - 0 - </v>
      </c>
    </row>
    <row r="1794" spans="8:32" x14ac:dyDescent="0.2">
      <c r="H1794" s="29" t="str">
        <f t="shared" si="460"/>
        <v xml:space="preserve"> </v>
      </c>
      <c r="L1794" s="29">
        <f t="shared" si="461"/>
        <v>0</v>
      </c>
      <c r="Q1794" s="38"/>
      <c r="R1794" s="32">
        <f t="shared" si="458"/>
        <v>0</v>
      </c>
      <c r="S1794" s="32"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32">
        <f t="shared" si="459"/>
        <v>1900</v>
      </c>
      <c r="U1794" s="29"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3"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9"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9">
        <v>1821</v>
      </c>
      <c r="Y1794" s="29" t="str">
        <f t="shared" ref="Y1794:Y1857" si="464">_xlfn.CONCAT("[" &amp; "'" &amp; D1794 &amp; " " &amp; E1794 &amp; "'" &amp; ", " &amp; "'" &amp; K1794 &amp; "'"&amp; ", " &amp; "'" &amp; O1794 &amp; "'" &amp; ", " &amp; "'" &amp; AE1794 &amp; "'" &amp; ", " &amp; "'" &amp; W1794 &amp; "'" &amp; ", " &amp; "'" &amp; U1794 &amp; "'" &amp; ", " &amp; "'" &amp; V1794 &amp; "'" &amp; "],")</f>
        <v>[' ', '', '', '--', '00 gennaio 1900', '00/01/1900', '1900/01/00'],</v>
      </c>
      <c r="Z1794" s="29" t="str">
        <f t="shared" ref="Z1794:Z1857" si="465">_xlfn.CONCAT(O1794 &amp; " (" &amp; Q1794 &amp; ") | " &amp; D1794 &amp; " " &amp; E1794)</f>
        <v xml:space="preserve"> () |  </v>
      </c>
      <c r="AA1794" s="29" t="str">
        <f t="shared" ref="AA1794:AA1857" si="466">_xlfn.CONCAT(K1794 &amp; " " &amp; O1794)</f>
        <v xml:space="preserve"> </v>
      </c>
      <c r="AB1794" s="29" t="str">
        <f t="shared" ref="AB1794:AB1857" si="467">_xlfn.CONCAT(K1794 &amp; " " &amp; O1794)</f>
        <v xml:space="preserve"> </v>
      </c>
      <c r="AC1794" s="29" t="str">
        <f t="shared" ref="AC1794:AC1857" si="468">_xlfn.CONCAT(H1794 &amp; ", " &amp; L1794 &amp; " " &amp; O1794 &amp; ", " &amp; LEFT(U1794,2) &amp; " " &amp; TEXT(VALUE(MID(U1794,4,2))*29,"mmmm") &amp; " " &amp; RIGHT(U1794,4))</f>
        <v xml:space="preserve"> , 0 , 00 gennaio 1900</v>
      </c>
      <c r="AD1794" s="29" t="str">
        <f t="shared" ref="AD1794:AD1857" si="469">_xlfn.CONCAT(RIGHT(U1794,4) &amp; "-" &amp; MID(U1794,4,2) &amp; "-" &amp; LEFT(U1794,2) &amp; "T08:00:00.000+02:00")</f>
        <v>1900-01-00T08:00:00.000+02:00</v>
      </c>
      <c r="AE1794" s="29" t="str">
        <f t="shared" si="462"/>
        <v>--</v>
      </c>
      <c r="AF1794" s="29" t="str">
        <f t="shared" si="463"/>
        <v xml:space="preserve">  - 0 - </v>
      </c>
    </row>
    <row r="1795" spans="8:32" x14ac:dyDescent="0.2">
      <c r="H1795" s="29" t="str">
        <f t="shared" si="460"/>
        <v xml:space="preserve"> </v>
      </c>
      <c r="L1795" s="29">
        <f t="shared" si="461"/>
        <v>0</v>
      </c>
      <c r="Q1795" s="38"/>
      <c r="R1795" s="32">
        <f t="shared" si="458"/>
        <v>0</v>
      </c>
      <c r="S1795" s="32"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32">
        <f t="shared" si="459"/>
        <v>1900</v>
      </c>
      <c r="U1795" s="29"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3"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9"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9">
        <v>1822</v>
      </c>
      <c r="Y1795" s="29" t="str">
        <f t="shared" si="464"/>
        <v>[' ', '', '', '--', '00 gennaio 1900', '00/01/1900', '1900/01/00'],</v>
      </c>
      <c r="Z1795" s="29" t="str">
        <f t="shared" si="465"/>
        <v xml:space="preserve"> () |  </v>
      </c>
      <c r="AA1795" s="29" t="str">
        <f t="shared" si="466"/>
        <v xml:space="preserve"> </v>
      </c>
      <c r="AB1795" s="29" t="str">
        <f t="shared" si="467"/>
        <v xml:space="preserve"> </v>
      </c>
      <c r="AC1795" s="29" t="str">
        <f t="shared" si="468"/>
        <v xml:space="preserve"> , 0 , 00 gennaio 1900</v>
      </c>
      <c r="AD1795" s="29" t="str">
        <f t="shared" si="469"/>
        <v>1900-01-00T08:00:00.000+02:00</v>
      </c>
      <c r="AE1795" s="29" t="str">
        <f t="shared" si="462"/>
        <v>--</v>
      </c>
      <c r="AF1795" s="29" t="str">
        <f t="shared" si="463"/>
        <v xml:space="preserve">  - 0 - </v>
      </c>
    </row>
    <row r="1796" spans="8:32" x14ac:dyDescent="0.2">
      <c r="H1796" s="29" t="str">
        <f t="shared" si="460"/>
        <v xml:space="preserve"> </v>
      </c>
      <c r="L1796" s="29">
        <f t="shared" si="461"/>
        <v>0</v>
      </c>
      <c r="Q1796" s="38"/>
      <c r="R1796" s="32">
        <f t="shared" si="458"/>
        <v>0</v>
      </c>
      <c r="S1796" s="32"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32">
        <f t="shared" si="459"/>
        <v>1900</v>
      </c>
      <c r="U1796" s="29"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3"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9"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9">
        <v>1823</v>
      </c>
      <c r="Y1796" s="29" t="str">
        <f t="shared" si="464"/>
        <v>[' ', '', '', '--', '00 gennaio 1900', '00/01/1900', '1900/01/00'],</v>
      </c>
      <c r="Z1796" s="29" t="str">
        <f t="shared" si="465"/>
        <v xml:space="preserve"> () |  </v>
      </c>
      <c r="AA1796" s="29" t="str">
        <f t="shared" si="466"/>
        <v xml:space="preserve"> </v>
      </c>
      <c r="AB1796" s="29" t="str">
        <f t="shared" si="467"/>
        <v xml:space="preserve"> </v>
      </c>
      <c r="AC1796" s="29" t="str">
        <f t="shared" si="468"/>
        <v xml:space="preserve"> , 0 , 00 gennaio 1900</v>
      </c>
      <c r="AD1796" s="29" t="str">
        <f t="shared" si="469"/>
        <v>1900-01-00T08:00:00.000+02:00</v>
      </c>
      <c r="AE1796" s="29" t="str">
        <f t="shared" si="462"/>
        <v>--</v>
      </c>
      <c r="AF1796" s="29" t="str">
        <f t="shared" si="463"/>
        <v xml:space="preserve">  - 0 - </v>
      </c>
    </row>
    <row r="1797" spans="8:32" x14ac:dyDescent="0.2">
      <c r="H1797" s="29" t="str">
        <f t="shared" si="460"/>
        <v xml:space="preserve"> </v>
      </c>
      <c r="L1797" s="29">
        <f t="shared" si="461"/>
        <v>0</v>
      </c>
      <c r="Q1797" s="38"/>
      <c r="R1797" s="32">
        <f t="shared" si="458"/>
        <v>0</v>
      </c>
      <c r="S1797" s="32"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32">
        <f t="shared" si="459"/>
        <v>1900</v>
      </c>
      <c r="U1797" s="29"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3"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9"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9">
        <v>1824</v>
      </c>
      <c r="Y1797" s="29" t="str">
        <f t="shared" si="464"/>
        <v>[' ', '', '', '--', '00 gennaio 1900', '00/01/1900', '1900/01/00'],</v>
      </c>
      <c r="Z1797" s="29" t="str">
        <f t="shared" si="465"/>
        <v xml:space="preserve"> () |  </v>
      </c>
      <c r="AA1797" s="29" t="str">
        <f t="shared" si="466"/>
        <v xml:space="preserve"> </v>
      </c>
      <c r="AB1797" s="29" t="str">
        <f t="shared" si="467"/>
        <v xml:space="preserve"> </v>
      </c>
      <c r="AC1797" s="29" t="str">
        <f t="shared" si="468"/>
        <v xml:space="preserve"> , 0 , 00 gennaio 1900</v>
      </c>
      <c r="AD1797" s="29" t="str">
        <f t="shared" si="469"/>
        <v>1900-01-00T08:00:00.000+02:00</v>
      </c>
      <c r="AE1797" s="29" t="str">
        <f t="shared" si="462"/>
        <v>--</v>
      </c>
      <c r="AF1797" s="29" t="str">
        <f t="shared" si="463"/>
        <v xml:space="preserve">  - 0 - </v>
      </c>
    </row>
    <row r="1798" spans="8:32" x14ac:dyDescent="0.2">
      <c r="H1798" s="29" t="str">
        <f t="shared" si="460"/>
        <v xml:space="preserve"> </v>
      </c>
      <c r="L1798" s="29">
        <f t="shared" si="461"/>
        <v>0</v>
      </c>
      <c r="Q1798" s="38"/>
      <c r="R1798" s="32">
        <f t="shared" si="458"/>
        <v>0</v>
      </c>
      <c r="S1798" s="32"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32">
        <f t="shared" si="459"/>
        <v>1900</v>
      </c>
      <c r="U1798" s="29"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3"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9"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9">
        <v>1825</v>
      </c>
      <c r="Y1798" s="29" t="str">
        <f t="shared" si="464"/>
        <v>[' ', '', '', '--', '00 gennaio 1900', '00/01/1900', '1900/01/00'],</v>
      </c>
      <c r="Z1798" s="29" t="str">
        <f t="shared" si="465"/>
        <v xml:space="preserve"> () |  </v>
      </c>
      <c r="AA1798" s="29" t="str">
        <f t="shared" si="466"/>
        <v xml:space="preserve"> </v>
      </c>
      <c r="AB1798" s="29" t="str">
        <f t="shared" si="467"/>
        <v xml:space="preserve"> </v>
      </c>
      <c r="AC1798" s="29" t="str">
        <f t="shared" si="468"/>
        <v xml:space="preserve"> , 0 , 00 gennaio 1900</v>
      </c>
      <c r="AD1798" s="29" t="str">
        <f t="shared" si="469"/>
        <v>1900-01-00T08:00:00.000+02:00</v>
      </c>
      <c r="AE1798" s="29" t="str">
        <f t="shared" si="462"/>
        <v>--</v>
      </c>
      <c r="AF1798" s="29" t="str">
        <f t="shared" si="463"/>
        <v xml:space="preserve">  - 0 - </v>
      </c>
    </row>
    <row r="1799" spans="8:32" x14ac:dyDescent="0.2">
      <c r="H1799" s="29" t="str">
        <f t="shared" si="460"/>
        <v xml:space="preserve"> </v>
      </c>
      <c r="L1799" s="29">
        <f t="shared" si="461"/>
        <v>0</v>
      </c>
      <c r="Q1799" s="38"/>
      <c r="R1799" s="32">
        <f t="shared" si="458"/>
        <v>0</v>
      </c>
      <c r="S1799" s="32"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32">
        <f t="shared" si="459"/>
        <v>1900</v>
      </c>
      <c r="U1799" s="29"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3"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9"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9">
        <v>1826</v>
      </c>
      <c r="Y1799" s="29" t="str">
        <f t="shared" si="464"/>
        <v>[' ', '', '', '--', '00 gennaio 1900', '00/01/1900', '1900/01/00'],</v>
      </c>
      <c r="Z1799" s="29" t="str">
        <f t="shared" si="465"/>
        <v xml:space="preserve"> () |  </v>
      </c>
      <c r="AA1799" s="29" t="str">
        <f t="shared" si="466"/>
        <v xml:space="preserve"> </v>
      </c>
      <c r="AB1799" s="29" t="str">
        <f t="shared" si="467"/>
        <v xml:space="preserve"> </v>
      </c>
      <c r="AC1799" s="29" t="str">
        <f t="shared" si="468"/>
        <v xml:space="preserve"> , 0 , 00 gennaio 1900</v>
      </c>
      <c r="AD1799" s="29" t="str">
        <f t="shared" si="469"/>
        <v>1900-01-00T08:00:00.000+02:00</v>
      </c>
      <c r="AE1799" s="29" t="str">
        <f t="shared" si="462"/>
        <v>--</v>
      </c>
      <c r="AF1799" s="29" t="str">
        <f t="shared" si="463"/>
        <v xml:space="preserve">  - 0 - </v>
      </c>
    </row>
    <row r="1800" spans="8:32" x14ac:dyDescent="0.2">
      <c r="H1800" s="29" t="str">
        <f t="shared" si="460"/>
        <v xml:space="preserve"> </v>
      </c>
      <c r="L1800" s="29">
        <f t="shared" si="461"/>
        <v>0</v>
      </c>
      <c r="Q1800" s="38"/>
      <c r="R1800" s="32">
        <f t="shared" si="458"/>
        <v>0</v>
      </c>
      <c r="S1800" s="32"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32">
        <f t="shared" si="459"/>
        <v>1900</v>
      </c>
      <c r="U1800" s="29"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3"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9"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9">
        <v>1827</v>
      </c>
      <c r="Y1800" s="29" t="str">
        <f t="shared" si="464"/>
        <v>[' ', '', '', '--', '00 gennaio 1900', '00/01/1900', '1900/01/00'],</v>
      </c>
      <c r="Z1800" s="29" t="str">
        <f t="shared" si="465"/>
        <v xml:space="preserve"> () |  </v>
      </c>
      <c r="AA1800" s="29" t="str">
        <f t="shared" si="466"/>
        <v xml:space="preserve"> </v>
      </c>
      <c r="AB1800" s="29" t="str">
        <f t="shared" si="467"/>
        <v xml:space="preserve"> </v>
      </c>
      <c r="AC1800" s="29" t="str">
        <f t="shared" si="468"/>
        <v xml:space="preserve"> , 0 , 00 gennaio 1900</v>
      </c>
      <c r="AD1800" s="29" t="str">
        <f t="shared" si="469"/>
        <v>1900-01-00T08:00:00.000+02:00</v>
      </c>
      <c r="AE1800" s="29" t="str">
        <f t="shared" si="462"/>
        <v>--</v>
      </c>
      <c r="AF1800" s="29" t="str">
        <f t="shared" si="463"/>
        <v xml:space="preserve">  - 0 - </v>
      </c>
    </row>
    <row r="1801" spans="8:32" x14ac:dyDescent="0.2">
      <c r="H1801" s="29" t="str">
        <f t="shared" si="460"/>
        <v xml:space="preserve"> </v>
      </c>
      <c r="L1801" s="29">
        <f t="shared" si="461"/>
        <v>0</v>
      </c>
      <c r="Q1801" s="38"/>
      <c r="R1801" s="32">
        <f t="shared" si="458"/>
        <v>0</v>
      </c>
      <c r="S1801" s="32"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32">
        <f t="shared" si="459"/>
        <v>1900</v>
      </c>
      <c r="U1801" s="29"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3"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9"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9">
        <v>1828</v>
      </c>
      <c r="Y1801" s="29" t="str">
        <f t="shared" si="464"/>
        <v>[' ', '', '', '--', '00 gennaio 1900', '00/01/1900', '1900/01/00'],</v>
      </c>
      <c r="Z1801" s="29" t="str">
        <f t="shared" si="465"/>
        <v xml:space="preserve"> () |  </v>
      </c>
      <c r="AA1801" s="29" t="str">
        <f t="shared" si="466"/>
        <v xml:space="preserve"> </v>
      </c>
      <c r="AB1801" s="29" t="str">
        <f t="shared" si="467"/>
        <v xml:space="preserve"> </v>
      </c>
      <c r="AC1801" s="29" t="str">
        <f t="shared" si="468"/>
        <v xml:space="preserve"> , 0 , 00 gennaio 1900</v>
      </c>
      <c r="AD1801" s="29" t="str">
        <f t="shared" si="469"/>
        <v>1900-01-00T08:00:00.000+02:00</v>
      </c>
      <c r="AE1801" s="29" t="str">
        <f t="shared" si="462"/>
        <v>--</v>
      </c>
      <c r="AF1801" s="29" t="str">
        <f t="shared" si="463"/>
        <v xml:space="preserve">  - 0 - </v>
      </c>
    </row>
    <row r="1802" spans="8:32" x14ac:dyDescent="0.2">
      <c r="H1802" s="29" t="str">
        <f t="shared" si="460"/>
        <v xml:space="preserve"> </v>
      </c>
      <c r="L1802" s="29">
        <f t="shared" si="461"/>
        <v>0</v>
      </c>
      <c r="Q1802" s="38"/>
      <c r="R1802" s="32">
        <f t="shared" si="458"/>
        <v>0</v>
      </c>
      <c r="S1802" s="32"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32">
        <f t="shared" si="459"/>
        <v>1900</v>
      </c>
      <c r="U1802" s="29"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3"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9"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9">
        <v>1829</v>
      </c>
      <c r="Y1802" s="29" t="str">
        <f t="shared" si="464"/>
        <v>[' ', '', '', '--', '00 gennaio 1900', '00/01/1900', '1900/01/00'],</v>
      </c>
      <c r="Z1802" s="29" t="str">
        <f t="shared" si="465"/>
        <v xml:space="preserve"> () |  </v>
      </c>
      <c r="AA1802" s="29" t="str">
        <f t="shared" si="466"/>
        <v xml:space="preserve"> </v>
      </c>
      <c r="AB1802" s="29" t="str">
        <f t="shared" si="467"/>
        <v xml:space="preserve"> </v>
      </c>
      <c r="AC1802" s="29" t="str">
        <f t="shared" si="468"/>
        <v xml:space="preserve"> , 0 , 00 gennaio 1900</v>
      </c>
      <c r="AD1802" s="29" t="str">
        <f t="shared" si="469"/>
        <v>1900-01-00T08:00:00.000+02:00</v>
      </c>
      <c r="AE1802" s="29" t="str">
        <f t="shared" si="462"/>
        <v>--</v>
      </c>
      <c r="AF1802" s="29" t="str">
        <f t="shared" si="463"/>
        <v xml:space="preserve">  - 0 - </v>
      </c>
    </row>
    <row r="1803" spans="8:32" x14ac:dyDescent="0.2">
      <c r="H1803" s="29" t="str">
        <f t="shared" si="460"/>
        <v xml:space="preserve"> </v>
      </c>
      <c r="L1803" s="29">
        <f t="shared" si="461"/>
        <v>0</v>
      </c>
      <c r="Q1803" s="38"/>
      <c r="R1803" s="32">
        <f t="shared" si="458"/>
        <v>0</v>
      </c>
      <c r="S1803" s="32"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32">
        <f t="shared" si="459"/>
        <v>1900</v>
      </c>
      <c r="U1803" s="29"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3"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9"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9">
        <v>1830</v>
      </c>
      <c r="Y1803" s="29" t="str">
        <f t="shared" si="464"/>
        <v>[' ', '', '', '--', '00 gennaio 1900', '00/01/1900', '1900/01/00'],</v>
      </c>
      <c r="Z1803" s="29" t="str">
        <f t="shared" si="465"/>
        <v xml:space="preserve"> () |  </v>
      </c>
      <c r="AA1803" s="29" t="str">
        <f t="shared" si="466"/>
        <v xml:space="preserve"> </v>
      </c>
      <c r="AB1803" s="29" t="str">
        <f t="shared" si="467"/>
        <v xml:space="preserve"> </v>
      </c>
      <c r="AC1803" s="29" t="str">
        <f t="shared" si="468"/>
        <v xml:space="preserve"> , 0 , 00 gennaio 1900</v>
      </c>
      <c r="AD1803" s="29" t="str">
        <f t="shared" si="469"/>
        <v>1900-01-00T08:00:00.000+02:00</v>
      </c>
      <c r="AE1803" s="29" t="str">
        <f t="shared" si="462"/>
        <v>--</v>
      </c>
      <c r="AF1803" s="29" t="str">
        <f t="shared" si="463"/>
        <v xml:space="preserve">  - 0 - </v>
      </c>
    </row>
    <row r="1804" spans="8:32" x14ac:dyDescent="0.2">
      <c r="H1804" s="29" t="str">
        <f t="shared" si="460"/>
        <v xml:space="preserve"> </v>
      </c>
      <c r="L1804" s="29">
        <f t="shared" si="461"/>
        <v>0</v>
      </c>
      <c r="Q1804" s="38"/>
      <c r="R1804" s="32">
        <f t="shared" si="458"/>
        <v>0</v>
      </c>
      <c r="S1804" s="32"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32">
        <f t="shared" si="459"/>
        <v>1900</v>
      </c>
      <c r="U1804" s="29"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3"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9"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9">
        <v>1831</v>
      </c>
      <c r="Y1804" s="29" t="str">
        <f t="shared" si="464"/>
        <v>[' ', '', '', '--', '00 gennaio 1900', '00/01/1900', '1900/01/00'],</v>
      </c>
      <c r="Z1804" s="29" t="str">
        <f t="shared" si="465"/>
        <v xml:space="preserve"> () |  </v>
      </c>
      <c r="AA1804" s="29" t="str">
        <f t="shared" si="466"/>
        <v xml:space="preserve"> </v>
      </c>
      <c r="AB1804" s="29" t="str">
        <f t="shared" si="467"/>
        <v xml:space="preserve"> </v>
      </c>
      <c r="AC1804" s="29" t="str">
        <f t="shared" si="468"/>
        <v xml:space="preserve"> , 0 , 00 gennaio 1900</v>
      </c>
      <c r="AD1804" s="29" t="str">
        <f t="shared" si="469"/>
        <v>1900-01-00T08:00:00.000+02:00</v>
      </c>
      <c r="AE1804" s="29" t="str">
        <f t="shared" si="462"/>
        <v>--</v>
      </c>
      <c r="AF1804" s="29" t="str">
        <f t="shared" si="463"/>
        <v xml:space="preserve">  - 0 - </v>
      </c>
    </row>
    <row r="1805" spans="8:32" x14ac:dyDescent="0.2">
      <c r="H1805" s="29" t="str">
        <f t="shared" si="460"/>
        <v xml:space="preserve"> </v>
      </c>
      <c r="L1805" s="29">
        <f t="shared" si="461"/>
        <v>0</v>
      </c>
      <c r="Q1805" s="38"/>
      <c r="R1805" s="32">
        <f t="shared" si="458"/>
        <v>0</v>
      </c>
      <c r="S1805" s="32"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32">
        <f t="shared" si="459"/>
        <v>1900</v>
      </c>
      <c r="U1805" s="29"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3"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9"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9">
        <v>1832</v>
      </c>
      <c r="Y1805" s="29" t="str">
        <f t="shared" si="464"/>
        <v>[' ', '', '', '--', '00 gennaio 1900', '00/01/1900', '1900/01/00'],</v>
      </c>
      <c r="Z1805" s="29" t="str">
        <f t="shared" si="465"/>
        <v xml:space="preserve"> () |  </v>
      </c>
      <c r="AA1805" s="29" t="str">
        <f t="shared" si="466"/>
        <v xml:space="preserve"> </v>
      </c>
      <c r="AB1805" s="29" t="str">
        <f t="shared" si="467"/>
        <v xml:space="preserve"> </v>
      </c>
      <c r="AC1805" s="29" t="str">
        <f t="shared" si="468"/>
        <v xml:space="preserve"> , 0 , 00 gennaio 1900</v>
      </c>
      <c r="AD1805" s="29" t="str">
        <f t="shared" si="469"/>
        <v>1900-01-00T08:00:00.000+02:00</v>
      </c>
      <c r="AE1805" s="29" t="str">
        <f t="shared" si="462"/>
        <v>--</v>
      </c>
      <c r="AF1805" s="29" t="str">
        <f t="shared" si="463"/>
        <v xml:space="preserve">  - 0 - </v>
      </c>
    </row>
    <row r="1806" spans="8:32" x14ac:dyDescent="0.2">
      <c r="H1806" s="29" t="str">
        <f t="shared" si="460"/>
        <v xml:space="preserve"> </v>
      </c>
      <c r="L1806" s="29">
        <f t="shared" si="461"/>
        <v>0</v>
      </c>
      <c r="Q1806" s="38"/>
      <c r="R1806" s="32">
        <f t="shared" si="458"/>
        <v>0</v>
      </c>
      <c r="S1806" s="32"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32">
        <f t="shared" si="459"/>
        <v>1900</v>
      </c>
      <c r="U1806" s="29"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3"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9"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9">
        <v>1833</v>
      </c>
      <c r="Y1806" s="29" t="str">
        <f t="shared" si="464"/>
        <v>[' ', '', '', '--', '00 gennaio 1900', '00/01/1900', '1900/01/00'],</v>
      </c>
      <c r="Z1806" s="29" t="str">
        <f t="shared" si="465"/>
        <v xml:space="preserve"> () |  </v>
      </c>
      <c r="AA1806" s="29" t="str">
        <f t="shared" si="466"/>
        <v xml:space="preserve"> </v>
      </c>
      <c r="AB1806" s="29" t="str">
        <f t="shared" si="467"/>
        <v xml:space="preserve"> </v>
      </c>
      <c r="AC1806" s="29" t="str">
        <f t="shared" si="468"/>
        <v xml:space="preserve"> , 0 , 00 gennaio 1900</v>
      </c>
      <c r="AD1806" s="29" t="str">
        <f t="shared" si="469"/>
        <v>1900-01-00T08:00:00.000+02:00</v>
      </c>
      <c r="AE1806" s="29" t="str">
        <f t="shared" si="462"/>
        <v>--</v>
      </c>
      <c r="AF1806" s="29" t="str">
        <f t="shared" si="463"/>
        <v xml:space="preserve">  - 0 - </v>
      </c>
    </row>
    <row r="1807" spans="8:32" x14ac:dyDescent="0.2">
      <c r="H1807" s="29" t="str">
        <f t="shared" si="460"/>
        <v xml:space="preserve"> </v>
      </c>
      <c r="L1807" s="29">
        <f t="shared" si="461"/>
        <v>0</v>
      </c>
      <c r="Q1807" s="38"/>
      <c r="R1807" s="32">
        <f t="shared" si="458"/>
        <v>0</v>
      </c>
      <c r="S1807" s="32"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32">
        <f t="shared" si="459"/>
        <v>1900</v>
      </c>
      <c r="U1807" s="29"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3"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9"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9">
        <v>1834</v>
      </c>
      <c r="Y1807" s="29" t="str">
        <f t="shared" si="464"/>
        <v>[' ', '', '', '--', '00 gennaio 1900', '00/01/1900', '1900/01/00'],</v>
      </c>
      <c r="Z1807" s="29" t="str">
        <f t="shared" si="465"/>
        <v xml:space="preserve"> () |  </v>
      </c>
      <c r="AA1807" s="29" t="str">
        <f t="shared" si="466"/>
        <v xml:space="preserve"> </v>
      </c>
      <c r="AB1807" s="29" t="str">
        <f t="shared" si="467"/>
        <v xml:space="preserve"> </v>
      </c>
      <c r="AC1807" s="29" t="str">
        <f t="shared" si="468"/>
        <v xml:space="preserve"> , 0 , 00 gennaio 1900</v>
      </c>
      <c r="AD1807" s="29" t="str">
        <f t="shared" si="469"/>
        <v>1900-01-00T08:00:00.000+02:00</v>
      </c>
      <c r="AE1807" s="29" t="str">
        <f t="shared" si="462"/>
        <v>--</v>
      </c>
      <c r="AF1807" s="29" t="str">
        <f t="shared" si="463"/>
        <v xml:space="preserve">  - 0 - </v>
      </c>
    </row>
    <row r="1808" spans="8:32" x14ac:dyDescent="0.2">
      <c r="H1808" s="29" t="str">
        <f t="shared" si="460"/>
        <v xml:space="preserve"> </v>
      </c>
      <c r="L1808" s="29">
        <f t="shared" si="461"/>
        <v>0</v>
      </c>
      <c r="Q1808" s="38"/>
      <c r="R1808" s="32">
        <f t="shared" si="458"/>
        <v>0</v>
      </c>
      <c r="S1808" s="32"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32">
        <f t="shared" si="459"/>
        <v>1900</v>
      </c>
      <c r="U1808" s="29"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3"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9"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9">
        <v>1835</v>
      </c>
      <c r="Y1808" s="29" t="str">
        <f t="shared" si="464"/>
        <v>[' ', '', '', '--', '00 gennaio 1900', '00/01/1900', '1900/01/00'],</v>
      </c>
      <c r="Z1808" s="29" t="str">
        <f t="shared" si="465"/>
        <v xml:space="preserve"> () |  </v>
      </c>
      <c r="AA1808" s="29" t="str">
        <f t="shared" si="466"/>
        <v xml:space="preserve"> </v>
      </c>
      <c r="AB1808" s="29" t="str">
        <f t="shared" si="467"/>
        <v xml:space="preserve"> </v>
      </c>
      <c r="AC1808" s="29" t="str">
        <f t="shared" si="468"/>
        <v xml:space="preserve"> , 0 , 00 gennaio 1900</v>
      </c>
      <c r="AD1808" s="29" t="str">
        <f t="shared" si="469"/>
        <v>1900-01-00T08:00:00.000+02:00</v>
      </c>
      <c r="AE1808" s="29" t="str">
        <f t="shared" si="462"/>
        <v>--</v>
      </c>
      <c r="AF1808" s="29" t="str">
        <f t="shared" si="463"/>
        <v xml:space="preserve">  - 0 - </v>
      </c>
    </row>
    <row r="1809" spans="8:32" x14ac:dyDescent="0.2">
      <c r="H1809" s="29" t="str">
        <f t="shared" si="460"/>
        <v xml:space="preserve"> </v>
      </c>
      <c r="L1809" s="29">
        <f t="shared" si="461"/>
        <v>0</v>
      </c>
      <c r="Q1809" s="38"/>
      <c r="R1809" s="32">
        <f t="shared" si="458"/>
        <v>0</v>
      </c>
      <c r="S1809" s="32"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32">
        <f t="shared" si="459"/>
        <v>1900</v>
      </c>
      <c r="U1809" s="29"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3"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9"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9">
        <v>1836</v>
      </c>
      <c r="Y1809" s="29" t="str">
        <f t="shared" si="464"/>
        <v>[' ', '', '', '--', '00 gennaio 1900', '00/01/1900', '1900/01/00'],</v>
      </c>
      <c r="Z1809" s="29" t="str">
        <f t="shared" si="465"/>
        <v xml:space="preserve"> () |  </v>
      </c>
      <c r="AA1809" s="29" t="str">
        <f t="shared" si="466"/>
        <v xml:space="preserve"> </v>
      </c>
      <c r="AB1809" s="29" t="str">
        <f t="shared" si="467"/>
        <v xml:space="preserve"> </v>
      </c>
      <c r="AC1809" s="29" t="str">
        <f t="shared" si="468"/>
        <v xml:space="preserve"> , 0 , 00 gennaio 1900</v>
      </c>
      <c r="AD1809" s="29" t="str">
        <f t="shared" si="469"/>
        <v>1900-01-00T08:00:00.000+02:00</v>
      </c>
      <c r="AE1809" s="29" t="str">
        <f t="shared" si="462"/>
        <v>--</v>
      </c>
      <c r="AF1809" s="29" t="str">
        <f t="shared" si="463"/>
        <v xml:space="preserve">  - 0 - </v>
      </c>
    </row>
    <row r="1810" spans="8:32" x14ac:dyDescent="0.2">
      <c r="H1810" s="29" t="str">
        <f t="shared" si="460"/>
        <v xml:space="preserve"> </v>
      </c>
      <c r="L1810" s="29">
        <f t="shared" si="461"/>
        <v>0</v>
      </c>
      <c r="Q1810" s="38"/>
      <c r="R1810" s="32">
        <f t="shared" ref="R1810:R1873" si="470">IF(ISERROR(DAY(Q1810)),TEXT((LEFT(Q1810,2)),"00"),DAY(Q1810))</f>
        <v>0</v>
      </c>
      <c r="S1810" s="32"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32">
        <f t="shared" ref="T1810:T1873" si="471">IF(ISERROR(DAY(Q1810)),VALUE(RIGHT(Q1810,4)),YEAR(Q1810))</f>
        <v>1900</v>
      </c>
      <c r="U1810" s="29"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3"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9"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9">
        <v>1837</v>
      </c>
      <c r="Y1810" s="29" t="str">
        <f t="shared" si="464"/>
        <v>[' ', '', '', '--', '00 gennaio 1900', '00/01/1900', '1900/01/00'],</v>
      </c>
      <c r="Z1810" s="29" t="str">
        <f t="shared" si="465"/>
        <v xml:space="preserve"> () |  </v>
      </c>
      <c r="AA1810" s="29" t="str">
        <f t="shared" si="466"/>
        <v xml:space="preserve"> </v>
      </c>
      <c r="AB1810" s="29" t="str">
        <f t="shared" si="467"/>
        <v xml:space="preserve"> </v>
      </c>
      <c r="AC1810" s="29" t="str">
        <f t="shared" si="468"/>
        <v xml:space="preserve"> , 0 , 00 gennaio 1900</v>
      </c>
      <c r="AD1810" s="29" t="str">
        <f t="shared" si="469"/>
        <v>1900-01-00T08:00:00.000+02:00</v>
      </c>
      <c r="AE1810" s="29" t="str">
        <f t="shared" si="462"/>
        <v>--</v>
      </c>
      <c r="AF1810" s="29" t="str">
        <f t="shared" si="463"/>
        <v xml:space="preserve">  - 0 - </v>
      </c>
    </row>
    <row r="1811" spans="8:32" x14ac:dyDescent="0.2">
      <c r="H1811" s="29" t="str">
        <f t="shared" si="460"/>
        <v xml:space="preserve"> </v>
      </c>
      <c r="L1811" s="29">
        <f t="shared" si="461"/>
        <v>0</v>
      </c>
      <c r="Q1811" s="38"/>
      <c r="R1811" s="32">
        <f t="shared" si="470"/>
        <v>0</v>
      </c>
      <c r="S1811" s="32"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32">
        <f t="shared" si="471"/>
        <v>1900</v>
      </c>
      <c r="U1811" s="29"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3"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9"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9">
        <v>1838</v>
      </c>
      <c r="Y1811" s="29" t="str">
        <f t="shared" si="464"/>
        <v>[' ', '', '', '--', '00 gennaio 1900', '00/01/1900', '1900/01/00'],</v>
      </c>
      <c r="Z1811" s="29" t="str">
        <f t="shared" si="465"/>
        <v xml:space="preserve"> () |  </v>
      </c>
      <c r="AA1811" s="29" t="str">
        <f t="shared" si="466"/>
        <v xml:space="preserve"> </v>
      </c>
      <c r="AB1811" s="29" t="str">
        <f t="shared" si="467"/>
        <v xml:space="preserve"> </v>
      </c>
      <c r="AC1811" s="29" t="str">
        <f t="shared" si="468"/>
        <v xml:space="preserve"> , 0 , 00 gennaio 1900</v>
      </c>
      <c r="AD1811" s="29" t="str">
        <f t="shared" si="469"/>
        <v>1900-01-00T08:00:00.000+02:00</v>
      </c>
      <c r="AE1811" s="29" t="str">
        <f t="shared" si="462"/>
        <v>--</v>
      </c>
      <c r="AF1811" s="29" t="str">
        <f t="shared" si="463"/>
        <v xml:space="preserve">  - 0 - </v>
      </c>
    </row>
    <row r="1812" spans="8:32" x14ac:dyDescent="0.2">
      <c r="H1812" s="29" t="str">
        <f t="shared" si="460"/>
        <v xml:space="preserve"> </v>
      </c>
      <c r="L1812" s="29">
        <f t="shared" si="461"/>
        <v>0</v>
      </c>
      <c r="Q1812" s="38"/>
      <c r="R1812" s="32">
        <f t="shared" si="470"/>
        <v>0</v>
      </c>
      <c r="S1812" s="32"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32">
        <f t="shared" si="471"/>
        <v>1900</v>
      </c>
      <c r="U1812" s="29"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3"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9"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9">
        <v>1839</v>
      </c>
      <c r="Y1812" s="29" t="str">
        <f t="shared" si="464"/>
        <v>[' ', '', '', '--', '00 gennaio 1900', '00/01/1900', '1900/01/00'],</v>
      </c>
      <c r="Z1812" s="29" t="str">
        <f t="shared" si="465"/>
        <v xml:space="preserve"> () |  </v>
      </c>
      <c r="AA1812" s="29" t="str">
        <f t="shared" si="466"/>
        <v xml:space="preserve"> </v>
      </c>
      <c r="AB1812" s="29" t="str">
        <f t="shared" si="467"/>
        <v xml:space="preserve"> </v>
      </c>
      <c r="AC1812" s="29" t="str">
        <f t="shared" si="468"/>
        <v xml:space="preserve"> , 0 , 00 gennaio 1900</v>
      </c>
      <c r="AD1812" s="29" t="str">
        <f t="shared" si="469"/>
        <v>1900-01-00T08:00:00.000+02:00</v>
      </c>
      <c r="AE1812" s="29" t="str">
        <f t="shared" si="462"/>
        <v>--</v>
      </c>
      <c r="AF1812" s="29" t="str">
        <f t="shared" si="463"/>
        <v xml:space="preserve">  - 0 - </v>
      </c>
    </row>
    <row r="1813" spans="8:32" x14ac:dyDescent="0.2">
      <c r="H1813" s="29" t="str">
        <f t="shared" si="460"/>
        <v xml:space="preserve"> </v>
      </c>
      <c r="L1813" s="29">
        <f t="shared" si="461"/>
        <v>0</v>
      </c>
      <c r="Q1813" s="38"/>
      <c r="R1813" s="32">
        <f t="shared" si="470"/>
        <v>0</v>
      </c>
      <c r="S1813" s="32"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32">
        <f t="shared" si="471"/>
        <v>1900</v>
      </c>
      <c r="U1813" s="29"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3"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9"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9">
        <v>1840</v>
      </c>
      <c r="Y1813" s="29" t="str">
        <f t="shared" si="464"/>
        <v>[' ', '', '', '--', '00 gennaio 1900', '00/01/1900', '1900/01/00'],</v>
      </c>
      <c r="Z1813" s="29" t="str">
        <f t="shared" si="465"/>
        <v xml:space="preserve"> () |  </v>
      </c>
      <c r="AA1813" s="29" t="str">
        <f t="shared" si="466"/>
        <v xml:space="preserve"> </v>
      </c>
      <c r="AB1813" s="29" t="str">
        <f t="shared" si="467"/>
        <v xml:space="preserve"> </v>
      </c>
      <c r="AC1813" s="29" t="str">
        <f t="shared" si="468"/>
        <v xml:space="preserve"> , 0 , 00 gennaio 1900</v>
      </c>
      <c r="AD1813" s="29" t="str">
        <f t="shared" si="469"/>
        <v>1900-01-00T08:00:00.000+02:00</v>
      </c>
      <c r="AE1813" s="29" t="str">
        <f t="shared" si="462"/>
        <v>--</v>
      </c>
      <c r="AF1813" s="29" t="str">
        <f t="shared" si="463"/>
        <v xml:space="preserve">  - 0 - </v>
      </c>
    </row>
    <row r="1814" spans="8:32" x14ac:dyDescent="0.2">
      <c r="H1814" s="29" t="str">
        <f t="shared" si="460"/>
        <v xml:space="preserve"> </v>
      </c>
      <c r="L1814" s="29">
        <f t="shared" si="461"/>
        <v>0</v>
      </c>
      <c r="Q1814" s="38"/>
      <c r="R1814" s="32">
        <f t="shared" si="470"/>
        <v>0</v>
      </c>
      <c r="S1814" s="32"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32">
        <f t="shared" si="471"/>
        <v>1900</v>
      </c>
      <c r="U1814" s="29"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3"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9"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9">
        <v>1841</v>
      </c>
      <c r="Y1814" s="29" t="str">
        <f t="shared" si="464"/>
        <v>[' ', '', '', '--', '00 gennaio 1900', '00/01/1900', '1900/01/00'],</v>
      </c>
      <c r="Z1814" s="29" t="str">
        <f t="shared" si="465"/>
        <v xml:space="preserve"> () |  </v>
      </c>
      <c r="AA1814" s="29" t="str">
        <f t="shared" si="466"/>
        <v xml:space="preserve"> </v>
      </c>
      <c r="AB1814" s="29" t="str">
        <f t="shared" si="467"/>
        <v xml:space="preserve"> </v>
      </c>
      <c r="AC1814" s="29" t="str">
        <f t="shared" si="468"/>
        <v xml:space="preserve"> , 0 , 00 gennaio 1900</v>
      </c>
      <c r="AD1814" s="29" t="str">
        <f t="shared" si="469"/>
        <v>1900-01-00T08:00:00.000+02:00</v>
      </c>
      <c r="AE1814" s="29" t="str">
        <f t="shared" si="462"/>
        <v>--</v>
      </c>
      <c r="AF1814" s="29" t="str">
        <f t="shared" si="463"/>
        <v xml:space="preserve">  - 0 - </v>
      </c>
    </row>
    <row r="1815" spans="8:32" x14ac:dyDescent="0.2">
      <c r="H1815" s="29" t="str">
        <f t="shared" si="460"/>
        <v xml:space="preserve"> </v>
      </c>
      <c r="L1815" s="29">
        <f t="shared" si="461"/>
        <v>0</v>
      </c>
      <c r="Q1815" s="38"/>
      <c r="R1815" s="32">
        <f t="shared" si="470"/>
        <v>0</v>
      </c>
      <c r="S1815" s="32"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32">
        <f t="shared" si="471"/>
        <v>1900</v>
      </c>
      <c r="U1815" s="29"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3"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9"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9">
        <v>1842</v>
      </c>
      <c r="Y1815" s="29" t="str">
        <f t="shared" si="464"/>
        <v>[' ', '', '', '--', '00 gennaio 1900', '00/01/1900', '1900/01/00'],</v>
      </c>
      <c r="Z1815" s="29" t="str">
        <f t="shared" si="465"/>
        <v xml:space="preserve"> () |  </v>
      </c>
      <c r="AA1815" s="29" t="str">
        <f t="shared" si="466"/>
        <v xml:space="preserve"> </v>
      </c>
      <c r="AB1815" s="29" t="str">
        <f t="shared" si="467"/>
        <v xml:space="preserve"> </v>
      </c>
      <c r="AC1815" s="29" t="str">
        <f t="shared" si="468"/>
        <v xml:space="preserve"> , 0 , 00 gennaio 1900</v>
      </c>
      <c r="AD1815" s="29" t="str">
        <f t="shared" si="469"/>
        <v>1900-01-00T08:00:00.000+02:00</v>
      </c>
      <c r="AE1815" s="29" t="str">
        <f t="shared" si="462"/>
        <v>--</v>
      </c>
      <c r="AF1815" s="29" t="str">
        <f t="shared" si="463"/>
        <v xml:space="preserve">  - 0 - </v>
      </c>
    </row>
    <row r="1816" spans="8:32" x14ac:dyDescent="0.2">
      <c r="H1816" s="29" t="str">
        <f t="shared" si="460"/>
        <v xml:space="preserve"> </v>
      </c>
      <c r="L1816" s="29">
        <f t="shared" si="461"/>
        <v>0</v>
      </c>
      <c r="Q1816" s="38"/>
      <c r="R1816" s="32">
        <f t="shared" si="470"/>
        <v>0</v>
      </c>
      <c r="S1816" s="32"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32">
        <f t="shared" si="471"/>
        <v>1900</v>
      </c>
      <c r="U1816" s="29"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3"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9"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9">
        <v>1843</v>
      </c>
      <c r="Y1816" s="29" t="str">
        <f t="shared" si="464"/>
        <v>[' ', '', '', '--', '00 gennaio 1900', '00/01/1900', '1900/01/00'],</v>
      </c>
      <c r="Z1816" s="29" t="str">
        <f t="shared" si="465"/>
        <v xml:space="preserve"> () |  </v>
      </c>
      <c r="AA1816" s="29" t="str">
        <f t="shared" si="466"/>
        <v xml:space="preserve"> </v>
      </c>
      <c r="AB1816" s="29" t="str">
        <f t="shared" si="467"/>
        <v xml:space="preserve"> </v>
      </c>
      <c r="AC1816" s="29" t="str">
        <f t="shared" si="468"/>
        <v xml:space="preserve"> , 0 , 00 gennaio 1900</v>
      </c>
      <c r="AD1816" s="29" t="str">
        <f t="shared" si="469"/>
        <v>1900-01-00T08:00:00.000+02:00</v>
      </c>
      <c r="AE1816" s="29" t="str">
        <f t="shared" si="462"/>
        <v>--</v>
      </c>
      <c r="AF1816" s="29" t="str">
        <f t="shared" si="463"/>
        <v xml:space="preserve">  - 0 - </v>
      </c>
    </row>
    <row r="1817" spans="8:32" x14ac:dyDescent="0.2">
      <c r="H1817" s="29" t="str">
        <f t="shared" si="460"/>
        <v xml:space="preserve"> </v>
      </c>
      <c r="L1817" s="29">
        <f t="shared" si="461"/>
        <v>0</v>
      </c>
      <c r="Q1817" s="38"/>
      <c r="R1817" s="32">
        <f t="shared" si="470"/>
        <v>0</v>
      </c>
      <c r="S1817" s="32"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32">
        <f t="shared" si="471"/>
        <v>1900</v>
      </c>
      <c r="U1817" s="29"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3"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9"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9">
        <v>1844</v>
      </c>
      <c r="Y1817" s="29" t="str">
        <f t="shared" si="464"/>
        <v>[' ', '', '', '--', '00 gennaio 1900', '00/01/1900', '1900/01/00'],</v>
      </c>
      <c r="Z1817" s="29" t="str">
        <f t="shared" si="465"/>
        <v xml:space="preserve"> () |  </v>
      </c>
      <c r="AA1817" s="29" t="str">
        <f t="shared" si="466"/>
        <v xml:space="preserve"> </v>
      </c>
      <c r="AB1817" s="29" t="str">
        <f t="shared" si="467"/>
        <v xml:space="preserve"> </v>
      </c>
      <c r="AC1817" s="29" t="str">
        <f t="shared" si="468"/>
        <v xml:space="preserve"> , 0 , 00 gennaio 1900</v>
      </c>
      <c r="AD1817" s="29" t="str">
        <f t="shared" si="469"/>
        <v>1900-01-00T08:00:00.000+02:00</v>
      </c>
      <c r="AE1817" s="29" t="str">
        <f t="shared" si="462"/>
        <v>--</v>
      </c>
      <c r="AF1817" s="29" t="str">
        <f t="shared" si="463"/>
        <v xml:space="preserve">  - 0 - </v>
      </c>
    </row>
    <row r="1818" spans="8:32" x14ac:dyDescent="0.2">
      <c r="H1818" s="29" t="str">
        <f t="shared" si="460"/>
        <v xml:space="preserve"> </v>
      </c>
      <c r="L1818" s="29">
        <f t="shared" si="461"/>
        <v>0</v>
      </c>
      <c r="Q1818" s="38"/>
      <c r="R1818" s="32">
        <f t="shared" si="470"/>
        <v>0</v>
      </c>
      <c r="S1818" s="32"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32">
        <f t="shared" si="471"/>
        <v>1900</v>
      </c>
      <c r="U1818" s="29"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3"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9"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9">
        <v>1845</v>
      </c>
      <c r="Y1818" s="29" t="str">
        <f t="shared" si="464"/>
        <v>[' ', '', '', '--', '00 gennaio 1900', '00/01/1900', '1900/01/00'],</v>
      </c>
      <c r="Z1818" s="29" t="str">
        <f t="shared" si="465"/>
        <v xml:space="preserve"> () |  </v>
      </c>
      <c r="AA1818" s="29" t="str">
        <f t="shared" si="466"/>
        <v xml:space="preserve"> </v>
      </c>
      <c r="AB1818" s="29" t="str">
        <f t="shared" si="467"/>
        <v xml:space="preserve"> </v>
      </c>
      <c r="AC1818" s="29" t="str">
        <f t="shared" si="468"/>
        <v xml:space="preserve"> , 0 , 00 gennaio 1900</v>
      </c>
      <c r="AD1818" s="29" t="str">
        <f t="shared" si="469"/>
        <v>1900-01-00T08:00:00.000+02:00</v>
      </c>
      <c r="AE1818" s="29" t="str">
        <f t="shared" si="462"/>
        <v>--</v>
      </c>
      <c r="AF1818" s="29" t="str">
        <f t="shared" si="463"/>
        <v xml:space="preserve">  - 0 - </v>
      </c>
    </row>
    <row r="1819" spans="8:32" x14ac:dyDescent="0.2">
      <c r="H1819" s="29" t="str">
        <f t="shared" si="460"/>
        <v xml:space="preserve"> </v>
      </c>
      <c r="L1819" s="29">
        <f t="shared" si="461"/>
        <v>0</v>
      </c>
      <c r="Q1819" s="38"/>
      <c r="R1819" s="32">
        <f t="shared" si="470"/>
        <v>0</v>
      </c>
      <c r="S1819" s="32"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32">
        <f t="shared" si="471"/>
        <v>1900</v>
      </c>
      <c r="U1819" s="29"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3"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9"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9">
        <v>1846</v>
      </c>
      <c r="Y1819" s="29" t="str">
        <f t="shared" si="464"/>
        <v>[' ', '', '', '--', '00 gennaio 1900', '00/01/1900', '1900/01/00'],</v>
      </c>
      <c r="Z1819" s="29" t="str">
        <f t="shared" si="465"/>
        <v xml:space="preserve"> () |  </v>
      </c>
      <c r="AA1819" s="29" t="str">
        <f t="shared" si="466"/>
        <v xml:space="preserve"> </v>
      </c>
      <c r="AB1819" s="29" t="str">
        <f t="shared" si="467"/>
        <v xml:space="preserve"> </v>
      </c>
      <c r="AC1819" s="29" t="str">
        <f t="shared" si="468"/>
        <v xml:space="preserve"> , 0 , 00 gennaio 1900</v>
      </c>
      <c r="AD1819" s="29" t="str">
        <f t="shared" si="469"/>
        <v>1900-01-00T08:00:00.000+02:00</v>
      </c>
      <c r="AE1819" s="29" t="str">
        <f t="shared" si="462"/>
        <v>--</v>
      </c>
      <c r="AF1819" s="29" t="str">
        <f t="shared" si="463"/>
        <v xml:space="preserve">  - 0 - </v>
      </c>
    </row>
    <row r="1820" spans="8:32" x14ac:dyDescent="0.2">
      <c r="H1820" s="29" t="str">
        <f t="shared" si="460"/>
        <v xml:space="preserve"> </v>
      </c>
      <c r="L1820" s="29">
        <f t="shared" si="461"/>
        <v>0</v>
      </c>
      <c r="Q1820" s="38"/>
      <c r="R1820" s="32">
        <f t="shared" si="470"/>
        <v>0</v>
      </c>
      <c r="S1820" s="32"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32">
        <f t="shared" si="471"/>
        <v>1900</v>
      </c>
      <c r="U1820" s="29"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3"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9"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9">
        <v>1847</v>
      </c>
      <c r="Y1820" s="29" t="str">
        <f t="shared" si="464"/>
        <v>[' ', '', '', '--', '00 gennaio 1900', '00/01/1900', '1900/01/00'],</v>
      </c>
      <c r="Z1820" s="29" t="str">
        <f t="shared" si="465"/>
        <v xml:space="preserve"> () |  </v>
      </c>
      <c r="AA1820" s="29" t="str">
        <f t="shared" si="466"/>
        <v xml:space="preserve"> </v>
      </c>
      <c r="AB1820" s="29" t="str">
        <f t="shared" si="467"/>
        <v xml:space="preserve"> </v>
      </c>
      <c r="AC1820" s="29" t="str">
        <f t="shared" si="468"/>
        <v xml:space="preserve"> , 0 , 00 gennaio 1900</v>
      </c>
      <c r="AD1820" s="29" t="str">
        <f t="shared" si="469"/>
        <v>1900-01-00T08:00:00.000+02:00</v>
      </c>
      <c r="AE1820" s="29" t="str">
        <f t="shared" si="462"/>
        <v>--</v>
      </c>
      <c r="AF1820" s="29" t="str">
        <f t="shared" si="463"/>
        <v xml:space="preserve">  - 0 - </v>
      </c>
    </row>
    <row r="1821" spans="8:32" x14ac:dyDescent="0.2">
      <c r="H1821" s="29" t="str">
        <f t="shared" si="460"/>
        <v xml:space="preserve"> </v>
      </c>
      <c r="L1821" s="29">
        <f t="shared" si="461"/>
        <v>0</v>
      </c>
      <c r="Q1821" s="38"/>
      <c r="R1821" s="32">
        <f t="shared" si="470"/>
        <v>0</v>
      </c>
      <c r="S1821" s="32"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32">
        <f t="shared" si="471"/>
        <v>1900</v>
      </c>
      <c r="U1821" s="29"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3"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9"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9">
        <v>1848</v>
      </c>
      <c r="Y1821" s="29" t="str">
        <f t="shared" si="464"/>
        <v>[' ', '', '', '--', '00 gennaio 1900', '00/01/1900', '1900/01/00'],</v>
      </c>
      <c r="Z1821" s="29" t="str">
        <f t="shared" si="465"/>
        <v xml:space="preserve"> () |  </v>
      </c>
      <c r="AA1821" s="29" t="str">
        <f t="shared" si="466"/>
        <v xml:space="preserve"> </v>
      </c>
      <c r="AB1821" s="29" t="str">
        <f t="shared" si="467"/>
        <v xml:space="preserve"> </v>
      </c>
      <c r="AC1821" s="29" t="str">
        <f t="shared" si="468"/>
        <v xml:space="preserve"> , 0 , 00 gennaio 1900</v>
      </c>
      <c r="AD1821" s="29" t="str">
        <f t="shared" si="469"/>
        <v>1900-01-00T08:00:00.000+02:00</v>
      </c>
      <c r="AE1821" s="29" t="str">
        <f t="shared" si="462"/>
        <v>--</v>
      </c>
      <c r="AF1821" s="29" t="str">
        <f t="shared" si="463"/>
        <v xml:space="preserve">  - 0 - </v>
      </c>
    </row>
    <row r="1822" spans="8:32" x14ac:dyDescent="0.2">
      <c r="H1822" s="29" t="str">
        <f t="shared" si="460"/>
        <v xml:space="preserve"> </v>
      </c>
      <c r="L1822" s="29">
        <f t="shared" si="461"/>
        <v>0</v>
      </c>
      <c r="Q1822" s="38"/>
      <c r="R1822" s="32">
        <f t="shared" si="470"/>
        <v>0</v>
      </c>
      <c r="S1822" s="32"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32">
        <f t="shared" si="471"/>
        <v>1900</v>
      </c>
      <c r="U1822" s="29"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3"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9"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9">
        <v>1849</v>
      </c>
      <c r="Y1822" s="29" t="str">
        <f t="shared" si="464"/>
        <v>[' ', '', '', '--', '00 gennaio 1900', '00/01/1900', '1900/01/00'],</v>
      </c>
      <c r="Z1822" s="29" t="str">
        <f t="shared" si="465"/>
        <v xml:space="preserve"> () |  </v>
      </c>
      <c r="AA1822" s="29" t="str">
        <f t="shared" si="466"/>
        <v xml:space="preserve"> </v>
      </c>
      <c r="AB1822" s="29" t="str">
        <f t="shared" si="467"/>
        <v xml:space="preserve"> </v>
      </c>
      <c r="AC1822" s="29" t="str">
        <f t="shared" si="468"/>
        <v xml:space="preserve"> , 0 , 00 gennaio 1900</v>
      </c>
      <c r="AD1822" s="29" t="str">
        <f t="shared" si="469"/>
        <v>1900-01-00T08:00:00.000+02:00</v>
      </c>
      <c r="AE1822" s="29" t="str">
        <f t="shared" si="462"/>
        <v>--</v>
      </c>
      <c r="AF1822" s="29" t="str">
        <f t="shared" si="463"/>
        <v xml:space="preserve">  - 0 - </v>
      </c>
    </row>
    <row r="1823" spans="8:32" x14ac:dyDescent="0.2">
      <c r="H1823" s="29" t="str">
        <f t="shared" si="460"/>
        <v xml:space="preserve"> </v>
      </c>
      <c r="L1823" s="29">
        <f t="shared" si="461"/>
        <v>0</v>
      </c>
      <c r="Q1823" s="38"/>
      <c r="R1823" s="32">
        <f t="shared" si="470"/>
        <v>0</v>
      </c>
      <c r="S1823" s="32"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32">
        <f t="shared" si="471"/>
        <v>1900</v>
      </c>
      <c r="U1823" s="29"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3"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9"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9">
        <v>1850</v>
      </c>
      <c r="Y1823" s="29" t="str">
        <f t="shared" si="464"/>
        <v>[' ', '', '', '--', '00 gennaio 1900', '00/01/1900', '1900/01/00'],</v>
      </c>
      <c r="Z1823" s="29" t="str">
        <f t="shared" si="465"/>
        <v xml:space="preserve"> () |  </v>
      </c>
      <c r="AA1823" s="29" t="str">
        <f t="shared" si="466"/>
        <v xml:space="preserve"> </v>
      </c>
      <c r="AB1823" s="29" t="str">
        <f t="shared" si="467"/>
        <v xml:space="preserve"> </v>
      </c>
      <c r="AC1823" s="29" t="str">
        <f t="shared" si="468"/>
        <v xml:space="preserve"> , 0 , 00 gennaio 1900</v>
      </c>
      <c r="AD1823" s="29" t="str">
        <f t="shared" si="469"/>
        <v>1900-01-00T08:00:00.000+02:00</v>
      </c>
      <c r="AE1823" s="29" t="str">
        <f t="shared" si="462"/>
        <v>--</v>
      </c>
      <c r="AF1823" s="29" t="str">
        <f t="shared" si="463"/>
        <v xml:space="preserve">  - 0 - </v>
      </c>
    </row>
    <row r="1824" spans="8:32" x14ac:dyDescent="0.2">
      <c r="H1824" s="29" t="str">
        <f t="shared" ref="H1824:H1887" si="472">_xlfn.CONCAT(D1824 &amp; " " &amp; E1824)</f>
        <v xml:space="preserve"> </v>
      </c>
      <c r="L1824" s="29">
        <f t="shared" si="461"/>
        <v>0</v>
      </c>
      <c r="Q1824" s="38"/>
      <c r="R1824" s="32">
        <f t="shared" si="470"/>
        <v>0</v>
      </c>
      <c r="S1824" s="32"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32">
        <f t="shared" si="471"/>
        <v>1900</v>
      </c>
      <c r="U1824" s="29"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3"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9"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9">
        <v>1851</v>
      </c>
      <c r="Y1824" s="29" t="str">
        <f t="shared" si="464"/>
        <v>[' ', '', '', '--', '00 gennaio 1900', '00/01/1900', '1900/01/00'],</v>
      </c>
      <c r="Z1824" s="29" t="str">
        <f t="shared" si="465"/>
        <v xml:space="preserve"> () |  </v>
      </c>
      <c r="AA1824" s="29" t="str">
        <f t="shared" si="466"/>
        <v xml:space="preserve"> </v>
      </c>
      <c r="AB1824" s="29" t="str">
        <f t="shared" si="467"/>
        <v xml:space="preserve"> </v>
      </c>
      <c r="AC1824" s="29" t="str">
        <f t="shared" si="468"/>
        <v xml:space="preserve"> , 0 , 00 gennaio 1900</v>
      </c>
      <c r="AD1824" s="29" t="str">
        <f t="shared" si="469"/>
        <v>1900-01-00T08:00:00.000+02:00</v>
      </c>
      <c r="AE1824" s="29" t="str">
        <f t="shared" si="462"/>
        <v>--</v>
      </c>
      <c r="AF1824" s="29" t="str">
        <f t="shared" si="463"/>
        <v xml:space="preserve">  - 0 - </v>
      </c>
    </row>
    <row r="1825" spans="8:32" x14ac:dyDescent="0.2">
      <c r="H1825" s="29" t="str">
        <f t="shared" si="472"/>
        <v xml:space="preserve"> </v>
      </c>
      <c r="L1825" s="29">
        <f t="shared" si="461"/>
        <v>0</v>
      </c>
      <c r="Q1825" s="38"/>
      <c r="R1825" s="32">
        <f t="shared" si="470"/>
        <v>0</v>
      </c>
      <c r="S1825" s="32"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32">
        <f t="shared" si="471"/>
        <v>1900</v>
      </c>
      <c r="U1825" s="29"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3"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9"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9">
        <v>1852</v>
      </c>
      <c r="Y1825" s="29" t="str">
        <f t="shared" si="464"/>
        <v>[' ', '', '', '--', '00 gennaio 1900', '00/01/1900', '1900/01/00'],</v>
      </c>
      <c r="Z1825" s="29" t="str">
        <f t="shared" si="465"/>
        <v xml:space="preserve"> () |  </v>
      </c>
      <c r="AA1825" s="29" t="str">
        <f t="shared" si="466"/>
        <v xml:space="preserve"> </v>
      </c>
      <c r="AB1825" s="29" t="str">
        <f t="shared" si="467"/>
        <v xml:space="preserve"> </v>
      </c>
      <c r="AC1825" s="29" t="str">
        <f t="shared" si="468"/>
        <v xml:space="preserve"> , 0 , 00 gennaio 1900</v>
      </c>
      <c r="AD1825" s="29" t="str">
        <f t="shared" si="469"/>
        <v>1900-01-00T08:00:00.000+02:00</v>
      </c>
      <c r="AE1825" s="29" t="str">
        <f t="shared" si="462"/>
        <v>--</v>
      </c>
      <c r="AF1825" s="29" t="str">
        <f t="shared" si="463"/>
        <v xml:space="preserve">  - 0 - </v>
      </c>
    </row>
    <row r="1826" spans="8:32" x14ac:dyDescent="0.2">
      <c r="H1826" s="29" t="str">
        <f t="shared" si="472"/>
        <v xml:space="preserve"> </v>
      </c>
      <c r="L1826" s="29">
        <f t="shared" si="461"/>
        <v>0</v>
      </c>
      <c r="Q1826" s="38"/>
      <c r="R1826" s="32">
        <f t="shared" si="470"/>
        <v>0</v>
      </c>
      <c r="S1826" s="32"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32">
        <f t="shared" si="471"/>
        <v>1900</v>
      </c>
      <c r="U1826" s="29"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3"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9"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9">
        <v>1853</v>
      </c>
      <c r="Y1826" s="29" t="str">
        <f t="shared" si="464"/>
        <v>[' ', '', '', '--', '00 gennaio 1900', '00/01/1900', '1900/01/00'],</v>
      </c>
      <c r="Z1826" s="29" t="str">
        <f t="shared" si="465"/>
        <v xml:space="preserve"> () |  </v>
      </c>
      <c r="AA1826" s="29" t="str">
        <f t="shared" si="466"/>
        <v xml:space="preserve"> </v>
      </c>
      <c r="AB1826" s="29" t="str">
        <f t="shared" si="467"/>
        <v xml:space="preserve"> </v>
      </c>
      <c r="AC1826" s="29" t="str">
        <f t="shared" si="468"/>
        <v xml:space="preserve"> , 0 , 00 gennaio 1900</v>
      </c>
      <c r="AD1826" s="29" t="str">
        <f t="shared" si="469"/>
        <v>1900-01-00T08:00:00.000+02:00</v>
      </c>
      <c r="AE1826" s="29" t="str">
        <f t="shared" si="462"/>
        <v>--</v>
      </c>
      <c r="AF1826" s="29" t="str">
        <f t="shared" si="463"/>
        <v xml:space="preserve">  - 0 - </v>
      </c>
    </row>
    <row r="1827" spans="8:32" x14ac:dyDescent="0.2">
      <c r="H1827" s="29" t="str">
        <f t="shared" si="472"/>
        <v xml:space="preserve"> </v>
      </c>
      <c r="L1827" s="29">
        <f t="shared" si="461"/>
        <v>0</v>
      </c>
      <c r="Q1827" s="38"/>
      <c r="R1827" s="32">
        <f t="shared" si="470"/>
        <v>0</v>
      </c>
      <c r="S1827" s="32"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32">
        <f t="shared" si="471"/>
        <v>1900</v>
      </c>
      <c r="U1827" s="29"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3"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9"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9">
        <v>1854</v>
      </c>
      <c r="Y1827" s="29" t="str">
        <f t="shared" si="464"/>
        <v>[' ', '', '', '--', '00 gennaio 1900', '00/01/1900', '1900/01/00'],</v>
      </c>
      <c r="Z1827" s="29" t="str">
        <f t="shared" si="465"/>
        <v xml:space="preserve"> () |  </v>
      </c>
      <c r="AA1827" s="29" t="str">
        <f t="shared" si="466"/>
        <v xml:space="preserve"> </v>
      </c>
      <c r="AB1827" s="29" t="str">
        <f t="shared" si="467"/>
        <v xml:space="preserve"> </v>
      </c>
      <c r="AC1827" s="29" t="str">
        <f t="shared" si="468"/>
        <v xml:space="preserve"> , 0 , 00 gennaio 1900</v>
      </c>
      <c r="AD1827" s="29" t="str">
        <f t="shared" si="469"/>
        <v>1900-01-00T08:00:00.000+02:00</v>
      </c>
      <c r="AE1827" s="29" t="str">
        <f t="shared" si="462"/>
        <v>--</v>
      </c>
      <c r="AF1827" s="29" t="str">
        <f t="shared" si="463"/>
        <v xml:space="preserve">  - 0 - </v>
      </c>
    </row>
    <row r="1828" spans="8:32" x14ac:dyDescent="0.2">
      <c r="H1828" s="29" t="str">
        <f t="shared" si="472"/>
        <v xml:space="preserve"> </v>
      </c>
      <c r="L1828" s="29">
        <f t="shared" si="461"/>
        <v>0</v>
      </c>
      <c r="Q1828" s="38"/>
      <c r="R1828" s="32">
        <f t="shared" si="470"/>
        <v>0</v>
      </c>
      <c r="S1828" s="32"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32">
        <f t="shared" si="471"/>
        <v>1900</v>
      </c>
      <c r="U1828" s="29"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3"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9"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9">
        <v>1855</v>
      </c>
      <c r="Y1828" s="29" t="str">
        <f t="shared" si="464"/>
        <v>[' ', '', '', '--', '00 gennaio 1900', '00/01/1900', '1900/01/00'],</v>
      </c>
      <c r="Z1828" s="29" t="str">
        <f t="shared" si="465"/>
        <v xml:space="preserve"> () |  </v>
      </c>
      <c r="AA1828" s="29" t="str">
        <f t="shared" si="466"/>
        <v xml:space="preserve"> </v>
      </c>
      <c r="AB1828" s="29" t="str">
        <f t="shared" si="467"/>
        <v xml:space="preserve"> </v>
      </c>
      <c r="AC1828" s="29" t="str">
        <f t="shared" si="468"/>
        <v xml:space="preserve"> , 0 , 00 gennaio 1900</v>
      </c>
      <c r="AD1828" s="29" t="str">
        <f t="shared" si="469"/>
        <v>1900-01-00T08:00:00.000+02:00</v>
      </c>
      <c r="AE1828" s="29" t="str">
        <f t="shared" si="462"/>
        <v>--</v>
      </c>
      <c r="AF1828" s="29" t="str">
        <f t="shared" si="463"/>
        <v xml:space="preserve">  - 0 - </v>
      </c>
    </row>
    <row r="1829" spans="8:32" x14ac:dyDescent="0.2">
      <c r="H1829" s="29" t="str">
        <f t="shared" si="472"/>
        <v xml:space="preserve"> </v>
      </c>
      <c r="L1829" s="29">
        <f t="shared" si="461"/>
        <v>0</v>
      </c>
      <c r="Q1829" s="38"/>
      <c r="R1829" s="32">
        <f t="shared" si="470"/>
        <v>0</v>
      </c>
      <c r="S1829" s="32"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32">
        <f t="shared" si="471"/>
        <v>1900</v>
      </c>
      <c r="U1829" s="29"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3"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9"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9">
        <v>1856</v>
      </c>
      <c r="Y1829" s="29" t="str">
        <f t="shared" si="464"/>
        <v>[' ', '', '', '--', '00 gennaio 1900', '00/01/1900', '1900/01/00'],</v>
      </c>
      <c r="Z1829" s="29" t="str">
        <f t="shared" si="465"/>
        <v xml:space="preserve"> () |  </v>
      </c>
      <c r="AA1829" s="29" t="str">
        <f t="shared" si="466"/>
        <v xml:space="preserve"> </v>
      </c>
      <c r="AB1829" s="29" t="str">
        <f t="shared" si="467"/>
        <v xml:space="preserve"> </v>
      </c>
      <c r="AC1829" s="29" t="str">
        <f t="shared" si="468"/>
        <v xml:space="preserve"> , 0 , 00 gennaio 1900</v>
      </c>
      <c r="AD1829" s="29" t="str">
        <f t="shared" si="469"/>
        <v>1900-01-00T08:00:00.000+02:00</v>
      </c>
      <c r="AE1829" s="29" t="str">
        <f t="shared" si="462"/>
        <v>--</v>
      </c>
      <c r="AF1829" s="29" t="str">
        <f t="shared" si="463"/>
        <v xml:space="preserve">  - 0 - </v>
      </c>
    </row>
    <row r="1830" spans="8:32" x14ac:dyDescent="0.2">
      <c r="H1830" s="29" t="str">
        <f t="shared" si="472"/>
        <v xml:space="preserve"> </v>
      </c>
      <c r="L1830" s="29">
        <f t="shared" ref="L1830:L1893" si="473">IF(J1830&lt;&gt;"",_xlfn.CONCAT(J1830 &amp; " " &amp; K1830),K1830)</f>
        <v>0</v>
      </c>
      <c r="Q1830" s="38"/>
      <c r="R1830" s="32">
        <f t="shared" si="470"/>
        <v>0</v>
      </c>
      <c r="S1830" s="32"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32">
        <f t="shared" si="471"/>
        <v>1900</v>
      </c>
      <c r="U1830" s="29"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3"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9"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9">
        <v>1857</v>
      </c>
      <c r="Y1830" s="29" t="str">
        <f t="shared" si="464"/>
        <v>[' ', '', '', '--', '00 gennaio 1900', '00/01/1900', '1900/01/00'],</v>
      </c>
      <c r="Z1830" s="29" t="str">
        <f t="shared" si="465"/>
        <v xml:space="preserve"> () |  </v>
      </c>
      <c r="AA1830" s="29" t="str">
        <f t="shared" si="466"/>
        <v xml:space="preserve"> </v>
      </c>
      <c r="AB1830" s="29" t="str">
        <f t="shared" si="467"/>
        <v xml:space="preserve"> </v>
      </c>
      <c r="AC1830" s="29" t="str">
        <f t="shared" si="468"/>
        <v xml:space="preserve"> , 0 , 00 gennaio 1900</v>
      </c>
      <c r="AD1830" s="29" t="str">
        <f t="shared" si="469"/>
        <v>1900-01-00T08:00:00.000+02:00</v>
      </c>
      <c r="AE1830" s="29" t="str">
        <f t="shared" si="462"/>
        <v>--</v>
      </c>
      <c r="AF1830" s="29" t="str">
        <f t="shared" si="463"/>
        <v xml:space="preserve">  - 0 - </v>
      </c>
    </row>
    <row r="1831" spans="8:32" x14ac:dyDescent="0.2">
      <c r="H1831" s="29" t="str">
        <f t="shared" si="472"/>
        <v xml:space="preserve"> </v>
      </c>
      <c r="L1831" s="29">
        <f t="shared" si="473"/>
        <v>0</v>
      </c>
      <c r="Q1831" s="38"/>
      <c r="R1831" s="32">
        <f t="shared" si="470"/>
        <v>0</v>
      </c>
      <c r="S1831" s="32"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32">
        <f t="shared" si="471"/>
        <v>1900</v>
      </c>
      <c r="U1831" s="29"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3"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9"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9">
        <v>1858</v>
      </c>
      <c r="Y1831" s="29" t="str">
        <f t="shared" si="464"/>
        <v>[' ', '', '', '--', '00 gennaio 1900', '00/01/1900', '1900/01/00'],</v>
      </c>
      <c r="Z1831" s="29" t="str">
        <f t="shared" si="465"/>
        <v xml:space="preserve"> () |  </v>
      </c>
      <c r="AA1831" s="29" t="str">
        <f t="shared" si="466"/>
        <v xml:space="preserve"> </v>
      </c>
      <c r="AB1831" s="29" t="str">
        <f t="shared" si="467"/>
        <v xml:space="preserve"> </v>
      </c>
      <c r="AC1831" s="29" t="str">
        <f t="shared" si="468"/>
        <v xml:space="preserve"> , 0 , 00 gennaio 1900</v>
      </c>
      <c r="AD1831" s="29" t="str">
        <f t="shared" si="469"/>
        <v>1900-01-00T08:00:00.000+02:00</v>
      </c>
      <c r="AE1831" s="29" t="str">
        <f t="shared" ref="AE1831:AE1894" si="474">_xlfn.CONCAT(F1831 &amp; "-" &amp; M1831 &amp; "-" &amp; P1831)</f>
        <v>--</v>
      </c>
      <c r="AF1831" s="29" t="str">
        <f t="shared" ref="AF1831:AF1894" si="475">_xlfn.CONCAT(H1831 &amp; " - " &amp; L1831 &amp; " - " &amp; O1831)</f>
        <v xml:space="preserve">  - 0 - </v>
      </c>
    </row>
    <row r="1832" spans="8:32" x14ac:dyDescent="0.2">
      <c r="H1832" s="29" t="str">
        <f t="shared" si="472"/>
        <v xml:space="preserve"> </v>
      </c>
      <c r="L1832" s="29">
        <f t="shared" si="473"/>
        <v>0</v>
      </c>
      <c r="Q1832" s="38"/>
      <c r="R1832" s="32">
        <f t="shared" si="470"/>
        <v>0</v>
      </c>
      <c r="S1832" s="32"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32">
        <f t="shared" si="471"/>
        <v>1900</v>
      </c>
      <c r="U1832" s="29"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3"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9"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9">
        <v>1859</v>
      </c>
      <c r="Y1832" s="29" t="str">
        <f t="shared" si="464"/>
        <v>[' ', '', '', '--', '00 gennaio 1900', '00/01/1900', '1900/01/00'],</v>
      </c>
      <c r="Z1832" s="29" t="str">
        <f t="shared" si="465"/>
        <v xml:space="preserve"> () |  </v>
      </c>
      <c r="AA1832" s="29" t="str">
        <f t="shared" si="466"/>
        <v xml:space="preserve"> </v>
      </c>
      <c r="AB1832" s="29" t="str">
        <f t="shared" si="467"/>
        <v xml:space="preserve"> </v>
      </c>
      <c r="AC1832" s="29" t="str">
        <f t="shared" si="468"/>
        <v xml:space="preserve"> , 0 , 00 gennaio 1900</v>
      </c>
      <c r="AD1832" s="29" t="str">
        <f t="shared" si="469"/>
        <v>1900-01-00T08:00:00.000+02:00</v>
      </c>
      <c r="AE1832" s="29" t="str">
        <f t="shared" si="474"/>
        <v>--</v>
      </c>
      <c r="AF1832" s="29" t="str">
        <f t="shared" si="475"/>
        <v xml:space="preserve">  - 0 - </v>
      </c>
    </row>
    <row r="1833" spans="8:32" x14ac:dyDescent="0.2">
      <c r="H1833" s="29" t="str">
        <f t="shared" si="472"/>
        <v xml:space="preserve"> </v>
      </c>
      <c r="L1833" s="29">
        <f t="shared" si="473"/>
        <v>0</v>
      </c>
      <c r="Q1833" s="38"/>
      <c r="R1833" s="32">
        <f t="shared" si="470"/>
        <v>0</v>
      </c>
      <c r="S1833" s="32"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32">
        <f t="shared" si="471"/>
        <v>1900</v>
      </c>
      <c r="U1833" s="29"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3"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9"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9">
        <v>1860</v>
      </c>
      <c r="Y1833" s="29" t="str">
        <f t="shared" si="464"/>
        <v>[' ', '', '', '--', '00 gennaio 1900', '00/01/1900', '1900/01/00'],</v>
      </c>
      <c r="Z1833" s="29" t="str">
        <f t="shared" si="465"/>
        <v xml:space="preserve"> () |  </v>
      </c>
      <c r="AA1833" s="29" t="str">
        <f t="shared" si="466"/>
        <v xml:space="preserve"> </v>
      </c>
      <c r="AB1833" s="29" t="str">
        <f t="shared" si="467"/>
        <v xml:space="preserve"> </v>
      </c>
      <c r="AC1833" s="29" t="str">
        <f t="shared" si="468"/>
        <v xml:space="preserve"> , 0 , 00 gennaio 1900</v>
      </c>
      <c r="AD1833" s="29" t="str">
        <f t="shared" si="469"/>
        <v>1900-01-00T08:00:00.000+02:00</v>
      </c>
      <c r="AE1833" s="29" t="str">
        <f t="shared" si="474"/>
        <v>--</v>
      </c>
      <c r="AF1833" s="29" t="str">
        <f t="shared" si="475"/>
        <v xml:space="preserve">  - 0 - </v>
      </c>
    </row>
    <row r="1834" spans="8:32" x14ac:dyDescent="0.2">
      <c r="H1834" s="29" t="str">
        <f t="shared" si="472"/>
        <v xml:space="preserve"> </v>
      </c>
      <c r="L1834" s="29">
        <f t="shared" si="473"/>
        <v>0</v>
      </c>
      <c r="Q1834" s="38"/>
      <c r="R1834" s="32">
        <f t="shared" si="470"/>
        <v>0</v>
      </c>
      <c r="S1834" s="32"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32">
        <f t="shared" si="471"/>
        <v>1900</v>
      </c>
      <c r="U1834" s="29"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3"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9"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9">
        <v>1861</v>
      </c>
      <c r="Y1834" s="29" t="str">
        <f t="shared" si="464"/>
        <v>[' ', '', '', '--', '00 gennaio 1900', '00/01/1900', '1900/01/00'],</v>
      </c>
      <c r="Z1834" s="29" t="str">
        <f t="shared" si="465"/>
        <v xml:space="preserve"> () |  </v>
      </c>
      <c r="AA1834" s="29" t="str">
        <f t="shared" si="466"/>
        <v xml:space="preserve"> </v>
      </c>
      <c r="AB1834" s="29" t="str">
        <f t="shared" si="467"/>
        <v xml:space="preserve"> </v>
      </c>
      <c r="AC1834" s="29" t="str">
        <f t="shared" si="468"/>
        <v xml:space="preserve"> , 0 , 00 gennaio 1900</v>
      </c>
      <c r="AD1834" s="29" t="str">
        <f t="shared" si="469"/>
        <v>1900-01-00T08:00:00.000+02:00</v>
      </c>
      <c r="AE1834" s="29" t="str">
        <f t="shared" si="474"/>
        <v>--</v>
      </c>
      <c r="AF1834" s="29" t="str">
        <f t="shared" si="475"/>
        <v xml:space="preserve">  - 0 - </v>
      </c>
    </row>
    <row r="1835" spans="8:32" x14ac:dyDescent="0.2">
      <c r="H1835" s="29" t="str">
        <f t="shared" si="472"/>
        <v xml:space="preserve"> </v>
      </c>
      <c r="L1835" s="29">
        <f t="shared" si="473"/>
        <v>0</v>
      </c>
      <c r="Q1835" s="38"/>
      <c r="R1835" s="32">
        <f t="shared" si="470"/>
        <v>0</v>
      </c>
      <c r="S1835" s="32"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32">
        <f t="shared" si="471"/>
        <v>1900</v>
      </c>
      <c r="U1835" s="29"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3"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9"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9">
        <v>1862</v>
      </c>
      <c r="Y1835" s="29" t="str">
        <f t="shared" si="464"/>
        <v>[' ', '', '', '--', '00 gennaio 1900', '00/01/1900', '1900/01/00'],</v>
      </c>
      <c r="Z1835" s="29" t="str">
        <f t="shared" si="465"/>
        <v xml:space="preserve"> () |  </v>
      </c>
      <c r="AA1835" s="29" t="str">
        <f t="shared" si="466"/>
        <v xml:space="preserve"> </v>
      </c>
      <c r="AB1835" s="29" t="str">
        <f t="shared" si="467"/>
        <v xml:space="preserve"> </v>
      </c>
      <c r="AC1835" s="29" t="str">
        <f t="shared" si="468"/>
        <v xml:space="preserve"> , 0 , 00 gennaio 1900</v>
      </c>
      <c r="AD1835" s="29" t="str">
        <f t="shared" si="469"/>
        <v>1900-01-00T08:00:00.000+02:00</v>
      </c>
      <c r="AE1835" s="29" t="str">
        <f t="shared" si="474"/>
        <v>--</v>
      </c>
      <c r="AF1835" s="29" t="str">
        <f t="shared" si="475"/>
        <v xml:space="preserve">  - 0 - </v>
      </c>
    </row>
    <row r="1836" spans="8:32" x14ac:dyDescent="0.2">
      <c r="H1836" s="29" t="str">
        <f t="shared" si="472"/>
        <v xml:space="preserve"> </v>
      </c>
      <c r="L1836" s="29">
        <f t="shared" si="473"/>
        <v>0</v>
      </c>
      <c r="Q1836" s="38"/>
      <c r="R1836" s="32">
        <f t="shared" si="470"/>
        <v>0</v>
      </c>
      <c r="S1836" s="32"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32">
        <f t="shared" si="471"/>
        <v>1900</v>
      </c>
      <c r="U1836" s="29"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3"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9"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9">
        <v>1863</v>
      </c>
      <c r="Y1836" s="29" t="str">
        <f t="shared" si="464"/>
        <v>[' ', '', '', '--', '00 gennaio 1900', '00/01/1900', '1900/01/00'],</v>
      </c>
      <c r="Z1836" s="29" t="str">
        <f t="shared" si="465"/>
        <v xml:space="preserve"> () |  </v>
      </c>
      <c r="AA1836" s="29" t="str">
        <f t="shared" si="466"/>
        <v xml:space="preserve"> </v>
      </c>
      <c r="AB1836" s="29" t="str">
        <f t="shared" si="467"/>
        <v xml:space="preserve"> </v>
      </c>
      <c r="AC1836" s="29" t="str">
        <f t="shared" si="468"/>
        <v xml:space="preserve"> , 0 , 00 gennaio 1900</v>
      </c>
      <c r="AD1836" s="29" t="str">
        <f t="shared" si="469"/>
        <v>1900-01-00T08:00:00.000+02:00</v>
      </c>
      <c r="AE1836" s="29" t="str">
        <f t="shared" si="474"/>
        <v>--</v>
      </c>
      <c r="AF1836" s="29" t="str">
        <f t="shared" si="475"/>
        <v xml:space="preserve">  - 0 - </v>
      </c>
    </row>
    <row r="1837" spans="8:32" x14ac:dyDescent="0.2">
      <c r="H1837" s="29" t="str">
        <f t="shared" si="472"/>
        <v xml:space="preserve"> </v>
      </c>
      <c r="L1837" s="29">
        <f t="shared" si="473"/>
        <v>0</v>
      </c>
      <c r="Q1837" s="38"/>
      <c r="R1837" s="32">
        <f t="shared" si="470"/>
        <v>0</v>
      </c>
      <c r="S1837" s="32"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32">
        <f t="shared" si="471"/>
        <v>1900</v>
      </c>
      <c r="U1837" s="29"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3"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9"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9">
        <v>1864</v>
      </c>
      <c r="Y1837" s="29" t="str">
        <f t="shared" si="464"/>
        <v>[' ', '', '', '--', '00 gennaio 1900', '00/01/1900', '1900/01/00'],</v>
      </c>
      <c r="Z1837" s="29" t="str">
        <f t="shared" si="465"/>
        <v xml:space="preserve"> () |  </v>
      </c>
      <c r="AA1837" s="29" t="str">
        <f t="shared" si="466"/>
        <v xml:space="preserve"> </v>
      </c>
      <c r="AB1837" s="29" t="str">
        <f t="shared" si="467"/>
        <v xml:space="preserve"> </v>
      </c>
      <c r="AC1837" s="29" t="str">
        <f t="shared" si="468"/>
        <v xml:space="preserve"> , 0 , 00 gennaio 1900</v>
      </c>
      <c r="AD1837" s="29" t="str">
        <f t="shared" si="469"/>
        <v>1900-01-00T08:00:00.000+02:00</v>
      </c>
      <c r="AE1837" s="29" t="str">
        <f t="shared" si="474"/>
        <v>--</v>
      </c>
      <c r="AF1837" s="29" t="str">
        <f t="shared" si="475"/>
        <v xml:space="preserve">  - 0 - </v>
      </c>
    </row>
    <row r="1838" spans="8:32" x14ac:dyDescent="0.2">
      <c r="H1838" s="29" t="str">
        <f t="shared" si="472"/>
        <v xml:space="preserve"> </v>
      </c>
      <c r="L1838" s="29">
        <f t="shared" si="473"/>
        <v>0</v>
      </c>
      <c r="Q1838" s="38"/>
      <c r="R1838" s="32">
        <f t="shared" si="470"/>
        <v>0</v>
      </c>
      <c r="S1838" s="32"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32">
        <f t="shared" si="471"/>
        <v>1900</v>
      </c>
      <c r="U1838" s="29"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3"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9"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9">
        <v>1865</v>
      </c>
      <c r="Y1838" s="29" t="str">
        <f t="shared" si="464"/>
        <v>[' ', '', '', '--', '00 gennaio 1900', '00/01/1900', '1900/01/00'],</v>
      </c>
      <c r="Z1838" s="29" t="str">
        <f t="shared" si="465"/>
        <v xml:space="preserve"> () |  </v>
      </c>
      <c r="AA1838" s="29" t="str">
        <f t="shared" si="466"/>
        <v xml:space="preserve"> </v>
      </c>
      <c r="AB1838" s="29" t="str">
        <f t="shared" si="467"/>
        <v xml:space="preserve"> </v>
      </c>
      <c r="AC1838" s="29" t="str">
        <f t="shared" si="468"/>
        <v xml:space="preserve"> , 0 , 00 gennaio 1900</v>
      </c>
      <c r="AD1838" s="29" t="str">
        <f t="shared" si="469"/>
        <v>1900-01-00T08:00:00.000+02:00</v>
      </c>
      <c r="AE1838" s="29" t="str">
        <f t="shared" si="474"/>
        <v>--</v>
      </c>
      <c r="AF1838" s="29" t="str">
        <f t="shared" si="475"/>
        <v xml:space="preserve">  - 0 - </v>
      </c>
    </row>
    <row r="1839" spans="8:32" x14ac:dyDescent="0.2">
      <c r="H1839" s="29" t="str">
        <f t="shared" si="472"/>
        <v xml:space="preserve"> </v>
      </c>
      <c r="L1839" s="29">
        <f t="shared" si="473"/>
        <v>0</v>
      </c>
      <c r="Q1839" s="38"/>
      <c r="R1839" s="32">
        <f t="shared" si="470"/>
        <v>0</v>
      </c>
      <c r="S1839" s="32"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32">
        <f t="shared" si="471"/>
        <v>1900</v>
      </c>
      <c r="U1839" s="29"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3"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9"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9">
        <v>1866</v>
      </c>
      <c r="Y1839" s="29" t="str">
        <f t="shared" si="464"/>
        <v>[' ', '', '', '--', '00 gennaio 1900', '00/01/1900', '1900/01/00'],</v>
      </c>
      <c r="Z1839" s="29" t="str">
        <f t="shared" si="465"/>
        <v xml:space="preserve"> () |  </v>
      </c>
      <c r="AA1839" s="29" t="str">
        <f t="shared" si="466"/>
        <v xml:space="preserve"> </v>
      </c>
      <c r="AB1839" s="29" t="str">
        <f t="shared" si="467"/>
        <v xml:space="preserve"> </v>
      </c>
      <c r="AC1839" s="29" t="str">
        <f t="shared" si="468"/>
        <v xml:space="preserve"> , 0 , 00 gennaio 1900</v>
      </c>
      <c r="AD1839" s="29" t="str">
        <f t="shared" si="469"/>
        <v>1900-01-00T08:00:00.000+02:00</v>
      </c>
      <c r="AE1839" s="29" t="str">
        <f t="shared" si="474"/>
        <v>--</v>
      </c>
      <c r="AF1839" s="29" t="str">
        <f t="shared" si="475"/>
        <v xml:space="preserve">  - 0 - </v>
      </c>
    </row>
    <row r="1840" spans="8:32" x14ac:dyDescent="0.2">
      <c r="H1840" s="29" t="str">
        <f t="shared" si="472"/>
        <v xml:space="preserve"> </v>
      </c>
      <c r="L1840" s="29">
        <f t="shared" si="473"/>
        <v>0</v>
      </c>
      <c r="Q1840" s="38"/>
      <c r="R1840" s="32">
        <f t="shared" si="470"/>
        <v>0</v>
      </c>
      <c r="S1840" s="32"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32">
        <f t="shared" si="471"/>
        <v>1900</v>
      </c>
      <c r="U1840" s="29"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3"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9"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9">
        <v>1867</v>
      </c>
      <c r="Y1840" s="29" t="str">
        <f t="shared" si="464"/>
        <v>[' ', '', '', '--', '00 gennaio 1900', '00/01/1900', '1900/01/00'],</v>
      </c>
      <c r="Z1840" s="29" t="str">
        <f t="shared" si="465"/>
        <v xml:space="preserve"> () |  </v>
      </c>
      <c r="AA1840" s="29" t="str">
        <f t="shared" si="466"/>
        <v xml:space="preserve"> </v>
      </c>
      <c r="AB1840" s="29" t="str">
        <f t="shared" si="467"/>
        <v xml:space="preserve"> </v>
      </c>
      <c r="AC1840" s="29" t="str">
        <f t="shared" si="468"/>
        <v xml:space="preserve"> , 0 , 00 gennaio 1900</v>
      </c>
      <c r="AD1840" s="29" t="str">
        <f t="shared" si="469"/>
        <v>1900-01-00T08:00:00.000+02:00</v>
      </c>
      <c r="AE1840" s="29" t="str">
        <f t="shared" si="474"/>
        <v>--</v>
      </c>
      <c r="AF1840" s="29" t="str">
        <f t="shared" si="475"/>
        <v xml:space="preserve">  - 0 - </v>
      </c>
    </row>
    <row r="1841" spans="8:32" x14ac:dyDescent="0.2">
      <c r="H1841" s="29" t="str">
        <f t="shared" si="472"/>
        <v xml:space="preserve"> </v>
      </c>
      <c r="L1841" s="29">
        <f t="shared" si="473"/>
        <v>0</v>
      </c>
      <c r="Q1841" s="38"/>
      <c r="R1841" s="32">
        <f t="shared" si="470"/>
        <v>0</v>
      </c>
      <c r="S1841" s="32"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32">
        <f t="shared" si="471"/>
        <v>1900</v>
      </c>
      <c r="U1841" s="29"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3"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9"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9">
        <v>1868</v>
      </c>
      <c r="Y1841" s="29" t="str">
        <f t="shared" si="464"/>
        <v>[' ', '', '', '--', '00 gennaio 1900', '00/01/1900', '1900/01/00'],</v>
      </c>
      <c r="Z1841" s="29" t="str">
        <f t="shared" si="465"/>
        <v xml:space="preserve"> () |  </v>
      </c>
      <c r="AA1841" s="29" t="str">
        <f t="shared" si="466"/>
        <v xml:space="preserve"> </v>
      </c>
      <c r="AB1841" s="29" t="str">
        <f t="shared" si="467"/>
        <v xml:space="preserve"> </v>
      </c>
      <c r="AC1841" s="29" t="str">
        <f t="shared" si="468"/>
        <v xml:space="preserve"> , 0 , 00 gennaio 1900</v>
      </c>
      <c r="AD1841" s="29" t="str">
        <f t="shared" si="469"/>
        <v>1900-01-00T08:00:00.000+02:00</v>
      </c>
      <c r="AE1841" s="29" t="str">
        <f t="shared" si="474"/>
        <v>--</v>
      </c>
      <c r="AF1841" s="29" t="str">
        <f t="shared" si="475"/>
        <v xml:space="preserve">  - 0 - </v>
      </c>
    </row>
    <row r="1842" spans="8:32" x14ac:dyDescent="0.2">
      <c r="H1842" s="29" t="str">
        <f t="shared" si="472"/>
        <v xml:space="preserve"> </v>
      </c>
      <c r="L1842" s="29">
        <f t="shared" si="473"/>
        <v>0</v>
      </c>
      <c r="Q1842" s="38"/>
      <c r="R1842" s="32">
        <f t="shared" si="470"/>
        <v>0</v>
      </c>
      <c r="S1842" s="32"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32">
        <f t="shared" si="471"/>
        <v>1900</v>
      </c>
      <c r="U1842" s="29"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3"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9"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9">
        <v>1869</v>
      </c>
      <c r="Y1842" s="29" t="str">
        <f t="shared" si="464"/>
        <v>[' ', '', '', '--', '00 gennaio 1900', '00/01/1900', '1900/01/00'],</v>
      </c>
      <c r="Z1842" s="29" t="str">
        <f t="shared" si="465"/>
        <v xml:space="preserve"> () |  </v>
      </c>
      <c r="AA1842" s="29" t="str">
        <f t="shared" si="466"/>
        <v xml:space="preserve"> </v>
      </c>
      <c r="AB1842" s="29" t="str">
        <f t="shared" si="467"/>
        <v xml:space="preserve"> </v>
      </c>
      <c r="AC1842" s="29" t="str">
        <f t="shared" si="468"/>
        <v xml:space="preserve"> , 0 , 00 gennaio 1900</v>
      </c>
      <c r="AD1842" s="29" t="str">
        <f t="shared" si="469"/>
        <v>1900-01-00T08:00:00.000+02:00</v>
      </c>
      <c r="AE1842" s="29" t="str">
        <f t="shared" si="474"/>
        <v>--</v>
      </c>
      <c r="AF1842" s="29" t="str">
        <f t="shared" si="475"/>
        <v xml:space="preserve">  - 0 - </v>
      </c>
    </row>
    <row r="1843" spans="8:32" x14ac:dyDescent="0.2">
      <c r="H1843" s="29" t="str">
        <f t="shared" si="472"/>
        <v xml:space="preserve"> </v>
      </c>
      <c r="L1843" s="29">
        <f t="shared" si="473"/>
        <v>0</v>
      </c>
      <c r="Q1843" s="38"/>
      <c r="R1843" s="32">
        <f t="shared" si="470"/>
        <v>0</v>
      </c>
      <c r="S1843" s="32"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32">
        <f t="shared" si="471"/>
        <v>1900</v>
      </c>
      <c r="U1843" s="29"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3"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9"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9">
        <v>1870</v>
      </c>
      <c r="Y1843" s="29" t="str">
        <f t="shared" si="464"/>
        <v>[' ', '', '', '--', '00 gennaio 1900', '00/01/1900', '1900/01/00'],</v>
      </c>
      <c r="Z1843" s="29" t="str">
        <f t="shared" si="465"/>
        <v xml:space="preserve"> () |  </v>
      </c>
      <c r="AA1843" s="29" t="str">
        <f t="shared" si="466"/>
        <v xml:space="preserve"> </v>
      </c>
      <c r="AB1843" s="29" t="str">
        <f t="shared" si="467"/>
        <v xml:space="preserve"> </v>
      </c>
      <c r="AC1843" s="29" t="str">
        <f t="shared" si="468"/>
        <v xml:space="preserve"> , 0 , 00 gennaio 1900</v>
      </c>
      <c r="AD1843" s="29" t="str">
        <f t="shared" si="469"/>
        <v>1900-01-00T08:00:00.000+02:00</v>
      </c>
      <c r="AE1843" s="29" t="str">
        <f t="shared" si="474"/>
        <v>--</v>
      </c>
      <c r="AF1843" s="29" t="str">
        <f t="shared" si="475"/>
        <v xml:space="preserve">  - 0 - </v>
      </c>
    </row>
    <row r="1844" spans="8:32" x14ac:dyDescent="0.2">
      <c r="H1844" s="29" t="str">
        <f t="shared" si="472"/>
        <v xml:space="preserve"> </v>
      </c>
      <c r="L1844" s="29">
        <f t="shared" si="473"/>
        <v>0</v>
      </c>
      <c r="Q1844" s="38"/>
      <c r="R1844" s="32">
        <f t="shared" si="470"/>
        <v>0</v>
      </c>
      <c r="S1844" s="32"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32">
        <f t="shared" si="471"/>
        <v>1900</v>
      </c>
      <c r="U1844" s="29"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3"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9"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9">
        <v>1871</v>
      </c>
      <c r="Y1844" s="29" t="str">
        <f t="shared" si="464"/>
        <v>[' ', '', '', '--', '00 gennaio 1900', '00/01/1900', '1900/01/00'],</v>
      </c>
      <c r="Z1844" s="29" t="str">
        <f t="shared" si="465"/>
        <v xml:space="preserve"> () |  </v>
      </c>
      <c r="AA1844" s="29" t="str">
        <f t="shared" si="466"/>
        <v xml:space="preserve"> </v>
      </c>
      <c r="AB1844" s="29" t="str">
        <f t="shared" si="467"/>
        <v xml:space="preserve"> </v>
      </c>
      <c r="AC1844" s="29" t="str">
        <f t="shared" si="468"/>
        <v xml:space="preserve"> , 0 , 00 gennaio 1900</v>
      </c>
      <c r="AD1844" s="29" t="str">
        <f t="shared" si="469"/>
        <v>1900-01-00T08:00:00.000+02:00</v>
      </c>
      <c r="AE1844" s="29" t="str">
        <f t="shared" si="474"/>
        <v>--</v>
      </c>
      <c r="AF1844" s="29" t="str">
        <f t="shared" si="475"/>
        <v xml:space="preserve">  - 0 - </v>
      </c>
    </row>
    <row r="1845" spans="8:32" x14ac:dyDescent="0.2">
      <c r="H1845" s="29" t="str">
        <f t="shared" si="472"/>
        <v xml:space="preserve"> </v>
      </c>
      <c r="L1845" s="29">
        <f t="shared" si="473"/>
        <v>0</v>
      </c>
      <c r="Q1845" s="38"/>
      <c r="R1845" s="32">
        <f t="shared" si="470"/>
        <v>0</v>
      </c>
      <c r="S1845" s="32"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32">
        <f t="shared" si="471"/>
        <v>1900</v>
      </c>
      <c r="U1845" s="29"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3"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9"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9">
        <v>1872</v>
      </c>
      <c r="Y1845" s="29" t="str">
        <f t="shared" si="464"/>
        <v>[' ', '', '', '--', '00 gennaio 1900', '00/01/1900', '1900/01/00'],</v>
      </c>
      <c r="Z1845" s="29" t="str">
        <f t="shared" si="465"/>
        <v xml:space="preserve"> () |  </v>
      </c>
      <c r="AA1845" s="29" t="str">
        <f t="shared" si="466"/>
        <v xml:space="preserve"> </v>
      </c>
      <c r="AB1845" s="29" t="str">
        <f t="shared" si="467"/>
        <v xml:space="preserve"> </v>
      </c>
      <c r="AC1845" s="29" t="str">
        <f t="shared" si="468"/>
        <v xml:space="preserve"> , 0 , 00 gennaio 1900</v>
      </c>
      <c r="AD1845" s="29" t="str">
        <f t="shared" si="469"/>
        <v>1900-01-00T08:00:00.000+02:00</v>
      </c>
      <c r="AE1845" s="29" t="str">
        <f t="shared" si="474"/>
        <v>--</v>
      </c>
      <c r="AF1845" s="29" t="str">
        <f t="shared" si="475"/>
        <v xml:space="preserve">  - 0 - </v>
      </c>
    </row>
    <row r="1846" spans="8:32" x14ac:dyDescent="0.2">
      <c r="H1846" s="29" t="str">
        <f t="shared" si="472"/>
        <v xml:space="preserve"> </v>
      </c>
      <c r="L1846" s="29">
        <f t="shared" si="473"/>
        <v>0</v>
      </c>
      <c r="Q1846" s="38"/>
      <c r="R1846" s="32">
        <f t="shared" si="470"/>
        <v>0</v>
      </c>
      <c r="S1846" s="32"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32">
        <f t="shared" si="471"/>
        <v>1900</v>
      </c>
      <c r="U1846" s="29"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3"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9"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9">
        <v>1873</v>
      </c>
      <c r="Y1846" s="29" t="str">
        <f t="shared" si="464"/>
        <v>[' ', '', '', '--', '00 gennaio 1900', '00/01/1900', '1900/01/00'],</v>
      </c>
      <c r="Z1846" s="29" t="str">
        <f t="shared" si="465"/>
        <v xml:space="preserve"> () |  </v>
      </c>
      <c r="AA1846" s="29" t="str">
        <f t="shared" si="466"/>
        <v xml:space="preserve"> </v>
      </c>
      <c r="AB1846" s="29" t="str">
        <f t="shared" si="467"/>
        <v xml:space="preserve"> </v>
      </c>
      <c r="AC1846" s="29" t="str">
        <f t="shared" si="468"/>
        <v xml:space="preserve"> , 0 , 00 gennaio 1900</v>
      </c>
      <c r="AD1846" s="29" t="str">
        <f t="shared" si="469"/>
        <v>1900-01-00T08:00:00.000+02:00</v>
      </c>
      <c r="AE1846" s="29" t="str">
        <f t="shared" si="474"/>
        <v>--</v>
      </c>
      <c r="AF1846" s="29" t="str">
        <f t="shared" si="475"/>
        <v xml:space="preserve">  - 0 - </v>
      </c>
    </row>
    <row r="1847" spans="8:32" x14ac:dyDescent="0.2">
      <c r="H1847" s="29" t="str">
        <f t="shared" si="472"/>
        <v xml:space="preserve"> </v>
      </c>
      <c r="L1847" s="29">
        <f t="shared" si="473"/>
        <v>0</v>
      </c>
      <c r="Q1847" s="38"/>
      <c r="R1847" s="32">
        <f t="shared" si="470"/>
        <v>0</v>
      </c>
      <c r="S1847" s="32"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32">
        <f t="shared" si="471"/>
        <v>1900</v>
      </c>
      <c r="U1847" s="29"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3"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9"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9">
        <v>1874</v>
      </c>
      <c r="Y1847" s="29" t="str">
        <f t="shared" si="464"/>
        <v>[' ', '', '', '--', '00 gennaio 1900', '00/01/1900', '1900/01/00'],</v>
      </c>
      <c r="Z1847" s="29" t="str">
        <f t="shared" si="465"/>
        <v xml:space="preserve"> () |  </v>
      </c>
      <c r="AA1847" s="29" t="str">
        <f t="shared" si="466"/>
        <v xml:space="preserve"> </v>
      </c>
      <c r="AB1847" s="29" t="str">
        <f t="shared" si="467"/>
        <v xml:space="preserve"> </v>
      </c>
      <c r="AC1847" s="29" t="str">
        <f t="shared" si="468"/>
        <v xml:space="preserve"> , 0 , 00 gennaio 1900</v>
      </c>
      <c r="AD1847" s="29" t="str">
        <f t="shared" si="469"/>
        <v>1900-01-00T08:00:00.000+02:00</v>
      </c>
      <c r="AE1847" s="29" t="str">
        <f t="shared" si="474"/>
        <v>--</v>
      </c>
      <c r="AF1847" s="29" t="str">
        <f t="shared" si="475"/>
        <v xml:space="preserve">  - 0 - </v>
      </c>
    </row>
    <row r="1848" spans="8:32" x14ac:dyDescent="0.2">
      <c r="H1848" s="29" t="str">
        <f t="shared" si="472"/>
        <v xml:space="preserve"> </v>
      </c>
      <c r="L1848" s="29">
        <f t="shared" si="473"/>
        <v>0</v>
      </c>
      <c r="Q1848" s="38"/>
      <c r="R1848" s="32">
        <f t="shared" si="470"/>
        <v>0</v>
      </c>
      <c r="S1848" s="32"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32">
        <f t="shared" si="471"/>
        <v>1900</v>
      </c>
      <c r="U1848" s="29"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3"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9"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9">
        <v>1875</v>
      </c>
      <c r="Y1848" s="29" t="str">
        <f t="shared" si="464"/>
        <v>[' ', '', '', '--', '00 gennaio 1900', '00/01/1900', '1900/01/00'],</v>
      </c>
      <c r="Z1848" s="29" t="str">
        <f t="shared" si="465"/>
        <v xml:space="preserve"> () |  </v>
      </c>
      <c r="AA1848" s="29" t="str">
        <f t="shared" si="466"/>
        <v xml:space="preserve"> </v>
      </c>
      <c r="AB1848" s="29" t="str">
        <f t="shared" si="467"/>
        <v xml:space="preserve"> </v>
      </c>
      <c r="AC1848" s="29" t="str">
        <f t="shared" si="468"/>
        <v xml:space="preserve"> , 0 , 00 gennaio 1900</v>
      </c>
      <c r="AD1848" s="29" t="str">
        <f t="shared" si="469"/>
        <v>1900-01-00T08:00:00.000+02:00</v>
      </c>
      <c r="AE1848" s="29" t="str">
        <f t="shared" si="474"/>
        <v>--</v>
      </c>
      <c r="AF1848" s="29" t="str">
        <f t="shared" si="475"/>
        <v xml:space="preserve">  - 0 - </v>
      </c>
    </row>
    <row r="1849" spans="8:32" x14ac:dyDescent="0.2">
      <c r="H1849" s="29" t="str">
        <f t="shared" si="472"/>
        <v xml:space="preserve"> </v>
      </c>
      <c r="L1849" s="29">
        <f t="shared" si="473"/>
        <v>0</v>
      </c>
      <c r="Q1849" s="38"/>
      <c r="R1849" s="32">
        <f t="shared" si="470"/>
        <v>0</v>
      </c>
      <c r="S1849" s="32"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32">
        <f t="shared" si="471"/>
        <v>1900</v>
      </c>
      <c r="U1849" s="29"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3"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9"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9">
        <v>1876</v>
      </c>
      <c r="Y1849" s="29" t="str">
        <f t="shared" si="464"/>
        <v>[' ', '', '', '--', '00 gennaio 1900', '00/01/1900', '1900/01/00'],</v>
      </c>
      <c r="Z1849" s="29" t="str">
        <f t="shared" si="465"/>
        <v xml:space="preserve"> () |  </v>
      </c>
      <c r="AA1849" s="29" t="str">
        <f t="shared" si="466"/>
        <v xml:space="preserve"> </v>
      </c>
      <c r="AB1849" s="29" t="str">
        <f t="shared" si="467"/>
        <v xml:space="preserve"> </v>
      </c>
      <c r="AC1849" s="29" t="str">
        <f t="shared" si="468"/>
        <v xml:space="preserve"> , 0 , 00 gennaio 1900</v>
      </c>
      <c r="AD1849" s="29" t="str">
        <f t="shared" si="469"/>
        <v>1900-01-00T08:00:00.000+02:00</v>
      </c>
      <c r="AE1849" s="29" t="str">
        <f t="shared" si="474"/>
        <v>--</v>
      </c>
      <c r="AF1849" s="29" t="str">
        <f t="shared" si="475"/>
        <v xml:space="preserve">  - 0 - </v>
      </c>
    </row>
    <row r="1850" spans="8:32" x14ac:dyDescent="0.2">
      <c r="H1850" s="29" t="str">
        <f t="shared" si="472"/>
        <v xml:space="preserve"> </v>
      </c>
      <c r="L1850" s="29">
        <f t="shared" si="473"/>
        <v>0</v>
      </c>
      <c r="Q1850" s="38"/>
      <c r="R1850" s="32">
        <f t="shared" si="470"/>
        <v>0</v>
      </c>
      <c r="S1850" s="32"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32">
        <f t="shared" si="471"/>
        <v>1900</v>
      </c>
      <c r="U1850" s="29"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3"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9"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9">
        <v>1877</v>
      </c>
      <c r="Y1850" s="29" t="str">
        <f t="shared" si="464"/>
        <v>[' ', '', '', '--', '00 gennaio 1900', '00/01/1900', '1900/01/00'],</v>
      </c>
      <c r="Z1850" s="29" t="str">
        <f t="shared" si="465"/>
        <v xml:space="preserve"> () |  </v>
      </c>
      <c r="AA1850" s="29" t="str">
        <f t="shared" si="466"/>
        <v xml:space="preserve"> </v>
      </c>
      <c r="AB1850" s="29" t="str">
        <f t="shared" si="467"/>
        <v xml:space="preserve"> </v>
      </c>
      <c r="AC1850" s="29" t="str">
        <f t="shared" si="468"/>
        <v xml:space="preserve"> , 0 , 00 gennaio 1900</v>
      </c>
      <c r="AD1850" s="29" t="str">
        <f t="shared" si="469"/>
        <v>1900-01-00T08:00:00.000+02:00</v>
      </c>
      <c r="AE1850" s="29" t="str">
        <f t="shared" si="474"/>
        <v>--</v>
      </c>
      <c r="AF1850" s="29" t="str">
        <f t="shared" si="475"/>
        <v xml:space="preserve">  - 0 - </v>
      </c>
    </row>
    <row r="1851" spans="8:32" x14ac:dyDescent="0.2">
      <c r="H1851" s="29" t="str">
        <f t="shared" si="472"/>
        <v xml:space="preserve"> </v>
      </c>
      <c r="L1851" s="29">
        <f t="shared" si="473"/>
        <v>0</v>
      </c>
      <c r="Q1851" s="38"/>
      <c r="R1851" s="32">
        <f t="shared" si="470"/>
        <v>0</v>
      </c>
      <c r="S1851" s="32"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32">
        <f t="shared" si="471"/>
        <v>1900</v>
      </c>
      <c r="U1851" s="29"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3"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9"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9">
        <v>1878</v>
      </c>
      <c r="Y1851" s="29" t="str">
        <f t="shared" si="464"/>
        <v>[' ', '', '', '--', '00 gennaio 1900', '00/01/1900', '1900/01/00'],</v>
      </c>
      <c r="Z1851" s="29" t="str">
        <f t="shared" si="465"/>
        <v xml:space="preserve"> () |  </v>
      </c>
      <c r="AA1851" s="29" t="str">
        <f t="shared" si="466"/>
        <v xml:space="preserve"> </v>
      </c>
      <c r="AB1851" s="29" t="str">
        <f t="shared" si="467"/>
        <v xml:space="preserve"> </v>
      </c>
      <c r="AC1851" s="29" t="str">
        <f t="shared" si="468"/>
        <v xml:space="preserve"> , 0 , 00 gennaio 1900</v>
      </c>
      <c r="AD1851" s="29" t="str">
        <f t="shared" si="469"/>
        <v>1900-01-00T08:00:00.000+02:00</v>
      </c>
      <c r="AE1851" s="29" t="str">
        <f t="shared" si="474"/>
        <v>--</v>
      </c>
      <c r="AF1851" s="29" t="str">
        <f t="shared" si="475"/>
        <v xml:space="preserve">  - 0 - </v>
      </c>
    </row>
    <row r="1852" spans="8:32" x14ac:dyDescent="0.2">
      <c r="H1852" s="29" t="str">
        <f t="shared" si="472"/>
        <v xml:space="preserve"> </v>
      </c>
      <c r="L1852" s="29">
        <f t="shared" si="473"/>
        <v>0</v>
      </c>
      <c r="Q1852" s="38"/>
      <c r="R1852" s="32">
        <f t="shared" si="470"/>
        <v>0</v>
      </c>
      <c r="S1852" s="32"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32">
        <f t="shared" si="471"/>
        <v>1900</v>
      </c>
      <c r="U1852" s="29"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3"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9"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9">
        <v>1879</v>
      </c>
      <c r="Y1852" s="29" t="str">
        <f t="shared" si="464"/>
        <v>[' ', '', '', '--', '00 gennaio 1900', '00/01/1900', '1900/01/00'],</v>
      </c>
      <c r="Z1852" s="29" t="str">
        <f t="shared" si="465"/>
        <v xml:space="preserve"> () |  </v>
      </c>
      <c r="AA1852" s="29" t="str">
        <f t="shared" si="466"/>
        <v xml:space="preserve"> </v>
      </c>
      <c r="AB1852" s="29" t="str">
        <f t="shared" si="467"/>
        <v xml:space="preserve"> </v>
      </c>
      <c r="AC1852" s="29" t="str">
        <f t="shared" si="468"/>
        <v xml:space="preserve"> , 0 , 00 gennaio 1900</v>
      </c>
      <c r="AD1852" s="29" t="str">
        <f t="shared" si="469"/>
        <v>1900-01-00T08:00:00.000+02:00</v>
      </c>
      <c r="AE1852" s="29" t="str">
        <f t="shared" si="474"/>
        <v>--</v>
      </c>
      <c r="AF1852" s="29" t="str">
        <f t="shared" si="475"/>
        <v xml:space="preserve">  - 0 - </v>
      </c>
    </row>
    <row r="1853" spans="8:32" x14ac:dyDescent="0.2">
      <c r="H1853" s="29" t="str">
        <f t="shared" si="472"/>
        <v xml:space="preserve"> </v>
      </c>
      <c r="L1853" s="29">
        <f t="shared" si="473"/>
        <v>0</v>
      </c>
      <c r="Q1853" s="38"/>
      <c r="R1853" s="32">
        <f t="shared" si="470"/>
        <v>0</v>
      </c>
      <c r="S1853" s="32"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32">
        <f t="shared" si="471"/>
        <v>1900</v>
      </c>
      <c r="U1853" s="29"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3"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9"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9">
        <v>1880</v>
      </c>
      <c r="Y1853" s="29" t="str">
        <f t="shared" si="464"/>
        <v>[' ', '', '', '--', '00 gennaio 1900', '00/01/1900', '1900/01/00'],</v>
      </c>
      <c r="Z1853" s="29" t="str">
        <f t="shared" si="465"/>
        <v xml:space="preserve"> () |  </v>
      </c>
      <c r="AA1853" s="29" t="str">
        <f t="shared" si="466"/>
        <v xml:space="preserve"> </v>
      </c>
      <c r="AB1853" s="29" t="str">
        <f t="shared" si="467"/>
        <v xml:space="preserve"> </v>
      </c>
      <c r="AC1853" s="29" t="str">
        <f t="shared" si="468"/>
        <v xml:space="preserve"> , 0 , 00 gennaio 1900</v>
      </c>
      <c r="AD1853" s="29" t="str">
        <f t="shared" si="469"/>
        <v>1900-01-00T08:00:00.000+02:00</v>
      </c>
      <c r="AE1853" s="29" t="str">
        <f t="shared" si="474"/>
        <v>--</v>
      </c>
      <c r="AF1853" s="29" t="str">
        <f t="shared" si="475"/>
        <v xml:space="preserve">  - 0 - </v>
      </c>
    </row>
    <row r="1854" spans="8:32" x14ac:dyDescent="0.2">
      <c r="H1854" s="29" t="str">
        <f t="shared" si="472"/>
        <v xml:space="preserve"> </v>
      </c>
      <c r="L1854" s="29">
        <f t="shared" si="473"/>
        <v>0</v>
      </c>
      <c r="Q1854" s="38"/>
      <c r="R1854" s="32">
        <f t="shared" si="470"/>
        <v>0</v>
      </c>
      <c r="S1854" s="32"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32">
        <f t="shared" si="471"/>
        <v>1900</v>
      </c>
      <c r="U1854" s="29"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3"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9"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9">
        <v>1881</v>
      </c>
      <c r="Y1854" s="29" t="str">
        <f t="shared" si="464"/>
        <v>[' ', '', '', '--', '00 gennaio 1900', '00/01/1900', '1900/01/00'],</v>
      </c>
      <c r="Z1854" s="29" t="str">
        <f t="shared" si="465"/>
        <v xml:space="preserve"> () |  </v>
      </c>
      <c r="AA1854" s="29" t="str">
        <f t="shared" si="466"/>
        <v xml:space="preserve"> </v>
      </c>
      <c r="AB1854" s="29" t="str">
        <f t="shared" si="467"/>
        <v xml:space="preserve"> </v>
      </c>
      <c r="AC1854" s="29" t="str">
        <f t="shared" si="468"/>
        <v xml:space="preserve"> , 0 , 00 gennaio 1900</v>
      </c>
      <c r="AD1854" s="29" t="str">
        <f t="shared" si="469"/>
        <v>1900-01-00T08:00:00.000+02:00</v>
      </c>
      <c r="AE1854" s="29" t="str">
        <f t="shared" si="474"/>
        <v>--</v>
      </c>
      <c r="AF1854" s="29" t="str">
        <f t="shared" si="475"/>
        <v xml:space="preserve">  - 0 - </v>
      </c>
    </row>
    <row r="1855" spans="8:32" x14ac:dyDescent="0.2">
      <c r="H1855" s="29" t="str">
        <f t="shared" si="472"/>
        <v xml:space="preserve"> </v>
      </c>
      <c r="L1855" s="29">
        <f t="shared" si="473"/>
        <v>0</v>
      </c>
      <c r="Q1855" s="38"/>
      <c r="R1855" s="32">
        <f t="shared" si="470"/>
        <v>0</v>
      </c>
      <c r="S1855" s="32"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32">
        <f t="shared" si="471"/>
        <v>1900</v>
      </c>
      <c r="U1855" s="29"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3"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9"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9">
        <v>1882</v>
      </c>
      <c r="Y1855" s="29" t="str">
        <f t="shared" si="464"/>
        <v>[' ', '', '', '--', '00 gennaio 1900', '00/01/1900', '1900/01/00'],</v>
      </c>
      <c r="Z1855" s="29" t="str">
        <f t="shared" si="465"/>
        <v xml:space="preserve"> () |  </v>
      </c>
      <c r="AA1855" s="29" t="str">
        <f t="shared" si="466"/>
        <v xml:space="preserve"> </v>
      </c>
      <c r="AB1855" s="29" t="str">
        <f t="shared" si="467"/>
        <v xml:space="preserve"> </v>
      </c>
      <c r="AC1855" s="29" t="str">
        <f t="shared" si="468"/>
        <v xml:space="preserve"> , 0 , 00 gennaio 1900</v>
      </c>
      <c r="AD1855" s="29" t="str">
        <f t="shared" si="469"/>
        <v>1900-01-00T08:00:00.000+02:00</v>
      </c>
      <c r="AE1855" s="29" t="str">
        <f t="shared" si="474"/>
        <v>--</v>
      </c>
      <c r="AF1855" s="29" t="str">
        <f t="shared" si="475"/>
        <v xml:space="preserve">  - 0 - </v>
      </c>
    </row>
    <row r="1856" spans="8:32" x14ac:dyDescent="0.2">
      <c r="H1856" s="29" t="str">
        <f t="shared" si="472"/>
        <v xml:space="preserve"> </v>
      </c>
      <c r="L1856" s="29">
        <f t="shared" si="473"/>
        <v>0</v>
      </c>
      <c r="Q1856" s="38"/>
      <c r="R1856" s="32">
        <f t="shared" si="470"/>
        <v>0</v>
      </c>
      <c r="S1856" s="32"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32">
        <f t="shared" si="471"/>
        <v>1900</v>
      </c>
      <c r="U1856" s="29"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3"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9"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9">
        <v>1883</v>
      </c>
      <c r="Y1856" s="29" t="str">
        <f t="shared" si="464"/>
        <v>[' ', '', '', '--', '00 gennaio 1900', '00/01/1900', '1900/01/00'],</v>
      </c>
      <c r="Z1856" s="29" t="str">
        <f t="shared" si="465"/>
        <v xml:space="preserve"> () |  </v>
      </c>
      <c r="AA1856" s="29" t="str">
        <f t="shared" si="466"/>
        <v xml:space="preserve"> </v>
      </c>
      <c r="AB1856" s="29" t="str">
        <f t="shared" si="467"/>
        <v xml:space="preserve"> </v>
      </c>
      <c r="AC1856" s="29" t="str">
        <f t="shared" si="468"/>
        <v xml:space="preserve"> , 0 , 00 gennaio 1900</v>
      </c>
      <c r="AD1856" s="29" t="str">
        <f t="shared" si="469"/>
        <v>1900-01-00T08:00:00.000+02:00</v>
      </c>
      <c r="AE1856" s="29" t="str">
        <f t="shared" si="474"/>
        <v>--</v>
      </c>
      <c r="AF1856" s="29" t="str">
        <f t="shared" si="475"/>
        <v xml:space="preserve">  - 0 - </v>
      </c>
    </row>
    <row r="1857" spans="8:32" x14ac:dyDescent="0.2">
      <c r="H1857" s="29" t="str">
        <f t="shared" si="472"/>
        <v xml:space="preserve"> </v>
      </c>
      <c r="L1857" s="29">
        <f t="shared" si="473"/>
        <v>0</v>
      </c>
      <c r="Q1857" s="38"/>
      <c r="R1857" s="32">
        <f t="shared" si="470"/>
        <v>0</v>
      </c>
      <c r="S1857" s="32"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32">
        <f t="shared" si="471"/>
        <v>1900</v>
      </c>
      <c r="U1857" s="29"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3"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9"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9">
        <v>1884</v>
      </c>
      <c r="Y1857" s="29" t="str">
        <f t="shared" si="464"/>
        <v>[' ', '', '', '--', '00 gennaio 1900', '00/01/1900', '1900/01/00'],</v>
      </c>
      <c r="Z1857" s="29" t="str">
        <f t="shared" si="465"/>
        <v xml:space="preserve"> () |  </v>
      </c>
      <c r="AA1857" s="29" t="str">
        <f t="shared" si="466"/>
        <v xml:space="preserve"> </v>
      </c>
      <c r="AB1857" s="29" t="str">
        <f t="shared" si="467"/>
        <v xml:space="preserve"> </v>
      </c>
      <c r="AC1857" s="29" t="str">
        <f t="shared" si="468"/>
        <v xml:space="preserve"> , 0 , 00 gennaio 1900</v>
      </c>
      <c r="AD1857" s="29" t="str">
        <f t="shared" si="469"/>
        <v>1900-01-00T08:00:00.000+02:00</v>
      </c>
      <c r="AE1857" s="29" t="str">
        <f t="shared" si="474"/>
        <v>--</v>
      </c>
      <c r="AF1857" s="29" t="str">
        <f t="shared" si="475"/>
        <v xml:space="preserve">  - 0 - </v>
      </c>
    </row>
    <row r="1858" spans="8:32" x14ac:dyDescent="0.2">
      <c r="H1858" s="29" t="str">
        <f t="shared" si="472"/>
        <v xml:space="preserve"> </v>
      </c>
      <c r="L1858" s="29">
        <f t="shared" si="473"/>
        <v>0</v>
      </c>
      <c r="Q1858" s="38"/>
      <c r="R1858" s="32">
        <f t="shared" si="470"/>
        <v>0</v>
      </c>
      <c r="S1858" s="32"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32">
        <f t="shared" si="471"/>
        <v>1900</v>
      </c>
      <c r="U1858" s="29"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3"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9"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9">
        <v>1885</v>
      </c>
      <c r="Y1858" s="29" t="str">
        <f t="shared" ref="Y1858:Y1921" si="476">_xlfn.CONCAT("[" &amp; "'" &amp; D1858 &amp; " " &amp; E1858 &amp; "'" &amp; ", " &amp; "'" &amp; K1858 &amp; "'"&amp; ", " &amp; "'" &amp; O1858 &amp; "'" &amp; ", " &amp; "'" &amp; AE1858 &amp; "'" &amp; ", " &amp; "'" &amp; W1858 &amp; "'" &amp; ", " &amp; "'" &amp; U1858 &amp; "'" &amp; ", " &amp; "'" &amp; V1858 &amp; "'" &amp; "],")</f>
        <v>[' ', '', '', '--', '00 gennaio 1900', '00/01/1900', '1900/01/00'],</v>
      </c>
      <c r="Z1858" s="29" t="str">
        <f t="shared" ref="Z1858:Z1921" si="477">_xlfn.CONCAT(O1858 &amp; " (" &amp; Q1858 &amp; ") | " &amp; D1858 &amp; " " &amp; E1858)</f>
        <v xml:space="preserve"> () |  </v>
      </c>
      <c r="AA1858" s="29" t="str">
        <f t="shared" ref="AA1858:AA1921" si="478">_xlfn.CONCAT(K1858 &amp; " " &amp; O1858)</f>
        <v xml:space="preserve"> </v>
      </c>
      <c r="AB1858" s="29" t="str">
        <f t="shared" ref="AB1858:AB1921" si="479">_xlfn.CONCAT(K1858 &amp; " " &amp; O1858)</f>
        <v xml:space="preserve"> </v>
      </c>
      <c r="AC1858" s="29" t="str">
        <f t="shared" ref="AC1858:AC1921" si="480">_xlfn.CONCAT(H1858 &amp; ", " &amp; L1858 &amp; " " &amp; O1858 &amp; ", " &amp; LEFT(U1858,2) &amp; " " &amp; TEXT(VALUE(MID(U1858,4,2))*29,"mmmm") &amp; " " &amp; RIGHT(U1858,4))</f>
        <v xml:space="preserve"> , 0 , 00 gennaio 1900</v>
      </c>
      <c r="AD1858" s="29" t="str">
        <f t="shared" ref="AD1858:AD1921" si="481">_xlfn.CONCAT(RIGHT(U1858,4) &amp; "-" &amp; MID(U1858,4,2) &amp; "-" &amp; LEFT(U1858,2) &amp; "T08:00:00.000+02:00")</f>
        <v>1900-01-00T08:00:00.000+02:00</v>
      </c>
      <c r="AE1858" s="29" t="str">
        <f t="shared" si="474"/>
        <v>--</v>
      </c>
      <c r="AF1858" s="29" t="str">
        <f t="shared" si="475"/>
        <v xml:space="preserve">  - 0 - </v>
      </c>
    </row>
    <row r="1859" spans="8:32" x14ac:dyDescent="0.2">
      <c r="H1859" s="29" t="str">
        <f t="shared" si="472"/>
        <v xml:space="preserve"> </v>
      </c>
      <c r="L1859" s="29">
        <f t="shared" si="473"/>
        <v>0</v>
      </c>
      <c r="Q1859" s="38"/>
      <c r="R1859" s="32">
        <f t="shared" si="470"/>
        <v>0</v>
      </c>
      <c r="S1859" s="32"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32">
        <f t="shared" si="471"/>
        <v>1900</v>
      </c>
      <c r="U1859" s="29"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3"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9"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9">
        <v>1886</v>
      </c>
      <c r="Y1859" s="29" t="str">
        <f t="shared" si="476"/>
        <v>[' ', '', '', '--', '00 gennaio 1900', '00/01/1900', '1900/01/00'],</v>
      </c>
      <c r="Z1859" s="29" t="str">
        <f t="shared" si="477"/>
        <v xml:space="preserve"> () |  </v>
      </c>
      <c r="AA1859" s="29" t="str">
        <f t="shared" si="478"/>
        <v xml:space="preserve"> </v>
      </c>
      <c r="AB1859" s="29" t="str">
        <f t="shared" si="479"/>
        <v xml:space="preserve"> </v>
      </c>
      <c r="AC1859" s="29" t="str">
        <f t="shared" si="480"/>
        <v xml:space="preserve"> , 0 , 00 gennaio 1900</v>
      </c>
      <c r="AD1859" s="29" t="str">
        <f t="shared" si="481"/>
        <v>1900-01-00T08:00:00.000+02:00</v>
      </c>
      <c r="AE1859" s="29" t="str">
        <f t="shared" si="474"/>
        <v>--</v>
      </c>
      <c r="AF1859" s="29" t="str">
        <f t="shared" si="475"/>
        <v xml:space="preserve">  - 0 - </v>
      </c>
    </row>
    <row r="1860" spans="8:32" x14ac:dyDescent="0.2">
      <c r="H1860" s="29" t="str">
        <f t="shared" si="472"/>
        <v xml:space="preserve"> </v>
      </c>
      <c r="L1860" s="29">
        <f t="shared" si="473"/>
        <v>0</v>
      </c>
      <c r="Q1860" s="38"/>
      <c r="R1860" s="32">
        <f t="shared" si="470"/>
        <v>0</v>
      </c>
      <c r="S1860" s="32"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32">
        <f t="shared" si="471"/>
        <v>1900</v>
      </c>
      <c r="U1860" s="29"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3"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9"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9">
        <v>1887</v>
      </c>
      <c r="Y1860" s="29" t="str">
        <f t="shared" si="476"/>
        <v>[' ', '', '', '--', '00 gennaio 1900', '00/01/1900', '1900/01/00'],</v>
      </c>
      <c r="Z1860" s="29" t="str">
        <f t="shared" si="477"/>
        <v xml:space="preserve"> () |  </v>
      </c>
      <c r="AA1860" s="29" t="str">
        <f t="shared" si="478"/>
        <v xml:space="preserve"> </v>
      </c>
      <c r="AB1860" s="29" t="str">
        <f t="shared" si="479"/>
        <v xml:space="preserve"> </v>
      </c>
      <c r="AC1860" s="29" t="str">
        <f t="shared" si="480"/>
        <v xml:space="preserve"> , 0 , 00 gennaio 1900</v>
      </c>
      <c r="AD1860" s="29" t="str">
        <f t="shared" si="481"/>
        <v>1900-01-00T08:00:00.000+02:00</v>
      </c>
      <c r="AE1860" s="29" t="str">
        <f t="shared" si="474"/>
        <v>--</v>
      </c>
      <c r="AF1860" s="29" t="str">
        <f t="shared" si="475"/>
        <v xml:space="preserve">  - 0 - </v>
      </c>
    </row>
    <row r="1861" spans="8:32" x14ac:dyDescent="0.2">
      <c r="H1861" s="29" t="str">
        <f t="shared" si="472"/>
        <v xml:space="preserve"> </v>
      </c>
      <c r="L1861" s="29">
        <f t="shared" si="473"/>
        <v>0</v>
      </c>
      <c r="Q1861" s="38"/>
      <c r="R1861" s="32">
        <f t="shared" si="470"/>
        <v>0</v>
      </c>
      <c r="S1861" s="32"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32">
        <f t="shared" si="471"/>
        <v>1900</v>
      </c>
      <c r="U1861" s="29"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3"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9"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9">
        <v>1888</v>
      </c>
      <c r="Y1861" s="29" t="str">
        <f t="shared" si="476"/>
        <v>[' ', '', '', '--', '00 gennaio 1900', '00/01/1900', '1900/01/00'],</v>
      </c>
      <c r="Z1861" s="29" t="str">
        <f t="shared" si="477"/>
        <v xml:space="preserve"> () |  </v>
      </c>
      <c r="AA1861" s="29" t="str">
        <f t="shared" si="478"/>
        <v xml:space="preserve"> </v>
      </c>
      <c r="AB1861" s="29" t="str">
        <f t="shared" si="479"/>
        <v xml:space="preserve"> </v>
      </c>
      <c r="AC1861" s="29" t="str">
        <f t="shared" si="480"/>
        <v xml:space="preserve"> , 0 , 00 gennaio 1900</v>
      </c>
      <c r="AD1861" s="29" t="str">
        <f t="shared" si="481"/>
        <v>1900-01-00T08:00:00.000+02:00</v>
      </c>
      <c r="AE1861" s="29" t="str">
        <f t="shared" si="474"/>
        <v>--</v>
      </c>
      <c r="AF1861" s="29" t="str">
        <f t="shared" si="475"/>
        <v xml:space="preserve">  - 0 - </v>
      </c>
    </row>
    <row r="1862" spans="8:32" x14ac:dyDescent="0.2">
      <c r="H1862" s="29" t="str">
        <f t="shared" si="472"/>
        <v xml:space="preserve"> </v>
      </c>
      <c r="L1862" s="29">
        <f t="shared" si="473"/>
        <v>0</v>
      </c>
      <c r="Q1862" s="38"/>
      <c r="R1862" s="32">
        <f t="shared" si="470"/>
        <v>0</v>
      </c>
      <c r="S1862" s="32"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32">
        <f t="shared" si="471"/>
        <v>1900</v>
      </c>
      <c r="U1862" s="29"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3"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9"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9">
        <v>1889</v>
      </c>
      <c r="Y1862" s="29" t="str">
        <f t="shared" si="476"/>
        <v>[' ', '', '', '--', '00 gennaio 1900', '00/01/1900', '1900/01/00'],</v>
      </c>
      <c r="Z1862" s="29" t="str">
        <f t="shared" si="477"/>
        <v xml:space="preserve"> () |  </v>
      </c>
      <c r="AA1862" s="29" t="str">
        <f t="shared" si="478"/>
        <v xml:space="preserve"> </v>
      </c>
      <c r="AB1862" s="29" t="str">
        <f t="shared" si="479"/>
        <v xml:space="preserve"> </v>
      </c>
      <c r="AC1862" s="29" t="str">
        <f t="shared" si="480"/>
        <v xml:space="preserve"> , 0 , 00 gennaio 1900</v>
      </c>
      <c r="AD1862" s="29" t="str">
        <f t="shared" si="481"/>
        <v>1900-01-00T08:00:00.000+02:00</v>
      </c>
      <c r="AE1862" s="29" t="str">
        <f t="shared" si="474"/>
        <v>--</v>
      </c>
      <c r="AF1862" s="29" t="str">
        <f t="shared" si="475"/>
        <v xml:space="preserve">  - 0 - </v>
      </c>
    </row>
    <row r="1863" spans="8:32" x14ac:dyDescent="0.2">
      <c r="H1863" s="29" t="str">
        <f t="shared" si="472"/>
        <v xml:space="preserve"> </v>
      </c>
      <c r="L1863" s="29">
        <f t="shared" si="473"/>
        <v>0</v>
      </c>
      <c r="Q1863" s="38"/>
      <c r="R1863" s="32">
        <f t="shared" si="470"/>
        <v>0</v>
      </c>
      <c r="S1863" s="32"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32">
        <f t="shared" si="471"/>
        <v>1900</v>
      </c>
      <c r="U1863" s="29"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3"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9"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9">
        <v>1890</v>
      </c>
      <c r="Y1863" s="29" t="str">
        <f t="shared" si="476"/>
        <v>[' ', '', '', '--', '00 gennaio 1900', '00/01/1900', '1900/01/00'],</v>
      </c>
      <c r="Z1863" s="29" t="str">
        <f t="shared" si="477"/>
        <v xml:space="preserve"> () |  </v>
      </c>
      <c r="AA1863" s="29" t="str">
        <f t="shared" si="478"/>
        <v xml:space="preserve"> </v>
      </c>
      <c r="AB1863" s="29" t="str">
        <f t="shared" si="479"/>
        <v xml:space="preserve"> </v>
      </c>
      <c r="AC1863" s="29" t="str">
        <f t="shared" si="480"/>
        <v xml:space="preserve"> , 0 , 00 gennaio 1900</v>
      </c>
      <c r="AD1863" s="29" t="str">
        <f t="shared" si="481"/>
        <v>1900-01-00T08:00:00.000+02:00</v>
      </c>
      <c r="AE1863" s="29" t="str">
        <f t="shared" si="474"/>
        <v>--</v>
      </c>
      <c r="AF1863" s="29" t="str">
        <f t="shared" si="475"/>
        <v xml:space="preserve">  - 0 - </v>
      </c>
    </row>
    <row r="1864" spans="8:32" x14ac:dyDescent="0.2">
      <c r="H1864" s="29" t="str">
        <f t="shared" si="472"/>
        <v xml:space="preserve"> </v>
      </c>
      <c r="L1864" s="29">
        <f t="shared" si="473"/>
        <v>0</v>
      </c>
      <c r="Q1864" s="38"/>
      <c r="R1864" s="32">
        <f t="shared" si="470"/>
        <v>0</v>
      </c>
      <c r="S1864" s="32"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32">
        <f t="shared" si="471"/>
        <v>1900</v>
      </c>
      <c r="U1864" s="29"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3"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9"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9">
        <v>1891</v>
      </c>
      <c r="Y1864" s="29" t="str">
        <f t="shared" si="476"/>
        <v>[' ', '', '', '--', '00 gennaio 1900', '00/01/1900', '1900/01/00'],</v>
      </c>
      <c r="Z1864" s="29" t="str">
        <f t="shared" si="477"/>
        <v xml:space="preserve"> () |  </v>
      </c>
      <c r="AA1864" s="29" t="str">
        <f t="shared" si="478"/>
        <v xml:space="preserve"> </v>
      </c>
      <c r="AB1864" s="29" t="str">
        <f t="shared" si="479"/>
        <v xml:space="preserve"> </v>
      </c>
      <c r="AC1864" s="29" t="str">
        <f t="shared" si="480"/>
        <v xml:space="preserve"> , 0 , 00 gennaio 1900</v>
      </c>
      <c r="AD1864" s="29" t="str">
        <f t="shared" si="481"/>
        <v>1900-01-00T08:00:00.000+02:00</v>
      </c>
      <c r="AE1864" s="29" t="str">
        <f t="shared" si="474"/>
        <v>--</v>
      </c>
      <c r="AF1864" s="29" t="str">
        <f t="shared" si="475"/>
        <v xml:space="preserve">  - 0 - </v>
      </c>
    </row>
    <row r="1865" spans="8:32" x14ac:dyDescent="0.2">
      <c r="H1865" s="29" t="str">
        <f t="shared" si="472"/>
        <v xml:space="preserve"> </v>
      </c>
      <c r="L1865" s="29">
        <f t="shared" si="473"/>
        <v>0</v>
      </c>
      <c r="Q1865" s="38"/>
      <c r="R1865" s="32">
        <f t="shared" si="470"/>
        <v>0</v>
      </c>
      <c r="S1865" s="32"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32">
        <f t="shared" si="471"/>
        <v>1900</v>
      </c>
      <c r="U1865" s="29"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3"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9"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9">
        <v>1892</v>
      </c>
      <c r="Y1865" s="29" t="str">
        <f t="shared" si="476"/>
        <v>[' ', '', '', '--', '00 gennaio 1900', '00/01/1900', '1900/01/00'],</v>
      </c>
      <c r="Z1865" s="29" t="str">
        <f t="shared" si="477"/>
        <v xml:space="preserve"> () |  </v>
      </c>
      <c r="AA1865" s="29" t="str">
        <f t="shared" si="478"/>
        <v xml:space="preserve"> </v>
      </c>
      <c r="AB1865" s="29" t="str">
        <f t="shared" si="479"/>
        <v xml:space="preserve"> </v>
      </c>
      <c r="AC1865" s="29" t="str">
        <f t="shared" si="480"/>
        <v xml:space="preserve"> , 0 , 00 gennaio 1900</v>
      </c>
      <c r="AD1865" s="29" t="str">
        <f t="shared" si="481"/>
        <v>1900-01-00T08:00:00.000+02:00</v>
      </c>
      <c r="AE1865" s="29" t="str">
        <f t="shared" si="474"/>
        <v>--</v>
      </c>
      <c r="AF1865" s="29" t="str">
        <f t="shared" si="475"/>
        <v xml:space="preserve">  - 0 - </v>
      </c>
    </row>
    <row r="1866" spans="8:32" x14ac:dyDescent="0.2">
      <c r="H1866" s="29" t="str">
        <f t="shared" si="472"/>
        <v xml:space="preserve"> </v>
      </c>
      <c r="L1866" s="29">
        <f t="shared" si="473"/>
        <v>0</v>
      </c>
      <c r="Q1866" s="38"/>
      <c r="R1866" s="32">
        <f t="shared" si="470"/>
        <v>0</v>
      </c>
      <c r="S1866" s="32"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32">
        <f t="shared" si="471"/>
        <v>1900</v>
      </c>
      <c r="U1866" s="29"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3"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9"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9">
        <v>1893</v>
      </c>
      <c r="Y1866" s="29" t="str">
        <f t="shared" si="476"/>
        <v>[' ', '', '', '--', '00 gennaio 1900', '00/01/1900', '1900/01/00'],</v>
      </c>
      <c r="Z1866" s="29" t="str">
        <f t="shared" si="477"/>
        <v xml:space="preserve"> () |  </v>
      </c>
      <c r="AA1866" s="29" t="str">
        <f t="shared" si="478"/>
        <v xml:space="preserve"> </v>
      </c>
      <c r="AB1866" s="29" t="str">
        <f t="shared" si="479"/>
        <v xml:space="preserve"> </v>
      </c>
      <c r="AC1866" s="29" t="str">
        <f t="shared" si="480"/>
        <v xml:space="preserve"> , 0 , 00 gennaio 1900</v>
      </c>
      <c r="AD1866" s="29" t="str">
        <f t="shared" si="481"/>
        <v>1900-01-00T08:00:00.000+02:00</v>
      </c>
      <c r="AE1866" s="29" t="str">
        <f t="shared" si="474"/>
        <v>--</v>
      </c>
      <c r="AF1866" s="29" t="str">
        <f t="shared" si="475"/>
        <v xml:space="preserve">  - 0 - </v>
      </c>
    </row>
    <row r="1867" spans="8:32" x14ac:dyDescent="0.2">
      <c r="H1867" s="29" t="str">
        <f t="shared" si="472"/>
        <v xml:space="preserve"> </v>
      </c>
      <c r="L1867" s="29">
        <f t="shared" si="473"/>
        <v>0</v>
      </c>
      <c r="Q1867" s="38"/>
      <c r="R1867" s="32">
        <f t="shared" si="470"/>
        <v>0</v>
      </c>
      <c r="S1867" s="32"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32">
        <f t="shared" si="471"/>
        <v>1900</v>
      </c>
      <c r="U1867" s="29"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3"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9"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9">
        <v>1894</v>
      </c>
      <c r="Y1867" s="29" t="str">
        <f t="shared" si="476"/>
        <v>[' ', '', '', '--', '00 gennaio 1900', '00/01/1900', '1900/01/00'],</v>
      </c>
      <c r="Z1867" s="29" t="str">
        <f t="shared" si="477"/>
        <v xml:space="preserve"> () |  </v>
      </c>
      <c r="AA1867" s="29" t="str">
        <f t="shared" si="478"/>
        <v xml:space="preserve"> </v>
      </c>
      <c r="AB1867" s="29" t="str">
        <f t="shared" si="479"/>
        <v xml:space="preserve"> </v>
      </c>
      <c r="AC1867" s="29" t="str">
        <f t="shared" si="480"/>
        <v xml:space="preserve"> , 0 , 00 gennaio 1900</v>
      </c>
      <c r="AD1867" s="29" t="str">
        <f t="shared" si="481"/>
        <v>1900-01-00T08:00:00.000+02:00</v>
      </c>
      <c r="AE1867" s="29" t="str">
        <f t="shared" si="474"/>
        <v>--</v>
      </c>
      <c r="AF1867" s="29" t="str">
        <f t="shared" si="475"/>
        <v xml:space="preserve">  - 0 - </v>
      </c>
    </row>
    <row r="1868" spans="8:32" x14ac:dyDescent="0.2">
      <c r="H1868" s="29" t="str">
        <f t="shared" si="472"/>
        <v xml:space="preserve"> </v>
      </c>
      <c r="L1868" s="29">
        <f t="shared" si="473"/>
        <v>0</v>
      </c>
      <c r="Q1868" s="38"/>
      <c r="R1868" s="32">
        <f t="shared" si="470"/>
        <v>0</v>
      </c>
      <c r="S1868" s="32"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32">
        <f t="shared" si="471"/>
        <v>1900</v>
      </c>
      <c r="U1868" s="29"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3"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9"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9">
        <v>1895</v>
      </c>
      <c r="Y1868" s="29" t="str">
        <f t="shared" si="476"/>
        <v>[' ', '', '', '--', '00 gennaio 1900', '00/01/1900', '1900/01/00'],</v>
      </c>
      <c r="Z1868" s="29" t="str">
        <f t="shared" si="477"/>
        <v xml:space="preserve"> () |  </v>
      </c>
      <c r="AA1868" s="29" t="str">
        <f t="shared" si="478"/>
        <v xml:space="preserve"> </v>
      </c>
      <c r="AB1868" s="29" t="str">
        <f t="shared" si="479"/>
        <v xml:space="preserve"> </v>
      </c>
      <c r="AC1868" s="29" t="str">
        <f t="shared" si="480"/>
        <v xml:space="preserve"> , 0 , 00 gennaio 1900</v>
      </c>
      <c r="AD1868" s="29" t="str">
        <f t="shared" si="481"/>
        <v>1900-01-00T08:00:00.000+02:00</v>
      </c>
      <c r="AE1868" s="29" t="str">
        <f t="shared" si="474"/>
        <v>--</v>
      </c>
      <c r="AF1868" s="29" t="str">
        <f t="shared" si="475"/>
        <v xml:space="preserve">  - 0 - </v>
      </c>
    </row>
    <row r="1869" spans="8:32" x14ac:dyDescent="0.2">
      <c r="H1869" s="29" t="str">
        <f t="shared" si="472"/>
        <v xml:space="preserve"> </v>
      </c>
      <c r="L1869" s="29">
        <f t="shared" si="473"/>
        <v>0</v>
      </c>
      <c r="Q1869" s="38"/>
      <c r="R1869" s="32">
        <f t="shared" si="470"/>
        <v>0</v>
      </c>
      <c r="S1869" s="32"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32">
        <f t="shared" si="471"/>
        <v>1900</v>
      </c>
      <c r="U1869" s="29"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3"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9"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9">
        <v>1896</v>
      </c>
      <c r="Y1869" s="29" t="str">
        <f t="shared" si="476"/>
        <v>[' ', '', '', '--', '00 gennaio 1900', '00/01/1900', '1900/01/00'],</v>
      </c>
      <c r="Z1869" s="29" t="str">
        <f t="shared" si="477"/>
        <v xml:space="preserve"> () |  </v>
      </c>
      <c r="AA1869" s="29" t="str">
        <f t="shared" si="478"/>
        <v xml:space="preserve"> </v>
      </c>
      <c r="AB1869" s="29" t="str">
        <f t="shared" si="479"/>
        <v xml:space="preserve"> </v>
      </c>
      <c r="AC1869" s="29" t="str">
        <f t="shared" si="480"/>
        <v xml:space="preserve"> , 0 , 00 gennaio 1900</v>
      </c>
      <c r="AD1869" s="29" t="str">
        <f t="shared" si="481"/>
        <v>1900-01-00T08:00:00.000+02:00</v>
      </c>
      <c r="AE1869" s="29" t="str">
        <f t="shared" si="474"/>
        <v>--</v>
      </c>
      <c r="AF1869" s="29" t="str">
        <f t="shared" si="475"/>
        <v xml:space="preserve">  - 0 - </v>
      </c>
    </row>
    <row r="1870" spans="8:32" x14ac:dyDescent="0.2">
      <c r="H1870" s="29" t="str">
        <f t="shared" si="472"/>
        <v xml:space="preserve"> </v>
      </c>
      <c r="L1870" s="29">
        <f t="shared" si="473"/>
        <v>0</v>
      </c>
      <c r="Q1870" s="38"/>
      <c r="R1870" s="32">
        <f t="shared" si="470"/>
        <v>0</v>
      </c>
      <c r="S1870" s="32"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32">
        <f t="shared" si="471"/>
        <v>1900</v>
      </c>
      <c r="U1870" s="29"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3"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9"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9">
        <v>1897</v>
      </c>
      <c r="Y1870" s="29" t="str">
        <f t="shared" si="476"/>
        <v>[' ', '', '', '--', '00 gennaio 1900', '00/01/1900', '1900/01/00'],</v>
      </c>
      <c r="Z1870" s="29" t="str">
        <f t="shared" si="477"/>
        <v xml:space="preserve"> () |  </v>
      </c>
      <c r="AA1870" s="29" t="str">
        <f t="shared" si="478"/>
        <v xml:space="preserve"> </v>
      </c>
      <c r="AB1870" s="29" t="str">
        <f t="shared" si="479"/>
        <v xml:space="preserve"> </v>
      </c>
      <c r="AC1870" s="29" t="str">
        <f t="shared" si="480"/>
        <v xml:space="preserve"> , 0 , 00 gennaio 1900</v>
      </c>
      <c r="AD1870" s="29" t="str">
        <f t="shared" si="481"/>
        <v>1900-01-00T08:00:00.000+02:00</v>
      </c>
      <c r="AE1870" s="29" t="str">
        <f t="shared" si="474"/>
        <v>--</v>
      </c>
      <c r="AF1870" s="29" t="str">
        <f t="shared" si="475"/>
        <v xml:space="preserve">  - 0 - </v>
      </c>
    </row>
    <row r="1871" spans="8:32" x14ac:dyDescent="0.2">
      <c r="H1871" s="29" t="str">
        <f t="shared" si="472"/>
        <v xml:space="preserve"> </v>
      </c>
      <c r="L1871" s="29">
        <f t="shared" si="473"/>
        <v>0</v>
      </c>
      <c r="Q1871" s="38"/>
      <c r="R1871" s="32">
        <f t="shared" si="470"/>
        <v>0</v>
      </c>
      <c r="S1871" s="32"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32">
        <f t="shared" si="471"/>
        <v>1900</v>
      </c>
      <c r="U1871" s="29"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3"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9"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9">
        <v>1898</v>
      </c>
      <c r="Y1871" s="29" t="str">
        <f t="shared" si="476"/>
        <v>[' ', '', '', '--', '00 gennaio 1900', '00/01/1900', '1900/01/00'],</v>
      </c>
      <c r="Z1871" s="29" t="str">
        <f t="shared" si="477"/>
        <v xml:space="preserve"> () |  </v>
      </c>
      <c r="AA1871" s="29" t="str">
        <f t="shared" si="478"/>
        <v xml:space="preserve"> </v>
      </c>
      <c r="AB1871" s="29" t="str">
        <f t="shared" si="479"/>
        <v xml:space="preserve"> </v>
      </c>
      <c r="AC1871" s="29" t="str">
        <f t="shared" si="480"/>
        <v xml:space="preserve"> , 0 , 00 gennaio 1900</v>
      </c>
      <c r="AD1871" s="29" t="str">
        <f t="shared" si="481"/>
        <v>1900-01-00T08:00:00.000+02:00</v>
      </c>
      <c r="AE1871" s="29" t="str">
        <f t="shared" si="474"/>
        <v>--</v>
      </c>
      <c r="AF1871" s="29" t="str">
        <f t="shared" si="475"/>
        <v xml:space="preserve">  - 0 - </v>
      </c>
    </row>
    <row r="1872" spans="8:32" x14ac:dyDescent="0.2">
      <c r="H1872" s="29" t="str">
        <f t="shared" si="472"/>
        <v xml:space="preserve"> </v>
      </c>
      <c r="L1872" s="29">
        <f t="shared" si="473"/>
        <v>0</v>
      </c>
      <c r="Q1872" s="38"/>
      <c r="R1872" s="32">
        <f t="shared" si="470"/>
        <v>0</v>
      </c>
      <c r="S1872" s="32"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32">
        <f t="shared" si="471"/>
        <v>1900</v>
      </c>
      <c r="U1872" s="29"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3"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9"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9">
        <v>1899</v>
      </c>
      <c r="Y1872" s="29" t="str">
        <f t="shared" si="476"/>
        <v>[' ', '', '', '--', '00 gennaio 1900', '00/01/1900', '1900/01/00'],</v>
      </c>
      <c r="Z1872" s="29" t="str">
        <f t="shared" si="477"/>
        <v xml:space="preserve"> () |  </v>
      </c>
      <c r="AA1872" s="29" t="str">
        <f t="shared" si="478"/>
        <v xml:space="preserve"> </v>
      </c>
      <c r="AB1872" s="29" t="str">
        <f t="shared" si="479"/>
        <v xml:space="preserve"> </v>
      </c>
      <c r="AC1872" s="29" t="str">
        <f t="shared" si="480"/>
        <v xml:space="preserve"> , 0 , 00 gennaio 1900</v>
      </c>
      <c r="AD1872" s="29" t="str">
        <f t="shared" si="481"/>
        <v>1900-01-00T08:00:00.000+02:00</v>
      </c>
      <c r="AE1872" s="29" t="str">
        <f t="shared" si="474"/>
        <v>--</v>
      </c>
      <c r="AF1872" s="29" t="str">
        <f t="shared" si="475"/>
        <v xml:space="preserve">  - 0 - </v>
      </c>
    </row>
    <row r="1873" spans="8:32" x14ac:dyDescent="0.2">
      <c r="H1873" s="29" t="str">
        <f t="shared" si="472"/>
        <v xml:space="preserve"> </v>
      </c>
      <c r="L1873" s="29">
        <f t="shared" si="473"/>
        <v>0</v>
      </c>
      <c r="Q1873" s="38"/>
      <c r="R1873" s="32">
        <f t="shared" si="470"/>
        <v>0</v>
      </c>
      <c r="S1873" s="32"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32">
        <f t="shared" si="471"/>
        <v>1900</v>
      </c>
      <c r="U1873" s="29"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3"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9"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9">
        <v>1900</v>
      </c>
      <c r="Y1873" s="29" t="str">
        <f t="shared" si="476"/>
        <v>[' ', '', '', '--', '00 gennaio 1900', '00/01/1900', '1900/01/00'],</v>
      </c>
      <c r="Z1873" s="29" t="str">
        <f t="shared" si="477"/>
        <v xml:space="preserve"> () |  </v>
      </c>
      <c r="AA1873" s="29" t="str">
        <f t="shared" si="478"/>
        <v xml:space="preserve"> </v>
      </c>
      <c r="AB1873" s="29" t="str">
        <f t="shared" si="479"/>
        <v xml:space="preserve"> </v>
      </c>
      <c r="AC1873" s="29" t="str">
        <f t="shared" si="480"/>
        <v xml:space="preserve"> , 0 , 00 gennaio 1900</v>
      </c>
      <c r="AD1873" s="29" t="str">
        <f t="shared" si="481"/>
        <v>1900-01-00T08:00:00.000+02:00</v>
      </c>
      <c r="AE1873" s="29" t="str">
        <f t="shared" si="474"/>
        <v>--</v>
      </c>
      <c r="AF1873" s="29" t="str">
        <f t="shared" si="475"/>
        <v xml:space="preserve">  - 0 - </v>
      </c>
    </row>
    <row r="1874" spans="8:32" x14ac:dyDescent="0.2">
      <c r="H1874" s="29" t="str">
        <f t="shared" si="472"/>
        <v xml:space="preserve"> </v>
      </c>
      <c r="L1874" s="29">
        <f t="shared" si="473"/>
        <v>0</v>
      </c>
      <c r="Q1874" s="38"/>
      <c r="R1874" s="32">
        <f t="shared" ref="R1874:R1937" si="482">IF(ISERROR(DAY(Q1874)),TEXT((LEFT(Q1874,2)),"00"),DAY(Q1874))</f>
        <v>0</v>
      </c>
      <c r="S1874" s="32"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32">
        <f t="shared" ref="T1874:T1937" si="483">IF(ISERROR(DAY(Q1874)),VALUE(RIGHT(Q1874,4)),YEAR(Q1874))</f>
        <v>1900</v>
      </c>
      <c r="U1874" s="29"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3"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9"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9">
        <v>1901</v>
      </c>
      <c r="Y1874" s="29" t="str">
        <f t="shared" si="476"/>
        <v>[' ', '', '', '--', '00 gennaio 1900', '00/01/1900', '1900/01/00'],</v>
      </c>
      <c r="Z1874" s="29" t="str">
        <f t="shared" si="477"/>
        <v xml:space="preserve"> () |  </v>
      </c>
      <c r="AA1874" s="29" t="str">
        <f t="shared" si="478"/>
        <v xml:space="preserve"> </v>
      </c>
      <c r="AB1874" s="29" t="str">
        <f t="shared" si="479"/>
        <v xml:space="preserve"> </v>
      </c>
      <c r="AC1874" s="29" t="str">
        <f t="shared" si="480"/>
        <v xml:space="preserve"> , 0 , 00 gennaio 1900</v>
      </c>
      <c r="AD1874" s="29" t="str">
        <f t="shared" si="481"/>
        <v>1900-01-00T08:00:00.000+02:00</v>
      </c>
      <c r="AE1874" s="29" t="str">
        <f t="shared" si="474"/>
        <v>--</v>
      </c>
      <c r="AF1874" s="29" t="str">
        <f t="shared" si="475"/>
        <v xml:space="preserve">  - 0 - </v>
      </c>
    </row>
    <row r="1875" spans="8:32" x14ac:dyDescent="0.2">
      <c r="H1875" s="29" t="str">
        <f t="shared" si="472"/>
        <v xml:space="preserve"> </v>
      </c>
      <c r="L1875" s="29">
        <f t="shared" si="473"/>
        <v>0</v>
      </c>
      <c r="Q1875" s="38"/>
      <c r="R1875" s="32">
        <f t="shared" si="482"/>
        <v>0</v>
      </c>
      <c r="S1875" s="32"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32">
        <f t="shared" si="483"/>
        <v>1900</v>
      </c>
      <c r="U1875" s="29"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3"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9"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9">
        <v>1902</v>
      </c>
      <c r="Y1875" s="29" t="str">
        <f t="shared" si="476"/>
        <v>[' ', '', '', '--', '00 gennaio 1900', '00/01/1900', '1900/01/00'],</v>
      </c>
      <c r="Z1875" s="29" t="str">
        <f t="shared" si="477"/>
        <v xml:space="preserve"> () |  </v>
      </c>
      <c r="AA1875" s="29" t="str">
        <f t="shared" si="478"/>
        <v xml:space="preserve"> </v>
      </c>
      <c r="AB1875" s="29" t="str">
        <f t="shared" si="479"/>
        <v xml:space="preserve"> </v>
      </c>
      <c r="AC1875" s="29" t="str">
        <f t="shared" si="480"/>
        <v xml:space="preserve"> , 0 , 00 gennaio 1900</v>
      </c>
      <c r="AD1875" s="29" t="str">
        <f t="shared" si="481"/>
        <v>1900-01-00T08:00:00.000+02:00</v>
      </c>
      <c r="AE1875" s="29" t="str">
        <f t="shared" si="474"/>
        <v>--</v>
      </c>
      <c r="AF1875" s="29" t="str">
        <f t="shared" si="475"/>
        <v xml:space="preserve">  - 0 - </v>
      </c>
    </row>
    <row r="1876" spans="8:32" x14ac:dyDescent="0.2">
      <c r="H1876" s="29" t="str">
        <f t="shared" si="472"/>
        <v xml:space="preserve"> </v>
      </c>
      <c r="L1876" s="29">
        <f t="shared" si="473"/>
        <v>0</v>
      </c>
      <c r="Q1876" s="38"/>
      <c r="R1876" s="32">
        <f t="shared" si="482"/>
        <v>0</v>
      </c>
      <c r="S1876" s="32"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32">
        <f t="shared" si="483"/>
        <v>1900</v>
      </c>
      <c r="U1876" s="29"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3"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9"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9">
        <v>1903</v>
      </c>
      <c r="Y1876" s="29" t="str">
        <f t="shared" si="476"/>
        <v>[' ', '', '', '--', '00 gennaio 1900', '00/01/1900', '1900/01/00'],</v>
      </c>
      <c r="Z1876" s="29" t="str">
        <f t="shared" si="477"/>
        <v xml:space="preserve"> () |  </v>
      </c>
      <c r="AA1876" s="29" t="str">
        <f t="shared" si="478"/>
        <v xml:space="preserve"> </v>
      </c>
      <c r="AB1876" s="29" t="str">
        <f t="shared" si="479"/>
        <v xml:space="preserve"> </v>
      </c>
      <c r="AC1876" s="29" t="str">
        <f t="shared" si="480"/>
        <v xml:space="preserve"> , 0 , 00 gennaio 1900</v>
      </c>
      <c r="AD1876" s="29" t="str">
        <f t="shared" si="481"/>
        <v>1900-01-00T08:00:00.000+02:00</v>
      </c>
      <c r="AE1876" s="29" t="str">
        <f t="shared" si="474"/>
        <v>--</v>
      </c>
      <c r="AF1876" s="29" t="str">
        <f t="shared" si="475"/>
        <v xml:space="preserve">  - 0 - </v>
      </c>
    </row>
    <row r="1877" spans="8:32" x14ac:dyDescent="0.2">
      <c r="H1877" s="29" t="str">
        <f t="shared" si="472"/>
        <v xml:space="preserve"> </v>
      </c>
      <c r="L1877" s="29">
        <f t="shared" si="473"/>
        <v>0</v>
      </c>
      <c r="Q1877" s="38"/>
      <c r="R1877" s="32">
        <f t="shared" si="482"/>
        <v>0</v>
      </c>
      <c r="S1877" s="32"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32">
        <f t="shared" si="483"/>
        <v>1900</v>
      </c>
      <c r="U1877" s="29"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3"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9"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9">
        <v>1904</v>
      </c>
      <c r="Y1877" s="29" t="str">
        <f t="shared" si="476"/>
        <v>[' ', '', '', '--', '00 gennaio 1900', '00/01/1900', '1900/01/00'],</v>
      </c>
      <c r="Z1877" s="29" t="str">
        <f t="shared" si="477"/>
        <v xml:space="preserve"> () |  </v>
      </c>
      <c r="AA1877" s="29" t="str">
        <f t="shared" si="478"/>
        <v xml:space="preserve"> </v>
      </c>
      <c r="AB1877" s="29" t="str">
        <f t="shared" si="479"/>
        <v xml:space="preserve"> </v>
      </c>
      <c r="AC1877" s="29" t="str">
        <f t="shared" si="480"/>
        <v xml:space="preserve"> , 0 , 00 gennaio 1900</v>
      </c>
      <c r="AD1877" s="29" t="str">
        <f t="shared" si="481"/>
        <v>1900-01-00T08:00:00.000+02:00</v>
      </c>
      <c r="AE1877" s="29" t="str">
        <f t="shared" si="474"/>
        <v>--</v>
      </c>
      <c r="AF1877" s="29" t="str">
        <f t="shared" si="475"/>
        <v xml:space="preserve">  - 0 - </v>
      </c>
    </row>
    <row r="1878" spans="8:32" x14ac:dyDescent="0.2">
      <c r="H1878" s="29" t="str">
        <f t="shared" si="472"/>
        <v xml:space="preserve"> </v>
      </c>
      <c r="L1878" s="29">
        <f t="shared" si="473"/>
        <v>0</v>
      </c>
      <c r="Q1878" s="38"/>
      <c r="R1878" s="32">
        <f t="shared" si="482"/>
        <v>0</v>
      </c>
      <c r="S1878" s="32"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32">
        <f t="shared" si="483"/>
        <v>1900</v>
      </c>
      <c r="U1878" s="29"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3"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9"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9">
        <v>1905</v>
      </c>
      <c r="Y1878" s="29" t="str">
        <f t="shared" si="476"/>
        <v>[' ', '', '', '--', '00 gennaio 1900', '00/01/1900', '1900/01/00'],</v>
      </c>
      <c r="Z1878" s="29" t="str">
        <f t="shared" si="477"/>
        <v xml:space="preserve"> () |  </v>
      </c>
      <c r="AA1878" s="29" t="str">
        <f t="shared" si="478"/>
        <v xml:space="preserve"> </v>
      </c>
      <c r="AB1878" s="29" t="str">
        <f t="shared" si="479"/>
        <v xml:space="preserve"> </v>
      </c>
      <c r="AC1878" s="29" t="str">
        <f t="shared" si="480"/>
        <v xml:space="preserve"> , 0 , 00 gennaio 1900</v>
      </c>
      <c r="AD1878" s="29" t="str">
        <f t="shared" si="481"/>
        <v>1900-01-00T08:00:00.000+02:00</v>
      </c>
      <c r="AE1878" s="29" t="str">
        <f t="shared" si="474"/>
        <v>--</v>
      </c>
      <c r="AF1878" s="29" t="str">
        <f t="shared" si="475"/>
        <v xml:space="preserve">  - 0 - </v>
      </c>
    </row>
    <row r="1879" spans="8:32" x14ac:dyDescent="0.2">
      <c r="H1879" s="29" t="str">
        <f t="shared" si="472"/>
        <v xml:space="preserve"> </v>
      </c>
      <c r="L1879" s="29">
        <f t="shared" si="473"/>
        <v>0</v>
      </c>
      <c r="Q1879" s="38"/>
      <c r="R1879" s="32">
        <f t="shared" si="482"/>
        <v>0</v>
      </c>
      <c r="S1879" s="32"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32">
        <f t="shared" si="483"/>
        <v>1900</v>
      </c>
      <c r="U1879" s="29"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3"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9"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9">
        <v>1906</v>
      </c>
      <c r="Y1879" s="29" t="str">
        <f t="shared" si="476"/>
        <v>[' ', '', '', '--', '00 gennaio 1900', '00/01/1900', '1900/01/00'],</v>
      </c>
      <c r="Z1879" s="29" t="str">
        <f t="shared" si="477"/>
        <v xml:space="preserve"> () |  </v>
      </c>
      <c r="AA1879" s="29" t="str">
        <f t="shared" si="478"/>
        <v xml:space="preserve"> </v>
      </c>
      <c r="AB1879" s="29" t="str">
        <f t="shared" si="479"/>
        <v xml:space="preserve"> </v>
      </c>
      <c r="AC1879" s="29" t="str">
        <f t="shared" si="480"/>
        <v xml:space="preserve"> , 0 , 00 gennaio 1900</v>
      </c>
      <c r="AD1879" s="29" t="str">
        <f t="shared" si="481"/>
        <v>1900-01-00T08:00:00.000+02:00</v>
      </c>
      <c r="AE1879" s="29" t="str">
        <f t="shared" si="474"/>
        <v>--</v>
      </c>
      <c r="AF1879" s="29" t="str">
        <f t="shared" si="475"/>
        <v xml:space="preserve">  - 0 - </v>
      </c>
    </row>
    <row r="1880" spans="8:32" x14ac:dyDescent="0.2">
      <c r="H1880" s="29" t="str">
        <f t="shared" si="472"/>
        <v xml:space="preserve"> </v>
      </c>
      <c r="L1880" s="29">
        <f t="shared" si="473"/>
        <v>0</v>
      </c>
      <c r="Q1880" s="38"/>
      <c r="R1880" s="32">
        <f t="shared" si="482"/>
        <v>0</v>
      </c>
      <c r="S1880" s="32"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32">
        <f t="shared" si="483"/>
        <v>1900</v>
      </c>
      <c r="U1880" s="29"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3"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9"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9">
        <v>1907</v>
      </c>
      <c r="Y1880" s="29" t="str">
        <f t="shared" si="476"/>
        <v>[' ', '', '', '--', '00 gennaio 1900', '00/01/1900', '1900/01/00'],</v>
      </c>
      <c r="Z1880" s="29" t="str">
        <f t="shared" si="477"/>
        <v xml:space="preserve"> () |  </v>
      </c>
      <c r="AA1880" s="29" t="str">
        <f t="shared" si="478"/>
        <v xml:space="preserve"> </v>
      </c>
      <c r="AB1880" s="29" t="str">
        <f t="shared" si="479"/>
        <v xml:space="preserve"> </v>
      </c>
      <c r="AC1880" s="29" t="str">
        <f t="shared" si="480"/>
        <v xml:space="preserve"> , 0 , 00 gennaio 1900</v>
      </c>
      <c r="AD1880" s="29" t="str">
        <f t="shared" si="481"/>
        <v>1900-01-00T08:00:00.000+02:00</v>
      </c>
      <c r="AE1880" s="29" t="str">
        <f t="shared" si="474"/>
        <v>--</v>
      </c>
      <c r="AF1880" s="29" t="str">
        <f t="shared" si="475"/>
        <v xml:space="preserve">  - 0 - </v>
      </c>
    </row>
    <row r="1881" spans="8:32" x14ac:dyDescent="0.2">
      <c r="H1881" s="29" t="str">
        <f t="shared" si="472"/>
        <v xml:space="preserve"> </v>
      </c>
      <c r="L1881" s="29">
        <f t="shared" si="473"/>
        <v>0</v>
      </c>
      <c r="Q1881" s="38"/>
      <c r="R1881" s="32">
        <f t="shared" si="482"/>
        <v>0</v>
      </c>
      <c r="S1881" s="32"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32">
        <f t="shared" si="483"/>
        <v>1900</v>
      </c>
      <c r="U1881" s="29"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3"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9"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9">
        <v>1908</v>
      </c>
      <c r="Y1881" s="29" t="str">
        <f t="shared" si="476"/>
        <v>[' ', '', '', '--', '00 gennaio 1900', '00/01/1900', '1900/01/00'],</v>
      </c>
      <c r="Z1881" s="29" t="str">
        <f t="shared" si="477"/>
        <v xml:space="preserve"> () |  </v>
      </c>
      <c r="AA1881" s="29" t="str">
        <f t="shared" si="478"/>
        <v xml:space="preserve"> </v>
      </c>
      <c r="AB1881" s="29" t="str">
        <f t="shared" si="479"/>
        <v xml:space="preserve"> </v>
      </c>
      <c r="AC1881" s="29" t="str">
        <f t="shared" si="480"/>
        <v xml:space="preserve"> , 0 , 00 gennaio 1900</v>
      </c>
      <c r="AD1881" s="29" t="str">
        <f t="shared" si="481"/>
        <v>1900-01-00T08:00:00.000+02:00</v>
      </c>
      <c r="AE1881" s="29" t="str">
        <f t="shared" si="474"/>
        <v>--</v>
      </c>
      <c r="AF1881" s="29" t="str">
        <f t="shared" si="475"/>
        <v xml:space="preserve">  - 0 - </v>
      </c>
    </row>
    <row r="1882" spans="8:32" x14ac:dyDescent="0.2">
      <c r="H1882" s="29" t="str">
        <f t="shared" si="472"/>
        <v xml:space="preserve"> </v>
      </c>
      <c r="L1882" s="29">
        <f t="shared" si="473"/>
        <v>0</v>
      </c>
      <c r="Q1882" s="38"/>
      <c r="R1882" s="32">
        <f t="shared" si="482"/>
        <v>0</v>
      </c>
      <c r="S1882" s="32"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32">
        <f t="shared" si="483"/>
        <v>1900</v>
      </c>
      <c r="U1882" s="29"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3"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9"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9">
        <v>1909</v>
      </c>
      <c r="Y1882" s="29" t="str">
        <f t="shared" si="476"/>
        <v>[' ', '', '', '--', '00 gennaio 1900', '00/01/1900', '1900/01/00'],</v>
      </c>
      <c r="Z1882" s="29" t="str">
        <f t="shared" si="477"/>
        <v xml:space="preserve"> () |  </v>
      </c>
      <c r="AA1882" s="29" t="str">
        <f t="shared" si="478"/>
        <v xml:space="preserve"> </v>
      </c>
      <c r="AB1882" s="29" t="str">
        <f t="shared" si="479"/>
        <v xml:space="preserve"> </v>
      </c>
      <c r="AC1882" s="29" t="str">
        <f t="shared" si="480"/>
        <v xml:space="preserve"> , 0 , 00 gennaio 1900</v>
      </c>
      <c r="AD1882" s="29" t="str">
        <f t="shared" si="481"/>
        <v>1900-01-00T08:00:00.000+02:00</v>
      </c>
      <c r="AE1882" s="29" t="str">
        <f t="shared" si="474"/>
        <v>--</v>
      </c>
      <c r="AF1882" s="29" t="str">
        <f t="shared" si="475"/>
        <v xml:space="preserve">  - 0 - </v>
      </c>
    </row>
    <row r="1883" spans="8:32" x14ac:dyDescent="0.2">
      <c r="H1883" s="29" t="str">
        <f t="shared" si="472"/>
        <v xml:space="preserve"> </v>
      </c>
      <c r="L1883" s="29">
        <f t="shared" si="473"/>
        <v>0</v>
      </c>
      <c r="Q1883" s="38"/>
      <c r="R1883" s="32">
        <f t="shared" si="482"/>
        <v>0</v>
      </c>
      <c r="S1883" s="32"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32">
        <f t="shared" si="483"/>
        <v>1900</v>
      </c>
      <c r="U1883" s="29"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3"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9"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9">
        <v>1910</v>
      </c>
      <c r="Y1883" s="29" t="str">
        <f t="shared" si="476"/>
        <v>[' ', '', '', '--', '00 gennaio 1900', '00/01/1900', '1900/01/00'],</v>
      </c>
      <c r="Z1883" s="29" t="str">
        <f t="shared" si="477"/>
        <v xml:space="preserve"> () |  </v>
      </c>
      <c r="AA1883" s="29" t="str">
        <f t="shared" si="478"/>
        <v xml:space="preserve"> </v>
      </c>
      <c r="AB1883" s="29" t="str">
        <f t="shared" si="479"/>
        <v xml:space="preserve"> </v>
      </c>
      <c r="AC1883" s="29" t="str">
        <f t="shared" si="480"/>
        <v xml:space="preserve"> , 0 , 00 gennaio 1900</v>
      </c>
      <c r="AD1883" s="29" t="str">
        <f t="shared" si="481"/>
        <v>1900-01-00T08:00:00.000+02:00</v>
      </c>
      <c r="AE1883" s="29" t="str">
        <f t="shared" si="474"/>
        <v>--</v>
      </c>
      <c r="AF1883" s="29" t="str">
        <f t="shared" si="475"/>
        <v xml:space="preserve">  - 0 - </v>
      </c>
    </row>
    <row r="1884" spans="8:32" x14ac:dyDescent="0.2">
      <c r="H1884" s="29" t="str">
        <f t="shared" si="472"/>
        <v xml:space="preserve"> </v>
      </c>
      <c r="L1884" s="29">
        <f t="shared" si="473"/>
        <v>0</v>
      </c>
      <c r="Q1884" s="38"/>
      <c r="R1884" s="32">
        <f t="shared" si="482"/>
        <v>0</v>
      </c>
      <c r="S1884" s="32"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32">
        <f t="shared" si="483"/>
        <v>1900</v>
      </c>
      <c r="U1884" s="29"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3"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9"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9">
        <v>1911</v>
      </c>
      <c r="Y1884" s="29" t="str">
        <f t="shared" si="476"/>
        <v>[' ', '', '', '--', '00 gennaio 1900', '00/01/1900', '1900/01/00'],</v>
      </c>
      <c r="Z1884" s="29" t="str">
        <f t="shared" si="477"/>
        <v xml:space="preserve"> () |  </v>
      </c>
      <c r="AA1884" s="29" t="str">
        <f t="shared" si="478"/>
        <v xml:space="preserve"> </v>
      </c>
      <c r="AB1884" s="29" t="str">
        <f t="shared" si="479"/>
        <v xml:space="preserve"> </v>
      </c>
      <c r="AC1884" s="29" t="str">
        <f t="shared" si="480"/>
        <v xml:space="preserve"> , 0 , 00 gennaio 1900</v>
      </c>
      <c r="AD1884" s="29" t="str">
        <f t="shared" si="481"/>
        <v>1900-01-00T08:00:00.000+02:00</v>
      </c>
      <c r="AE1884" s="29" t="str">
        <f t="shared" si="474"/>
        <v>--</v>
      </c>
      <c r="AF1884" s="29" t="str">
        <f t="shared" si="475"/>
        <v xml:space="preserve">  - 0 - </v>
      </c>
    </row>
    <row r="1885" spans="8:32" x14ac:dyDescent="0.2">
      <c r="H1885" s="29" t="str">
        <f t="shared" si="472"/>
        <v xml:space="preserve"> </v>
      </c>
      <c r="L1885" s="29">
        <f t="shared" si="473"/>
        <v>0</v>
      </c>
      <c r="Q1885" s="38"/>
      <c r="R1885" s="32">
        <f t="shared" si="482"/>
        <v>0</v>
      </c>
      <c r="S1885" s="32"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32">
        <f t="shared" si="483"/>
        <v>1900</v>
      </c>
      <c r="U1885" s="29"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3"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9"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9">
        <v>1912</v>
      </c>
      <c r="Y1885" s="29" t="str">
        <f t="shared" si="476"/>
        <v>[' ', '', '', '--', '00 gennaio 1900', '00/01/1900', '1900/01/00'],</v>
      </c>
      <c r="Z1885" s="29" t="str">
        <f t="shared" si="477"/>
        <v xml:space="preserve"> () |  </v>
      </c>
      <c r="AA1885" s="29" t="str">
        <f t="shared" si="478"/>
        <v xml:space="preserve"> </v>
      </c>
      <c r="AB1885" s="29" t="str">
        <f t="shared" si="479"/>
        <v xml:space="preserve"> </v>
      </c>
      <c r="AC1885" s="29" t="str">
        <f t="shared" si="480"/>
        <v xml:space="preserve"> , 0 , 00 gennaio 1900</v>
      </c>
      <c r="AD1885" s="29" t="str">
        <f t="shared" si="481"/>
        <v>1900-01-00T08:00:00.000+02:00</v>
      </c>
      <c r="AE1885" s="29" t="str">
        <f t="shared" si="474"/>
        <v>--</v>
      </c>
      <c r="AF1885" s="29" t="str">
        <f t="shared" si="475"/>
        <v xml:space="preserve">  - 0 - </v>
      </c>
    </row>
    <row r="1886" spans="8:32" x14ac:dyDescent="0.2">
      <c r="H1886" s="29" t="str">
        <f t="shared" si="472"/>
        <v xml:space="preserve"> </v>
      </c>
      <c r="L1886" s="29">
        <f t="shared" si="473"/>
        <v>0</v>
      </c>
      <c r="Q1886" s="38"/>
      <c r="R1886" s="32">
        <f t="shared" si="482"/>
        <v>0</v>
      </c>
      <c r="S1886" s="32"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32">
        <f t="shared" si="483"/>
        <v>1900</v>
      </c>
      <c r="U1886" s="29"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3"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9"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9">
        <v>1913</v>
      </c>
      <c r="Y1886" s="29" t="str">
        <f t="shared" si="476"/>
        <v>[' ', '', '', '--', '00 gennaio 1900', '00/01/1900', '1900/01/00'],</v>
      </c>
      <c r="Z1886" s="29" t="str">
        <f t="shared" si="477"/>
        <v xml:space="preserve"> () |  </v>
      </c>
      <c r="AA1886" s="29" t="str">
        <f t="shared" si="478"/>
        <v xml:space="preserve"> </v>
      </c>
      <c r="AB1886" s="29" t="str">
        <f t="shared" si="479"/>
        <v xml:space="preserve"> </v>
      </c>
      <c r="AC1886" s="29" t="str">
        <f t="shared" si="480"/>
        <v xml:space="preserve"> , 0 , 00 gennaio 1900</v>
      </c>
      <c r="AD1886" s="29" t="str">
        <f t="shared" si="481"/>
        <v>1900-01-00T08:00:00.000+02:00</v>
      </c>
      <c r="AE1886" s="29" t="str">
        <f t="shared" si="474"/>
        <v>--</v>
      </c>
      <c r="AF1886" s="29" t="str">
        <f t="shared" si="475"/>
        <v xml:space="preserve">  - 0 - </v>
      </c>
    </row>
    <row r="1887" spans="8:32" x14ac:dyDescent="0.2">
      <c r="H1887" s="29" t="str">
        <f t="shared" si="472"/>
        <v xml:space="preserve"> </v>
      </c>
      <c r="L1887" s="29">
        <f t="shared" si="473"/>
        <v>0</v>
      </c>
      <c r="Q1887" s="38"/>
      <c r="R1887" s="32">
        <f t="shared" si="482"/>
        <v>0</v>
      </c>
      <c r="S1887" s="32"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32">
        <f t="shared" si="483"/>
        <v>1900</v>
      </c>
      <c r="U1887" s="29"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3"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9"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9">
        <v>1914</v>
      </c>
      <c r="Y1887" s="29" t="str">
        <f t="shared" si="476"/>
        <v>[' ', '', '', '--', '00 gennaio 1900', '00/01/1900', '1900/01/00'],</v>
      </c>
      <c r="Z1887" s="29" t="str">
        <f t="shared" si="477"/>
        <v xml:space="preserve"> () |  </v>
      </c>
      <c r="AA1887" s="29" t="str">
        <f t="shared" si="478"/>
        <v xml:space="preserve"> </v>
      </c>
      <c r="AB1887" s="29" t="str">
        <f t="shared" si="479"/>
        <v xml:space="preserve"> </v>
      </c>
      <c r="AC1887" s="29" t="str">
        <f t="shared" si="480"/>
        <v xml:space="preserve"> , 0 , 00 gennaio 1900</v>
      </c>
      <c r="AD1887" s="29" t="str">
        <f t="shared" si="481"/>
        <v>1900-01-00T08:00:00.000+02:00</v>
      </c>
      <c r="AE1887" s="29" t="str">
        <f t="shared" si="474"/>
        <v>--</v>
      </c>
      <c r="AF1887" s="29" t="str">
        <f t="shared" si="475"/>
        <v xml:space="preserve">  - 0 - </v>
      </c>
    </row>
    <row r="1888" spans="8:32" x14ac:dyDescent="0.2">
      <c r="H1888" s="29" t="str">
        <f t="shared" ref="H1888:H1951" si="484">_xlfn.CONCAT(D1888 &amp; " " &amp; E1888)</f>
        <v xml:space="preserve"> </v>
      </c>
      <c r="L1888" s="29">
        <f t="shared" si="473"/>
        <v>0</v>
      </c>
      <c r="Q1888" s="38"/>
      <c r="R1888" s="32">
        <f t="shared" si="482"/>
        <v>0</v>
      </c>
      <c r="S1888" s="32"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32">
        <f t="shared" si="483"/>
        <v>1900</v>
      </c>
      <c r="U1888" s="29"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3"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9"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9">
        <v>1915</v>
      </c>
      <c r="Y1888" s="29" t="str">
        <f t="shared" si="476"/>
        <v>[' ', '', '', '--', '00 gennaio 1900', '00/01/1900', '1900/01/00'],</v>
      </c>
      <c r="Z1888" s="29" t="str">
        <f t="shared" si="477"/>
        <v xml:space="preserve"> () |  </v>
      </c>
      <c r="AA1888" s="29" t="str">
        <f t="shared" si="478"/>
        <v xml:space="preserve"> </v>
      </c>
      <c r="AB1888" s="29" t="str">
        <f t="shared" si="479"/>
        <v xml:space="preserve"> </v>
      </c>
      <c r="AC1888" s="29" t="str">
        <f t="shared" si="480"/>
        <v xml:space="preserve"> , 0 , 00 gennaio 1900</v>
      </c>
      <c r="AD1888" s="29" t="str">
        <f t="shared" si="481"/>
        <v>1900-01-00T08:00:00.000+02:00</v>
      </c>
      <c r="AE1888" s="29" t="str">
        <f t="shared" si="474"/>
        <v>--</v>
      </c>
      <c r="AF1888" s="29" t="str">
        <f t="shared" si="475"/>
        <v xml:space="preserve">  - 0 - </v>
      </c>
    </row>
    <row r="1889" spans="8:32" x14ac:dyDescent="0.2">
      <c r="H1889" s="29" t="str">
        <f t="shared" si="484"/>
        <v xml:space="preserve"> </v>
      </c>
      <c r="L1889" s="29">
        <f t="shared" si="473"/>
        <v>0</v>
      </c>
      <c r="Q1889" s="38"/>
      <c r="R1889" s="32">
        <f t="shared" si="482"/>
        <v>0</v>
      </c>
      <c r="S1889" s="32"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32">
        <f t="shared" si="483"/>
        <v>1900</v>
      </c>
      <c r="U1889" s="29"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3"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9"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9">
        <v>1916</v>
      </c>
      <c r="Y1889" s="29" t="str">
        <f t="shared" si="476"/>
        <v>[' ', '', '', '--', '00 gennaio 1900', '00/01/1900', '1900/01/00'],</v>
      </c>
      <c r="Z1889" s="29" t="str">
        <f t="shared" si="477"/>
        <v xml:space="preserve"> () |  </v>
      </c>
      <c r="AA1889" s="29" t="str">
        <f t="shared" si="478"/>
        <v xml:space="preserve"> </v>
      </c>
      <c r="AB1889" s="29" t="str">
        <f t="shared" si="479"/>
        <v xml:space="preserve"> </v>
      </c>
      <c r="AC1889" s="29" t="str">
        <f t="shared" si="480"/>
        <v xml:space="preserve"> , 0 , 00 gennaio 1900</v>
      </c>
      <c r="AD1889" s="29" t="str">
        <f t="shared" si="481"/>
        <v>1900-01-00T08:00:00.000+02:00</v>
      </c>
      <c r="AE1889" s="29" t="str">
        <f t="shared" si="474"/>
        <v>--</v>
      </c>
      <c r="AF1889" s="29" t="str">
        <f t="shared" si="475"/>
        <v xml:space="preserve">  - 0 - </v>
      </c>
    </row>
    <row r="1890" spans="8:32" x14ac:dyDescent="0.2">
      <c r="H1890" s="29" t="str">
        <f t="shared" si="484"/>
        <v xml:space="preserve"> </v>
      </c>
      <c r="L1890" s="29">
        <f t="shared" si="473"/>
        <v>0</v>
      </c>
      <c r="Q1890" s="38"/>
      <c r="R1890" s="32">
        <f t="shared" si="482"/>
        <v>0</v>
      </c>
      <c r="S1890" s="32"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32">
        <f t="shared" si="483"/>
        <v>1900</v>
      </c>
      <c r="U1890" s="29"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3"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9"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9">
        <v>1917</v>
      </c>
      <c r="Y1890" s="29" t="str">
        <f t="shared" si="476"/>
        <v>[' ', '', '', '--', '00 gennaio 1900', '00/01/1900', '1900/01/00'],</v>
      </c>
      <c r="Z1890" s="29" t="str">
        <f t="shared" si="477"/>
        <v xml:space="preserve"> () |  </v>
      </c>
      <c r="AA1890" s="29" t="str">
        <f t="shared" si="478"/>
        <v xml:space="preserve"> </v>
      </c>
      <c r="AB1890" s="29" t="str">
        <f t="shared" si="479"/>
        <v xml:space="preserve"> </v>
      </c>
      <c r="AC1890" s="29" t="str">
        <f t="shared" si="480"/>
        <v xml:space="preserve"> , 0 , 00 gennaio 1900</v>
      </c>
      <c r="AD1890" s="29" t="str">
        <f t="shared" si="481"/>
        <v>1900-01-00T08:00:00.000+02:00</v>
      </c>
      <c r="AE1890" s="29" t="str">
        <f t="shared" si="474"/>
        <v>--</v>
      </c>
      <c r="AF1890" s="29" t="str">
        <f t="shared" si="475"/>
        <v xml:space="preserve">  - 0 - </v>
      </c>
    </row>
    <row r="1891" spans="8:32" x14ac:dyDescent="0.2">
      <c r="H1891" s="29" t="str">
        <f t="shared" si="484"/>
        <v xml:space="preserve"> </v>
      </c>
      <c r="L1891" s="29">
        <f t="shared" si="473"/>
        <v>0</v>
      </c>
      <c r="Q1891" s="38"/>
      <c r="R1891" s="32">
        <f t="shared" si="482"/>
        <v>0</v>
      </c>
      <c r="S1891" s="32"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32">
        <f t="shared" si="483"/>
        <v>1900</v>
      </c>
      <c r="U1891" s="29"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3"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9"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9">
        <v>1918</v>
      </c>
      <c r="Y1891" s="29" t="str">
        <f t="shared" si="476"/>
        <v>[' ', '', '', '--', '00 gennaio 1900', '00/01/1900', '1900/01/00'],</v>
      </c>
      <c r="Z1891" s="29" t="str">
        <f t="shared" si="477"/>
        <v xml:space="preserve"> () |  </v>
      </c>
      <c r="AA1891" s="29" t="str">
        <f t="shared" si="478"/>
        <v xml:space="preserve"> </v>
      </c>
      <c r="AB1891" s="29" t="str">
        <f t="shared" si="479"/>
        <v xml:space="preserve"> </v>
      </c>
      <c r="AC1891" s="29" t="str">
        <f t="shared" si="480"/>
        <v xml:space="preserve"> , 0 , 00 gennaio 1900</v>
      </c>
      <c r="AD1891" s="29" t="str">
        <f t="shared" si="481"/>
        <v>1900-01-00T08:00:00.000+02:00</v>
      </c>
      <c r="AE1891" s="29" t="str">
        <f t="shared" si="474"/>
        <v>--</v>
      </c>
      <c r="AF1891" s="29" t="str">
        <f t="shared" si="475"/>
        <v xml:space="preserve">  - 0 - </v>
      </c>
    </row>
    <row r="1892" spans="8:32" x14ac:dyDescent="0.2">
      <c r="H1892" s="29" t="str">
        <f t="shared" si="484"/>
        <v xml:space="preserve"> </v>
      </c>
      <c r="L1892" s="29">
        <f t="shared" si="473"/>
        <v>0</v>
      </c>
      <c r="Q1892" s="38"/>
      <c r="R1892" s="32">
        <f t="shared" si="482"/>
        <v>0</v>
      </c>
      <c r="S1892" s="32"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32">
        <f t="shared" si="483"/>
        <v>1900</v>
      </c>
      <c r="U1892" s="29"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3"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9"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9">
        <v>1919</v>
      </c>
      <c r="Y1892" s="29" t="str">
        <f t="shared" si="476"/>
        <v>[' ', '', '', '--', '00 gennaio 1900', '00/01/1900', '1900/01/00'],</v>
      </c>
      <c r="Z1892" s="29" t="str">
        <f t="shared" si="477"/>
        <v xml:space="preserve"> () |  </v>
      </c>
      <c r="AA1892" s="29" t="str">
        <f t="shared" si="478"/>
        <v xml:space="preserve"> </v>
      </c>
      <c r="AB1892" s="29" t="str">
        <f t="shared" si="479"/>
        <v xml:space="preserve"> </v>
      </c>
      <c r="AC1892" s="29" t="str">
        <f t="shared" si="480"/>
        <v xml:space="preserve"> , 0 , 00 gennaio 1900</v>
      </c>
      <c r="AD1892" s="29" t="str">
        <f t="shared" si="481"/>
        <v>1900-01-00T08:00:00.000+02:00</v>
      </c>
      <c r="AE1892" s="29" t="str">
        <f t="shared" si="474"/>
        <v>--</v>
      </c>
      <c r="AF1892" s="29" t="str">
        <f t="shared" si="475"/>
        <v xml:space="preserve">  - 0 - </v>
      </c>
    </row>
    <row r="1893" spans="8:32" x14ac:dyDescent="0.2">
      <c r="H1893" s="29" t="str">
        <f t="shared" si="484"/>
        <v xml:space="preserve"> </v>
      </c>
      <c r="L1893" s="29">
        <f t="shared" si="473"/>
        <v>0</v>
      </c>
      <c r="Q1893" s="38"/>
      <c r="R1893" s="32">
        <f t="shared" si="482"/>
        <v>0</v>
      </c>
      <c r="S1893" s="32"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32">
        <f t="shared" si="483"/>
        <v>1900</v>
      </c>
      <c r="U1893" s="29"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3"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9"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9">
        <v>1920</v>
      </c>
      <c r="Y1893" s="29" t="str">
        <f t="shared" si="476"/>
        <v>[' ', '', '', '--', '00 gennaio 1900', '00/01/1900', '1900/01/00'],</v>
      </c>
      <c r="Z1893" s="29" t="str">
        <f t="shared" si="477"/>
        <v xml:space="preserve"> () |  </v>
      </c>
      <c r="AA1893" s="29" t="str">
        <f t="shared" si="478"/>
        <v xml:space="preserve"> </v>
      </c>
      <c r="AB1893" s="29" t="str">
        <f t="shared" si="479"/>
        <v xml:space="preserve"> </v>
      </c>
      <c r="AC1893" s="29" t="str">
        <f t="shared" si="480"/>
        <v xml:space="preserve"> , 0 , 00 gennaio 1900</v>
      </c>
      <c r="AD1893" s="29" t="str">
        <f t="shared" si="481"/>
        <v>1900-01-00T08:00:00.000+02:00</v>
      </c>
      <c r="AE1893" s="29" t="str">
        <f t="shared" si="474"/>
        <v>--</v>
      </c>
      <c r="AF1893" s="29" t="str">
        <f t="shared" si="475"/>
        <v xml:space="preserve">  - 0 - </v>
      </c>
    </row>
    <row r="1894" spans="8:32" x14ac:dyDescent="0.2">
      <c r="H1894" s="29" t="str">
        <f t="shared" si="484"/>
        <v xml:space="preserve"> </v>
      </c>
      <c r="L1894" s="29">
        <f t="shared" ref="L1894:L1957" si="485">IF(J1894&lt;&gt;"",_xlfn.CONCAT(J1894 &amp; " " &amp; K1894),K1894)</f>
        <v>0</v>
      </c>
      <c r="Q1894" s="38"/>
      <c r="R1894" s="32">
        <f t="shared" si="482"/>
        <v>0</v>
      </c>
      <c r="S1894" s="32"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32">
        <f t="shared" si="483"/>
        <v>1900</v>
      </c>
      <c r="U1894" s="29"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3"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9"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9">
        <v>1921</v>
      </c>
      <c r="Y1894" s="29" t="str">
        <f t="shared" si="476"/>
        <v>[' ', '', '', '--', '00 gennaio 1900', '00/01/1900', '1900/01/00'],</v>
      </c>
      <c r="Z1894" s="29" t="str">
        <f t="shared" si="477"/>
        <v xml:space="preserve"> () |  </v>
      </c>
      <c r="AA1894" s="29" t="str">
        <f t="shared" si="478"/>
        <v xml:space="preserve"> </v>
      </c>
      <c r="AB1894" s="29" t="str">
        <f t="shared" si="479"/>
        <v xml:space="preserve"> </v>
      </c>
      <c r="AC1894" s="29" t="str">
        <f t="shared" si="480"/>
        <v xml:space="preserve"> , 0 , 00 gennaio 1900</v>
      </c>
      <c r="AD1894" s="29" t="str">
        <f t="shared" si="481"/>
        <v>1900-01-00T08:00:00.000+02:00</v>
      </c>
      <c r="AE1894" s="29" t="str">
        <f t="shared" si="474"/>
        <v>--</v>
      </c>
      <c r="AF1894" s="29" t="str">
        <f t="shared" si="475"/>
        <v xml:space="preserve">  - 0 - </v>
      </c>
    </row>
    <row r="1895" spans="8:32" x14ac:dyDescent="0.2">
      <c r="H1895" s="29" t="str">
        <f t="shared" si="484"/>
        <v xml:space="preserve"> </v>
      </c>
      <c r="L1895" s="29">
        <f t="shared" si="485"/>
        <v>0</v>
      </c>
      <c r="Q1895" s="38"/>
      <c r="R1895" s="32">
        <f t="shared" si="482"/>
        <v>0</v>
      </c>
      <c r="S1895" s="32"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32">
        <f t="shared" si="483"/>
        <v>1900</v>
      </c>
      <c r="U1895" s="29"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3"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9"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9">
        <v>1922</v>
      </c>
      <c r="Y1895" s="29" t="str">
        <f t="shared" si="476"/>
        <v>[' ', '', '', '--', '00 gennaio 1900', '00/01/1900', '1900/01/00'],</v>
      </c>
      <c r="Z1895" s="29" t="str">
        <f t="shared" si="477"/>
        <v xml:space="preserve"> () |  </v>
      </c>
      <c r="AA1895" s="29" t="str">
        <f t="shared" si="478"/>
        <v xml:space="preserve"> </v>
      </c>
      <c r="AB1895" s="29" t="str">
        <f t="shared" si="479"/>
        <v xml:space="preserve"> </v>
      </c>
      <c r="AC1895" s="29" t="str">
        <f t="shared" si="480"/>
        <v xml:space="preserve"> , 0 , 00 gennaio 1900</v>
      </c>
      <c r="AD1895" s="29" t="str">
        <f t="shared" si="481"/>
        <v>1900-01-00T08:00:00.000+02:00</v>
      </c>
      <c r="AE1895" s="29" t="str">
        <f t="shared" ref="AE1895:AE1958" si="486">_xlfn.CONCAT(F1895 &amp; "-" &amp; M1895 &amp; "-" &amp; P1895)</f>
        <v>--</v>
      </c>
      <c r="AF1895" s="29" t="str">
        <f t="shared" ref="AF1895:AF1958" si="487">_xlfn.CONCAT(H1895 &amp; " - " &amp; L1895 &amp; " - " &amp; O1895)</f>
        <v xml:space="preserve">  - 0 - </v>
      </c>
    </row>
    <row r="1896" spans="8:32" x14ac:dyDescent="0.2">
      <c r="H1896" s="29" t="str">
        <f t="shared" si="484"/>
        <v xml:space="preserve"> </v>
      </c>
      <c r="L1896" s="29">
        <f t="shared" si="485"/>
        <v>0</v>
      </c>
      <c r="Q1896" s="38"/>
      <c r="R1896" s="32">
        <f t="shared" si="482"/>
        <v>0</v>
      </c>
      <c r="S1896" s="32"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32">
        <f t="shared" si="483"/>
        <v>1900</v>
      </c>
      <c r="U1896" s="29"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3"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9"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9">
        <v>1923</v>
      </c>
      <c r="Y1896" s="29" t="str">
        <f t="shared" si="476"/>
        <v>[' ', '', '', '--', '00 gennaio 1900', '00/01/1900', '1900/01/00'],</v>
      </c>
      <c r="Z1896" s="29" t="str">
        <f t="shared" si="477"/>
        <v xml:space="preserve"> () |  </v>
      </c>
      <c r="AA1896" s="29" t="str">
        <f t="shared" si="478"/>
        <v xml:space="preserve"> </v>
      </c>
      <c r="AB1896" s="29" t="str">
        <f t="shared" si="479"/>
        <v xml:space="preserve"> </v>
      </c>
      <c r="AC1896" s="29" t="str">
        <f t="shared" si="480"/>
        <v xml:space="preserve"> , 0 , 00 gennaio 1900</v>
      </c>
      <c r="AD1896" s="29" t="str">
        <f t="shared" si="481"/>
        <v>1900-01-00T08:00:00.000+02:00</v>
      </c>
      <c r="AE1896" s="29" t="str">
        <f t="shared" si="486"/>
        <v>--</v>
      </c>
      <c r="AF1896" s="29" t="str">
        <f t="shared" si="487"/>
        <v xml:space="preserve">  - 0 - </v>
      </c>
    </row>
    <row r="1897" spans="8:32" x14ac:dyDescent="0.2">
      <c r="H1897" s="29" t="str">
        <f t="shared" si="484"/>
        <v xml:space="preserve"> </v>
      </c>
      <c r="L1897" s="29">
        <f t="shared" si="485"/>
        <v>0</v>
      </c>
      <c r="Q1897" s="38"/>
      <c r="R1897" s="32">
        <f t="shared" si="482"/>
        <v>0</v>
      </c>
      <c r="S1897" s="32"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32">
        <f t="shared" si="483"/>
        <v>1900</v>
      </c>
      <c r="U1897" s="29"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3"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9"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9">
        <v>1924</v>
      </c>
      <c r="Y1897" s="29" t="str">
        <f t="shared" si="476"/>
        <v>[' ', '', '', '--', '00 gennaio 1900', '00/01/1900', '1900/01/00'],</v>
      </c>
      <c r="Z1897" s="29" t="str">
        <f t="shared" si="477"/>
        <v xml:space="preserve"> () |  </v>
      </c>
      <c r="AA1897" s="29" t="str">
        <f t="shared" si="478"/>
        <v xml:space="preserve"> </v>
      </c>
      <c r="AB1897" s="29" t="str">
        <f t="shared" si="479"/>
        <v xml:space="preserve"> </v>
      </c>
      <c r="AC1897" s="29" t="str">
        <f t="shared" si="480"/>
        <v xml:space="preserve"> , 0 , 00 gennaio 1900</v>
      </c>
      <c r="AD1897" s="29" t="str">
        <f t="shared" si="481"/>
        <v>1900-01-00T08:00:00.000+02:00</v>
      </c>
      <c r="AE1897" s="29" t="str">
        <f t="shared" si="486"/>
        <v>--</v>
      </c>
      <c r="AF1897" s="29" t="str">
        <f t="shared" si="487"/>
        <v xml:space="preserve">  - 0 - </v>
      </c>
    </row>
    <row r="1898" spans="8:32" x14ac:dyDescent="0.2">
      <c r="H1898" s="29" t="str">
        <f t="shared" si="484"/>
        <v xml:space="preserve"> </v>
      </c>
      <c r="L1898" s="29">
        <f t="shared" si="485"/>
        <v>0</v>
      </c>
      <c r="Q1898" s="38"/>
      <c r="R1898" s="32">
        <f t="shared" si="482"/>
        <v>0</v>
      </c>
      <c r="S1898" s="32"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32">
        <f t="shared" si="483"/>
        <v>1900</v>
      </c>
      <c r="U1898" s="29"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3"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9"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9">
        <v>1925</v>
      </c>
      <c r="Y1898" s="29" t="str">
        <f t="shared" si="476"/>
        <v>[' ', '', '', '--', '00 gennaio 1900', '00/01/1900', '1900/01/00'],</v>
      </c>
      <c r="Z1898" s="29" t="str">
        <f t="shared" si="477"/>
        <v xml:space="preserve"> () |  </v>
      </c>
      <c r="AA1898" s="29" t="str">
        <f t="shared" si="478"/>
        <v xml:space="preserve"> </v>
      </c>
      <c r="AB1898" s="29" t="str">
        <f t="shared" si="479"/>
        <v xml:space="preserve"> </v>
      </c>
      <c r="AC1898" s="29" t="str">
        <f t="shared" si="480"/>
        <v xml:space="preserve"> , 0 , 00 gennaio 1900</v>
      </c>
      <c r="AD1898" s="29" t="str">
        <f t="shared" si="481"/>
        <v>1900-01-00T08:00:00.000+02:00</v>
      </c>
      <c r="AE1898" s="29" t="str">
        <f t="shared" si="486"/>
        <v>--</v>
      </c>
      <c r="AF1898" s="29" t="str">
        <f t="shared" si="487"/>
        <v xml:space="preserve">  - 0 - </v>
      </c>
    </row>
    <row r="1899" spans="8:32" x14ac:dyDescent="0.2">
      <c r="H1899" s="29" t="str">
        <f t="shared" si="484"/>
        <v xml:space="preserve"> </v>
      </c>
      <c r="L1899" s="29">
        <f t="shared" si="485"/>
        <v>0</v>
      </c>
      <c r="Q1899" s="38"/>
      <c r="R1899" s="32">
        <f t="shared" si="482"/>
        <v>0</v>
      </c>
      <c r="S1899" s="32"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32">
        <f t="shared" si="483"/>
        <v>1900</v>
      </c>
      <c r="U1899" s="29"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3"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9"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9">
        <v>1926</v>
      </c>
      <c r="Y1899" s="29" t="str">
        <f t="shared" si="476"/>
        <v>[' ', '', '', '--', '00 gennaio 1900', '00/01/1900', '1900/01/00'],</v>
      </c>
      <c r="Z1899" s="29" t="str">
        <f t="shared" si="477"/>
        <v xml:space="preserve"> () |  </v>
      </c>
      <c r="AA1899" s="29" t="str">
        <f t="shared" si="478"/>
        <v xml:space="preserve"> </v>
      </c>
      <c r="AB1899" s="29" t="str">
        <f t="shared" si="479"/>
        <v xml:space="preserve"> </v>
      </c>
      <c r="AC1899" s="29" t="str">
        <f t="shared" si="480"/>
        <v xml:space="preserve"> , 0 , 00 gennaio 1900</v>
      </c>
      <c r="AD1899" s="29" t="str">
        <f t="shared" si="481"/>
        <v>1900-01-00T08:00:00.000+02:00</v>
      </c>
      <c r="AE1899" s="29" t="str">
        <f t="shared" si="486"/>
        <v>--</v>
      </c>
      <c r="AF1899" s="29" t="str">
        <f t="shared" si="487"/>
        <v xml:space="preserve">  - 0 - </v>
      </c>
    </row>
    <row r="1900" spans="8:32" x14ac:dyDescent="0.2">
      <c r="H1900" s="29" t="str">
        <f t="shared" si="484"/>
        <v xml:space="preserve"> </v>
      </c>
      <c r="L1900" s="29">
        <f t="shared" si="485"/>
        <v>0</v>
      </c>
      <c r="Q1900" s="38"/>
      <c r="R1900" s="32">
        <f t="shared" si="482"/>
        <v>0</v>
      </c>
      <c r="S1900" s="32"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32">
        <f t="shared" si="483"/>
        <v>1900</v>
      </c>
      <c r="U1900" s="29"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3"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9"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9">
        <v>1927</v>
      </c>
      <c r="Y1900" s="29" t="str">
        <f t="shared" si="476"/>
        <v>[' ', '', '', '--', '00 gennaio 1900', '00/01/1900', '1900/01/00'],</v>
      </c>
      <c r="Z1900" s="29" t="str">
        <f t="shared" si="477"/>
        <v xml:space="preserve"> () |  </v>
      </c>
      <c r="AA1900" s="29" t="str">
        <f t="shared" si="478"/>
        <v xml:space="preserve"> </v>
      </c>
      <c r="AB1900" s="29" t="str">
        <f t="shared" si="479"/>
        <v xml:space="preserve"> </v>
      </c>
      <c r="AC1900" s="29" t="str">
        <f t="shared" si="480"/>
        <v xml:space="preserve"> , 0 , 00 gennaio 1900</v>
      </c>
      <c r="AD1900" s="29" t="str">
        <f t="shared" si="481"/>
        <v>1900-01-00T08:00:00.000+02:00</v>
      </c>
      <c r="AE1900" s="29" t="str">
        <f t="shared" si="486"/>
        <v>--</v>
      </c>
      <c r="AF1900" s="29" t="str">
        <f t="shared" si="487"/>
        <v xml:space="preserve">  - 0 - </v>
      </c>
    </row>
    <row r="1901" spans="8:32" x14ac:dyDescent="0.2">
      <c r="H1901" s="29" t="str">
        <f t="shared" si="484"/>
        <v xml:space="preserve"> </v>
      </c>
      <c r="L1901" s="29">
        <f t="shared" si="485"/>
        <v>0</v>
      </c>
      <c r="Q1901" s="38"/>
      <c r="R1901" s="32">
        <f t="shared" si="482"/>
        <v>0</v>
      </c>
      <c r="S1901" s="32"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32">
        <f t="shared" si="483"/>
        <v>1900</v>
      </c>
      <c r="U1901" s="29"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3"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9"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9">
        <v>1928</v>
      </c>
      <c r="Y1901" s="29" t="str">
        <f t="shared" si="476"/>
        <v>[' ', '', '', '--', '00 gennaio 1900', '00/01/1900', '1900/01/00'],</v>
      </c>
      <c r="Z1901" s="29" t="str">
        <f t="shared" si="477"/>
        <v xml:space="preserve"> () |  </v>
      </c>
      <c r="AA1901" s="29" t="str">
        <f t="shared" si="478"/>
        <v xml:space="preserve"> </v>
      </c>
      <c r="AB1901" s="29" t="str">
        <f t="shared" si="479"/>
        <v xml:space="preserve"> </v>
      </c>
      <c r="AC1901" s="29" t="str">
        <f t="shared" si="480"/>
        <v xml:space="preserve"> , 0 , 00 gennaio 1900</v>
      </c>
      <c r="AD1901" s="29" t="str">
        <f t="shared" si="481"/>
        <v>1900-01-00T08:00:00.000+02:00</v>
      </c>
      <c r="AE1901" s="29" t="str">
        <f t="shared" si="486"/>
        <v>--</v>
      </c>
      <c r="AF1901" s="29" t="str">
        <f t="shared" si="487"/>
        <v xml:space="preserve">  - 0 - </v>
      </c>
    </row>
    <row r="1902" spans="8:32" x14ac:dyDescent="0.2">
      <c r="H1902" s="29" t="str">
        <f t="shared" si="484"/>
        <v xml:space="preserve"> </v>
      </c>
      <c r="L1902" s="29">
        <f t="shared" si="485"/>
        <v>0</v>
      </c>
      <c r="Q1902" s="38"/>
      <c r="R1902" s="32">
        <f t="shared" si="482"/>
        <v>0</v>
      </c>
      <c r="S1902" s="32"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32">
        <f t="shared" si="483"/>
        <v>1900</v>
      </c>
      <c r="U1902" s="29"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3"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9"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9">
        <v>1929</v>
      </c>
      <c r="Y1902" s="29" t="str">
        <f t="shared" si="476"/>
        <v>[' ', '', '', '--', '00 gennaio 1900', '00/01/1900', '1900/01/00'],</v>
      </c>
      <c r="Z1902" s="29" t="str">
        <f t="shared" si="477"/>
        <v xml:space="preserve"> () |  </v>
      </c>
      <c r="AA1902" s="29" t="str">
        <f t="shared" si="478"/>
        <v xml:space="preserve"> </v>
      </c>
      <c r="AB1902" s="29" t="str">
        <f t="shared" si="479"/>
        <v xml:space="preserve"> </v>
      </c>
      <c r="AC1902" s="29" t="str">
        <f t="shared" si="480"/>
        <v xml:space="preserve"> , 0 , 00 gennaio 1900</v>
      </c>
      <c r="AD1902" s="29" t="str">
        <f t="shared" si="481"/>
        <v>1900-01-00T08:00:00.000+02:00</v>
      </c>
      <c r="AE1902" s="29" t="str">
        <f t="shared" si="486"/>
        <v>--</v>
      </c>
      <c r="AF1902" s="29" t="str">
        <f t="shared" si="487"/>
        <v xml:space="preserve">  - 0 - </v>
      </c>
    </row>
    <row r="1903" spans="8:32" x14ac:dyDescent="0.2">
      <c r="H1903" s="29" t="str">
        <f t="shared" si="484"/>
        <v xml:space="preserve"> </v>
      </c>
      <c r="L1903" s="29">
        <f t="shared" si="485"/>
        <v>0</v>
      </c>
      <c r="Q1903" s="38"/>
      <c r="R1903" s="32">
        <f t="shared" si="482"/>
        <v>0</v>
      </c>
      <c r="S1903" s="32"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32">
        <f t="shared" si="483"/>
        <v>1900</v>
      </c>
      <c r="U1903" s="29"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3"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9"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9">
        <v>1930</v>
      </c>
      <c r="Y1903" s="29" t="str">
        <f t="shared" si="476"/>
        <v>[' ', '', '', '--', '00 gennaio 1900', '00/01/1900', '1900/01/00'],</v>
      </c>
      <c r="Z1903" s="29" t="str">
        <f t="shared" si="477"/>
        <v xml:space="preserve"> () |  </v>
      </c>
      <c r="AA1903" s="29" t="str">
        <f t="shared" si="478"/>
        <v xml:space="preserve"> </v>
      </c>
      <c r="AB1903" s="29" t="str">
        <f t="shared" si="479"/>
        <v xml:space="preserve"> </v>
      </c>
      <c r="AC1903" s="29" t="str">
        <f t="shared" si="480"/>
        <v xml:space="preserve"> , 0 , 00 gennaio 1900</v>
      </c>
      <c r="AD1903" s="29" t="str">
        <f t="shared" si="481"/>
        <v>1900-01-00T08:00:00.000+02:00</v>
      </c>
      <c r="AE1903" s="29" t="str">
        <f t="shared" si="486"/>
        <v>--</v>
      </c>
      <c r="AF1903" s="29" t="str">
        <f t="shared" si="487"/>
        <v xml:space="preserve">  - 0 - </v>
      </c>
    </row>
    <row r="1904" spans="8:32" x14ac:dyDescent="0.2">
      <c r="H1904" s="29" t="str">
        <f t="shared" si="484"/>
        <v xml:space="preserve"> </v>
      </c>
      <c r="L1904" s="29">
        <f t="shared" si="485"/>
        <v>0</v>
      </c>
      <c r="Q1904" s="38"/>
      <c r="R1904" s="32">
        <f t="shared" si="482"/>
        <v>0</v>
      </c>
      <c r="S1904" s="32"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32">
        <f t="shared" si="483"/>
        <v>1900</v>
      </c>
      <c r="U1904" s="29"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3"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9"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9">
        <v>1931</v>
      </c>
      <c r="Y1904" s="29" t="str">
        <f t="shared" si="476"/>
        <v>[' ', '', '', '--', '00 gennaio 1900', '00/01/1900', '1900/01/00'],</v>
      </c>
      <c r="Z1904" s="29" t="str">
        <f t="shared" si="477"/>
        <v xml:space="preserve"> () |  </v>
      </c>
      <c r="AA1904" s="29" t="str">
        <f t="shared" si="478"/>
        <v xml:space="preserve"> </v>
      </c>
      <c r="AB1904" s="29" t="str">
        <f t="shared" si="479"/>
        <v xml:space="preserve"> </v>
      </c>
      <c r="AC1904" s="29" t="str">
        <f t="shared" si="480"/>
        <v xml:space="preserve"> , 0 , 00 gennaio 1900</v>
      </c>
      <c r="AD1904" s="29" t="str">
        <f t="shared" si="481"/>
        <v>1900-01-00T08:00:00.000+02:00</v>
      </c>
      <c r="AE1904" s="29" t="str">
        <f t="shared" si="486"/>
        <v>--</v>
      </c>
      <c r="AF1904" s="29" t="str">
        <f t="shared" si="487"/>
        <v xml:space="preserve">  - 0 - </v>
      </c>
    </row>
    <row r="1905" spans="8:32" x14ac:dyDescent="0.2">
      <c r="H1905" s="29" t="str">
        <f t="shared" si="484"/>
        <v xml:space="preserve"> </v>
      </c>
      <c r="L1905" s="29">
        <f t="shared" si="485"/>
        <v>0</v>
      </c>
      <c r="Q1905" s="38"/>
      <c r="R1905" s="32">
        <f t="shared" si="482"/>
        <v>0</v>
      </c>
      <c r="S1905" s="32"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32">
        <f t="shared" si="483"/>
        <v>1900</v>
      </c>
      <c r="U1905" s="29"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3"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9"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9">
        <v>1932</v>
      </c>
      <c r="Y1905" s="29" t="str">
        <f t="shared" si="476"/>
        <v>[' ', '', '', '--', '00 gennaio 1900', '00/01/1900', '1900/01/00'],</v>
      </c>
      <c r="Z1905" s="29" t="str">
        <f t="shared" si="477"/>
        <v xml:space="preserve"> () |  </v>
      </c>
      <c r="AA1905" s="29" t="str">
        <f t="shared" si="478"/>
        <v xml:space="preserve"> </v>
      </c>
      <c r="AB1905" s="29" t="str">
        <f t="shared" si="479"/>
        <v xml:space="preserve"> </v>
      </c>
      <c r="AC1905" s="29" t="str">
        <f t="shared" si="480"/>
        <v xml:space="preserve"> , 0 , 00 gennaio 1900</v>
      </c>
      <c r="AD1905" s="29" t="str">
        <f t="shared" si="481"/>
        <v>1900-01-00T08:00:00.000+02:00</v>
      </c>
      <c r="AE1905" s="29" t="str">
        <f t="shared" si="486"/>
        <v>--</v>
      </c>
      <c r="AF1905" s="29" t="str">
        <f t="shared" si="487"/>
        <v xml:space="preserve">  - 0 - </v>
      </c>
    </row>
    <row r="1906" spans="8:32" x14ac:dyDescent="0.2">
      <c r="H1906" s="29" t="str">
        <f t="shared" si="484"/>
        <v xml:space="preserve"> </v>
      </c>
      <c r="L1906" s="29">
        <f t="shared" si="485"/>
        <v>0</v>
      </c>
      <c r="Q1906" s="38"/>
      <c r="R1906" s="32">
        <f t="shared" si="482"/>
        <v>0</v>
      </c>
      <c r="S1906" s="32"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32">
        <f t="shared" si="483"/>
        <v>1900</v>
      </c>
      <c r="U1906" s="29"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3"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9"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9">
        <v>1933</v>
      </c>
      <c r="Y1906" s="29" t="str">
        <f t="shared" si="476"/>
        <v>[' ', '', '', '--', '00 gennaio 1900', '00/01/1900', '1900/01/00'],</v>
      </c>
      <c r="Z1906" s="29" t="str">
        <f t="shared" si="477"/>
        <v xml:space="preserve"> () |  </v>
      </c>
      <c r="AA1906" s="29" t="str">
        <f t="shared" si="478"/>
        <v xml:space="preserve"> </v>
      </c>
      <c r="AB1906" s="29" t="str">
        <f t="shared" si="479"/>
        <v xml:space="preserve"> </v>
      </c>
      <c r="AC1906" s="29" t="str">
        <f t="shared" si="480"/>
        <v xml:space="preserve"> , 0 , 00 gennaio 1900</v>
      </c>
      <c r="AD1906" s="29" t="str">
        <f t="shared" si="481"/>
        <v>1900-01-00T08:00:00.000+02:00</v>
      </c>
      <c r="AE1906" s="29" t="str">
        <f t="shared" si="486"/>
        <v>--</v>
      </c>
      <c r="AF1906" s="29" t="str">
        <f t="shared" si="487"/>
        <v xml:space="preserve">  - 0 - </v>
      </c>
    </row>
    <row r="1907" spans="8:32" x14ac:dyDescent="0.2">
      <c r="H1907" s="29" t="str">
        <f t="shared" si="484"/>
        <v xml:space="preserve"> </v>
      </c>
      <c r="L1907" s="29">
        <f t="shared" si="485"/>
        <v>0</v>
      </c>
      <c r="Q1907" s="38"/>
      <c r="R1907" s="32">
        <f t="shared" si="482"/>
        <v>0</v>
      </c>
      <c r="S1907" s="32"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32">
        <f t="shared" si="483"/>
        <v>1900</v>
      </c>
      <c r="U1907" s="29"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3"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9"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9">
        <v>1934</v>
      </c>
      <c r="Y1907" s="29" t="str">
        <f t="shared" si="476"/>
        <v>[' ', '', '', '--', '00 gennaio 1900', '00/01/1900', '1900/01/00'],</v>
      </c>
      <c r="Z1907" s="29" t="str">
        <f t="shared" si="477"/>
        <v xml:space="preserve"> () |  </v>
      </c>
      <c r="AA1907" s="29" t="str">
        <f t="shared" si="478"/>
        <v xml:space="preserve"> </v>
      </c>
      <c r="AB1907" s="29" t="str">
        <f t="shared" si="479"/>
        <v xml:space="preserve"> </v>
      </c>
      <c r="AC1907" s="29" t="str">
        <f t="shared" si="480"/>
        <v xml:space="preserve"> , 0 , 00 gennaio 1900</v>
      </c>
      <c r="AD1907" s="29" t="str">
        <f t="shared" si="481"/>
        <v>1900-01-00T08:00:00.000+02:00</v>
      </c>
      <c r="AE1907" s="29" t="str">
        <f t="shared" si="486"/>
        <v>--</v>
      </c>
      <c r="AF1907" s="29" t="str">
        <f t="shared" si="487"/>
        <v xml:space="preserve">  - 0 - </v>
      </c>
    </row>
    <row r="1908" spans="8:32" x14ac:dyDescent="0.2">
      <c r="H1908" s="29" t="str">
        <f t="shared" si="484"/>
        <v xml:space="preserve"> </v>
      </c>
      <c r="L1908" s="29">
        <f t="shared" si="485"/>
        <v>0</v>
      </c>
      <c r="Q1908" s="38"/>
      <c r="R1908" s="32">
        <f t="shared" si="482"/>
        <v>0</v>
      </c>
      <c r="S1908" s="32"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32">
        <f t="shared" si="483"/>
        <v>1900</v>
      </c>
      <c r="U1908" s="29"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3"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9"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9">
        <v>1935</v>
      </c>
      <c r="Y1908" s="29" t="str">
        <f t="shared" si="476"/>
        <v>[' ', '', '', '--', '00 gennaio 1900', '00/01/1900', '1900/01/00'],</v>
      </c>
      <c r="Z1908" s="29" t="str">
        <f t="shared" si="477"/>
        <v xml:space="preserve"> () |  </v>
      </c>
      <c r="AA1908" s="29" t="str">
        <f t="shared" si="478"/>
        <v xml:space="preserve"> </v>
      </c>
      <c r="AB1908" s="29" t="str">
        <f t="shared" si="479"/>
        <v xml:space="preserve"> </v>
      </c>
      <c r="AC1908" s="29" t="str">
        <f t="shared" si="480"/>
        <v xml:space="preserve"> , 0 , 00 gennaio 1900</v>
      </c>
      <c r="AD1908" s="29" t="str">
        <f t="shared" si="481"/>
        <v>1900-01-00T08:00:00.000+02:00</v>
      </c>
      <c r="AE1908" s="29" t="str">
        <f t="shared" si="486"/>
        <v>--</v>
      </c>
      <c r="AF1908" s="29" t="str">
        <f t="shared" si="487"/>
        <v xml:space="preserve">  - 0 - </v>
      </c>
    </row>
    <row r="1909" spans="8:32" x14ac:dyDescent="0.2">
      <c r="H1909" s="29" t="str">
        <f t="shared" si="484"/>
        <v xml:space="preserve"> </v>
      </c>
      <c r="L1909" s="29">
        <f t="shared" si="485"/>
        <v>0</v>
      </c>
      <c r="Q1909" s="38"/>
      <c r="R1909" s="32">
        <f t="shared" si="482"/>
        <v>0</v>
      </c>
      <c r="S1909" s="32"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32">
        <f t="shared" si="483"/>
        <v>1900</v>
      </c>
      <c r="U1909" s="29"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3"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9"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9">
        <v>1936</v>
      </c>
      <c r="Y1909" s="29" t="str">
        <f t="shared" si="476"/>
        <v>[' ', '', '', '--', '00 gennaio 1900', '00/01/1900', '1900/01/00'],</v>
      </c>
      <c r="Z1909" s="29" t="str">
        <f t="shared" si="477"/>
        <v xml:space="preserve"> () |  </v>
      </c>
      <c r="AA1909" s="29" t="str">
        <f t="shared" si="478"/>
        <v xml:space="preserve"> </v>
      </c>
      <c r="AB1909" s="29" t="str">
        <f t="shared" si="479"/>
        <v xml:space="preserve"> </v>
      </c>
      <c r="AC1909" s="29" t="str">
        <f t="shared" si="480"/>
        <v xml:space="preserve"> , 0 , 00 gennaio 1900</v>
      </c>
      <c r="AD1909" s="29" t="str">
        <f t="shared" si="481"/>
        <v>1900-01-00T08:00:00.000+02:00</v>
      </c>
      <c r="AE1909" s="29" t="str">
        <f t="shared" si="486"/>
        <v>--</v>
      </c>
      <c r="AF1909" s="29" t="str">
        <f t="shared" si="487"/>
        <v xml:space="preserve">  - 0 - </v>
      </c>
    </row>
    <row r="1910" spans="8:32" x14ac:dyDescent="0.2">
      <c r="H1910" s="29" t="str">
        <f t="shared" si="484"/>
        <v xml:space="preserve"> </v>
      </c>
      <c r="L1910" s="29">
        <f t="shared" si="485"/>
        <v>0</v>
      </c>
      <c r="Q1910" s="38"/>
      <c r="R1910" s="32">
        <f t="shared" si="482"/>
        <v>0</v>
      </c>
      <c r="S1910" s="32"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32">
        <f t="shared" si="483"/>
        <v>1900</v>
      </c>
      <c r="U1910" s="29"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3"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9"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9">
        <v>1937</v>
      </c>
      <c r="Y1910" s="29" t="str">
        <f t="shared" si="476"/>
        <v>[' ', '', '', '--', '00 gennaio 1900', '00/01/1900', '1900/01/00'],</v>
      </c>
      <c r="Z1910" s="29" t="str">
        <f t="shared" si="477"/>
        <v xml:space="preserve"> () |  </v>
      </c>
      <c r="AA1910" s="29" t="str">
        <f t="shared" si="478"/>
        <v xml:space="preserve"> </v>
      </c>
      <c r="AB1910" s="29" t="str">
        <f t="shared" si="479"/>
        <v xml:space="preserve"> </v>
      </c>
      <c r="AC1910" s="29" t="str">
        <f t="shared" si="480"/>
        <v xml:space="preserve"> , 0 , 00 gennaio 1900</v>
      </c>
      <c r="AD1910" s="29" t="str">
        <f t="shared" si="481"/>
        <v>1900-01-00T08:00:00.000+02:00</v>
      </c>
      <c r="AE1910" s="29" t="str">
        <f t="shared" si="486"/>
        <v>--</v>
      </c>
      <c r="AF1910" s="29" t="str">
        <f t="shared" si="487"/>
        <v xml:space="preserve">  - 0 - </v>
      </c>
    </row>
    <row r="1911" spans="8:32" x14ac:dyDescent="0.2">
      <c r="H1911" s="29" t="str">
        <f t="shared" si="484"/>
        <v xml:space="preserve"> </v>
      </c>
      <c r="L1911" s="29">
        <f t="shared" si="485"/>
        <v>0</v>
      </c>
      <c r="Q1911" s="38"/>
      <c r="R1911" s="32">
        <f t="shared" si="482"/>
        <v>0</v>
      </c>
      <c r="S1911" s="32"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32">
        <f t="shared" si="483"/>
        <v>1900</v>
      </c>
      <c r="U1911" s="29"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3"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9"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9">
        <v>1938</v>
      </c>
      <c r="Y1911" s="29" t="str">
        <f t="shared" si="476"/>
        <v>[' ', '', '', '--', '00 gennaio 1900', '00/01/1900', '1900/01/00'],</v>
      </c>
      <c r="Z1911" s="29" t="str">
        <f t="shared" si="477"/>
        <v xml:space="preserve"> () |  </v>
      </c>
      <c r="AA1911" s="29" t="str">
        <f t="shared" si="478"/>
        <v xml:space="preserve"> </v>
      </c>
      <c r="AB1911" s="29" t="str">
        <f t="shared" si="479"/>
        <v xml:space="preserve"> </v>
      </c>
      <c r="AC1911" s="29" t="str">
        <f t="shared" si="480"/>
        <v xml:space="preserve"> , 0 , 00 gennaio 1900</v>
      </c>
      <c r="AD1911" s="29" t="str">
        <f t="shared" si="481"/>
        <v>1900-01-00T08:00:00.000+02:00</v>
      </c>
      <c r="AE1911" s="29" t="str">
        <f t="shared" si="486"/>
        <v>--</v>
      </c>
      <c r="AF1911" s="29" t="str">
        <f t="shared" si="487"/>
        <v xml:space="preserve">  - 0 - </v>
      </c>
    </row>
    <row r="1912" spans="8:32" x14ac:dyDescent="0.2">
      <c r="H1912" s="29" t="str">
        <f t="shared" si="484"/>
        <v xml:space="preserve"> </v>
      </c>
      <c r="L1912" s="29">
        <f t="shared" si="485"/>
        <v>0</v>
      </c>
      <c r="Q1912" s="38"/>
      <c r="R1912" s="32">
        <f t="shared" si="482"/>
        <v>0</v>
      </c>
      <c r="S1912" s="32"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32">
        <f t="shared" si="483"/>
        <v>1900</v>
      </c>
      <c r="U1912" s="29"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3"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9"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9">
        <v>1939</v>
      </c>
      <c r="Y1912" s="29" t="str">
        <f t="shared" si="476"/>
        <v>[' ', '', '', '--', '00 gennaio 1900', '00/01/1900', '1900/01/00'],</v>
      </c>
      <c r="Z1912" s="29" t="str">
        <f t="shared" si="477"/>
        <v xml:space="preserve"> () |  </v>
      </c>
      <c r="AA1912" s="29" t="str">
        <f t="shared" si="478"/>
        <v xml:space="preserve"> </v>
      </c>
      <c r="AB1912" s="29" t="str">
        <f t="shared" si="479"/>
        <v xml:space="preserve"> </v>
      </c>
      <c r="AC1912" s="29" t="str">
        <f t="shared" si="480"/>
        <v xml:space="preserve"> , 0 , 00 gennaio 1900</v>
      </c>
      <c r="AD1912" s="29" t="str">
        <f t="shared" si="481"/>
        <v>1900-01-00T08:00:00.000+02:00</v>
      </c>
      <c r="AE1912" s="29" t="str">
        <f t="shared" si="486"/>
        <v>--</v>
      </c>
      <c r="AF1912" s="29" t="str">
        <f t="shared" si="487"/>
        <v xml:space="preserve">  - 0 - </v>
      </c>
    </row>
    <row r="1913" spans="8:32" x14ac:dyDescent="0.2">
      <c r="H1913" s="29" t="str">
        <f t="shared" si="484"/>
        <v xml:space="preserve"> </v>
      </c>
      <c r="L1913" s="29">
        <f t="shared" si="485"/>
        <v>0</v>
      </c>
      <c r="Q1913" s="38"/>
      <c r="R1913" s="32">
        <f t="shared" si="482"/>
        <v>0</v>
      </c>
      <c r="S1913" s="32"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32">
        <f t="shared" si="483"/>
        <v>1900</v>
      </c>
      <c r="U1913" s="29"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3"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9"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9">
        <v>1940</v>
      </c>
      <c r="Y1913" s="29" t="str">
        <f t="shared" si="476"/>
        <v>[' ', '', '', '--', '00 gennaio 1900', '00/01/1900', '1900/01/00'],</v>
      </c>
      <c r="Z1913" s="29" t="str">
        <f t="shared" si="477"/>
        <v xml:space="preserve"> () |  </v>
      </c>
      <c r="AA1913" s="29" t="str">
        <f t="shared" si="478"/>
        <v xml:space="preserve"> </v>
      </c>
      <c r="AB1913" s="29" t="str">
        <f t="shared" si="479"/>
        <v xml:space="preserve"> </v>
      </c>
      <c r="AC1913" s="29" t="str">
        <f t="shared" si="480"/>
        <v xml:space="preserve"> , 0 , 00 gennaio 1900</v>
      </c>
      <c r="AD1913" s="29" t="str">
        <f t="shared" si="481"/>
        <v>1900-01-00T08:00:00.000+02:00</v>
      </c>
      <c r="AE1913" s="29" t="str">
        <f t="shared" si="486"/>
        <v>--</v>
      </c>
      <c r="AF1913" s="29" t="str">
        <f t="shared" si="487"/>
        <v xml:space="preserve">  - 0 - </v>
      </c>
    </row>
    <row r="1914" spans="8:32" x14ac:dyDescent="0.2">
      <c r="H1914" s="29" t="str">
        <f t="shared" si="484"/>
        <v xml:space="preserve"> </v>
      </c>
      <c r="L1914" s="29">
        <f t="shared" si="485"/>
        <v>0</v>
      </c>
      <c r="Q1914" s="38"/>
      <c r="R1914" s="32">
        <f t="shared" si="482"/>
        <v>0</v>
      </c>
      <c r="S1914" s="32"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32">
        <f t="shared" si="483"/>
        <v>1900</v>
      </c>
      <c r="U1914" s="29"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3"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9"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9">
        <v>1941</v>
      </c>
      <c r="Y1914" s="29" t="str">
        <f t="shared" si="476"/>
        <v>[' ', '', '', '--', '00 gennaio 1900', '00/01/1900', '1900/01/00'],</v>
      </c>
      <c r="Z1914" s="29" t="str">
        <f t="shared" si="477"/>
        <v xml:space="preserve"> () |  </v>
      </c>
      <c r="AA1914" s="29" t="str">
        <f t="shared" si="478"/>
        <v xml:space="preserve"> </v>
      </c>
      <c r="AB1914" s="29" t="str">
        <f t="shared" si="479"/>
        <v xml:space="preserve"> </v>
      </c>
      <c r="AC1914" s="29" t="str">
        <f t="shared" si="480"/>
        <v xml:space="preserve"> , 0 , 00 gennaio 1900</v>
      </c>
      <c r="AD1914" s="29" t="str">
        <f t="shared" si="481"/>
        <v>1900-01-00T08:00:00.000+02:00</v>
      </c>
      <c r="AE1914" s="29" t="str">
        <f t="shared" si="486"/>
        <v>--</v>
      </c>
      <c r="AF1914" s="29" t="str">
        <f t="shared" si="487"/>
        <v xml:space="preserve">  - 0 - </v>
      </c>
    </row>
    <row r="1915" spans="8:32" x14ac:dyDescent="0.2">
      <c r="H1915" s="29" t="str">
        <f t="shared" si="484"/>
        <v xml:space="preserve"> </v>
      </c>
      <c r="L1915" s="29">
        <f t="shared" si="485"/>
        <v>0</v>
      </c>
      <c r="Q1915" s="38"/>
      <c r="R1915" s="32">
        <f t="shared" si="482"/>
        <v>0</v>
      </c>
      <c r="S1915" s="32"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32">
        <f t="shared" si="483"/>
        <v>1900</v>
      </c>
      <c r="U1915" s="29"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3"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9"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9">
        <v>1942</v>
      </c>
      <c r="Y1915" s="29" t="str">
        <f t="shared" si="476"/>
        <v>[' ', '', '', '--', '00 gennaio 1900', '00/01/1900', '1900/01/00'],</v>
      </c>
      <c r="Z1915" s="29" t="str">
        <f t="shared" si="477"/>
        <v xml:space="preserve"> () |  </v>
      </c>
      <c r="AA1915" s="29" t="str">
        <f t="shared" si="478"/>
        <v xml:space="preserve"> </v>
      </c>
      <c r="AB1915" s="29" t="str">
        <f t="shared" si="479"/>
        <v xml:space="preserve"> </v>
      </c>
      <c r="AC1915" s="29" t="str">
        <f t="shared" si="480"/>
        <v xml:space="preserve"> , 0 , 00 gennaio 1900</v>
      </c>
      <c r="AD1915" s="29" t="str">
        <f t="shared" si="481"/>
        <v>1900-01-00T08:00:00.000+02:00</v>
      </c>
      <c r="AE1915" s="29" t="str">
        <f t="shared" si="486"/>
        <v>--</v>
      </c>
      <c r="AF1915" s="29" t="str">
        <f t="shared" si="487"/>
        <v xml:space="preserve">  - 0 - </v>
      </c>
    </row>
    <row r="1916" spans="8:32" x14ac:dyDescent="0.2">
      <c r="H1916" s="29" t="str">
        <f t="shared" si="484"/>
        <v xml:space="preserve"> </v>
      </c>
      <c r="L1916" s="29">
        <f t="shared" si="485"/>
        <v>0</v>
      </c>
      <c r="Q1916" s="38"/>
      <c r="R1916" s="32">
        <f t="shared" si="482"/>
        <v>0</v>
      </c>
      <c r="S1916" s="32"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32">
        <f t="shared" si="483"/>
        <v>1900</v>
      </c>
      <c r="U1916" s="29"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3"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9"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9">
        <v>1943</v>
      </c>
      <c r="Y1916" s="29" t="str">
        <f t="shared" si="476"/>
        <v>[' ', '', '', '--', '00 gennaio 1900', '00/01/1900', '1900/01/00'],</v>
      </c>
      <c r="Z1916" s="29" t="str">
        <f t="shared" si="477"/>
        <v xml:space="preserve"> () |  </v>
      </c>
      <c r="AA1916" s="29" t="str">
        <f t="shared" si="478"/>
        <v xml:space="preserve"> </v>
      </c>
      <c r="AB1916" s="29" t="str">
        <f t="shared" si="479"/>
        <v xml:space="preserve"> </v>
      </c>
      <c r="AC1916" s="29" t="str">
        <f t="shared" si="480"/>
        <v xml:space="preserve"> , 0 , 00 gennaio 1900</v>
      </c>
      <c r="AD1916" s="29" t="str">
        <f t="shared" si="481"/>
        <v>1900-01-00T08:00:00.000+02:00</v>
      </c>
      <c r="AE1916" s="29" t="str">
        <f t="shared" si="486"/>
        <v>--</v>
      </c>
      <c r="AF1916" s="29" t="str">
        <f t="shared" si="487"/>
        <v xml:space="preserve">  - 0 - </v>
      </c>
    </row>
    <row r="1917" spans="8:32" x14ac:dyDescent="0.2">
      <c r="H1917" s="29" t="str">
        <f t="shared" si="484"/>
        <v xml:space="preserve"> </v>
      </c>
      <c r="L1917" s="29">
        <f t="shared" si="485"/>
        <v>0</v>
      </c>
      <c r="Q1917" s="38"/>
      <c r="R1917" s="32">
        <f t="shared" si="482"/>
        <v>0</v>
      </c>
      <c r="S1917" s="32"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32">
        <f t="shared" si="483"/>
        <v>1900</v>
      </c>
      <c r="U1917" s="29"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3"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9"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9">
        <v>1944</v>
      </c>
      <c r="Y1917" s="29" t="str">
        <f t="shared" si="476"/>
        <v>[' ', '', '', '--', '00 gennaio 1900', '00/01/1900', '1900/01/00'],</v>
      </c>
      <c r="Z1917" s="29" t="str">
        <f t="shared" si="477"/>
        <v xml:space="preserve"> () |  </v>
      </c>
      <c r="AA1917" s="29" t="str">
        <f t="shared" si="478"/>
        <v xml:space="preserve"> </v>
      </c>
      <c r="AB1917" s="29" t="str">
        <f t="shared" si="479"/>
        <v xml:space="preserve"> </v>
      </c>
      <c r="AC1917" s="29" t="str">
        <f t="shared" si="480"/>
        <v xml:space="preserve"> , 0 , 00 gennaio 1900</v>
      </c>
      <c r="AD1917" s="29" t="str">
        <f t="shared" si="481"/>
        <v>1900-01-00T08:00:00.000+02:00</v>
      </c>
      <c r="AE1917" s="29" t="str">
        <f t="shared" si="486"/>
        <v>--</v>
      </c>
      <c r="AF1917" s="29" t="str">
        <f t="shared" si="487"/>
        <v xml:space="preserve">  - 0 - </v>
      </c>
    </row>
    <row r="1918" spans="8:32" x14ac:dyDescent="0.2">
      <c r="H1918" s="29" t="str">
        <f t="shared" si="484"/>
        <v xml:space="preserve"> </v>
      </c>
      <c r="L1918" s="29">
        <f t="shared" si="485"/>
        <v>0</v>
      </c>
      <c r="Q1918" s="38"/>
      <c r="R1918" s="32">
        <f t="shared" si="482"/>
        <v>0</v>
      </c>
      <c r="S1918" s="32"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32">
        <f t="shared" si="483"/>
        <v>1900</v>
      </c>
      <c r="U1918" s="29"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3"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9"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9">
        <v>1945</v>
      </c>
      <c r="Y1918" s="29" t="str">
        <f t="shared" si="476"/>
        <v>[' ', '', '', '--', '00 gennaio 1900', '00/01/1900', '1900/01/00'],</v>
      </c>
      <c r="Z1918" s="29" t="str">
        <f t="shared" si="477"/>
        <v xml:space="preserve"> () |  </v>
      </c>
      <c r="AA1918" s="29" t="str">
        <f t="shared" si="478"/>
        <v xml:space="preserve"> </v>
      </c>
      <c r="AB1918" s="29" t="str">
        <f t="shared" si="479"/>
        <v xml:space="preserve"> </v>
      </c>
      <c r="AC1918" s="29" t="str">
        <f t="shared" si="480"/>
        <v xml:space="preserve"> , 0 , 00 gennaio 1900</v>
      </c>
      <c r="AD1918" s="29" t="str">
        <f t="shared" si="481"/>
        <v>1900-01-00T08:00:00.000+02:00</v>
      </c>
      <c r="AE1918" s="29" t="str">
        <f t="shared" si="486"/>
        <v>--</v>
      </c>
      <c r="AF1918" s="29" t="str">
        <f t="shared" si="487"/>
        <v xml:space="preserve">  - 0 - </v>
      </c>
    </row>
    <row r="1919" spans="8:32" x14ac:dyDescent="0.2">
      <c r="H1919" s="29" t="str">
        <f t="shared" si="484"/>
        <v xml:space="preserve"> </v>
      </c>
      <c r="L1919" s="29">
        <f t="shared" si="485"/>
        <v>0</v>
      </c>
      <c r="Q1919" s="38"/>
      <c r="R1919" s="32">
        <f t="shared" si="482"/>
        <v>0</v>
      </c>
      <c r="S1919" s="32"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32">
        <f t="shared" si="483"/>
        <v>1900</v>
      </c>
      <c r="U1919" s="29"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3"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9"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9">
        <v>1946</v>
      </c>
      <c r="Y1919" s="29" t="str">
        <f t="shared" si="476"/>
        <v>[' ', '', '', '--', '00 gennaio 1900', '00/01/1900', '1900/01/00'],</v>
      </c>
      <c r="Z1919" s="29" t="str">
        <f t="shared" si="477"/>
        <v xml:space="preserve"> () |  </v>
      </c>
      <c r="AA1919" s="29" t="str">
        <f t="shared" si="478"/>
        <v xml:space="preserve"> </v>
      </c>
      <c r="AB1919" s="29" t="str">
        <f t="shared" si="479"/>
        <v xml:space="preserve"> </v>
      </c>
      <c r="AC1919" s="29" t="str">
        <f t="shared" si="480"/>
        <v xml:space="preserve"> , 0 , 00 gennaio 1900</v>
      </c>
      <c r="AD1919" s="29" t="str">
        <f t="shared" si="481"/>
        <v>1900-01-00T08:00:00.000+02:00</v>
      </c>
      <c r="AE1919" s="29" t="str">
        <f t="shared" si="486"/>
        <v>--</v>
      </c>
      <c r="AF1919" s="29" t="str">
        <f t="shared" si="487"/>
        <v xml:space="preserve">  - 0 - </v>
      </c>
    </row>
    <row r="1920" spans="8:32" x14ac:dyDescent="0.2">
      <c r="H1920" s="29" t="str">
        <f t="shared" si="484"/>
        <v xml:space="preserve"> </v>
      </c>
      <c r="L1920" s="29">
        <f t="shared" si="485"/>
        <v>0</v>
      </c>
      <c r="Q1920" s="38"/>
      <c r="R1920" s="32">
        <f t="shared" si="482"/>
        <v>0</v>
      </c>
      <c r="S1920" s="32"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32">
        <f t="shared" si="483"/>
        <v>1900</v>
      </c>
      <c r="U1920" s="29"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3"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9"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9">
        <v>1947</v>
      </c>
      <c r="Y1920" s="29" t="str">
        <f t="shared" si="476"/>
        <v>[' ', '', '', '--', '00 gennaio 1900', '00/01/1900', '1900/01/00'],</v>
      </c>
      <c r="Z1920" s="29" t="str">
        <f t="shared" si="477"/>
        <v xml:space="preserve"> () |  </v>
      </c>
      <c r="AA1920" s="29" t="str">
        <f t="shared" si="478"/>
        <v xml:space="preserve"> </v>
      </c>
      <c r="AB1920" s="29" t="str">
        <f t="shared" si="479"/>
        <v xml:space="preserve"> </v>
      </c>
      <c r="AC1920" s="29" t="str">
        <f t="shared" si="480"/>
        <v xml:space="preserve"> , 0 , 00 gennaio 1900</v>
      </c>
      <c r="AD1920" s="29" t="str">
        <f t="shared" si="481"/>
        <v>1900-01-00T08:00:00.000+02:00</v>
      </c>
      <c r="AE1920" s="29" t="str">
        <f t="shared" si="486"/>
        <v>--</v>
      </c>
      <c r="AF1920" s="29" t="str">
        <f t="shared" si="487"/>
        <v xml:space="preserve">  - 0 - </v>
      </c>
    </row>
    <row r="1921" spans="8:32" x14ac:dyDescent="0.2">
      <c r="H1921" s="29" t="str">
        <f t="shared" si="484"/>
        <v xml:space="preserve"> </v>
      </c>
      <c r="L1921" s="29">
        <f t="shared" si="485"/>
        <v>0</v>
      </c>
      <c r="Q1921" s="38"/>
      <c r="R1921" s="32">
        <f t="shared" si="482"/>
        <v>0</v>
      </c>
      <c r="S1921" s="32"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32">
        <f t="shared" si="483"/>
        <v>1900</v>
      </c>
      <c r="U1921" s="29"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3"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9"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9">
        <v>1948</v>
      </c>
      <c r="Y1921" s="29" t="str">
        <f t="shared" si="476"/>
        <v>[' ', '', '', '--', '00 gennaio 1900', '00/01/1900', '1900/01/00'],</v>
      </c>
      <c r="Z1921" s="29" t="str">
        <f t="shared" si="477"/>
        <v xml:space="preserve"> () |  </v>
      </c>
      <c r="AA1921" s="29" t="str">
        <f t="shared" si="478"/>
        <v xml:space="preserve"> </v>
      </c>
      <c r="AB1921" s="29" t="str">
        <f t="shared" si="479"/>
        <v xml:space="preserve"> </v>
      </c>
      <c r="AC1921" s="29" t="str">
        <f t="shared" si="480"/>
        <v xml:space="preserve"> , 0 , 00 gennaio 1900</v>
      </c>
      <c r="AD1921" s="29" t="str">
        <f t="shared" si="481"/>
        <v>1900-01-00T08:00:00.000+02:00</v>
      </c>
      <c r="AE1921" s="29" t="str">
        <f t="shared" si="486"/>
        <v>--</v>
      </c>
      <c r="AF1921" s="29" t="str">
        <f t="shared" si="487"/>
        <v xml:space="preserve">  - 0 - </v>
      </c>
    </row>
    <row r="1922" spans="8:32" x14ac:dyDescent="0.2">
      <c r="H1922" s="29" t="str">
        <f t="shared" si="484"/>
        <v xml:space="preserve"> </v>
      </c>
      <c r="L1922" s="29">
        <f t="shared" si="485"/>
        <v>0</v>
      </c>
      <c r="Q1922" s="38"/>
      <c r="R1922" s="32">
        <f t="shared" si="482"/>
        <v>0</v>
      </c>
      <c r="S1922" s="32"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32">
        <f t="shared" si="483"/>
        <v>1900</v>
      </c>
      <c r="U1922" s="29"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3"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9"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9">
        <v>1949</v>
      </c>
      <c r="Y1922" s="29" t="str">
        <f t="shared" ref="Y1922:Y1973" si="488">_xlfn.CONCAT("[" &amp; "'" &amp; D1922 &amp; " " &amp; E1922 &amp; "'" &amp; ", " &amp; "'" &amp; K1922 &amp; "'"&amp; ", " &amp; "'" &amp; O1922 &amp; "'" &amp; ", " &amp; "'" &amp; AE1922 &amp; "'" &amp; ", " &amp; "'" &amp; W1922 &amp; "'" &amp; ", " &amp; "'" &amp; U1922 &amp; "'" &amp; ", " &amp; "'" &amp; V1922 &amp; "'" &amp; "],")</f>
        <v>[' ', '', '', '--', '00 gennaio 1900', '00/01/1900', '1900/01/00'],</v>
      </c>
      <c r="Z1922" s="29" t="str">
        <f t="shared" ref="Z1922:Z1963" si="489">_xlfn.CONCAT(O1922 &amp; " (" &amp; Q1922 &amp; ") | " &amp; D1922 &amp; " " &amp; E1922)</f>
        <v xml:space="preserve"> () |  </v>
      </c>
      <c r="AA1922" s="29" t="str">
        <f t="shared" ref="AA1922:AA1963" si="490">_xlfn.CONCAT(K1922 &amp; " " &amp; O1922)</f>
        <v xml:space="preserve"> </v>
      </c>
      <c r="AB1922" s="29" t="str">
        <f t="shared" ref="AB1922:AB1963" si="491">_xlfn.CONCAT(K1922 &amp; " " &amp; O1922)</f>
        <v xml:space="preserve"> </v>
      </c>
      <c r="AC1922" s="29" t="str">
        <f t="shared" ref="AC1922:AC1963" si="492">_xlfn.CONCAT(H1922 &amp; ", " &amp; L1922 &amp; " " &amp; O1922 &amp; ", " &amp; LEFT(U1922,2) &amp; " " &amp; TEXT(VALUE(MID(U1922,4,2))*29,"mmmm") &amp; " " &amp; RIGHT(U1922,4))</f>
        <v xml:space="preserve"> , 0 , 00 gennaio 1900</v>
      </c>
      <c r="AD1922" s="29" t="str">
        <f t="shared" ref="AD1922:AD1963" si="493">_xlfn.CONCAT(RIGHT(U1922,4) &amp; "-" &amp; MID(U1922,4,2) &amp; "-" &amp; LEFT(U1922,2) &amp; "T08:00:00.000+02:00")</f>
        <v>1900-01-00T08:00:00.000+02:00</v>
      </c>
      <c r="AE1922" s="29" t="str">
        <f t="shared" si="486"/>
        <v>--</v>
      </c>
      <c r="AF1922" s="29" t="str">
        <f t="shared" si="487"/>
        <v xml:space="preserve">  - 0 - </v>
      </c>
    </row>
    <row r="1923" spans="8:32" x14ac:dyDescent="0.2">
      <c r="H1923" s="29" t="str">
        <f t="shared" si="484"/>
        <v xml:space="preserve"> </v>
      </c>
      <c r="L1923" s="29">
        <f t="shared" si="485"/>
        <v>0</v>
      </c>
      <c r="Q1923" s="38"/>
      <c r="R1923" s="32">
        <f t="shared" si="482"/>
        <v>0</v>
      </c>
      <c r="S1923" s="32"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32">
        <f t="shared" si="483"/>
        <v>1900</v>
      </c>
      <c r="U1923" s="29"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3"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9"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9">
        <v>1950</v>
      </c>
      <c r="Y1923" s="29" t="str">
        <f t="shared" si="488"/>
        <v>[' ', '', '', '--', '00 gennaio 1900', '00/01/1900', '1900/01/00'],</v>
      </c>
      <c r="Z1923" s="29" t="str">
        <f t="shared" si="489"/>
        <v xml:space="preserve"> () |  </v>
      </c>
      <c r="AA1923" s="29" t="str">
        <f t="shared" si="490"/>
        <v xml:space="preserve"> </v>
      </c>
      <c r="AB1923" s="29" t="str">
        <f t="shared" si="491"/>
        <v xml:space="preserve"> </v>
      </c>
      <c r="AC1923" s="29" t="str">
        <f t="shared" si="492"/>
        <v xml:space="preserve"> , 0 , 00 gennaio 1900</v>
      </c>
      <c r="AD1923" s="29" t="str">
        <f t="shared" si="493"/>
        <v>1900-01-00T08:00:00.000+02:00</v>
      </c>
      <c r="AE1923" s="29" t="str">
        <f t="shared" si="486"/>
        <v>--</v>
      </c>
      <c r="AF1923" s="29" t="str">
        <f t="shared" si="487"/>
        <v xml:space="preserve">  - 0 - </v>
      </c>
    </row>
    <row r="1924" spans="8:32" x14ac:dyDescent="0.2">
      <c r="H1924" s="29" t="str">
        <f t="shared" si="484"/>
        <v xml:space="preserve"> </v>
      </c>
      <c r="L1924" s="29">
        <f t="shared" si="485"/>
        <v>0</v>
      </c>
      <c r="Q1924" s="38"/>
      <c r="R1924" s="32">
        <f t="shared" si="482"/>
        <v>0</v>
      </c>
      <c r="S1924" s="32"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32">
        <f t="shared" si="483"/>
        <v>1900</v>
      </c>
      <c r="U1924" s="29"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3"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9"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9">
        <v>1951</v>
      </c>
      <c r="Y1924" s="29" t="str">
        <f t="shared" si="488"/>
        <v>[' ', '', '', '--', '00 gennaio 1900', '00/01/1900', '1900/01/00'],</v>
      </c>
      <c r="Z1924" s="29" t="str">
        <f t="shared" si="489"/>
        <v xml:space="preserve"> () |  </v>
      </c>
      <c r="AA1924" s="29" t="str">
        <f t="shared" si="490"/>
        <v xml:space="preserve"> </v>
      </c>
      <c r="AB1924" s="29" t="str">
        <f t="shared" si="491"/>
        <v xml:space="preserve"> </v>
      </c>
      <c r="AC1924" s="29" t="str">
        <f t="shared" si="492"/>
        <v xml:space="preserve"> , 0 , 00 gennaio 1900</v>
      </c>
      <c r="AD1924" s="29" t="str">
        <f t="shared" si="493"/>
        <v>1900-01-00T08:00:00.000+02:00</v>
      </c>
      <c r="AE1924" s="29" t="str">
        <f t="shared" si="486"/>
        <v>--</v>
      </c>
      <c r="AF1924" s="29" t="str">
        <f t="shared" si="487"/>
        <v xml:space="preserve">  - 0 - </v>
      </c>
    </row>
    <row r="1925" spans="8:32" x14ac:dyDescent="0.2">
      <c r="H1925" s="29" t="str">
        <f t="shared" si="484"/>
        <v xml:space="preserve"> </v>
      </c>
      <c r="L1925" s="29">
        <f t="shared" si="485"/>
        <v>0</v>
      </c>
      <c r="Q1925" s="38"/>
      <c r="R1925" s="32">
        <f t="shared" si="482"/>
        <v>0</v>
      </c>
      <c r="S1925" s="32"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32">
        <f t="shared" si="483"/>
        <v>1900</v>
      </c>
      <c r="U1925" s="29"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3"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9"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9">
        <v>1952</v>
      </c>
      <c r="Y1925" s="29" t="str">
        <f t="shared" si="488"/>
        <v>[' ', '', '', '--', '00 gennaio 1900', '00/01/1900', '1900/01/00'],</v>
      </c>
      <c r="Z1925" s="29" t="str">
        <f t="shared" si="489"/>
        <v xml:space="preserve"> () |  </v>
      </c>
      <c r="AA1925" s="29" t="str">
        <f t="shared" si="490"/>
        <v xml:space="preserve"> </v>
      </c>
      <c r="AB1925" s="29" t="str">
        <f t="shared" si="491"/>
        <v xml:space="preserve"> </v>
      </c>
      <c r="AC1925" s="29" t="str">
        <f t="shared" si="492"/>
        <v xml:space="preserve"> , 0 , 00 gennaio 1900</v>
      </c>
      <c r="AD1925" s="29" t="str">
        <f t="shared" si="493"/>
        <v>1900-01-00T08:00:00.000+02:00</v>
      </c>
      <c r="AE1925" s="29" t="str">
        <f t="shared" si="486"/>
        <v>--</v>
      </c>
      <c r="AF1925" s="29" t="str">
        <f t="shared" si="487"/>
        <v xml:space="preserve">  - 0 - </v>
      </c>
    </row>
    <row r="1926" spans="8:32" x14ac:dyDescent="0.2">
      <c r="H1926" s="29" t="str">
        <f t="shared" si="484"/>
        <v xml:space="preserve"> </v>
      </c>
      <c r="L1926" s="29">
        <f t="shared" si="485"/>
        <v>0</v>
      </c>
      <c r="Q1926" s="38"/>
      <c r="R1926" s="32">
        <f t="shared" si="482"/>
        <v>0</v>
      </c>
      <c r="S1926" s="32"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32">
        <f t="shared" si="483"/>
        <v>1900</v>
      </c>
      <c r="U1926" s="29"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3"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9"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9">
        <v>1953</v>
      </c>
      <c r="Y1926" s="29" t="str">
        <f t="shared" si="488"/>
        <v>[' ', '', '', '--', '00 gennaio 1900', '00/01/1900', '1900/01/00'],</v>
      </c>
      <c r="Z1926" s="29" t="str">
        <f t="shared" si="489"/>
        <v xml:space="preserve"> () |  </v>
      </c>
      <c r="AA1926" s="29" t="str">
        <f t="shared" si="490"/>
        <v xml:space="preserve"> </v>
      </c>
      <c r="AB1926" s="29" t="str">
        <f t="shared" si="491"/>
        <v xml:space="preserve"> </v>
      </c>
      <c r="AC1926" s="29" t="str">
        <f t="shared" si="492"/>
        <v xml:space="preserve"> , 0 , 00 gennaio 1900</v>
      </c>
      <c r="AD1926" s="29" t="str">
        <f t="shared" si="493"/>
        <v>1900-01-00T08:00:00.000+02:00</v>
      </c>
      <c r="AE1926" s="29" t="str">
        <f t="shared" si="486"/>
        <v>--</v>
      </c>
      <c r="AF1926" s="29" t="str">
        <f t="shared" si="487"/>
        <v xml:space="preserve">  - 0 - </v>
      </c>
    </row>
    <row r="1927" spans="8:32" x14ac:dyDescent="0.2">
      <c r="H1927" s="29" t="str">
        <f t="shared" si="484"/>
        <v xml:space="preserve"> </v>
      </c>
      <c r="L1927" s="29">
        <f t="shared" si="485"/>
        <v>0</v>
      </c>
      <c r="Q1927" s="38"/>
      <c r="R1927" s="32">
        <f t="shared" si="482"/>
        <v>0</v>
      </c>
      <c r="S1927" s="32"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32">
        <f t="shared" si="483"/>
        <v>1900</v>
      </c>
      <c r="U1927" s="29"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3"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9"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9">
        <v>1954</v>
      </c>
      <c r="Y1927" s="29" t="str">
        <f t="shared" si="488"/>
        <v>[' ', '', '', '--', '00 gennaio 1900', '00/01/1900', '1900/01/00'],</v>
      </c>
      <c r="Z1927" s="29" t="str">
        <f t="shared" si="489"/>
        <v xml:space="preserve"> () |  </v>
      </c>
      <c r="AA1927" s="29" t="str">
        <f t="shared" si="490"/>
        <v xml:space="preserve"> </v>
      </c>
      <c r="AB1927" s="29" t="str">
        <f t="shared" si="491"/>
        <v xml:space="preserve"> </v>
      </c>
      <c r="AC1927" s="29" t="str">
        <f t="shared" si="492"/>
        <v xml:space="preserve"> , 0 , 00 gennaio 1900</v>
      </c>
      <c r="AD1927" s="29" t="str">
        <f t="shared" si="493"/>
        <v>1900-01-00T08:00:00.000+02:00</v>
      </c>
      <c r="AE1927" s="29" t="str">
        <f t="shared" si="486"/>
        <v>--</v>
      </c>
      <c r="AF1927" s="29" t="str">
        <f t="shared" si="487"/>
        <v xml:space="preserve">  - 0 - </v>
      </c>
    </row>
    <row r="1928" spans="8:32" x14ac:dyDescent="0.2">
      <c r="H1928" s="29" t="str">
        <f t="shared" si="484"/>
        <v xml:space="preserve"> </v>
      </c>
      <c r="L1928" s="29">
        <f t="shared" si="485"/>
        <v>0</v>
      </c>
      <c r="Q1928" s="38"/>
      <c r="R1928" s="32">
        <f t="shared" si="482"/>
        <v>0</v>
      </c>
      <c r="S1928" s="32"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32">
        <f t="shared" si="483"/>
        <v>1900</v>
      </c>
      <c r="U1928" s="29"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3"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9"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9">
        <v>1955</v>
      </c>
      <c r="Y1928" s="29" t="str">
        <f t="shared" si="488"/>
        <v>[' ', '', '', '--', '00 gennaio 1900', '00/01/1900', '1900/01/00'],</v>
      </c>
      <c r="Z1928" s="29" t="str">
        <f t="shared" si="489"/>
        <v xml:space="preserve"> () |  </v>
      </c>
      <c r="AA1928" s="29" t="str">
        <f t="shared" si="490"/>
        <v xml:space="preserve"> </v>
      </c>
      <c r="AB1928" s="29" t="str">
        <f t="shared" si="491"/>
        <v xml:space="preserve"> </v>
      </c>
      <c r="AC1928" s="29" t="str">
        <f t="shared" si="492"/>
        <v xml:space="preserve"> , 0 , 00 gennaio 1900</v>
      </c>
      <c r="AD1928" s="29" t="str">
        <f t="shared" si="493"/>
        <v>1900-01-00T08:00:00.000+02:00</v>
      </c>
      <c r="AE1928" s="29" t="str">
        <f t="shared" si="486"/>
        <v>--</v>
      </c>
      <c r="AF1928" s="29" t="str">
        <f t="shared" si="487"/>
        <v xml:space="preserve">  - 0 - </v>
      </c>
    </row>
    <row r="1929" spans="8:32" x14ac:dyDescent="0.2">
      <c r="H1929" s="29" t="str">
        <f t="shared" si="484"/>
        <v xml:space="preserve"> </v>
      </c>
      <c r="L1929" s="29">
        <f t="shared" si="485"/>
        <v>0</v>
      </c>
      <c r="Q1929" s="38"/>
      <c r="R1929" s="32">
        <f t="shared" si="482"/>
        <v>0</v>
      </c>
      <c r="S1929" s="32"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32">
        <f t="shared" si="483"/>
        <v>1900</v>
      </c>
      <c r="U1929" s="29"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3"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9"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9">
        <v>1956</v>
      </c>
      <c r="Y1929" s="29" t="str">
        <f t="shared" si="488"/>
        <v>[' ', '', '', '--', '00 gennaio 1900', '00/01/1900', '1900/01/00'],</v>
      </c>
      <c r="Z1929" s="29" t="str">
        <f t="shared" si="489"/>
        <v xml:space="preserve"> () |  </v>
      </c>
      <c r="AA1929" s="29" t="str">
        <f t="shared" si="490"/>
        <v xml:space="preserve"> </v>
      </c>
      <c r="AB1929" s="29" t="str">
        <f t="shared" si="491"/>
        <v xml:space="preserve"> </v>
      </c>
      <c r="AC1929" s="29" t="str">
        <f t="shared" si="492"/>
        <v xml:space="preserve"> , 0 , 00 gennaio 1900</v>
      </c>
      <c r="AD1929" s="29" t="str">
        <f t="shared" si="493"/>
        <v>1900-01-00T08:00:00.000+02:00</v>
      </c>
      <c r="AE1929" s="29" t="str">
        <f t="shared" si="486"/>
        <v>--</v>
      </c>
      <c r="AF1929" s="29" t="str">
        <f t="shared" si="487"/>
        <v xml:space="preserve">  - 0 - </v>
      </c>
    </row>
    <row r="1930" spans="8:32" x14ac:dyDescent="0.2">
      <c r="H1930" s="29" t="str">
        <f t="shared" si="484"/>
        <v xml:space="preserve"> </v>
      </c>
      <c r="L1930" s="29">
        <f t="shared" si="485"/>
        <v>0</v>
      </c>
      <c r="Q1930" s="38"/>
      <c r="R1930" s="32">
        <f t="shared" si="482"/>
        <v>0</v>
      </c>
      <c r="S1930" s="32"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32">
        <f t="shared" si="483"/>
        <v>1900</v>
      </c>
      <c r="U1930" s="29"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3"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9"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9">
        <v>1957</v>
      </c>
      <c r="Y1930" s="29" t="str">
        <f t="shared" si="488"/>
        <v>[' ', '', '', '--', '00 gennaio 1900', '00/01/1900', '1900/01/00'],</v>
      </c>
      <c r="Z1930" s="29" t="str">
        <f t="shared" si="489"/>
        <v xml:space="preserve"> () |  </v>
      </c>
      <c r="AA1930" s="29" t="str">
        <f t="shared" si="490"/>
        <v xml:space="preserve"> </v>
      </c>
      <c r="AB1930" s="29" t="str">
        <f t="shared" si="491"/>
        <v xml:space="preserve"> </v>
      </c>
      <c r="AC1930" s="29" t="str">
        <f t="shared" si="492"/>
        <v xml:space="preserve"> , 0 , 00 gennaio 1900</v>
      </c>
      <c r="AD1930" s="29" t="str">
        <f t="shared" si="493"/>
        <v>1900-01-00T08:00:00.000+02:00</v>
      </c>
      <c r="AE1930" s="29" t="str">
        <f t="shared" si="486"/>
        <v>--</v>
      </c>
      <c r="AF1930" s="29" t="str">
        <f t="shared" si="487"/>
        <v xml:space="preserve">  - 0 - </v>
      </c>
    </row>
    <row r="1931" spans="8:32" x14ac:dyDescent="0.2">
      <c r="H1931" s="29" t="str">
        <f t="shared" si="484"/>
        <v xml:space="preserve"> </v>
      </c>
      <c r="L1931" s="29">
        <f t="shared" si="485"/>
        <v>0</v>
      </c>
      <c r="Q1931" s="38"/>
      <c r="R1931" s="32">
        <f t="shared" si="482"/>
        <v>0</v>
      </c>
      <c r="S1931" s="32"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32">
        <f t="shared" si="483"/>
        <v>1900</v>
      </c>
      <c r="U1931" s="29"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3"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9"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9">
        <v>1958</v>
      </c>
      <c r="Y1931" s="29" t="str">
        <f t="shared" si="488"/>
        <v>[' ', '', '', '--', '00 gennaio 1900', '00/01/1900', '1900/01/00'],</v>
      </c>
      <c r="Z1931" s="29" t="str">
        <f t="shared" si="489"/>
        <v xml:space="preserve"> () |  </v>
      </c>
      <c r="AA1931" s="29" t="str">
        <f t="shared" si="490"/>
        <v xml:space="preserve"> </v>
      </c>
      <c r="AB1931" s="29" t="str">
        <f t="shared" si="491"/>
        <v xml:space="preserve"> </v>
      </c>
      <c r="AC1931" s="29" t="str">
        <f t="shared" si="492"/>
        <v xml:space="preserve"> , 0 , 00 gennaio 1900</v>
      </c>
      <c r="AD1931" s="29" t="str">
        <f t="shared" si="493"/>
        <v>1900-01-00T08:00:00.000+02:00</v>
      </c>
      <c r="AE1931" s="29" t="str">
        <f t="shared" si="486"/>
        <v>--</v>
      </c>
      <c r="AF1931" s="29" t="str">
        <f t="shared" si="487"/>
        <v xml:space="preserve">  - 0 - </v>
      </c>
    </row>
    <row r="1932" spans="8:32" x14ac:dyDescent="0.2">
      <c r="H1932" s="29" t="str">
        <f t="shared" si="484"/>
        <v xml:space="preserve"> </v>
      </c>
      <c r="L1932" s="29">
        <f t="shared" si="485"/>
        <v>0</v>
      </c>
      <c r="Q1932" s="38"/>
      <c r="R1932" s="32">
        <f t="shared" si="482"/>
        <v>0</v>
      </c>
      <c r="S1932" s="32"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32">
        <f t="shared" si="483"/>
        <v>1900</v>
      </c>
      <c r="U1932" s="29"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3"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9"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9">
        <v>1959</v>
      </c>
      <c r="Y1932" s="29" t="str">
        <f t="shared" si="488"/>
        <v>[' ', '', '', '--', '00 gennaio 1900', '00/01/1900', '1900/01/00'],</v>
      </c>
      <c r="Z1932" s="29" t="str">
        <f t="shared" si="489"/>
        <v xml:space="preserve"> () |  </v>
      </c>
      <c r="AA1932" s="29" t="str">
        <f t="shared" si="490"/>
        <v xml:space="preserve"> </v>
      </c>
      <c r="AB1932" s="29" t="str">
        <f t="shared" si="491"/>
        <v xml:space="preserve"> </v>
      </c>
      <c r="AC1932" s="29" t="str">
        <f t="shared" si="492"/>
        <v xml:space="preserve"> , 0 , 00 gennaio 1900</v>
      </c>
      <c r="AD1932" s="29" t="str">
        <f t="shared" si="493"/>
        <v>1900-01-00T08:00:00.000+02:00</v>
      </c>
      <c r="AE1932" s="29" t="str">
        <f t="shared" si="486"/>
        <v>--</v>
      </c>
      <c r="AF1932" s="29" t="str">
        <f t="shared" si="487"/>
        <v xml:space="preserve">  - 0 - </v>
      </c>
    </row>
    <row r="1933" spans="8:32" x14ac:dyDescent="0.2">
      <c r="H1933" s="29" t="str">
        <f t="shared" si="484"/>
        <v xml:space="preserve"> </v>
      </c>
      <c r="L1933" s="29">
        <f t="shared" si="485"/>
        <v>0</v>
      </c>
      <c r="Q1933" s="38"/>
      <c r="R1933" s="32">
        <f t="shared" si="482"/>
        <v>0</v>
      </c>
      <c r="S1933" s="32"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32">
        <f t="shared" si="483"/>
        <v>1900</v>
      </c>
      <c r="U1933" s="29"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3"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9"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9">
        <v>1960</v>
      </c>
      <c r="Y1933" s="29" t="str">
        <f t="shared" si="488"/>
        <v>[' ', '', '', '--', '00 gennaio 1900', '00/01/1900', '1900/01/00'],</v>
      </c>
      <c r="Z1933" s="29" t="str">
        <f t="shared" si="489"/>
        <v xml:space="preserve"> () |  </v>
      </c>
      <c r="AA1933" s="29" t="str">
        <f t="shared" si="490"/>
        <v xml:space="preserve"> </v>
      </c>
      <c r="AB1933" s="29" t="str">
        <f t="shared" si="491"/>
        <v xml:space="preserve"> </v>
      </c>
      <c r="AC1933" s="29" t="str">
        <f t="shared" si="492"/>
        <v xml:space="preserve"> , 0 , 00 gennaio 1900</v>
      </c>
      <c r="AD1933" s="29" t="str">
        <f t="shared" si="493"/>
        <v>1900-01-00T08:00:00.000+02:00</v>
      </c>
      <c r="AE1933" s="29" t="str">
        <f t="shared" si="486"/>
        <v>--</v>
      </c>
      <c r="AF1933" s="29" t="str">
        <f t="shared" si="487"/>
        <v xml:space="preserve">  - 0 - </v>
      </c>
    </row>
    <row r="1934" spans="8:32" x14ac:dyDescent="0.2">
      <c r="H1934" s="29" t="str">
        <f t="shared" si="484"/>
        <v xml:space="preserve"> </v>
      </c>
      <c r="L1934" s="29">
        <f t="shared" si="485"/>
        <v>0</v>
      </c>
      <c r="Q1934" s="38"/>
      <c r="R1934" s="32">
        <f t="shared" si="482"/>
        <v>0</v>
      </c>
      <c r="S1934" s="32"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32">
        <f t="shared" si="483"/>
        <v>1900</v>
      </c>
      <c r="U1934" s="29"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3"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9"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9">
        <v>1961</v>
      </c>
      <c r="Y1934" s="29" t="str">
        <f t="shared" si="488"/>
        <v>[' ', '', '', '--', '00 gennaio 1900', '00/01/1900', '1900/01/00'],</v>
      </c>
      <c r="Z1934" s="29" t="str">
        <f t="shared" si="489"/>
        <v xml:space="preserve"> () |  </v>
      </c>
      <c r="AA1934" s="29" t="str">
        <f t="shared" si="490"/>
        <v xml:space="preserve"> </v>
      </c>
      <c r="AB1934" s="29" t="str">
        <f t="shared" si="491"/>
        <v xml:space="preserve"> </v>
      </c>
      <c r="AC1934" s="29" t="str">
        <f t="shared" si="492"/>
        <v xml:space="preserve"> , 0 , 00 gennaio 1900</v>
      </c>
      <c r="AD1934" s="29" t="str">
        <f t="shared" si="493"/>
        <v>1900-01-00T08:00:00.000+02:00</v>
      </c>
      <c r="AE1934" s="29" t="str">
        <f t="shared" si="486"/>
        <v>--</v>
      </c>
      <c r="AF1934" s="29" t="str">
        <f t="shared" si="487"/>
        <v xml:space="preserve">  - 0 - </v>
      </c>
    </row>
    <row r="1935" spans="8:32" x14ac:dyDescent="0.2">
      <c r="H1935" s="29" t="str">
        <f t="shared" si="484"/>
        <v xml:space="preserve"> </v>
      </c>
      <c r="L1935" s="29">
        <f t="shared" si="485"/>
        <v>0</v>
      </c>
      <c r="Q1935" s="38"/>
      <c r="R1935" s="32">
        <f t="shared" si="482"/>
        <v>0</v>
      </c>
      <c r="S1935" s="32"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32">
        <f t="shared" si="483"/>
        <v>1900</v>
      </c>
      <c r="U1935" s="29"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3"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9"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9">
        <v>1962</v>
      </c>
      <c r="Y1935" s="29" t="str">
        <f t="shared" si="488"/>
        <v>[' ', '', '', '--', '00 gennaio 1900', '00/01/1900', '1900/01/00'],</v>
      </c>
      <c r="Z1935" s="29" t="str">
        <f t="shared" si="489"/>
        <v xml:space="preserve"> () |  </v>
      </c>
      <c r="AA1935" s="29" t="str">
        <f t="shared" si="490"/>
        <v xml:space="preserve"> </v>
      </c>
      <c r="AB1935" s="29" t="str">
        <f t="shared" si="491"/>
        <v xml:space="preserve"> </v>
      </c>
      <c r="AC1935" s="29" t="str">
        <f t="shared" si="492"/>
        <v xml:space="preserve"> , 0 , 00 gennaio 1900</v>
      </c>
      <c r="AD1935" s="29" t="str">
        <f t="shared" si="493"/>
        <v>1900-01-00T08:00:00.000+02:00</v>
      </c>
      <c r="AE1935" s="29" t="str">
        <f t="shared" si="486"/>
        <v>--</v>
      </c>
      <c r="AF1935" s="29" t="str">
        <f t="shared" si="487"/>
        <v xml:space="preserve">  - 0 - </v>
      </c>
    </row>
    <row r="1936" spans="8:32" x14ac:dyDescent="0.2">
      <c r="H1936" s="29" t="str">
        <f t="shared" si="484"/>
        <v xml:space="preserve"> </v>
      </c>
      <c r="L1936" s="29">
        <f t="shared" si="485"/>
        <v>0</v>
      </c>
      <c r="Q1936" s="38"/>
      <c r="R1936" s="32">
        <f t="shared" si="482"/>
        <v>0</v>
      </c>
      <c r="S1936" s="32"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32">
        <f t="shared" si="483"/>
        <v>1900</v>
      </c>
      <c r="U1936" s="29"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3"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9"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9">
        <v>1963</v>
      </c>
      <c r="Y1936" s="29" t="str">
        <f t="shared" si="488"/>
        <v>[' ', '', '', '--', '00 gennaio 1900', '00/01/1900', '1900/01/00'],</v>
      </c>
      <c r="Z1936" s="29" t="str">
        <f t="shared" si="489"/>
        <v xml:space="preserve"> () |  </v>
      </c>
      <c r="AA1936" s="29" t="str">
        <f t="shared" si="490"/>
        <v xml:space="preserve"> </v>
      </c>
      <c r="AB1936" s="29" t="str">
        <f t="shared" si="491"/>
        <v xml:space="preserve"> </v>
      </c>
      <c r="AC1936" s="29" t="str">
        <f t="shared" si="492"/>
        <v xml:space="preserve"> , 0 , 00 gennaio 1900</v>
      </c>
      <c r="AD1936" s="29" t="str">
        <f t="shared" si="493"/>
        <v>1900-01-00T08:00:00.000+02:00</v>
      </c>
      <c r="AE1936" s="29" t="str">
        <f t="shared" si="486"/>
        <v>--</v>
      </c>
      <c r="AF1936" s="29" t="str">
        <f t="shared" si="487"/>
        <v xml:space="preserve">  - 0 - </v>
      </c>
    </row>
    <row r="1937" spans="8:32" x14ac:dyDescent="0.2">
      <c r="H1937" s="29" t="str">
        <f t="shared" si="484"/>
        <v xml:space="preserve"> </v>
      </c>
      <c r="L1937" s="29">
        <f t="shared" si="485"/>
        <v>0</v>
      </c>
      <c r="Q1937" s="38"/>
      <c r="R1937" s="32">
        <f t="shared" si="482"/>
        <v>0</v>
      </c>
      <c r="S1937" s="32"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32">
        <f t="shared" si="483"/>
        <v>1900</v>
      </c>
      <c r="U1937" s="29"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3"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9"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9">
        <v>1964</v>
      </c>
      <c r="Y1937" s="29" t="str">
        <f t="shared" si="488"/>
        <v>[' ', '', '', '--', '00 gennaio 1900', '00/01/1900', '1900/01/00'],</v>
      </c>
      <c r="Z1937" s="29" t="str">
        <f t="shared" si="489"/>
        <v xml:space="preserve"> () |  </v>
      </c>
      <c r="AA1937" s="29" t="str">
        <f t="shared" si="490"/>
        <v xml:space="preserve"> </v>
      </c>
      <c r="AB1937" s="29" t="str">
        <f t="shared" si="491"/>
        <v xml:space="preserve"> </v>
      </c>
      <c r="AC1937" s="29" t="str">
        <f t="shared" si="492"/>
        <v xml:space="preserve"> , 0 , 00 gennaio 1900</v>
      </c>
      <c r="AD1937" s="29" t="str">
        <f t="shared" si="493"/>
        <v>1900-01-00T08:00:00.000+02:00</v>
      </c>
      <c r="AE1937" s="29" t="str">
        <f t="shared" si="486"/>
        <v>--</v>
      </c>
      <c r="AF1937" s="29" t="str">
        <f t="shared" si="487"/>
        <v xml:space="preserve">  - 0 - </v>
      </c>
    </row>
    <row r="1938" spans="8:32" x14ac:dyDescent="0.2">
      <c r="H1938" s="29" t="str">
        <f t="shared" si="484"/>
        <v xml:space="preserve"> </v>
      </c>
      <c r="L1938" s="29">
        <f t="shared" si="485"/>
        <v>0</v>
      </c>
      <c r="Q1938" s="38"/>
      <c r="R1938" s="32">
        <f t="shared" ref="R1938:R1973" si="494">IF(ISERROR(DAY(Q1938)),TEXT((LEFT(Q1938,2)),"00"),DAY(Q1938))</f>
        <v>0</v>
      </c>
      <c r="S1938" s="32"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32">
        <f t="shared" ref="T1938:T1973" si="495">IF(ISERROR(DAY(Q1938)),VALUE(RIGHT(Q1938,4)),YEAR(Q1938))</f>
        <v>1900</v>
      </c>
      <c r="U1938" s="29"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3"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9"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9">
        <v>1965</v>
      </c>
      <c r="Y1938" s="29" t="str">
        <f t="shared" si="488"/>
        <v>[' ', '', '', '--', '00 gennaio 1900', '00/01/1900', '1900/01/00'],</v>
      </c>
      <c r="Z1938" s="29" t="str">
        <f t="shared" si="489"/>
        <v xml:space="preserve"> () |  </v>
      </c>
      <c r="AA1938" s="29" t="str">
        <f t="shared" si="490"/>
        <v xml:space="preserve"> </v>
      </c>
      <c r="AB1938" s="29" t="str">
        <f t="shared" si="491"/>
        <v xml:space="preserve"> </v>
      </c>
      <c r="AC1938" s="29" t="str">
        <f t="shared" si="492"/>
        <v xml:space="preserve"> , 0 , 00 gennaio 1900</v>
      </c>
      <c r="AD1938" s="29" t="str">
        <f t="shared" si="493"/>
        <v>1900-01-00T08:00:00.000+02:00</v>
      </c>
      <c r="AE1938" s="29" t="str">
        <f t="shared" si="486"/>
        <v>--</v>
      </c>
      <c r="AF1938" s="29" t="str">
        <f t="shared" si="487"/>
        <v xml:space="preserve">  - 0 - </v>
      </c>
    </row>
    <row r="1939" spans="8:32" x14ac:dyDescent="0.2">
      <c r="H1939" s="29" t="str">
        <f t="shared" si="484"/>
        <v xml:space="preserve"> </v>
      </c>
      <c r="L1939" s="29">
        <f t="shared" si="485"/>
        <v>0</v>
      </c>
      <c r="Q1939" s="38"/>
      <c r="R1939" s="32">
        <f t="shared" si="494"/>
        <v>0</v>
      </c>
      <c r="S1939" s="32"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32">
        <f t="shared" si="495"/>
        <v>1900</v>
      </c>
      <c r="U1939" s="29"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3"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9"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9">
        <v>1966</v>
      </c>
      <c r="Y1939" s="29" t="str">
        <f t="shared" si="488"/>
        <v>[' ', '', '', '--', '00 gennaio 1900', '00/01/1900', '1900/01/00'],</v>
      </c>
      <c r="Z1939" s="29" t="str">
        <f t="shared" si="489"/>
        <v xml:space="preserve"> () |  </v>
      </c>
      <c r="AA1939" s="29" t="str">
        <f t="shared" si="490"/>
        <v xml:space="preserve"> </v>
      </c>
      <c r="AB1939" s="29" t="str">
        <f t="shared" si="491"/>
        <v xml:space="preserve"> </v>
      </c>
      <c r="AC1939" s="29" t="str">
        <f t="shared" si="492"/>
        <v xml:space="preserve"> , 0 , 00 gennaio 1900</v>
      </c>
      <c r="AD1939" s="29" t="str">
        <f t="shared" si="493"/>
        <v>1900-01-00T08:00:00.000+02:00</v>
      </c>
      <c r="AE1939" s="29" t="str">
        <f t="shared" si="486"/>
        <v>--</v>
      </c>
      <c r="AF1939" s="29" t="str">
        <f t="shared" si="487"/>
        <v xml:space="preserve">  - 0 - </v>
      </c>
    </row>
    <row r="1940" spans="8:32" x14ac:dyDescent="0.2">
      <c r="H1940" s="29" t="str">
        <f t="shared" si="484"/>
        <v xml:space="preserve"> </v>
      </c>
      <c r="L1940" s="29">
        <f t="shared" si="485"/>
        <v>0</v>
      </c>
      <c r="Q1940" s="38"/>
      <c r="R1940" s="32">
        <f t="shared" si="494"/>
        <v>0</v>
      </c>
      <c r="S1940" s="32"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32">
        <f t="shared" si="495"/>
        <v>1900</v>
      </c>
      <c r="U1940" s="29"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3"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9"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9">
        <v>1967</v>
      </c>
      <c r="Y1940" s="29" t="str">
        <f t="shared" si="488"/>
        <v>[' ', '', '', '--', '00 gennaio 1900', '00/01/1900', '1900/01/00'],</v>
      </c>
      <c r="Z1940" s="29" t="str">
        <f t="shared" si="489"/>
        <v xml:space="preserve"> () |  </v>
      </c>
      <c r="AA1940" s="29" t="str">
        <f t="shared" si="490"/>
        <v xml:space="preserve"> </v>
      </c>
      <c r="AB1940" s="29" t="str">
        <f t="shared" si="491"/>
        <v xml:space="preserve"> </v>
      </c>
      <c r="AC1940" s="29" t="str">
        <f t="shared" si="492"/>
        <v xml:space="preserve"> , 0 , 00 gennaio 1900</v>
      </c>
      <c r="AD1940" s="29" t="str">
        <f t="shared" si="493"/>
        <v>1900-01-00T08:00:00.000+02:00</v>
      </c>
      <c r="AE1940" s="29" t="str">
        <f t="shared" si="486"/>
        <v>--</v>
      </c>
      <c r="AF1940" s="29" t="str">
        <f t="shared" si="487"/>
        <v xml:space="preserve">  - 0 - </v>
      </c>
    </row>
    <row r="1941" spans="8:32" x14ac:dyDescent="0.2">
      <c r="H1941" s="29" t="str">
        <f t="shared" si="484"/>
        <v xml:space="preserve"> </v>
      </c>
      <c r="L1941" s="29">
        <f t="shared" si="485"/>
        <v>0</v>
      </c>
      <c r="Q1941" s="38"/>
      <c r="R1941" s="32">
        <f t="shared" si="494"/>
        <v>0</v>
      </c>
      <c r="S1941" s="32"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32">
        <f t="shared" si="495"/>
        <v>1900</v>
      </c>
      <c r="U1941" s="29"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3"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9"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9">
        <v>1968</v>
      </c>
      <c r="Y1941" s="29" t="str">
        <f t="shared" si="488"/>
        <v>[' ', '', '', '--', '00 gennaio 1900', '00/01/1900', '1900/01/00'],</v>
      </c>
      <c r="Z1941" s="29" t="str">
        <f t="shared" si="489"/>
        <v xml:space="preserve"> () |  </v>
      </c>
      <c r="AA1941" s="29" t="str">
        <f t="shared" si="490"/>
        <v xml:space="preserve"> </v>
      </c>
      <c r="AB1941" s="29" t="str">
        <f t="shared" si="491"/>
        <v xml:space="preserve"> </v>
      </c>
      <c r="AC1941" s="29" t="str">
        <f t="shared" si="492"/>
        <v xml:space="preserve"> , 0 , 00 gennaio 1900</v>
      </c>
      <c r="AD1941" s="29" t="str">
        <f t="shared" si="493"/>
        <v>1900-01-00T08:00:00.000+02:00</v>
      </c>
      <c r="AE1941" s="29" t="str">
        <f t="shared" si="486"/>
        <v>--</v>
      </c>
      <c r="AF1941" s="29" t="str">
        <f t="shared" si="487"/>
        <v xml:space="preserve">  - 0 - </v>
      </c>
    </row>
    <row r="1942" spans="8:32" x14ac:dyDescent="0.2">
      <c r="H1942" s="29" t="str">
        <f t="shared" si="484"/>
        <v xml:space="preserve"> </v>
      </c>
      <c r="L1942" s="29">
        <f t="shared" si="485"/>
        <v>0</v>
      </c>
      <c r="Q1942" s="38"/>
      <c r="R1942" s="32">
        <f t="shared" si="494"/>
        <v>0</v>
      </c>
      <c r="S1942" s="32"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32">
        <f t="shared" si="495"/>
        <v>1900</v>
      </c>
      <c r="U1942" s="29"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3"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9"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9">
        <v>1969</v>
      </c>
      <c r="Y1942" s="29" t="str">
        <f t="shared" si="488"/>
        <v>[' ', '', '', '--', '00 gennaio 1900', '00/01/1900', '1900/01/00'],</v>
      </c>
      <c r="Z1942" s="29" t="str">
        <f t="shared" si="489"/>
        <v xml:space="preserve"> () |  </v>
      </c>
      <c r="AA1942" s="29" t="str">
        <f t="shared" si="490"/>
        <v xml:space="preserve"> </v>
      </c>
      <c r="AB1942" s="29" t="str">
        <f t="shared" si="491"/>
        <v xml:space="preserve"> </v>
      </c>
      <c r="AC1942" s="29" t="str">
        <f t="shared" si="492"/>
        <v xml:space="preserve"> , 0 , 00 gennaio 1900</v>
      </c>
      <c r="AD1942" s="29" t="str">
        <f t="shared" si="493"/>
        <v>1900-01-00T08:00:00.000+02:00</v>
      </c>
      <c r="AE1942" s="29" t="str">
        <f t="shared" si="486"/>
        <v>--</v>
      </c>
      <c r="AF1942" s="29" t="str">
        <f t="shared" si="487"/>
        <v xml:space="preserve">  - 0 - </v>
      </c>
    </row>
    <row r="1943" spans="8:32" x14ac:dyDescent="0.2">
      <c r="H1943" s="29" t="str">
        <f t="shared" si="484"/>
        <v xml:space="preserve"> </v>
      </c>
      <c r="L1943" s="29">
        <f t="shared" si="485"/>
        <v>0</v>
      </c>
      <c r="Q1943" s="38"/>
      <c r="R1943" s="32">
        <f t="shared" si="494"/>
        <v>0</v>
      </c>
      <c r="S1943" s="32"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32">
        <f t="shared" si="495"/>
        <v>1900</v>
      </c>
      <c r="U1943" s="29"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3"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9"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9">
        <v>1970</v>
      </c>
      <c r="Y1943" s="29" t="str">
        <f t="shared" si="488"/>
        <v>[' ', '', '', '--', '00 gennaio 1900', '00/01/1900', '1900/01/00'],</v>
      </c>
      <c r="Z1943" s="29" t="str">
        <f t="shared" si="489"/>
        <v xml:space="preserve"> () |  </v>
      </c>
      <c r="AA1943" s="29" t="str">
        <f t="shared" si="490"/>
        <v xml:space="preserve"> </v>
      </c>
      <c r="AB1943" s="29" t="str">
        <f t="shared" si="491"/>
        <v xml:space="preserve"> </v>
      </c>
      <c r="AC1943" s="29" t="str">
        <f t="shared" si="492"/>
        <v xml:space="preserve"> , 0 , 00 gennaio 1900</v>
      </c>
      <c r="AD1943" s="29" t="str">
        <f t="shared" si="493"/>
        <v>1900-01-00T08:00:00.000+02:00</v>
      </c>
      <c r="AE1943" s="29" t="str">
        <f t="shared" si="486"/>
        <v>--</v>
      </c>
      <c r="AF1943" s="29" t="str">
        <f t="shared" si="487"/>
        <v xml:space="preserve">  - 0 - </v>
      </c>
    </row>
    <row r="1944" spans="8:32" x14ac:dyDescent="0.2">
      <c r="H1944" s="29" t="str">
        <f t="shared" si="484"/>
        <v xml:space="preserve"> </v>
      </c>
      <c r="L1944" s="29">
        <f t="shared" si="485"/>
        <v>0</v>
      </c>
      <c r="Q1944" s="38"/>
      <c r="R1944" s="32">
        <f t="shared" si="494"/>
        <v>0</v>
      </c>
      <c r="S1944" s="32"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32">
        <f t="shared" si="495"/>
        <v>1900</v>
      </c>
      <c r="U1944" s="29"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3"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9"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9">
        <v>1971</v>
      </c>
      <c r="Y1944" s="29" t="str">
        <f t="shared" si="488"/>
        <v>[' ', '', '', '--', '00 gennaio 1900', '00/01/1900', '1900/01/00'],</v>
      </c>
      <c r="Z1944" s="29" t="str">
        <f t="shared" si="489"/>
        <v xml:space="preserve"> () |  </v>
      </c>
      <c r="AA1944" s="29" t="str">
        <f t="shared" si="490"/>
        <v xml:space="preserve"> </v>
      </c>
      <c r="AB1944" s="29" t="str">
        <f t="shared" si="491"/>
        <v xml:space="preserve"> </v>
      </c>
      <c r="AC1944" s="29" t="str">
        <f t="shared" si="492"/>
        <v xml:space="preserve"> , 0 , 00 gennaio 1900</v>
      </c>
      <c r="AD1944" s="29" t="str">
        <f t="shared" si="493"/>
        <v>1900-01-00T08:00:00.000+02:00</v>
      </c>
      <c r="AE1944" s="29" t="str">
        <f t="shared" si="486"/>
        <v>--</v>
      </c>
      <c r="AF1944" s="29" t="str">
        <f t="shared" si="487"/>
        <v xml:space="preserve">  - 0 - </v>
      </c>
    </row>
    <row r="1945" spans="8:32" x14ac:dyDescent="0.2">
      <c r="H1945" s="29" t="str">
        <f t="shared" si="484"/>
        <v xml:space="preserve"> </v>
      </c>
      <c r="L1945" s="29">
        <f t="shared" si="485"/>
        <v>0</v>
      </c>
      <c r="Q1945" s="38"/>
      <c r="R1945" s="32">
        <f t="shared" si="494"/>
        <v>0</v>
      </c>
      <c r="S1945" s="32"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32">
        <f t="shared" si="495"/>
        <v>1900</v>
      </c>
      <c r="U1945" s="29"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3"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9"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9">
        <v>1972</v>
      </c>
      <c r="Y1945" s="29" t="str">
        <f t="shared" si="488"/>
        <v>[' ', '', '', '--', '00 gennaio 1900', '00/01/1900', '1900/01/00'],</v>
      </c>
      <c r="Z1945" s="29" t="str">
        <f t="shared" si="489"/>
        <v xml:space="preserve"> () |  </v>
      </c>
      <c r="AA1945" s="29" t="str">
        <f t="shared" si="490"/>
        <v xml:space="preserve"> </v>
      </c>
      <c r="AB1945" s="29" t="str">
        <f t="shared" si="491"/>
        <v xml:space="preserve"> </v>
      </c>
      <c r="AC1945" s="29" t="str">
        <f t="shared" si="492"/>
        <v xml:space="preserve"> , 0 , 00 gennaio 1900</v>
      </c>
      <c r="AD1945" s="29" t="str">
        <f t="shared" si="493"/>
        <v>1900-01-00T08:00:00.000+02:00</v>
      </c>
      <c r="AE1945" s="29" t="str">
        <f t="shared" si="486"/>
        <v>--</v>
      </c>
      <c r="AF1945" s="29" t="str">
        <f t="shared" si="487"/>
        <v xml:space="preserve">  - 0 - </v>
      </c>
    </row>
    <row r="1946" spans="8:32" x14ac:dyDescent="0.2">
      <c r="H1946" s="29" t="str">
        <f t="shared" si="484"/>
        <v xml:space="preserve"> </v>
      </c>
      <c r="L1946" s="29">
        <f t="shared" si="485"/>
        <v>0</v>
      </c>
      <c r="Q1946" s="38"/>
      <c r="R1946" s="32">
        <f t="shared" si="494"/>
        <v>0</v>
      </c>
      <c r="S1946" s="32"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32">
        <f t="shared" si="495"/>
        <v>1900</v>
      </c>
      <c r="U1946" s="29"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3"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9"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9">
        <v>1973</v>
      </c>
      <c r="Y1946" s="29" t="str">
        <f t="shared" si="488"/>
        <v>[' ', '', '', '--', '00 gennaio 1900', '00/01/1900', '1900/01/00'],</v>
      </c>
      <c r="Z1946" s="29" t="str">
        <f t="shared" si="489"/>
        <v xml:space="preserve"> () |  </v>
      </c>
      <c r="AA1946" s="29" t="str">
        <f t="shared" si="490"/>
        <v xml:space="preserve"> </v>
      </c>
      <c r="AB1946" s="29" t="str">
        <f t="shared" si="491"/>
        <v xml:space="preserve"> </v>
      </c>
      <c r="AC1946" s="29" t="str">
        <f t="shared" si="492"/>
        <v xml:space="preserve"> , 0 , 00 gennaio 1900</v>
      </c>
      <c r="AD1946" s="29" t="str">
        <f t="shared" si="493"/>
        <v>1900-01-00T08:00:00.000+02:00</v>
      </c>
      <c r="AE1946" s="29" t="str">
        <f t="shared" si="486"/>
        <v>--</v>
      </c>
      <c r="AF1946" s="29" t="str">
        <f t="shared" si="487"/>
        <v xml:space="preserve">  - 0 - </v>
      </c>
    </row>
    <row r="1947" spans="8:32" x14ac:dyDescent="0.2">
      <c r="H1947" s="29" t="str">
        <f t="shared" si="484"/>
        <v xml:space="preserve"> </v>
      </c>
      <c r="L1947" s="29">
        <f t="shared" si="485"/>
        <v>0</v>
      </c>
      <c r="Q1947" s="38"/>
      <c r="R1947" s="32">
        <f t="shared" si="494"/>
        <v>0</v>
      </c>
      <c r="S1947" s="32"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32">
        <f t="shared" si="495"/>
        <v>1900</v>
      </c>
      <c r="U1947" s="29"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3"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9"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9">
        <v>1974</v>
      </c>
      <c r="Y1947" s="29" t="str">
        <f t="shared" si="488"/>
        <v>[' ', '', '', '--', '00 gennaio 1900', '00/01/1900', '1900/01/00'],</v>
      </c>
      <c r="Z1947" s="29" t="str">
        <f t="shared" si="489"/>
        <v xml:space="preserve"> () |  </v>
      </c>
      <c r="AA1947" s="29" t="str">
        <f t="shared" si="490"/>
        <v xml:space="preserve"> </v>
      </c>
      <c r="AB1947" s="29" t="str">
        <f t="shared" si="491"/>
        <v xml:space="preserve"> </v>
      </c>
      <c r="AC1947" s="29" t="str">
        <f t="shared" si="492"/>
        <v xml:space="preserve"> , 0 , 00 gennaio 1900</v>
      </c>
      <c r="AD1947" s="29" t="str">
        <f t="shared" si="493"/>
        <v>1900-01-00T08:00:00.000+02:00</v>
      </c>
      <c r="AE1947" s="29" t="str">
        <f t="shared" si="486"/>
        <v>--</v>
      </c>
      <c r="AF1947" s="29" t="str">
        <f t="shared" si="487"/>
        <v xml:space="preserve">  - 0 - </v>
      </c>
    </row>
    <row r="1948" spans="8:32" x14ac:dyDescent="0.2">
      <c r="H1948" s="29" t="str">
        <f t="shared" si="484"/>
        <v xml:space="preserve"> </v>
      </c>
      <c r="L1948" s="29">
        <f t="shared" si="485"/>
        <v>0</v>
      </c>
      <c r="Q1948" s="38"/>
      <c r="R1948" s="32">
        <f t="shared" si="494"/>
        <v>0</v>
      </c>
      <c r="S1948" s="32"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32">
        <f t="shared" si="495"/>
        <v>1900</v>
      </c>
      <c r="U1948" s="29"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3"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9"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9">
        <v>1975</v>
      </c>
      <c r="Y1948" s="29" t="str">
        <f t="shared" si="488"/>
        <v>[' ', '', '', '--', '00 gennaio 1900', '00/01/1900', '1900/01/00'],</v>
      </c>
      <c r="Z1948" s="29" t="str">
        <f t="shared" si="489"/>
        <v xml:space="preserve"> () |  </v>
      </c>
      <c r="AA1948" s="29" t="str">
        <f t="shared" si="490"/>
        <v xml:space="preserve"> </v>
      </c>
      <c r="AB1948" s="29" t="str">
        <f t="shared" si="491"/>
        <v xml:space="preserve"> </v>
      </c>
      <c r="AC1948" s="29" t="str">
        <f t="shared" si="492"/>
        <v xml:space="preserve"> , 0 , 00 gennaio 1900</v>
      </c>
      <c r="AD1948" s="29" t="str">
        <f t="shared" si="493"/>
        <v>1900-01-00T08:00:00.000+02:00</v>
      </c>
      <c r="AE1948" s="29" t="str">
        <f t="shared" si="486"/>
        <v>--</v>
      </c>
      <c r="AF1948" s="29" t="str">
        <f t="shared" si="487"/>
        <v xml:space="preserve">  - 0 - </v>
      </c>
    </row>
    <row r="1949" spans="8:32" x14ac:dyDescent="0.2">
      <c r="H1949" s="29" t="str">
        <f t="shared" si="484"/>
        <v xml:space="preserve"> </v>
      </c>
      <c r="L1949" s="29">
        <f t="shared" si="485"/>
        <v>0</v>
      </c>
      <c r="Q1949" s="38"/>
      <c r="R1949" s="32">
        <f t="shared" si="494"/>
        <v>0</v>
      </c>
      <c r="S1949" s="32"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32">
        <f t="shared" si="495"/>
        <v>1900</v>
      </c>
      <c r="U1949" s="29"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3"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9"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9">
        <v>1976</v>
      </c>
      <c r="Y1949" s="29" t="str">
        <f t="shared" si="488"/>
        <v>[' ', '', '', '--', '00 gennaio 1900', '00/01/1900', '1900/01/00'],</v>
      </c>
      <c r="Z1949" s="29" t="str">
        <f t="shared" si="489"/>
        <v xml:space="preserve"> () |  </v>
      </c>
      <c r="AA1949" s="29" t="str">
        <f t="shared" si="490"/>
        <v xml:space="preserve"> </v>
      </c>
      <c r="AB1949" s="29" t="str">
        <f t="shared" si="491"/>
        <v xml:space="preserve"> </v>
      </c>
      <c r="AC1949" s="29" t="str">
        <f t="shared" si="492"/>
        <v xml:space="preserve"> , 0 , 00 gennaio 1900</v>
      </c>
      <c r="AD1949" s="29" t="str">
        <f t="shared" si="493"/>
        <v>1900-01-00T08:00:00.000+02:00</v>
      </c>
      <c r="AE1949" s="29" t="str">
        <f t="shared" si="486"/>
        <v>--</v>
      </c>
      <c r="AF1949" s="29" t="str">
        <f t="shared" si="487"/>
        <v xml:space="preserve">  - 0 - </v>
      </c>
    </row>
    <row r="1950" spans="8:32" x14ac:dyDescent="0.2">
      <c r="H1950" s="29" t="str">
        <f t="shared" si="484"/>
        <v xml:space="preserve"> </v>
      </c>
      <c r="L1950" s="29">
        <f t="shared" si="485"/>
        <v>0</v>
      </c>
      <c r="Q1950" s="38"/>
      <c r="R1950" s="32">
        <f t="shared" si="494"/>
        <v>0</v>
      </c>
      <c r="S1950" s="32"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32">
        <f t="shared" si="495"/>
        <v>1900</v>
      </c>
      <c r="U1950" s="29"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3"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9"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9">
        <v>1977</v>
      </c>
      <c r="Y1950" s="29" t="str">
        <f t="shared" si="488"/>
        <v>[' ', '', '', '--', '00 gennaio 1900', '00/01/1900', '1900/01/00'],</v>
      </c>
      <c r="Z1950" s="29" t="str">
        <f t="shared" si="489"/>
        <v xml:space="preserve"> () |  </v>
      </c>
      <c r="AA1950" s="29" t="str">
        <f t="shared" si="490"/>
        <v xml:space="preserve"> </v>
      </c>
      <c r="AB1950" s="29" t="str">
        <f t="shared" si="491"/>
        <v xml:space="preserve"> </v>
      </c>
      <c r="AC1950" s="29" t="str">
        <f t="shared" si="492"/>
        <v xml:space="preserve"> , 0 , 00 gennaio 1900</v>
      </c>
      <c r="AD1950" s="29" t="str">
        <f t="shared" si="493"/>
        <v>1900-01-00T08:00:00.000+02:00</v>
      </c>
      <c r="AE1950" s="29" t="str">
        <f t="shared" si="486"/>
        <v>--</v>
      </c>
      <c r="AF1950" s="29" t="str">
        <f t="shared" si="487"/>
        <v xml:space="preserve">  - 0 - </v>
      </c>
    </row>
    <row r="1951" spans="8:32" x14ac:dyDescent="0.2">
      <c r="H1951" s="29" t="str">
        <f t="shared" si="484"/>
        <v xml:space="preserve"> </v>
      </c>
      <c r="L1951" s="29">
        <f t="shared" si="485"/>
        <v>0</v>
      </c>
      <c r="Q1951" s="38"/>
      <c r="R1951" s="32">
        <f t="shared" si="494"/>
        <v>0</v>
      </c>
      <c r="S1951" s="32"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32">
        <f t="shared" si="495"/>
        <v>1900</v>
      </c>
      <c r="U1951" s="29"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3"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9"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9">
        <v>1978</v>
      </c>
      <c r="Y1951" s="29" t="str">
        <f t="shared" si="488"/>
        <v>[' ', '', '', '--', '00 gennaio 1900', '00/01/1900', '1900/01/00'],</v>
      </c>
      <c r="Z1951" s="29" t="str">
        <f t="shared" si="489"/>
        <v xml:space="preserve"> () |  </v>
      </c>
      <c r="AA1951" s="29" t="str">
        <f t="shared" si="490"/>
        <v xml:space="preserve"> </v>
      </c>
      <c r="AB1951" s="29" t="str">
        <f t="shared" si="491"/>
        <v xml:space="preserve"> </v>
      </c>
      <c r="AC1951" s="29" t="str">
        <f t="shared" si="492"/>
        <v xml:space="preserve"> , 0 , 00 gennaio 1900</v>
      </c>
      <c r="AD1951" s="29" t="str">
        <f t="shared" si="493"/>
        <v>1900-01-00T08:00:00.000+02:00</v>
      </c>
      <c r="AE1951" s="29" t="str">
        <f t="shared" si="486"/>
        <v>--</v>
      </c>
      <c r="AF1951" s="29" t="str">
        <f t="shared" si="487"/>
        <v xml:space="preserve">  - 0 - </v>
      </c>
    </row>
    <row r="1952" spans="8:32" x14ac:dyDescent="0.2">
      <c r="H1952" s="29" t="str">
        <f t="shared" ref="H1952:H1973" si="496">_xlfn.CONCAT(D1952 &amp; " " &amp; E1952)</f>
        <v xml:space="preserve"> </v>
      </c>
      <c r="L1952" s="29">
        <f t="shared" si="485"/>
        <v>0</v>
      </c>
      <c r="Q1952" s="38"/>
      <c r="R1952" s="32">
        <f t="shared" si="494"/>
        <v>0</v>
      </c>
      <c r="S1952" s="32"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32">
        <f t="shared" si="495"/>
        <v>1900</v>
      </c>
      <c r="U1952" s="29"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3"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9"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9">
        <v>1979</v>
      </c>
      <c r="Y1952" s="29" t="str">
        <f t="shared" si="488"/>
        <v>[' ', '', '', '--', '00 gennaio 1900', '00/01/1900', '1900/01/00'],</v>
      </c>
      <c r="Z1952" s="29" t="str">
        <f t="shared" si="489"/>
        <v xml:space="preserve"> () |  </v>
      </c>
      <c r="AA1952" s="29" t="str">
        <f t="shared" si="490"/>
        <v xml:space="preserve"> </v>
      </c>
      <c r="AB1952" s="29" t="str">
        <f t="shared" si="491"/>
        <v xml:space="preserve"> </v>
      </c>
      <c r="AC1952" s="29" t="str">
        <f t="shared" si="492"/>
        <v xml:space="preserve"> , 0 , 00 gennaio 1900</v>
      </c>
      <c r="AD1952" s="29" t="str">
        <f t="shared" si="493"/>
        <v>1900-01-00T08:00:00.000+02:00</v>
      </c>
      <c r="AE1952" s="29" t="str">
        <f t="shared" si="486"/>
        <v>--</v>
      </c>
      <c r="AF1952" s="29" t="str">
        <f t="shared" si="487"/>
        <v xml:space="preserve">  - 0 - </v>
      </c>
    </row>
    <row r="1953" spans="8:32" x14ac:dyDescent="0.2">
      <c r="H1953" s="29" t="str">
        <f t="shared" si="496"/>
        <v xml:space="preserve"> </v>
      </c>
      <c r="L1953" s="29">
        <f t="shared" si="485"/>
        <v>0</v>
      </c>
      <c r="Q1953" s="38"/>
      <c r="R1953" s="32">
        <f t="shared" si="494"/>
        <v>0</v>
      </c>
      <c r="S1953" s="32"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32">
        <f t="shared" si="495"/>
        <v>1900</v>
      </c>
      <c r="U1953" s="29"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3"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9"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9">
        <v>1980</v>
      </c>
      <c r="Y1953" s="29" t="str">
        <f t="shared" si="488"/>
        <v>[' ', '', '', '--', '00 gennaio 1900', '00/01/1900', '1900/01/00'],</v>
      </c>
      <c r="Z1953" s="29" t="str">
        <f t="shared" si="489"/>
        <v xml:space="preserve"> () |  </v>
      </c>
      <c r="AA1953" s="29" t="str">
        <f t="shared" si="490"/>
        <v xml:space="preserve"> </v>
      </c>
      <c r="AB1953" s="29" t="str">
        <f t="shared" si="491"/>
        <v xml:space="preserve"> </v>
      </c>
      <c r="AC1953" s="29" t="str">
        <f t="shared" si="492"/>
        <v xml:space="preserve"> , 0 , 00 gennaio 1900</v>
      </c>
      <c r="AD1953" s="29" t="str">
        <f t="shared" si="493"/>
        <v>1900-01-00T08:00:00.000+02:00</v>
      </c>
      <c r="AE1953" s="29" t="str">
        <f t="shared" si="486"/>
        <v>--</v>
      </c>
      <c r="AF1953" s="29" t="str">
        <f t="shared" si="487"/>
        <v xml:space="preserve">  - 0 - </v>
      </c>
    </row>
    <row r="1954" spans="8:32" x14ac:dyDescent="0.2">
      <c r="H1954" s="29" t="str">
        <f t="shared" si="496"/>
        <v xml:space="preserve"> </v>
      </c>
      <c r="L1954" s="29">
        <f t="shared" si="485"/>
        <v>0</v>
      </c>
      <c r="Q1954" s="38"/>
      <c r="R1954" s="32">
        <f t="shared" si="494"/>
        <v>0</v>
      </c>
      <c r="S1954" s="32"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32">
        <f t="shared" si="495"/>
        <v>1900</v>
      </c>
      <c r="U1954" s="29"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3"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9"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9">
        <v>1981</v>
      </c>
      <c r="Y1954" s="29" t="str">
        <f t="shared" si="488"/>
        <v>[' ', '', '', '--', '00 gennaio 1900', '00/01/1900', '1900/01/00'],</v>
      </c>
      <c r="Z1954" s="29" t="str">
        <f t="shared" si="489"/>
        <v xml:space="preserve"> () |  </v>
      </c>
      <c r="AA1954" s="29" t="str">
        <f t="shared" si="490"/>
        <v xml:space="preserve"> </v>
      </c>
      <c r="AB1954" s="29" t="str">
        <f t="shared" si="491"/>
        <v xml:space="preserve"> </v>
      </c>
      <c r="AC1954" s="29" t="str">
        <f t="shared" si="492"/>
        <v xml:space="preserve"> , 0 , 00 gennaio 1900</v>
      </c>
      <c r="AD1954" s="29" t="str">
        <f t="shared" si="493"/>
        <v>1900-01-00T08:00:00.000+02:00</v>
      </c>
      <c r="AE1954" s="29" t="str">
        <f t="shared" si="486"/>
        <v>--</v>
      </c>
      <c r="AF1954" s="29" t="str">
        <f t="shared" si="487"/>
        <v xml:space="preserve">  - 0 - </v>
      </c>
    </row>
    <row r="1955" spans="8:32" x14ac:dyDescent="0.2">
      <c r="H1955" s="29" t="str">
        <f t="shared" si="496"/>
        <v xml:space="preserve"> </v>
      </c>
      <c r="L1955" s="29">
        <f t="shared" si="485"/>
        <v>0</v>
      </c>
      <c r="Q1955" s="38"/>
      <c r="R1955" s="32">
        <f t="shared" si="494"/>
        <v>0</v>
      </c>
      <c r="S1955" s="32"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32">
        <f t="shared" si="495"/>
        <v>1900</v>
      </c>
      <c r="U1955" s="29"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3"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9"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9">
        <v>1982</v>
      </c>
      <c r="Y1955" s="29" t="str">
        <f t="shared" si="488"/>
        <v>[' ', '', '', '--', '00 gennaio 1900', '00/01/1900', '1900/01/00'],</v>
      </c>
      <c r="Z1955" s="29" t="str">
        <f t="shared" si="489"/>
        <v xml:space="preserve"> () |  </v>
      </c>
      <c r="AA1955" s="29" t="str">
        <f t="shared" si="490"/>
        <v xml:space="preserve"> </v>
      </c>
      <c r="AB1955" s="29" t="str">
        <f t="shared" si="491"/>
        <v xml:space="preserve"> </v>
      </c>
      <c r="AC1955" s="29" t="str">
        <f t="shared" si="492"/>
        <v xml:space="preserve"> , 0 , 00 gennaio 1900</v>
      </c>
      <c r="AD1955" s="29" t="str">
        <f t="shared" si="493"/>
        <v>1900-01-00T08:00:00.000+02:00</v>
      </c>
      <c r="AE1955" s="29" t="str">
        <f t="shared" si="486"/>
        <v>--</v>
      </c>
      <c r="AF1955" s="29" t="str">
        <f t="shared" si="487"/>
        <v xml:space="preserve">  - 0 - </v>
      </c>
    </row>
    <row r="1956" spans="8:32" x14ac:dyDescent="0.2">
      <c r="H1956" s="29" t="str">
        <f t="shared" si="496"/>
        <v xml:space="preserve"> </v>
      </c>
      <c r="L1956" s="29">
        <f t="shared" si="485"/>
        <v>0</v>
      </c>
      <c r="Q1956" s="38"/>
      <c r="R1956" s="32">
        <f t="shared" si="494"/>
        <v>0</v>
      </c>
      <c r="S1956" s="32"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32">
        <f t="shared" si="495"/>
        <v>1900</v>
      </c>
      <c r="U1956" s="29"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3"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9"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9">
        <v>1983</v>
      </c>
      <c r="Y1956" s="29" t="str">
        <f t="shared" si="488"/>
        <v>[' ', '', '', '--', '00 gennaio 1900', '00/01/1900', '1900/01/00'],</v>
      </c>
      <c r="Z1956" s="29" t="str">
        <f t="shared" si="489"/>
        <v xml:space="preserve"> () |  </v>
      </c>
      <c r="AA1956" s="29" t="str">
        <f t="shared" si="490"/>
        <v xml:space="preserve"> </v>
      </c>
      <c r="AB1956" s="29" t="str">
        <f t="shared" si="491"/>
        <v xml:space="preserve"> </v>
      </c>
      <c r="AC1956" s="29" t="str">
        <f t="shared" si="492"/>
        <v xml:space="preserve"> , 0 , 00 gennaio 1900</v>
      </c>
      <c r="AD1956" s="29" t="str">
        <f t="shared" si="493"/>
        <v>1900-01-00T08:00:00.000+02:00</v>
      </c>
      <c r="AE1956" s="29" t="str">
        <f t="shared" si="486"/>
        <v>--</v>
      </c>
      <c r="AF1956" s="29" t="str">
        <f t="shared" si="487"/>
        <v xml:space="preserve">  - 0 - </v>
      </c>
    </row>
    <row r="1957" spans="8:32" x14ac:dyDescent="0.2">
      <c r="H1957" s="29" t="str">
        <f t="shared" si="496"/>
        <v xml:space="preserve"> </v>
      </c>
      <c r="L1957" s="29">
        <f t="shared" si="485"/>
        <v>0</v>
      </c>
      <c r="Q1957" s="38"/>
      <c r="R1957" s="32">
        <f t="shared" si="494"/>
        <v>0</v>
      </c>
      <c r="S1957" s="32"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32">
        <f t="shared" si="495"/>
        <v>1900</v>
      </c>
      <c r="U1957" s="29"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3"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9"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9">
        <v>1984</v>
      </c>
      <c r="Y1957" s="29" t="str">
        <f t="shared" si="488"/>
        <v>[' ', '', '', '--', '00 gennaio 1900', '00/01/1900', '1900/01/00'],</v>
      </c>
      <c r="Z1957" s="29" t="str">
        <f t="shared" si="489"/>
        <v xml:space="preserve"> () |  </v>
      </c>
      <c r="AA1957" s="29" t="str">
        <f t="shared" si="490"/>
        <v xml:space="preserve"> </v>
      </c>
      <c r="AB1957" s="29" t="str">
        <f t="shared" si="491"/>
        <v xml:space="preserve"> </v>
      </c>
      <c r="AC1957" s="29" t="str">
        <f t="shared" si="492"/>
        <v xml:space="preserve"> , 0 , 00 gennaio 1900</v>
      </c>
      <c r="AD1957" s="29" t="str">
        <f t="shared" si="493"/>
        <v>1900-01-00T08:00:00.000+02:00</v>
      </c>
      <c r="AE1957" s="29" t="str">
        <f t="shared" si="486"/>
        <v>--</v>
      </c>
      <c r="AF1957" s="29" t="str">
        <f t="shared" si="487"/>
        <v xml:space="preserve">  - 0 - </v>
      </c>
    </row>
    <row r="1958" spans="8:32" x14ac:dyDescent="0.2">
      <c r="H1958" s="29" t="str">
        <f t="shared" si="496"/>
        <v xml:space="preserve"> </v>
      </c>
      <c r="L1958" s="29">
        <f t="shared" ref="L1958:L1973" si="497">IF(J1958&lt;&gt;"",_xlfn.CONCAT(J1958 &amp; " " &amp; K1958),K1958)</f>
        <v>0</v>
      </c>
      <c r="Q1958" s="38"/>
      <c r="R1958" s="32">
        <f t="shared" si="494"/>
        <v>0</v>
      </c>
      <c r="S1958" s="32"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32">
        <f t="shared" si="495"/>
        <v>1900</v>
      </c>
      <c r="U1958" s="29"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3"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9"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9">
        <v>1985</v>
      </c>
      <c r="Y1958" s="29" t="str">
        <f t="shared" si="488"/>
        <v>[' ', '', '', '--', '00 gennaio 1900', '00/01/1900', '1900/01/00'],</v>
      </c>
      <c r="Z1958" s="29" t="str">
        <f t="shared" si="489"/>
        <v xml:space="preserve"> () |  </v>
      </c>
      <c r="AA1958" s="29" t="str">
        <f t="shared" si="490"/>
        <v xml:space="preserve"> </v>
      </c>
      <c r="AB1958" s="29" t="str">
        <f t="shared" si="491"/>
        <v xml:space="preserve"> </v>
      </c>
      <c r="AC1958" s="29" t="str">
        <f t="shared" si="492"/>
        <v xml:space="preserve"> , 0 , 00 gennaio 1900</v>
      </c>
      <c r="AD1958" s="29" t="str">
        <f t="shared" si="493"/>
        <v>1900-01-00T08:00:00.000+02:00</v>
      </c>
      <c r="AE1958" s="29" t="str">
        <f t="shared" si="486"/>
        <v>--</v>
      </c>
      <c r="AF1958" s="29" t="str">
        <f t="shared" si="487"/>
        <v xml:space="preserve">  - 0 - </v>
      </c>
    </row>
    <row r="1959" spans="8:32" x14ac:dyDescent="0.2">
      <c r="H1959" s="29" t="str">
        <f t="shared" si="496"/>
        <v xml:space="preserve"> </v>
      </c>
      <c r="L1959" s="29">
        <f t="shared" si="497"/>
        <v>0</v>
      </c>
      <c r="Q1959" s="38"/>
      <c r="R1959" s="32">
        <f t="shared" si="494"/>
        <v>0</v>
      </c>
      <c r="S1959" s="32"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32">
        <f t="shared" si="495"/>
        <v>1900</v>
      </c>
      <c r="U1959" s="29"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3"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9"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9">
        <v>1986</v>
      </c>
      <c r="Y1959" s="29" t="str">
        <f t="shared" si="488"/>
        <v>[' ', '', '', '--', '00 gennaio 1900', '00/01/1900', '1900/01/00'],</v>
      </c>
      <c r="Z1959" s="29" t="str">
        <f t="shared" si="489"/>
        <v xml:space="preserve"> () |  </v>
      </c>
      <c r="AA1959" s="29" t="str">
        <f t="shared" si="490"/>
        <v xml:space="preserve"> </v>
      </c>
      <c r="AB1959" s="29" t="str">
        <f t="shared" si="491"/>
        <v xml:space="preserve"> </v>
      </c>
      <c r="AC1959" s="29" t="str">
        <f t="shared" si="492"/>
        <v xml:space="preserve"> , 0 , 00 gennaio 1900</v>
      </c>
      <c r="AD1959" s="29" t="str">
        <f t="shared" si="493"/>
        <v>1900-01-00T08:00:00.000+02:00</v>
      </c>
      <c r="AE1959" s="29" t="str">
        <f t="shared" ref="AE1959:AE1973" si="498">_xlfn.CONCAT(F1959 &amp; "-" &amp; M1959 &amp; "-" &amp; P1959)</f>
        <v>--</v>
      </c>
      <c r="AF1959" s="29" t="str">
        <f t="shared" ref="AF1959:AF1973" si="499">_xlfn.CONCAT(H1959 &amp; " - " &amp; L1959 &amp; " - " &amp; O1959)</f>
        <v xml:space="preserve">  - 0 - </v>
      </c>
    </row>
    <row r="1960" spans="8:32" x14ac:dyDescent="0.2">
      <c r="H1960" s="29" t="str">
        <f t="shared" si="496"/>
        <v xml:space="preserve"> </v>
      </c>
      <c r="L1960" s="29">
        <f t="shared" si="497"/>
        <v>0</v>
      </c>
      <c r="Q1960" s="38"/>
      <c r="R1960" s="32">
        <f t="shared" si="494"/>
        <v>0</v>
      </c>
      <c r="S1960" s="32"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32">
        <f t="shared" si="495"/>
        <v>1900</v>
      </c>
      <c r="U1960" s="29"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3"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9"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9">
        <v>1987</v>
      </c>
      <c r="Y1960" s="29" t="str">
        <f t="shared" si="488"/>
        <v>[' ', '', '', '--', '00 gennaio 1900', '00/01/1900', '1900/01/00'],</v>
      </c>
      <c r="Z1960" s="29" t="str">
        <f t="shared" si="489"/>
        <v xml:space="preserve"> () |  </v>
      </c>
      <c r="AA1960" s="29" t="str">
        <f t="shared" si="490"/>
        <v xml:space="preserve"> </v>
      </c>
      <c r="AB1960" s="29" t="str">
        <f t="shared" si="491"/>
        <v xml:space="preserve"> </v>
      </c>
      <c r="AC1960" s="29" t="str">
        <f t="shared" si="492"/>
        <v xml:space="preserve"> , 0 , 00 gennaio 1900</v>
      </c>
      <c r="AD1960" s="29" t="str">
        <f t="shared" si="493"/>
        <v>1900-01-00T08:00:00.000+02:00</v>
      </c>
      <c r="AE1960" s="29" t="str">
        <f t="shared" si="498"/>
        <v>--</v>
      </c>
      <c r="AF1960" s="29" t="str">
        <f t="shared" si="499"/>
        <v xml:space="preserve">  - 0 - </v>
      </c>
    </row>
    <row r="1961" spans="8:32" x14ac:dyDescent="0.2">
      <c r="H1961" s="29" t="str">
        <f t="shared" si="496"/>
        <v xml:space="preserve"> </v>
      </c>
      <c r="L1961" s="29">
        <f t="shared" si="497"/>
        <v>0</v>
      </c>
      <c r="Q1961" s="38"/>
      <c r="R1961" s="32">
        <f t="shared" si="494"/>
        <v>0</v>
      </c>
      <c r="S1961" s="32"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32">
        <f t="shared" si="495"/>
        <v>1900</v>
      </c>
      <c r="U1961" s="29"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3"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9"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9">
        <v>1988</v>
      </c>
      <c r="Y1961" s="29" t="str">
        <f t="shared" si="488"/>
        <v>[' ', '', '', '--', '00 gennaio 1900', '00/01/1900', '1900/01/00'],</v>
      </c>
      <c r="Z1961" s="29" t="str">
        <f t="shared" si="489"/>
        <v xml:space="preserve"> () |  </v>
      </c>
      <c r="AA1961" s="29" t="str">
        <f t="shared" si="490"/>
        <v xml:space="preserve"> </v>
      </c>
      <c r="AB1961" s="29" t="str">
        <f t="shared" si="491"/>
        <v xml:space="preserve"> </v>
      </c>
      <c r="AC1961" s="29" t="str">
        <f t="shared" si="492"/>
        <v xml:space="preserve"> , 0 , 00 gennaio 1900</v>
      </c>
      <c r="AD1961" s="29" t="str">
        <f t="shared" si="493"/>
        <v>1900-01-00T08:00:00.000+02:00</v>
      </c>
      <c r="AE1961" s="29" t="str">
        <f t="shared" si="498"/>
        <v>--</v>
      </c>
      <c r="AF1961" s="29" t="str">
        <f t="shared" si="499"/>
        <v xml:space="preserve">  - 0 - </v>
      </c>
    </row>
    <row r="1962" spans="8:32" x14ac:dyDescent="0.2">
      <c r="H1962" s="29" t="str">
        <f t="shared" si="496"/>
        <v xml:space="preserve"> </v>
      </c>
      <c r="L1962" s="29">
        <f t="shared" si="497"/>
        <v>0</v>
      </c>
      <c r="Q1962" s="38"/>
      <c r="R1962" s="32">
        <f t="shared" si="494"/>
        <v>0</v>
      </c>
      <c r="S1962" s="32"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32">
        <f t="shared" si="495"/>
        <v>1900</v>
      </c>
      <c r="U1962" s="29"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3"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9"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9">
        <v>1989</v>
      </c>
      <c r="Y1962" s="29" t="str">
        <f t="shared" si="488"/>
        <v>[' ', '', '', '--', '00 gennaio 1900', '00/01/1900', '1900/01/00'],</v>
      </c>
      <c r="Z1962" s="29" t="str">
        <f t="shared" si="489"/>
        <v xml:space="preserve"> () |  </v>
      </c>
      <c r="AA1962" s="29" t="str">
        <f t="shared" si="490"/>
        <v xml:space="preserve"> </v>
      </c>
      <c r="AB1962" s="29" t="str">
        <f t="shared" si="491"/>
        <v xml:space="preserve"> </v>
      </c>
      <c r="AC1962" s="29" t="str">
        <f t="shared" si="492"/>
        <v xml:space="preserve"> , 0 , 00 gennaio 1900</v>
      </c>
      <c r="AD1962" s="29" t="str">
        <f t="shared" si="493"/>
        <v>1900-01-00T08:00:00.000+02:00</v>
      </c>
      <c r="AE1962" s="29" t="str">
        <f t="shared" si="498"/>
        <v>--</v>
      </c>
      <c r="AF1962" s="29" t="str">
        <f t="shared" si="499"/>
        <v xml:space="preserve">  - 0 - </v>
      </c>
    </row>
    <row r="1963" spans="8:32" x14ac:dyDescent="0.2">
      <c r="H1963" s="29" t="str">
        <f t="shared" si="496"/>
        <v xml:space="preserve"> </v>
      </c>
      <c r="L1963" s="29">
        <f t="shared" si="497"/>
        <v>0</v>
      </c>
      <c r="Q1963" s="38"/>
      <c r="R1963" s="32">
        <f t="shared" si="494"/>
        <v>0</v>
      </c>
      <c r="S1963" s="32"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32">
        <f t="shared" si="495"/>
        <v>1900</v>
      </c>
      <c r="U1963" s="29"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3"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9"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9">
        <v>1990</v>
      </c>
      <c r="Y1963" s="29" t="str">
        <f t="shared" si="488"/>
        <v>[' ', '', '', '--', '00 gennaio 1900', '00/01/1900', '1900/01/00'],</v>
      </c>
      <c r="Z1963" s="29" t="str">
        <f t="shared" si="489"/>
        <v xml:space="preserve"> () |  </v>
      </c>
      <c r="AA1963" s="29" t="str">
        <f t="shared" si="490"/>
        <v xml:space="preserve"> </v>
      </c>
      <c r="AB1963" s="29" t="str">
        <f t="shared" si="491"/>
        <v xml:space="preserve"> </v>
      </c>
      <c r="AC1963" s="29" t="str">
        <f t="shared" si="492"/>
        <v xml:space="preserve"> , 0 , 00 gennaio 1900</v>
      </c>
      <c r="AD1963" s="29" t="str">
        <f t="shared" si="493"/>
        <v>1900-01-00T08:00:00.000+02:00</v>
      </c>
      <c r="AE1963" s="29" t="str">
        <f t="shared" si="498"/>
        <v>--</v>
      </c>
      <c r="AF1963" s="29" t="str">
        <f t="shared" si="499"/>
        <v xml:space="preserve">  - 0 - </v>
      </c>
    </row>
    <row r="1964" spans="8:32" x14ac:dyDescent="0.2">
      <c r="H1964" s="29" t="str">
        <f t="shared" si="496"/>
        <v xml:space="preserve"> </v>
      </c>
      <c r="L1964" s="29">
        <f t="shared" si="497"/>
        <v>0</v>
      </c>
      <c r="Q1964" s="38"/>
      <c r="R1964" s="32">
        <f t="shared" si="494"/>
        <v>0</v>
      </c>
      <c r="S1964" s="32"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32">
        <f t="shared" si="495"/>
        <v>1900</v>
      </c>
      <c r="U1964" s="29"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3"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9"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9">
        <v>1991</v>
      </c>
      <c r="Y1964" s="29" t="str">
        <f t="shared" si="488"/>
        <v>[' ', '', '', '--', '00 gennaio 1900', '00/01/1900', '1900/01/00'],</v>
      </c>
      <c r="Z1964" s="29" t="str">
        <f t="shared" ref="Z1964:Z1973" si="500">_xlfn.CONCAT(O1964 &amp; " (" &amp; Q1964 &amp; ") | " &amp; D1964 &amp; " " &amp; E1964)</f>
        <v xml:space="preserve"> () |  </v>
      </c>
      <c r="AA1964" s="29" t="str">
        <f t="shared" ref="AA1964:AA1973" si="501">_xlfn.CONCAT(K1964 &amp; " " &amp; O1964)</f>
        <v xml:space="preserve"> </v>
      </c>
      <c r="AB1964" s="29" t="str">
        <f t="shared" ref="AB1964:AB1973" si="502">_xlfn.CONCAT(K1964 &amp; " " &amp; O1964)</f>
        <v xml:space="preserve"> </v>
      </c>
      <c r="AC1964" s="29" t="str">
        <f t="shared" ref="AC1964:AC1973" si="503">_xlfn.CONCAT(H1964 &amp; ", " &amp; L1964 &amp; " " &amp; O1964 &amp; ", " &amp; LEFT(U1964,2) &amp; " " &amp; TEXT(VALUE(MID(U1964,4,2))*29,"mmmm") &amp; " " &amp; RIGHT(U1964,4))</f>
        <v xml:space="preserve"> , 0 , 00 gennaio 1900</v>
      </c>
      <c r="AD1964" s="29" t="str">
        <f t="shared" ref="AD1964:AD1973" si="504">_xlfn.CONCAT(RIGHT(U1964,4) &amp; "-" &amp; MID(U1964,4,2) &amp; "-" &amp; LEFT(U1964,2) &amp; "T08:00:00.000+02:00")</f>
        <v>1900-01-00T08:00:00.000+02:00</v>
      </c>
      <c r="AE1964" s="29" t="str">
        <f t="shared" si="498"/>
        <v>--</v>
      </c>
      <c r="AF1964" s="29" t="str">
        <f t="shared" si="499"/>
        <v xml:space="preserve">  - 0 - </v>
      </c>
    </row>
    <row r="1965" spans="8:32" x14ac:dyDescent="0.2">
      <c r="H1965" s="29" t="str">
        <f t="shared" si="496"/>
        <v xml:space="preserve"> </v>
      </c>
      <c r="L1965" s="29">
        <f t="shared" si="497"/>
        <v>0</v>
      </c>
      <c r="Q1965" s="38"/>
      <c r="R1965" s="32">
        <f t="shared" si="494"/>
        <v>0</v>
      </c>
      <c r="S1965" s="32"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32">
        <f t="shared" si="495"/>
        <v>1900</v>
      </c>
      <c r="U1965" s="29"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3"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9"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9">
        <v>1992</v>
      </c>
      <c r="Y1965" s="29" t="str">
        <f t="shared" si="488"/>
        <v>[' ', '', '', '--', '00 gennaio 1900', '00/01/1900', '1900/01/00'],</v>
      </c>
      <c r="Z1965" s="29" t="str">
        <f t="shared" si="500"/>
        <v xml:space="preserve"> () |  </v>
      </c>
      <c r="AA1965" s="29" t="str">
        <f t="shared" si="501"/>
        <v xml:space="preserve"> </v>
      </c>
      <c r="AB1965" s="29" t="str">
        <f t="shared" si="502"/>
        <v xml:space="preserve"> </v>
      </c>
      <c r="AC1965" s="29" t="str">
        <f t="shared" si="503"/>
        <v xml:space="preserve"> , 0 , 00 gennaio 1900</v>
      </c>
      <c r="AD1965" s="29" t="str">
        <f t="shared" si="504"/>
        <v>1900-01-00T08:00:00.000+02:00</v>
      </c>
      <c r="AE1965" s="29" t="str">
        <f t="shared" si="498"/>
        <v>--</v>
      </c>
      <c r="AF1965" s="29" t="str">
        <f t="shared" si="499"/>
        <v xml:space="preserve">  - 0 - </v>
      </c>
    </row>
    <row r="1966" spans="8:32" x14ac:dyDescent="0.2">
      <c r="H1966" s="29" t="str">
        <f t="shared" si="496"/>
        <v xml:space="preserve"> </v>
      </c>
      <c r="L1966" s="29">
        <f t="shared" si="497"/>
        <v>0</v>
      </c>
      <c r="Q1966" s="38"/>
      <c r="R1966" s="32">
        <f t="shared" si="494"/>
        <v>0</v>
      </c>
      <c r="S1966" s="32"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32">
        <f t="shared" si="495"/>
        <v>1900</v>
      </c>
      <c r="U1966" s="29"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3"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9"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9">
        <v>1993</v>
      </c>
      <c r="Y1966" s="29" t="str">
        <f t="shared" si="488"/>
        <v>[' ', '', '', '--', '00 gennaio 1900', '00/01/1900', '1900/01/00'],</v>
      </c>
      <c r="Z1966" s="29" t="str">
        <f t="shared" si="500"/>
        <v xml:space="preserve"> () |  </v>
      </c>
      <c r="AA1966" s="29" t="str">
        <f t="shared" si="501"/>
        <v xml:space="preserve"> </v>
      </c>
      <c r="AB1966" s="29" t="str">
        <f t="shared" si="502"/>
        <v xml:space="preserve"> </v>
      </c>
      <c r="AC1966" s="29" t="str">
        <f t="shared" si="503"/>
        <v xml:space="preserve"> , 0 , 00 gennaio 1900</v>
      </c>
      <c r="AD1966" s="29" t="str">
        <f t="shared" si="504"/>
        <v>1900-01-00T08:00:00.000+02:00</v>
      </c>
      <c r="AE1966" s="29" t="str">
        <f t="shared" si="498"/>
        <v>--</v>
      </c>
      <c r="AF1966" s="29" t="str">
        <f t="shared" si="499"/>
        <v xml:space="preserve">  - 0 - </v>
      </c>
    </row>
    <row r="1967" spans="8:32" x14ac:dyDescent="0.2">
      <c r="H1967" s="29" t="str">
        <f t="shared" si="496"/>
        <v xml:space="preserve"> </v>
      </c>
      <c r="L1967" s="29">
        <f t="shared" si="497"/>
        <v>0</v>
      </c>
      <c r="Q1967" s="38"/>
      <c r="R1967" s="32">
        <f t="shared" si="494"/>
        <v>0</v>
      </c>
      <c r="S1967" s="32"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32">
        <f t="shared" si="495"/>
        <v>1900</v>
      </c>
      <c r="U1967" s="29"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3"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9"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9">
        <v>1994</v>
      </c>
      <c r="Y1967" s="29" t="str">
        <f t="shared" si="488"/>
        <v>[' ', '', '', '--', '00 gennaio 1900', '00/01/1900', '1900/01/00'],</v>
      </c>
      <c r="Z1967" s="29" t="str">
        <f t="shared" si="500"/>
        <v xml:space="preserve"> () |  </v>
      </c>
      <c r="AA1967" s="29" t="str">
        <f t="shared" si="501"/>
        <v xml:space="preserve"> </v>
      </c>
      <c r="AB1967" s="29" t="str">
        <f t="shared" si="502"/>
        <v xml:space="preserve"> </v>
      </c>
      <c r="AC1967" s="29" t="str">
        <f t="shared" si="503"/>
        <v xml:space="preserve"> , 0 , 00 gennaio 1900</v>
      </c>
      <c r="AD1967" s="29" t="str">
        <f t="shared" si="504"/>
        <v>1900-01-00T08:00:00.000+02:00</v>
      </c>
      <c r="AE1967" s="29" t="str">
        <f t="shared" si="498"/>
        <v>--</v>
      </c>
      <c r="AF1967" s="29" t="str">
        <f t="shared" si="499"/>
        <v xml:space="preserve">  - 0 - </v>
      </c>
    </row>
    <row r="1968" spans="8:32" x14ac:dyDescent="0.2">
      <c r="H1968" s="29" t="str">
        <f t="shared" si="496"/>
        <v xml:space="preserve"> </v>
      </c>
      <c r="L1968" s="29">
        <f t="shared" si="497"/>
        <v>0</v>
      </c>
      <c r="Q1968" s="38"/>
      <c r="R1968" s="32">
        <f t="shared" si="494"/>
        <v>0</v>
      </c>
      <c r="S1968" s="32"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32">
        <f t="shared" si="495"/>
        <v>1900</v>
      </c>
      <c r="U1968" s="29"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3"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9"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9">
        <v>1995</v>
      </c>
      <c r="Y1968" s="29" t="str">
        <f t="shared" si="488"/>
        <v>[' ', '', '', '--', '00 gennaio 1900', '00/01/1900', '1900/01/00'],</v>
      </c>
      <c r="Z1968" s="29" t="str">
        <f t="shared" si="500"/>
        <v xml:space="preserve"> () |  </v>
      </c>
      <c r="AA1968" s="29" t="str">
        <f t="shared" si="501"/>
        <v xml:space="preserve"> </v>
      </c>
      <c r="AB1968" s="29" t="str">
        <f t="shared" si="502"/>
        <v xml:space="preserve"> </v>
      </c>
      <c r="AC1968" s="29" t="str">
        <f t="shared" si="503"/>
        <v xml:space="preserve"> , 0 , 00 gennaio 1900</v>
      </c>
      <c r="AD1968" s="29" t="str">
        <f t="shared" si="504"/>
        <v>1900-01-00T08:00:00.000+02:00</v>
      </c>
      <c r="AE1968" s="29" t="str">
        <f t="shared" si="498"/>
        <v>--</v>
      </c>
      <c r="AF1968" s="29" t="str">
        <f t="shared" si="499"/>
        <v xml:space="preserve">  - 0 - </v>
      </c>
    </row>
    <row r="1969" spans="8:32" x14ac:dyDescent="0.2">
      <c r="H1969" s="29" t="str">
        <f t="shared" si="496"/>
        <v xml:space="preserve"> </v>
      </c>
      <c r="L1969" s="29">
        <f t="shared" si="497"/>
        <v>0</v>
      </c>
      <c r="Q1969" s="38"/>
      <c r="R1969" s="32">
        <f t="shared" si="494"/>
        <v>0</v>
      </c>
      <c r="S1969" s="32"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32">
        <f t="shared" si="495"/>
        <v>1900</v>
      </c>
      <c r="U1969" s="29"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3"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9"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9">
        <v>1996</v>
      </c>
      <c r="Y1969" s="29" t="str">
        <f t="shared" si="488"/>
        <v>[' ', '', '', '--', '00 gennaio 1900', '00/01/1900', '1900/01/00'],</v>
      </c>
      <c r="Z1969" s="29" t="str">
        <f t="shared" si="500"/>
        <v xml:space="preserve"> () |  </v>
      </c>
      <c r="AA1969" s="29" t="str">
        <f t="shared" si="501"/>
        <v xml:space="preserve"> </v>
      </c>
      <c r="AB1969" s="29" t="str">
        <f t="shared" si="502"/>
        <v xml:space="preserve"> </v>
      </c>
      <c r="AC1969" s="29" t="str">
        <f t="shared" si="503"/>
        <v xml:space="preserve"> , 0 , 00 gennaio 1900</v>
      </c>
      <c r="AD1969" s="29" t="str">
        <f t="shared" si="504"/>
        <v>1900-01-00T08:00:00.000+02:00</v>
      </c>
      <c r="AE1969" s="29" t="str">
        <f t="shared" si="498"/>
        <v>--</v>
      </c>
      <c r="AF1969" s="29" t="str">
        <f t="shared" si="499"/>
        <v xml:space="preserve">  - 0 - </v>
      </c>
    </row>
    <row r="1970" spans="8:32" x14ac:dyDescent="0.2">
      <c r="H1970" s="29" t="str">
        <f t="shared" si="496"/>
        <v xml:space="preserve"> </v>
      </c>
      <c r="L1970" s="29">
        <f t="shared" si="497"/>
        <v>0</v>
      </c>
      <c r="Q1970" s="38"/>
      <c r="R1970" s="32">
        <f t="shared" si="494"/>
        <v>0</v>
      </c>
      <c r="S1970" s="32"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32">
        <f t="shared" si="495"/>
        <v>1900</v>
      </c>
      <c r="U1970" s="29"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3"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9"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9">
        <v>1997</v>
      </c>
      <c r="Y1970" s="29" t="str">
        <f t="shared" si="488"/>
        <v>[' ', '', '', '--', '00 gennaio 1900', '00/01/1900', '1900/01/00'],</v>
      </c>
      <c r="Z1970" s="29" t="str">
        <f t="shared" si="500"/>
        <v xml:space="preserve"> () |  </v>
      </c>
      <c r="AA1970" s="29" t="str">
        <f t="shared" si="501"/>
        <v xml:space="preserve"> </v>
      </c>
      <c r="AB1970" s="29" t="str">
        <f t="shared" si="502"/>
        <v xml:space="preserve"> </v>
      </c>
      <c r="AC1970" s="29" t="str">
        <f t="shared" si="503"/>
        <v xml:space="preserve"> , 0 , 00 gennaio 1900</v>
      </c>
      <c r="AD1970" s="29" t="str">
        <f t="shared" si="504"/>
        <v>1900-01-00T08:00:00.000+02:00</v>
      </c>
      <c r="AE1970" s="29" t="str">
        <f t="shared" si="498"/>
        <v>--</v>
      </c>
      <c r="AF1970" s="29" t="str">
        <f t="shared" si="499"/>
        <v xml:space="preserve">  - 0 - </v>
      </c>
    </row>
    <row r="1971" spans="8:32" x14ac:dyDescent="0.2">
      <c r="H1971" s="29" t="str">
        <f t="shared" si="496"/>
        <v xml:space="preserve"> </v>
      </c>
      <c r="L1971" s="29">
        <f t="shared" si="497"/>
        <v>0</v>
      </c>
      <c r="Q1971" s="38"/>
      <c r="R1971" s="32">
        <f t="shared" si="494"/>
        <v>0</v>
      </c>
      <c r="S1971" s="32"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32">
        <f t="shared" si="495"/>
        <v>1900</v>
      </c>
      <c r="U1971" s="29"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3"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9"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9">
        <v>1998</v>
      </c>
      <c r="Y1971" s="29" t="str">
        <f t="shared" si="488"/>
        <v>[' ', '', '', '--', '00 gennaio 1900', '00/01/1900', '1900/01/00'],</v>
      </c>
      <c r="Z1971" s="29" t="str">
        <f t="shared" si="500"/>
        <v xml:space="preserve"> () |  </v>
      </c>
      <c r="AA1971" s="29" t="str">
        <f t="shared" si="501"/>
        <v xml:space="preserve"> </v>
      </c>
      <c r="AB1971" s="29" t="str">
        <f t="shared" si="502"/>
        <v xml:space="preserve"> </v>
      </c>
      <c r="AC1971" s="29" t="str">
        <f t="shared" si="503"/>
        <v xml:space="preserve"> , 0 , 00 gennaio 1900</v>
      </c>
      <c r="AD1971" s="29" t="str">
        <f t="shared" si="504"/>
        <v>1900-01-00T08:00:00.000+02:00</v>
      </c>
      <c r="AE1971" s="29" t="str">
        <f t="shared" si="498"/>
        <v>--</v>
      </c>
      <c r="AF1971" s="29" t="str">
        <f t="shared" si="499"/>
        <v xml:space="preserve">  - 0 - </v>
      </c>
    </row>
    <row r="1972" spans="8:32" x14ac:dyDescent="0.2">
      <c r="H1972" s="29" t="str">
        <f t="shared" si="496"/>
        <v xml:space="preserve"> </v>
      </c>
      <c r="L1972" s="29">
        <f t="shared" si="497"/>
        <v>0</v>
      </c>
      <c r="Q1972" s="38"/>
      <c r="R1972" s="32">
        <f t="shared" si="494"/>
        <v>0</v>
      </c>
      <c r="S1972" s="32"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32">
        <f t="shared" si="495"/>
        <v>1900</v>
      </c>
      <c r="U1972" s="29"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3"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9"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9">
        <v>1999</v>
      </c>
      <c r="Y1972" s="29" t="str">
        <f t="shared" si="488"/>
        <v>[' ', '', '', '--', '00 gennaio 1900', '00/01/1900', '1900/01/00'],</v>
      </c>
      <c r="Z1972" s="29" t="str">
        <f t="shared" si="500"/>
        <v xml:space="preserve"> () |  </v>
      </c>
      <c r="AA1972" s="29" t="str">
        <f t="shared" si="501"/>
        <v xml:space="preserve"> </v>
      </c>
      <c r="AB1972" s="29" t="str">
        <f t="shared" si="502"/>
        <v xml:space="preserve"> </v>
      </c>
      <c r="AC1972" s="29" t="str">
        <f t="shared" si="503"/>
        <v xml:space="preserve"> , 0 , 00 gennaio 1900</v>
      </c>
      <c r="AD1972" s="29" t="str">
        <f t="shared" si="504"/>
        <v>1900-01-00T08:00:00.000+02:00</v>
      </c>
      <c r="AE1972" s="29" t="str">
        <f t="shared" si="498"/>
        <v>--</v>
      </c>
      <c r="AF1972" s="29" t="str">
        <f t="shared" si="499"/>
        <v xml:space="preserve">  - 0 - </v>
      </c>
    </row>
    <row r="1973" spans="8:32" x14ac:dyDescent="0.2">
      <c r="H1973" s="29" t="str">
        <f t="shared" si="496"/>
        <v xml:space="preserve"> </v>
      </c>
      <c r="L1973" s="29">
        <f t="shared" si="497"/>
        <v>0</v>
      </c>
      <c r="Q1973" s="38"/>
      <c r="R1973" s="32">
        <f t="shared" si="494"/>
        <v>0</v>
      </c>
      <c r="S1973" s="32"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32">
        <f t="shared" si="495"/>
        <v>1900</v>
      </c>
      <c r="U1973" s="29"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3"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9"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9">
        <v>2000</v>
      </c>
      <c r="Y1973" s="29" t="str">
        <f t="shared" si="488"/>
        <v>[' ', '', '', '--', '00 gennaio 1900', '00/01/1900', '1900/01/00'],</v>
      </c>
      <c r="Z1973" s="29" t="str">
        <f t="shared" si="500"/>
        <v xml:space="preserve"> () |  </v>
      </c>
      <c r="AA1973" s="29" t="str">
        <f t="shared" si="501"/>
        <v xml:space="preserve"> </v>
      </c>
      <c r="AB1973" s="29" t="str">
        <f t="shared" si="502"/>
        <v xml:space="preserve"> </v>
      </c>
      <c r="AC1973" s="29" t="str">
        <f t="shared" si="503"/>
        <v xml:space="preserve"> , 0 , 00 gennaio 1900</v>
      </c>
      <c r="AD1973" s="29" t="str">
        <f t="shared" si="504"/>
        <v>1900-01-00T08:00:00.000+02:00</v>
      </c>
      <c r="AE1973" s="29" t="str">
        <f t="shared" si="498"/>
        <v>--</v>
      </c>
      <c r="AF1973" s="29" t="str">
        <f t="shared" si="499"/>
        <v xml:space="preserve">  - 0 - </v>
      </c>
    </row>
  </sheetData>
  <autoFilter ref="B1:AL1973"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16"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s>
  <pageMargins left="0.7" right="0.7" top="0.75" bottom="0.75" header="0.3" footer="0.3"/>
  <pageSetup paperSize="9" orientation="portrait" horizontalDpi="1200" verticalDpi="1200" r:id="rId15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5546875" defaultRowHeight="15" x14ac:dyDescent="0.25"/>
  <cols>
    <col min="1" max="1" width="9.7109375" style="49" bestFit="1" customWidth="1"/>
    <col min="2" max="2" width="6.28515625" style="49" bestFit="1" customWidth="1"/>
    <col min="3" max="3" width="5.28515625" style="49" bestFit="1" customWidth="1"/>
    <col min="4" max="4" width="23.28515625" style="49" bestFit="1" customWidth="1"/>
    <col min="5" max="5" width="18.42578125" style="49" bestFit="1" customWidth="1"/>
    <col min="6" max="6" width="16.7109375" style="49" bestFit="1" customWidth="1"/>
    <col min="7" max="7" width="10.7109375" style="49" bestFit="1" customWidth="1"/>
    <col min="8" max="8" width="13.28515625" style="49" bestFit="1" customWidth="1"/>
    <col min="9" max="9" width="4.42578125" style="49" bestFit="1" customWidth="1"/>
    <col min="10" max="10" width="9.85546875" style="49"/>
    <col min="11" max="11" width="9.140625" style="49" bestFit="1" customWidth="1"/>
    <col min="12" max="12" width="6.7109375" style="49" bestFit="1" customWidth="1"/>
    <col min="13" max="13" width="40.5703125" style="49" bestFit="1" customWidth="1"/>
    <col min="14" max="14" width="21.85546875" style="49" bestFit="1" customWidth="1"/>
    <col min="15" max="15" width="35.140625" style="49" bestFit="1" customWidth="1"/>
    <col min="16" max="16" width="4" style="49" bestFit="1" customWidth="1"/>
    <col min="17" max="17" width="15.7109375" style="49" bestFit="1" customWidth="1"/>
    <col min="18" max="18" width="21.140625" style="49" bestFit="1" customWidth="1"/>
    <col min="19" max="19" width="33.28515625" style="49" bestFit="1" customWidth="1"/>
    <col min="20" max="20" width="43.28515625" style="49" bestFit="1" customWidth="1"/>
    <col min="21" max="16384" width="9.85546875" style="49"/>
  </cols>
  <sheetData>
    <row r="1" spans="1:23" x14ac:dyDescent="0.25">
      <c r="P1" s="49">
        <v>1</v>
      </c>
      <c r="Q1" s="49" t="str">
        <f t="shared" ref="Q1:Q10" si="0">_xlfn.CONCAT("[[#^",P1,"|",P1,".]] X.")</f>
        <v>[[#^1|1.]] X.</v>
      </c>
      <c r="R1" s="49" t="str">
        <f>_xlfn.CONCAT("{  .paragrafo-normale }")</f>
        <v>{  .paragrafo-normale }</v>
      </c>
      <c r="S1" s="49" t="str">
        <f>_xlfn.CONCAT(Q1,"
",R1,"
")</f>
        <v xml:space="preserve">[[#^1|1.]] X.
{  .paragrafo-normale }
</v>
      </c>
      <c r="T1" s="51" t="s">
        <v>5236</v>
      </c>
    </row>
    <row r="2" spans="1:23" x14ac:dyDescent="0.25">
      <c r="K2" s="49" t="str">
        <f>_xlfn.CONCAT("| ",B3," |")</f>
        <v>| Progr. |</v>
      </c>
      <c r="L2" s="49" t="str">
        <f>_xlfn.CONCAT(C3," |")</f>
        <v>Num |</v>
      </c>
      <c r="M2" s="49" t="str">
        <f>_xlfn.CONCAT(" ",D3)</f>
        <v xml:space="preserve"> Titolo</v>
      </c>
      <c r="N2" s="49" t="str">
        <f>_xlfn.CONCAT(" | ",E3," |")</f>
        <v xml:space="preserve"> | Data |</v>
      </c>
      <c r="O2" s="49" t="str">
        <f>_xlfn.CONCAT(" ",F3," |")</f>
        <v xml:space="preserve"> File name |</v>
      </c>
      <c r="P2" s="49">
        <v>2</v>
      </c>
      <c r="Q2" s="49" t="str">
        <f t="shared" si="0"/>
        <v>[[#^2|2.]] X.</v>
      </c>
      <c r="R2" s="49" t="str">
        <f t="shared" ref="R2:R65" si="1">_xlfn.CONCAT("{  .paragrafo-normale }")</f>
        <v>{  .paragrafo-normale }</v>
      </c>
      <c r="S2" s="49" t="str">
        <f t="shared" ref="S2:S65" si="2">_xlfn.CONCAT(Q2,"
",R2,"
")</f>
        <v xml:space="preserve">[[#^2|2.]] X.
{  .paragrafo-normale }
</v>
      </c>
      <c r="W2" s="50"/>
    </row>
    <row r="3" spans="1:23" x14ac:dyDescent="0.25">
      <c r="B3" s="49" t="s">
        <v>5180</v>
      </c>
      <c r="C3" s="49" t="s">
        <v>2714</v>
      </c>
      <c r="D3" s="49" t="s">
        <v>1</v>
      </c>
      <c r="E3" s="49" t="s">
        <v>544</v>
      </c>
      <c r="F3" s="49" t="s">
        <v>2925</v>
      </c>
      <c r="G3" s="49" t="s">
        <v>544</v>
      </c>
      <c r="H3" s="49" t="s">
        <v>2925</v>
      </c>
      <c r="K3" s="49" t="str">
        <f>_xlfn.CONCAT("|--------|")</f>
        <v>|--------|</v>
      </c>
      <c r="L3" s="49" t="str">
        <f>_xlfn.CONCAT("-----|")</f>
        <v>-----|</v>
      </c>
      <c r="M3" s="49" t="str">
        <f>_xlfn.CONCAT("--------------------------------------------------")</f>
        <v>--------------------------------------------------</v>
      </c>
      <c r="N3" s="49" t="str">
        <f>_xlfn.CONCAT(" |---------------------|")</f>
        <v xml:space="preserve"> |---------------------|</v>
      </c>
      <c r="O3" s="49" t="str">
        <f>_xlfn.CONCAT(" |---------------------|")</f>
        <v xml:space="preserve"> |---------------------|</v>
      </c>
      <c r="P3" s="49">
        <v>3</v>
      </c>
      <c r="Q3" s="49" t="str">
        <f t="shared" si="0"/>
        <v>[[#^3|3.]] X.</v>
      </c>
      <c r="R3" s="49" t="str">
        <f t="shared" si="1"/>
        <v>{  .paragrafo-normale }</v>
      </c>
      <c r="S3" s="49" t="str">
        <f t="shared" si="2"/>
        <v xml:space="preserve">[[#^3|3.]] X.
{  .paragrafo-normale }
</v>
      </c>
    </row>
    <row r="4" spans="1:23" x14ac:dyDescent="0.25">
      <c r="A4" s="49" t="s">
        <v>549</v>
      </c>
      <c r="B4" s="49">
        <v>25</v>
      </c>
      <c r="C4" s="49">
        <v>1</v>
      </c>
      <c r="D4" s="49" t="s">
        <v>859</v>
      </c>
      <c r="E4" s="49" t="str">
        <f t="shared" ref="E4:E52" si="3">_xlfn.CONCAT("{{date:",G4,"}}")</f>
        <v>{{date:15/03/1749}}</v>
      </c>
      <c r="F4" s="49" t="str">
        <f t="shared" ref="F4:F52" si="4">_xlfn.CONCAT(H4,I4)</f>
        <v>bxiv-bol-ofn.md</v>
      </c>
      <c r="G4" s="49" t="s">
        <v>5182</v>
      </c>
      <c r="H4" s="49" t="s">
        <v>5186</v>
      </c>
      <c r="I4" s="49" t="s">
        <v>5181</v>
      </c>
      <c r="K4" s="49" t="str">
        <f>_xlfn.CONCAT("| ",B4,"     |")</f>
        <v>| 25     |</v>
      </c>
      <c r="L4" s="49" t="str">
        <f>_xlfn.CONCAT(C4,"   |")</f>
        <v>1   |</v>
      </c>
      <c r="M4" s="49" t="str">
        <f>_xlfn.CONCAT(" [[",H4,"|",D4,"]]")</f>
        <v xml:space="preserve"> [[bxiv-bol-ofn|Officii Nostri]]</v>
      </c>
      <c r="N4" s="49" t="str">
        <f t="shared" ref="N4:N7" si="5">_xlfn.CONCAT(" | ",E4," |")</f>
        <v xml:space="preserve"> | {{date:15/03/1749}} |</v>
      </c>
      <c r="O4" s="49" t="str">
        <f>_xlfn.CONCAT(" [[",H4,"|",F4,"]] ")</f>
        <v xml:space="preserve"> [[bxiv-bol-ofn|bxiv-bol-ofn.md]] </v>
      </c>
      <c r="P4" s="49">
        <v>4</v>
      </c>
      <c r="Q4" s="49" t="str">
        <f t="shared" si="0"/>
        <v>[[#^4|4.]] X.</v>
      </c>
      <c r="R4" s="49" t="str">
        <f t="shared" si="1"/>
        <v>{  .paragrafo-normale }</v>
      </c>
      <c r="S4" s="49" t="str">
        <f t="shared" si="2"/>
        <v xml:space="preserve">[[#^4|4.]] X.
{  .paragrafo-normale }
</v>
      </c>
    </row>
    <row r="5" spans="1:23" x14ac:dyDescent="0.25">
      <c r="B5" s="49">
        <v>26</v>
      </c>
      <c r="C5" s="49">
        <v>2</v>
      </c>
      <c r="D5" s="49" t="s">
        <v>860</v>
      </c>
      <c r="E5" s="49" t="str">
        <f t="shared" si="3"/>
        <v>{{date:05/05/1749}}</v>
      </c>
      <c r="F5" s="49" t="str">
        <f t="shared" si="4"/>
        <v>bxiv-bol-pad.md</v>
      </c>
      <c r="G5" s="49" t="s">
        <v>5183</v>
      </c>
      <c r="H5" s="49" t="s">
        <v>5187</v>
      </c>
      <c r="I5" s="49" t="s">
        <v>5181</v>
      </c>
      <c r="K5" s="49" t="str">
        <f t="shared" ref="K5:K7" si="6">_xlfn.CONCAT("| ",B5,"     |")</f>
        <v>| 26     |</v>
      </c>
      <c r="L5" s="49" t="str">
        <f t="shared" ref="L5:L7" si="7">_xlfn.CONCAT(C5,"   |")</f>
        <v>2   |</v>
      </c>
      <c r="M5" s="49" t="str">
        <f t="shared" ref="M5:M7" si="8">_xlfn.CONCAT(" [[",H5,"|",D5,"]]")</f>
        <v xml:space="preserve"> [[bxiv-bol-pad|Peregrinantes a Domino]]</v>
      </c>
      <c r="N5" s="49" t="str">
        <f t="shared" si="5"/>
        <v xml:space="preserve"> | {{date:05/05/1749}} |</v>
      </c>
      <c r="O5" s="49" t="str">
        <f t="shared" ref="O5:O7" si="9">_xlfn.CONCAT(" [[",H5,"|",F5,"]] ")</f>
        <v xml:space="preserve"> [[bxiv-bol-pad|bxiv-bol-pad.md]] </v>
      </c>
      <c r="P5" s="49">
        <v>5</v>
      </c>
      <c r="Q5" s="49" t="str">
        <f t="shared" si="0"/>
        <v>[[#^5|5.]] X.</v>
      </c>
      <c r="R5" s="49" t="str">
        <f t="shared" si="1"/>
        <v>{  .paragrafo-normale }</v>
      </c>
      <c r="S5" s="49" t="str">
        <f t="shared" si="2"/>
        <v xml:space="preserve">[[#^5|5.]] X.
{  .paragrafo-normale }
</v>
      </c>
    </row>
    <row r="6" spans="1:23" x14ac:dyDescent="0.25">
      <c r="B6" s="49">
        <v>30</v>
      </c>
      <c r="C6" s="49">
        <v>3</v>
      </c>
      <c r="D6" s="49" t="s">
        <v>863</v>
      </c>
      <c r="E6" s="49" t="str">
        <f t="shared" si="3"/>
        <v>{{date:25/12/1750}}</v>
      </c>
      <c r="F6" s="49" t="str">
        <f t="shared" si="4"/>
        <v>bxiv-bol-bed.md</v>
      </c>
      <c r="G6" s="49" t="s">
        <v>5184</v>
      </c>
      <c r="H6" s="49" t="s">
        <v>5188</v>
      </c>
      <c r="I6" s="49" t="s">
        <v>5181</v>
      </c>
      <c r="K6" s="49" t="str">
        <f t="shared" si="6"/>
        <v>| 30     |</v>
      </c>
      <c r="L6" s="49" t="str">
        <f t="shared" si="7"/>
        <v>3   |</v>
      </c>
      <c r="M6" s="49" t="str">
        <f t="shared" si="8"/>
        <v xml:space="preserve"> [[bxiv-bol-bed|Benedictus Deus]]</v>
      </c>
      <c r="N6" s="49" t="str">
        <f t="shared" si="5"/>
        <v xml:space="preserve"> | {{date:25/12/1750}} |</v>
      </c>
      <c r="O6" s="49" t="str">
        <f t="shared" si="9"/>
        <v xml:space="preserve"> [[bxiv-bol-bed|bxiv-bol-bed.md]] </v>
      </c>
      <c r="P6" s="49">
        <v>6</v>
      </c>
      <c r="Q6" s="49" t="str">
        <f t="shared" si="0"/>
        <v>[[#^6|6.]] X.</v>
      </c>
      <c r="R6" s="49" t="str">
        <f t="shared" si="1"/>
        <v>{  .paragrafo-normale }</v>
      </c>
      <c r="S6" s="49" t="str">
        <f t="shared" si="2"/>
        <v xml:space="preserve">[[#^6|6.]] X.
{  .paragrafo-normale }
</v>
      </c>
    </row>
    <row r="7" spans="1:23" x14ac:dyDescent="0.25">
      <c r="B7" s="49">
        <v>34</v>
      </c>
      <c r="C7" s="49">
        <v>4</v>
      </c>
      <c r="D7" s="49" t="s">
        <v>867</v>
      </c>
      <c r="E7" s="49" t="str">
        <f t="shared" si="3"/>
        <v>{{date:18/03/1751}}</v>
      </c>
      <c r="F7" s="49" t="str">
        <f t="shared" si="4"/>
        <v>bxiv-bol-prr.md</v>
      </c>
      <c r="G7" s="49" t="s">
        <v>5185</v>
      </c>
      <c r="H7" s="49" t="s">
        <v>5189</v>
      </c>
      <c r="I7" s="49" t="s">
        <v>5181</v>
      </c>
      <c r="K7" s="49" t="str">
        <f t="shared" si="6"/>
        <v>| 34     |</v>
      </c>
      <c r="L7" s="49" t="str">
        <f t="shared" si="7"/>
        <v>4   |</v>
      </c>
      <c r="M7" s="49" t="str">
        <f t="shared" si="8"/>
        <v xml:space="preserve"> [[bxiv-bol-prr|Providas Romanorum]]</v>
      </c>
      <c r="N7" s="49" t="str">
        <f t="shared" si="5"/>
        <v xml:space="preserve"> | {{date:18/03/1751}} |</v>
      </c>
      <c r="O7" s="49" t="str">
        <f t="shared" si="9"/>
        <v xml:space="preserve"> [[bxiv-bol-prr|bxiv-bol-prr.md]] </v>
      </c>
      <c r="P7" s="49">
        <v>7</v>
      </c>
      <c r="Q7" s="49" t="str">
        <f t="shared" si="0"/>
        <v>[[#^7|7.]] X.</v>
      </c>
      <c r="R7" s="49" t="str">
        <f t="shared" si="1"/>
        <v>{  .paragrafo-normale }</v>
      </c>
      <c r="S7" s="49" t="str">
        <f t="shared" si="2"/>
        <v xml:space="preserve">[[#^7|7.]] X.
{  .paragrafo-normale }
</v>
      </c>
    </row>
    <row r="8" spans="1:23" x14ac:dyDescent="0.25">
      <c r="P8" s="49">
        <v>8</v>
      </c>
      <c r="Q8" s="49" t="str">
        <f t="shared" si="0"/>
        <v>[[#^8|8.]] X.</v>
      </c>
      <c r="R8" s="49" t="str">
        <f t="shared" si="1"/>
        <v>{  .paragrafo-normale }</v>
      </c>
      <c r="S8" s="49" t="str">
        <f t="shared" si="2"/>
        <v xml:space="preserve">[[#^8|8.]] X.
{  .paragrafo-normale }
</v>
      </c>
    </row>
    <row r="9" spans="1:23" x14ac:dyDescent="0.25">
      <c r="K9" s="49" t="str">
        <f>_xlfn.CONCAT("| ",B10," |")</f>
        <v>| Progr. |</v>
      </c>
      <c r="L9" s="49" t="str">
        <f>_xlfn.CONCAT(C10," |")</f>
        <v>Num |</v>
      </c>
      <c r="M9" s="49" t="str">
        <f>_xlfn.CONCAT(" ",D10)</f>
        <v xml:space="preserve"> Titolo</v>
      </c>
      <c r="N9" s="49" t="str">
        <f>_xlfn.CONCAT(" | ",E10," |")</f>
        <v xml:space="preserve"> | Data |</v>
      </c>
      <c r="O9" s="49" t="str">
        <f>_xlfn.CONCAT(" ",F10," |")</f>
        <v xml:space="preserve"> File name |</v>
      </c>
      <c r="P9" s="49">
        <v>9</v>
      </c>
      <c r="Q9" s="49" t="str">
        <f t="shared" si="0"/>
        <v>[[#^9|9.]] X.</v>
      </c>
      <c r="R9" s="49" t="str">
        <f t="shared" si="1"/>
        <v>{  .paragrafo-normale }</v>
      </c>
      <c r="S9" s="49" t="str">
        <f t="shared" si="2"/>
        <v xml:space="preserve">[[#^9|9.]] X.
{  .paragrafo-normale }
</v>
      </c>
    </row>
    <row r="10" spans="1:23" x14ac:dyDescent="0.25">
      <c r="B10" s="49" t="s">
        <v>5180</v>
      </c>
      <c r="C10" s="49" t="s">
        <v>2714</v>
      </c>
      <c r="D10" s="49" t="s">
        <v>1</v>
      </c>
      <c r="E10" s="49" t="s">
        <v>544</v>
      </c>
      <c r="F10" s="49" t="s">
        <v>2925</v>
      </c>
      <c r="G10" s="49" t="s">
        <v>544</v>
      </c>
      <c r="H10" s="49" t="s">
        <v>2925</v>
      </c>
      <c r="K10" s="49" t="str">
        <f>_xlfn.CONCAT("|--------|")</f>
        <v>|--------|</v>
      </c>
      <c r="L10" s="49" t="str">
        <f>_xlfn.CONCAT("-----|")</f>
        <v>-----|</v>
      </c>
      <c r="M10" s="49" t="str">
        <f>_xlfn.CONCAT("--------------------------------------------------")</f>
        <v>--------------------------------------------------</v>
      </c>
      <c r="N10" s="49" t="str">
        <f>_xlfn.CONCAT(" |---------------------|")</f>
        <v xml:space="preserve"> |---------------------|</v>
      </c>
      <c r="O10" s="49" t="str">
        <f>_xlfn.CONCAT(" |---------------------|")</f>
        <v xml:space="preserve"> |---------------------|</v>
      </c>
      <c r="P10" s="49">
        <v>10</v>
      </c>
      <c r="Q10" s="49" t="str">
        <f t="shared" si="0"/>
        <v>[[#^10|10.]] X.</v>
      </c>
      <c r="R10" s="49" t="str">
        <f t="shared" si="1"/>
        <v>{  .paragrafo-normale }</v>
      </c>
      <c r="S10" s="49" t="str">
        <f t="shared" si="2"/>
        <v xml:space="preserve">[[#^10|10.]] X.
{  .paragrafo-normale }
</v>
      </c>
    </row>
    <row r="11" spans="1:23" x14ac:dyDescent="0.25">
      <c r="A11" s="49" t="s">
        <v>578</v>
      </c>
      <c r="B11" s="49">
        <v>2</v>
      </c>
      <c r="C11" s="49">
        <v>1</v>
      </c>
      <c r="D11" s="49" t="s">
        <v>838</v>
      </c>
      <c r="E11" s="49" t="str">
        <f t="shared" si="3"/>
        <v>{{date:30/05/1741}}</v>
      </c>
      <c r="F11" s="49" t="str">
        <f t="shared" si="4"/>
        <v>bxiv-bre-noa.md</v>
      </c>
      <c r="G11" s="49" t="s">
        <v>5190</v>
      </c>
      <c r="H11" s="49" t="s">
        <v>5197</v>
      </c>
      <c r="I11" s="49" t="s">
        <v>5181</v>
      </c>
      <c r="K11" s="49" t="str">
        <f>_xlfn.CONCAT("| ",B11,"     |")</f>
        <v>| 2     |</v>
      </c>
      <c r="L11" s="49" t="str">
        <f>_xlfn.CONCAT(C11,"   |")</f>
        <v>1   |</v>
      </c>
      <c r="M11" s="49" t="str">
        <f>_xlfn.CONCAT(" [[",H11,"\|",D11,"]]")</f>
        <v xml:space="preserve"> [[bxiv-bre-noa\|Non Ambigimus]]</v>
      </c>
      <c r="N11" s="49" t="str">
        <f t="shared" ref="N11" si="10">_xlfn.CONCAT(" | ",E11," |")</f>
        <v xml:space="preserve"> | {{date:30/05/1741}} |</v>
      </c>
      <c r="O11" s="49" t="str">
        <f>_xlfn.CONCAT(" [[",H11,"\|",F11,"]] ")</f>
        <v xml:space="preserve"> [[bxiv-bre-noa\|bxiv-bre-noa.md]] </v>
      </c>
      <c r="P11" s="49">
        <v>11</v>
      </c>
      <c r="Q11" s="49" t="str">
        <f>_xlfn.CONCAT("[[#^",P11,"|",P11,".]] X.")</f>
        <v>[[#^11|11.]] X.</v>
      </c>
      <c r="R11" s="49" t="str">
        <f t="shared" si="1"/>
        <v>{  .paragrafo-normale }</v>
      </c>
      <c r="S11" s="49" t="str">
        <f t="shared" si="2"/>
        <v xml:space="preserve">[[#^11|11.]] X.
{  .paragrafo-normale }
</v>
      </c>
    </row>
    <row r="12" spans="1:23" x14ac:dyDescent="0.25">
      <c r="B12" s="49">
        <v>3</v>
      </c>
      <c r="C12" s="49">
        <v>2</v>
      </c>
      <c r="D12" s="49" t="s">
        <v>839</v>
      </c>
      <c r="E12" s="49" t="str">
        <f t="shared" si="3"/>
        <v>{{date:30/06/1741}}</v>
      </c>
      <c r="F12" s="49" t="str">
        <f t="shared" si="4"/>
        <v>bxiv-bre-quc.md</v>
      </c>
      <c r="G12" s="49" t="s">
        <v>370</v>
      </c>
      <c r="H12" s="49" t="s">
        <v>5198</v>
      </c>
      <c r="I12" s="49" t="s">
        <v>5181</v>
      </c>
      <c r="K12" s="49" t="str">
        <f t="shared" ref="K12:K18" si="11">_xlfn.CONCAT("| ",B12,"     |")</f>
        <v>| 3     |</v>
      </c>
      <c r="L12" s="49" t="str">
        <f t="shared" ref="L12:L18" si="12">_xlfn.CONCAT(C12,"   |")</f>
        <v>2   |</v>
      </c>
      <c r="M12" s="49" t="str">
        <f t="shared" ref="M12:M18" si="13">_xlfn.CONCAT(" [[",H12,"\|",D12,"]]")</f>
        <v xml:space="preserve"> [[bxiv-bre-quc\|Quanta Cura]]</v>
      </c>
      <c r="N12" s="49" t="str">
        <f t="shared" ref="N12:N18" si="14">_xlfn.CONCAT(" | ",E12," |")</f>
        <v xml:space="preserve"> | {{date:30/06/1741}} |</v>
      </c>
      <c r="O12" s="49" t="str">
        <f t="shared" ref="O12:O18" si="15">_xlfn.CONCAT(" [[",H12,"\|",F12,"]] ")</f>
        <v xml:space="preserve"> [[bxiv-bre-quc\|bxiv-bre-quc.md]] </v>
      </c>
      <c r="P12" s="49">
        <v>12</v>
      </c>
      <c r="Q12" s="49" t="str">
        <f t="shared" ref="Q12:Q75" si="16">_xlfn.CONCAT("[[#^",P12,"|",P12,".]] X.")</f>
        <v>[[#^12|12.]] X.</v>
      </c>
      <c r="R12" s="49" t="str">
        <f t="shared" si="1"/>
        <v>{  .paragrafo-normale }</v>
      </c>
      <c r="S12" s="49" t="str">
        <f t="shared" si="2"/>
        <v xml:space="preserve">[[#^12|12.]] X.
{  .paragrafo-normale }
</v>
      </c>
    </row>
    <row r="13" spans="1:23" x14ac:dyDescent="0.25">
      <c r="B13" s="49">
        <v>5</v>
      </c>
      <c r="C13" s="49">
        <v>3</v>
      </c>
      <c r="D13" s="49" t="s">
        <v>840</v>
      </c>
      <c r="E13" s="49" t="str">
        <f t="shared" si="3"/>
        <v>{{date:22/08/1741}}</v>
      </c>
      <c r="F13" s="49" t="str">
        <f t="shared" si="4"/>
        <v>bxiv-bre-isu.md</v>
      </c>
      <c r="G13" s="49" t="s">
        <v>5191</v>
      </c>
      <c r="H13" s="49" t="s">
        <v>5199</v>
      </c>
      <c r="I13" s="49" t="s">
        <v>5181</v>
      </c>
      <c r="K13" s="49" t="str">
        <f t="shared" si="11"/>
        <v>| 5     |</v>
      </c>
      <c r="L13" s="49" t="str">
        <f t="shared" si="12"/>
        <v>3   |</v>
      </c>
      <c r="M13" s="49" t="str">
        <f t="shared" si="13"/>
        <v xml:space="preserve"> [[bxiv-bre-isu\|In Suprema Universalis]]</v>
      </c>
      <c r="N13" s="49" t="str">
        <f t="shared" si="14"/>
        <v xml:space="preserve"> | {{date:22/08/1741}} |</v>
      </c>
      <c r="O13" s="49" t="str">
        <f t="shared" si="15"/>
        <v xml:space="preserve"> [[bxiv-bre-isu\|bxiv-bre-isu.md]] </v>
      </c>
      <c r="P13" s="49">
        <v>13</v>
      </c>
      <c r="Q13" s="49" t="str">
        <f t="shared" si="16"/>
        <v>[[#^13|13.]] X.</v>
      </c>
      <c r="R13" s="49" t="str">
        <f t="shared" si="1"/>
        <v>{  .paragrafo-normale }</v>
      </c>
      <c r="S13" s="49" t="str">
        <f t="shared" si="2"/>
        <v xml:space="preserve">[[#^13|13.]] X.
{  .paragrafo-normale }
</v>
      </c>
    </row>
    <row r="14" spans="1:23" x14ac:dyDescent="0.25">
      <c r="B14" s="49">
        <v>12</v>
      </c>
      <c r="C14" s="49">
        <v>4</v>
      </c>
      <c r="D14" s="49" t="s">
        <v>846</v>
      </c>
      <c r="E14" s="49" t="str">
        <f t="shared" si="3"/>
        <v>{{date:18/05/1743}}</v>
      </c>
      <c r="F14" s="49" t="str">
        <f t="shared" si="4"/>
        <v>bxiv-bre-nil.md</v>
      </c>
      <c r="G14" s="49" t="s">
        <v>5192</v>
      </c>
      <c r="H14" s="49" t="s">
        <v>5200</v>
      </c>
      <c r="I14" s="49" t="s">
        <v>5181</v>
      </c>
      <c r="K14" s="49" t="str">
        <f t="shared" si="11"/>
        <v>| 12     |</v>
      </c>
      <c r="L14" s="49" t="str">
        <f t="shared" si="12"/>
        <v>4   |</v>
      </c>
      <c r="M14" s="49" t="str">
        <f t="shared" si="13"/>
        <v xml:space="preserve"> [[bxiv-bre-nil\|Nimiam Licentiam]]</v>
      </c>
      <c r="N14" s="49" t="str">
        <f t="shared" si="14"/>
        <v xml:space="preserve"> | {{date:18/05/1743}} |</v>
      </c>
      <c r="O14" s="49" t="str">
        <f t="shared" si="15"/>
        <v xml:space="preserve"> [[bxiv-bre-nil\|bxiv-bre-nil.md]] </v>
      </c>
      <c r="P14" s="49">
        <v>14</v>
      </c>
      <c r="Q14" s="49" t="str">
        <f t="shared" si="16"/>
        <v>[[#^14|14.]] X.</v>
      </c>
      <c r="R14" s="49" t="str">
        <f t="shared" si="1"/>
        <v>{  .paragrafo-normale }</v>
      </c>
      <c r="S14" s="49" t="str">
        <f t="shared" si="2"/>
        <v xml:space="preserve">[[#^14|14.]] X.
{  .paragrafo-normale }
</v>
      </c>
    </row>
    <row r="15" spans="1:23" x14ac:dyDescent="0.25">
      <c r="B15" s="49">
        <v>15</v>
      </c>
      <c r="C15" s="49">
        <v>5</v>
      </c>
      <c r="D15" s="49" t="s">
        <v>849</v>
      </c>
      <c r="E15" s="49" t="str">
        <f t="shared" si="3"/>
        <v>{{date:20/11/1744}}</v>
      </c>
      <c r="F15" s="49" t="str">
        <f t="shared" si="4"/>
        <v>bxiv-bre-isc.md</v>
      </c>
      <c r="G15" s="49" t="s">
        <v>5193</v>
      </c>
      <c r="H15" s="49" t="s">
        <v>5201</v>
      </c>
      <c r="I15" s="49" t="s">
        <v>5181</v>
      </c>
      <c r="K15" s="49" t="str">
        <f t="shared" si="11"/>
        <v>| 15     |</v>
      </c>
      <c r="L15" s="49" t="str">
        <f t="shared" si="12"/>
        <v>5   |</v>
      </c>
      <c r="M15" s="49" t="str">
        <f t="shared" si="13"/>
        <v xml:space="preserve"> [[bxiv-bre-isc\|In Suprema Catholicae]]</v>
      </c>
      <c r="N15" s="49" t="str">
        <f t="shared" si="14"/>
        <v xml:space="preserve"> | {{date:20/11/1744}} |</v>
      </c>
      <c r="O15" s="49" t="str">
        <f t="shared" si="15"/>
        <v xml:space="preserve"> [[bxiv-bre-isc\|bxiv-bre-isc.md]] </v>
      </c>
      <c r="P15" s="49">
        <v>15</v>
      </c>
      <c r="Q15" s="49" t="str">
        <f t="shared" si="16"/>
        <v>[[#^15|15.]] X.</v>
      </c>
      <c r="R15" s="49" t="str">
        <f t="shared" si="1"/>
        <v>{  .paragrafo-normale }</v>
      </c>
      <c r="S15" s="49" t="str">
        <f t="shared" si="2"/>
        <v xml:space="preserve">[[#^15|15.]] X.
{  .paragrafo-normale }
</v>
      </c>
    </row>
    <row r="16" spans="1:23" x14ac:dyDescent="0.25">
      <c r="B16" s="49">
        <v>16</v>
      </c>
      <c r="C16" s="49">
        <v>6</v>
      </c>
      <c r="D16" s="49" t="s">
        <v>850</v>
      </c>
      <c r="E16" s="49" t="str">
        <f t="shared" si="3"/>
        <v>{{date:18/02/1745}}</v>
      </c>
      <c r="F16" s="49" t="str">
        <f t="shared" si="4"/>
        <v>bxiv-bre-cmc.md</v>
      </c>
      <c r="G16" s="49" t="s">
        <v>5194</v>
      </c>
      <c r="H16" s="49" t="s">
        <v>5202</v>
      </c>
      <c r="I16" s="49" t="s">
        <v>5181</v>
      </c>
      <c r="K16" s="49" t="str">
        <f t="shared" si="11"/>
        <v>| 16     |</v>
      </c>
      <c r="L16" s="49" t="str">
        <f t="shared" si="12"/>
        <v>6   |</v>
      </c>
      <c r="M16" s="49" t="str">
        <f t="shared" si="13"/>
        <v xml:space="preserve"> [[bxiv-bre-cmc\|Cum Multorum Charitate]]</v>
      </c>
      <c r="N16" s="49" t="str">
        <f t="shared" si="14"/>
        <v xml:space="preserve"> | {{date:18/02/1745}} |</v>
      </c>
      <c r="O16" s="49" t="str">
        <f t="shared" si="15"/>
        <v xml:space="preserve"> [[bxiv-bre-cmc\|bxiv-bre-cmc.md]] </v>
      </c>
      <c r="P16" s="49">
        <v>16</v>
      </c>
      <c r="Q16" s="49" t="str">
        <f t="shared" si="16"/>
        <v>[[#^16|16.]] X.</v>
      </c>
      <c r="R16" s="49" t="str">
        <f t="shared" si="1"/>
        <v>{  .paragrafo-normale }</v>
      </c>
      <c r="S16" s="49" t="str">
        <f t="shared" si="2"/>
        <v xml:space="preserve">[[#^16|16.]] X.
{  .paragrafo-normale }
</v>
      </c>
    </row>
    <row r="17" spans="1:19" x14ac:dyDescent="0.25">
      <c r="B17" s="49">
        <v>21</v>
      </c>
      <c r="C17" s="49">
        <v>7</v>
      </c>
      <c r="D17" s="49" t="s">
        <v>855</v>
      </c>
      <c r="E17" s="49" t="str">
        <f t="shared" si="3"/>
        <v>{{date:16/12/1746}}</v>
      </c>
      <c r="F17" s="49" t="str">
        <f t="shared" si="4"/>
        <v>bxiv-bre-qun.md</v>
      </c>
      <c r="G17" s="49" t="s">
        <v>5195</v>
      </c>
      <c r="H17" s="49" t="s">
        <v>5203</v>
      </c>
      <c r="I17" s="49" t="s">
        <v>5181</v>
      </c>
      <c r="K17" s="49" t="str">
        <f t="shared" si="11"/>
        <v>| 21     |</v>
      </c>
      <c r="L17" s="49" t="str">
        <f t="shared" si="12"/>
        <v>7   |</v>
      </c>
      <c r="M17" s="49" t="str">
        <f t="shared" si="13"/>
        <v xml:space="preserve"> [[bxiv-bre-qun\|Quemadmodum Nihil]]</v>
      </c>
      <c r="N17" s="49" t="str">
        <f t="shared" si="14"/>
        <v xml:space="preserve"> | {{date:16/12/1746}} |</v>
      </c>
      <c r="O17" s="49" t="str">
        <f t="shared" si="15"/>
        <v xml:space="preserve"> [[bxiv-bre-qun\|bxiv-bre-qun.md]] </v>
      </c>
      <c r="P17" s="49">
        <v>17</v>
      </c>
      <c r="Q17" s="49" t="str">
        <f t="shared" si="16"/>
        <v>[[#^17|17.]] X.</v>
      </c>
      <c r="R17" s="49" t="str">
        <f t="shared" si="1"/>
        <v>{  .paragrafo-normale }</v>
      </c>
      <c r="S17" s="49" t="str">
        <f t="shared" si="2"/>
        <v xml:space="preserve">[[#^17|17.]] X.
{  .paragrafo-normale }
</v>
      </c>
    </row>
    <row r="18" spans="1:19" x14ac:dyDescent="0.25">
      <c r="B18" s="49">
        <v>40</v>
      </c>
      <c r="C18" s="49">
        <v>8</v>
      </c>
      <c r="D18" s="49" t="s">
        <v>873</v>
      </c>
      <c r="E18" s="49" t="str">
        <f t="shared" si="3"/>
        <v>{{date:08/08/1755}}</v>
      </c>
      <c r="F18" s="49" t="str">
        <f t="shared" si="4"/>
        <v>bxiv-bre-qes.md</v>
      </c>
      <c r="G18" s="49" t="s">
        <v>5196</v>
      </c>
      <c r="H18" s="49" t="s">
        <v>5204</v>
      </c>
      <c r="I18" s="49" t="s">
        <v>5181</v>
      </c>
      <c r="K18" s="49" t="str">
        <f t="shared" si="11"/>
        <v>| 40     |</v>
      </c>
      <c r="L18" s="49" t="str">
        <f t="shared" si="12"/>
        <v>8   |</v>
      </c>
      <c r="M18" s="49" t="str">
        <f t="shared" si="13"/>
        <v xml:space="preserve"> [[bxiv-bre-qes\|Quam Ex Sublimi]]</v>
      </c>
      <c r="N18" s="49" t="str">
        <f t="shared" si="14"/>
        <v xml:space="preserve"> | {{date:08/08/1755}} |</v>
      </c>
      <c r="O18" s="49" t="str">
        <f t="shared" si="15"/>
        <v xml:space="preserve"> [[bxiv-bre-qes\|bxiv-bre-qes.md]] </v>
      </c>
      <c r="P18" s="49">
        <v>18</v>
      </c>
      <c r="Q18" s="49" t="str">
        <f t="shared" si="16"/>
        <v>[[#^18|18.]] X.</v>
      </c>
      <c r="R18" s="49" t="str">
        <f t="shared" si="1"/>
        <v>{  .paragrafo-normale }</v>
      </c>
      <c r="S18" s="49" t="str">
        <f t="shared" si="2"/>
        <v xml:space="preserve">[[#^18|18.]] X.
{  .paragrafo-normale }
</v>
      </c>
    </row>
    <row r="19" spans="1:19" x14ac:dyDescent="0.25">
      <c r="P19" s="49">
        <v>19</v>
      </c>
      <c r="Q19" s="49" t="str">
        <f t="shared" si="16"/>
        <v>[[#^19|19.]] X.</v>
      </c>
      <c r="R19" s="49" t="str">
        <f t="shared" si="1"/>
        <v>{  .paragrafo-normale }</v>
      </c>
      <c r="S19" s="49" t="str">
        <f t="shared" si="2"/>
        <v xml:space="preserve">[[#^19|19.]] X.
{  .paragrafo-normale }
</v>
      </c>
    </row>
    <row r="20" spans="1:19" x14ac:dyDescent="0.25">
      <c r="K20" s="49" t="str">
        <f>_xlfn.CONCAT("| ",B21," |")</f>
        <v>| Progr. |</v>
      </c>
      <c r="L20" s="49" t="str">
        <f>_xlfn.CONCAT(C21," |")</f>
        <v>Num |</v>
      </c>
      <c r="M20" s="49" t="str">
        <f>_xlfn.CONCAT(" ",D21)</f>
        <v xml:space="preserve"> Titolo</v>
      </c>
      <c r="N20" s="49" t="str">
        <f>_xlfn.CONCAT(" | ",E21," |")</f>
        <v xml:space="preserve"> | Data |</v>
      </c>
      <c r="O20" s="49" t="str">
        <f>_xlfn.CONCAT(" ",F21," |")</f>
        <v xml:space="preserve"> File name |</v>
      </c>
      <c r="P20" s="49">
        <v>20</v>
      </c>
      <c r="Q20" s="49" t="str">
        <f t="shared" si="16"/>
        <v>[[#^20|20.]] X.</v>
      </c>
      <c r="R20" s="49" t="str">
        <f t="shared" si="1"/>
        <v>{  .paragrafo-normale }</v>
      </c>
      <c r="S20" s="49" t="str">
        <f t="shared" si="2"/>
        <v xml:space="preserve">[[#^20|20.]] X.
{  .paragrafo-normale }
</v>
      </c>
    </row>
    <row r="21" spans="1:19" x14ac:dyDescent="0.25">
      <c r="B21" s="49" t="s">
        <v>5180</v>
      </c>
      <c r="C21" s="49" t="s">
        <v>2714</v>
      </c>
      <c r="D21" s="49" t="s">
        <v>1</v>
      </c>
      <c r="E21" s="49" t="s">
        <v>544</v>
      </c>
      <c r="F21" s="49" t="s">
        <v>2925</v>
      </c>
      <c r="G21" s="49" t="s">
        <v>544</v>
      </c>
      <c r="H21" s="49" t="s">
        <v>2925</v>
      </c>
      <c r="K21" s="49" t="s">
        <v>5180</v>
      </c>
      <c r="L21" s="49" t="s">
        <v>2714</v>
      </c>
      <c r="M21" s="49" t="s">
        <v>1</v>
      </c>
      <c r="N21" s="49" t="s">
        <v>544</v>
      </c>
      <c r="O21" s="49" t="s">
        <v>2925</v>
      </c>
      <c r="P21" s="49">
        <v>21</v>
      </c>
      <c r="Q21" s="49" t="str">
        <f t="shared" si="16"/>
        <v>[[#^21|21.]] X.</v>
      </c>
      <c r="R21" s="49" t="str">
        <f t="shared" si="1"/>
        <v>{  .paragrafo-normale }</v>
      </c>
      <c r="S21" s="49" t="str">
        <f t="shared" si="2"/>
        <v xml:space="preserve">[[#^21|21.]] X.
{  .paragrafo-normale }
</v>
      </c>
    </row>
    <row r="22" spans="1:19" x14ac:dyDescent="0.25">
      <c r="A22" s="49" t="s">
        <v>551</v>
      </c>
      <c r="B22" s="49">
        <v>1</v>
      </c>
      <c r="C22" s="49">
        <v>1</v>
      </c>
      <c r="D22" s="49" t="s">
        <v>3</v>
      </c>
      <c r="E22" s="49" t="str">
        <f t="shared" si="3"/>
        <v>{{date:03/12/1740}}</v>
      </c>
      <c r="F22" s="49" t="str">
        <f t="shared" si="4"/>
        <v>bxiv-enc-ubi.md</v>
      </c>
      <c r="G22" s="49" t="s">
        <v>35</v>
      </c>
      <c r="H22" s="49" t="s">
        <v>5205</v>
      </c>
      <c r="I22" s="49" t="s">
        <v>5181</v>
      </c>
      <c r="K22" s="49" t="str">
        <f>_xlfn.CONCAT(" ",B22," ")</f>
        <v xml:space="preserve"> 1 </v>
      </c>
      <c r="L22" s="49" t="str">
        <f>_xlfn.CONCAT(" ",C22," ")</f>
        <v xml:space="preserve"> 1 </v>
      </c>
      <c r="M22" s="49" t="str">
        <f>_xlfn.CONCAT(" [[",H22,"\|",D22,"]]")</f>
        <v xml:space="preserve"> [[bxiv-enc-ubi\|Ubi primum]]</v>
      </c>
      <c r="N22" s="49" t="str">
        <f>_xlfn.CONCAT(" ",E22," ")</f>
        <v xml:space="preserve"> {{date:03/12/1740}} </v>
      </c>
      <c r="O22" s="49" t="str">
        <f>_xlfn.CONCAT(" [[",H22,"\|",F22,"]] ")</f>
        <v xml:space="preserve"> [[bxiv-enc-ubi\|bxiv-enc-ubi.md]] </v>
      </c>
      <c r="P22" s="49">
        <v>22</v>
      </c>
      <c r="Q22" s="49" t="str">
        <f t="shared" si="16"/>
        <v>[[#^22|22.]] X.</v>
      </c>
      <c r="R22" s="49" t="str">
        <f t="shared" si="1"/>
        <v>{  .paragrafo-normale }</v>
      </c>
      <c r="S22" s="49" t="str">
        <f t="shared" si="2"/>
        <v xml:space="preserve">[[#^22|22.]] X.
{  .paragrafo-normale }
</v>
      </c>
    </row>
    <row r="23" spans="1:19" x14ac:dyDescent="0.25">
      <c r="B23" s="49">
        <v>4</v>
      </c>
      <c r="C23" s="49">
        <v>2</v>
      </c>
      <c r="D23" s="49" t="s">
        <v>877</v>
      </c>
      <c r="E23" s="49" t="str">
        <f t="shared" si="3"/>
        <v>{{date:30/06/1741}}</v>
      </c>
      <c r="F23" s="49" t="str">
        <f t="shared" si="4"/>
        <v>bxiv-ben-pet.md</v>
      </c>
      <c r="G23" s="49" t="s">
        <v>370</v>
      </c>
      <c r="H23" s="49" t="s">
        <v>5206</v>
      </c>
      <c r="I23" s="49" t="s">
        <v>5181</v>
      </c>
      <c r="K23" s="49" t="str">
        <f t="shared" ref="K23:K52" si="17">_xlfn.CONCAT(" ",B23," ")</f>
        <v xml:space="preserve"> 4 </v>
      </c>
      <c r="L23" s="49" t="str">
        <f t="shared" ref="L23:L52" si="18">_xlfn.CONCAT(" ",C23," ")</f>
        <v xml:space="preserve"> 2 </v>
      </c>
      <c r="M23" s="49" t="str">
        <f t="shared" ref="M23:M52" si="19">_xlfn.CONCAT(" [[",H23,"\|",D23,"]]")</f>
        <v xml:space="preserve"> [[bxiv-ben-pet\|Pro Eximia Tua]]</v>
      </c>
      <c r="N23" s="49" t="str">
        <f t="shared" ref="N23:N52" si="20">_xlfn.CONCAT(" ",E23," ")</f>
        <v xml:space="preserve"> {{date:30/06/1741}} </v>
      </c>
      <c r="O23" s="49" t="str">
        <f t="shared" ref="O23:O52" si="21">_xlfn.CONCAT(" [[",H23,"\|",F23,"]] ")</f>
        <v xml:space="preserve"> [[bxiv-ben-pet\|bxiv-ben-pet.md]] </v>
      </c>
      <c r="P23" s="49">
        <v>23</v>
      </c>
      <c r="Q23" s="49" t="str">
        <f t="shared" si="16"/>
        <v>[[#^23|23.]] X.</v>
      </c>
      <c r="R23" s="49" t="str">
        <f t="shared" si="1"/>
        <v>{  .paragrafo-normale }</v>
      </c>
      <c r="S23" s="49" t="str">
        <f t="shared" si="2"/>
        <v xml:space="preserve">[[#^23|23.]] X.
{  .paragrafo-normale }
</v>
      </c>
    </row>
    <row r="24" spans="1:19" x14ac:dyDescent="0.25">
      <c r="B24" s="49">
        <v>6</v>
      </c>
      <c r="C24" s="49">
        <v>3</v>
      </c>
      <c r="D24" s="49" t="s">
        <v>841</v>
      </c>
      <c r="E24" s="49" t="str">
        <f t="shared" si="3"/>
        <v>{{date:26/08/1741}}</v>
      </c>
      <c r="F24" s="49" t="str">
        <f t="shared" si="4"/>
        <v>bxiv-enc-qpa.md</v>
      </c>
      <c r="G24" s="49" t="s">
        <v>371</v>
      </c>
      <c r="H24" s="49" t="s">
        <v>5207</v>
      </c>
      <c r="I24" s="49" t="s">
        <v>5181</v>
      </c>
      <c r="K24" s="49" t="str">
        <f t="shared" si="17"/>
        <v xml:space="preserve"> 6 </v>
      </c>
      <c r="L24" s="49" t="str">
        <f t="shared" si="18"/>
        <v xml:space="preserve"> 3 </v>
      </c>
      <c r="M24" s="49" t="str">
        <f t="shared" si="19"/>
        <v xml:space="preserve"> [[bxiv-enc-qpa\|Quamvis Paternae]]</v>
      </c>
      <c r="N24" s="49" t="str">
        <f t="shared" si="20"/>
        <v xml:space="preserve"> {{date:26/08/1741}} </v>
      </c>
      <c r="O24" s="49" t="str">
        <f t="shared" si="21"/>
        <v xml:space="preserve"> [[bxiv-enc-qpa\|bxiv-enc-qpa.md]] </v>
      </c>
      <c r="P24" s="49">
        <v>24</v>
      </c>
      <c r="Q24" s="49" t="str">
        <f t="shared" si="16"/>
        <v>[[#^24|24.]] X.</v>
      </c>
      <c r="R24" s="49" t="str">
        <f t="shared" si="1"/>
        <v>{  .paragrafo-normale }</v>
      </c>
      <c r="S24" s="49" t="str">
        <f t="shared" si="2"/>
        <v xml:space="preserve">[[#^24|24.]] X.
{  .paragrafo-normale }
</v>
      </c>
    </row>
    <row r="25" spans="1:19" x14ac:dyDescent="0.25">
      <c r="B25" s="49">
        <v>7</v>
      </c>
      <c r="C25" s="49">
        <v>4</v>
      </c>
      <c r="D25" s="49" t="s">
        <v>943</v>
      </c>
      <c r="E25" s="49" t="str">
        <f t="shared" si="3"/>
        <v>{{date:17/11/1741}}</v>
      </c>
      <c r="F25" s="49" t="str">
        <f t="shared" si="4"/>
        <v>bxiv-enc-svc.md</v>
      </c>
      <c r="G25" s="49" t="s">
        <v>372</v>
      </c>
      <c r="H25" s="49" t="s">
        <v>5208</v>
      </c>
      <c r="I25" s="49" t="s">
        <v>5181</v>
      </c>
      <c r="K25" s="49" t="str">
        <f t="shared" si="17"/>
        <v xml:space="preserve"> 7 </v>
      </c>
      <c r="L25" s="49" t="str">
        <f t="shared" si="18"/>
        <v xml:space="preserve"> 4 </v>
      </c>
      <c r="M25" s="49" t="str">
        <f t="shared" si="19"/>
        <v xml:space="preserve"> [[bxiv-enc-svc\|Satis Vobis Compertum]]</v>
      </c>
      <c r="N25" s="49" t="str">
        <f t="shared" si="20"/>
        <v xml:space="preserve"> {{date:17/11/1741}} </v>
      </c>
      <c r="O25" s="49" t="str">
        <f t="shared" si="21"/>
        <v xml:space="preserve"> [[bxiv-enc-svc\|bxiv-enc-svc.md]] </v>
      </c>
      <c r="P25" s="49">
        <v>25</v>
      </c>
      <c r="Q25" s="49" t="str">
        <f t="shared" si="16"/>
        <v>[[#^25|25.]] X.</v>
      </c>
      <c r="R25" s="49" t="str">
        <f t="shared" si="1"/>
        <v>{  .paragrafo-normale }</v>
      </c>
      <c r="S25" s="49" t="str">
        <f t="shared" si="2"/>
        <v xml:space="preserve">[[#^25|25.]] X.
{  .paragrafo-normale }
</v>
      </c>
    </row>
    <row r="26" spans="1:19" x14ac:dyDescent="0.25">
      <c r="B26" s="49">
        <v>8</v>
      </c>
      <c r="C26" s="49">
        <v>5</v>
      </c>
      <c r="D26" s="49" t="s">
        <v>842</v>
      </c>
      <c r="E26" s="49" t="str">
        <f t="shared" si="3"/>
        <v>{{date:07/02/1742}}</v>
      </c>
      <c r="F26" s="49" t="str">
        <f t="shared" si="4"/>
        <v>bxiv-enc-etm.md</v>
      </c>
      <c r="G26" s="49" t="s">
        <v>374</v>
      </c>
      <c r="H26" s="49" t="s">
        <v>5209</v>
      </c>
      <c r="I26" s="49" t="s">
        <v>5181</v>
      </c>
      <c r="K26" s="49" t="str">
        <f t="shared" si="17"/>
        <v xml:space="preserve"> 8 </v>
      </c>
      <c r="L26" s="49" t="str">
        <f t="shared" si="18"/>
        <v xml:space="preserve"> 5 </v>
      </c>
      <c r="M26" s="49" t="str">
        <f t="shared" si="19"/>
        <v xml:space="preserve"> [[bxiv-enc-etm\|Etsi Minime]]</v>
      </c>
      <c r="N26" s="49" t="str">
        <f t="shared" si="20"/>
        <v xml:space="preserve"> {{date:07/02/1742}} </v>
      </c>
      <c r="O26" s="49" t="str">
        <f t="shared" si="21"/>
        <v xml:space="preserve"> [[bxiv-enc-etm\|bxiv-enc-etm.md]] </v>
      </c>
      <c r="P26" s="49">
        <v>26</v>
      </c>
      <c r="Q26" s="49" t="str">
        <f t="shared" si="16"/>
        <v>[[#^26|26.]] X.</v>
      </c>
      <c r="R26" s="49" t="str">
        <f t="shared" si="1"/>
        <v>{  .paragrafo-normale }</v>
      </c>
      <c r="S26" s="49" t="str">
        <f t="shared" si="2"/>
        <v xml:space="preserve">[[#^26|26.]] X.
{  .paragrafo-normale }
</v>
      </c>
    </row>
    <row r="27" spans="1:19" x14ac:dyDescent="0.25">
      <c r="B27" s="49">
        <v>9</v>
      </c>
      <c r="C27" s="49">
        <v>6</v>
      </c>
      <c r="D27" s="49" t="s">
        <v>843</v>
      </c>
      <c r="E27" s="49" t="str">
        <f t="shared" si="3"/>
        <v>{{date:13/11/1742}}</v>
      </c>
      <c r="F27" s="49" t="str">
        <f t="shared" si="4"/>
        <v>bxiv-enc-cee.md</v>
      </c>
      <c r="G27" s="49" t="s">
        <v>375</v>
      </c>
      <c r="H27" s="49" t="s">
        <v>5210</v>
      </c>
      <c r="I27" s="49" t="s">
        <v>5181</v>
      </c>
      <c r="K27" s="49" t="str">
        <f t="shared" si="17"/>
        <v xml:space="preserve"> 9 </v>
      </c>
      <c r="L27" s="49" t="str">
        <f t="shared" si="18"/>
        <v xml:space="preserve"> 6 </v>
      </c>
      <c r="M27" s="49" t="str">
        <f t="shared" si="19"/>
        <v xml:space="preserve"> [[bxiv-enc-cee\|Certiores Effecti]]</v>
      </c>
      <c r="N27" s="49" t="str">
        <f t="shared" si="20"/>
        <v xml:space="preserve"> {{date:13/11/1742}} </v>
      </c>
      <c r="O27" s="49" t="str">
        <f t="shared" si="21"/>
        <v xml:space="preserve"> [[bxiv-enc-cee\|bxiv-enc-cee.md]] </v>
      </c>
      <c r="P27" s="49">
        <v>27</v>
      </c>
      <c r="Q27" s="49" t="str">
        <f t="shared" si="16"/>
        <v>[[#^27|27.]] X.</v>
      </c>
      <c r="R27" s="49" t="str">
        <f t="shared" si="1"/>
        <v>{  .paragrafo-normale }</v>
      </c>
      <c r="S27" s="49" t="str">
        <f t="shared" si="2"/>
        <v xml:space="preserve">[[#^27|27.]] X.
{  .paragrafo-normale }
</v>
      </c>
    </row>
    <row r="28" spans="1:19" x14ac:dyDescent="0.25">
      <c r="B28" s="49">
        <v>10</v>
      </c>
      <c r="C28" s="49">
        <v>7</v>
      </c>
      <c r="D28" s="49" t="s">
        <v>844</v>
      </c>
      <c r="E28" s="49" t="str">
        <f t="shared" si="3"/>
        <v>{{date:14/12/1742}}</v>
      </c>
      <c r="F28" s="49" t="str">
        <f t="shared" si="4"/>
        <v>bxiv-enc-cis.md</v>
      </c>
      <c r="G28" s="49" t="s">
        <v>376</v>
      </c>
      <c r="H28" s="49" t="s">
        <v>5211</v>
      </c>
      <c r="I28" s="49" t="s">
        <v>5181</v>
      </c>
      <c r="K28" s="49" t="str">
        <f t="shared" si="17"/>
        <v xml:space="preserve"> 10 </v>
      </c>
      <c r="L28" s="49" t="str">
        <f t="shared" si="18"/>
        <v xml:space="preserve"> 7 </v>
      </c>
      <c r="M28" s="49" t="str">
        <f t="shared" si="19"/>
        <v xml:space="preserve"> [[bxiv-enc-cis\|Cum Illud Semper]]</v>
      </c>
      <c r="N28" s="49" t="str">
        <f t="shared" si="20"/>
        <v xml:space="preserve"> {{date:14/12/1742}} </v>
      </c>
      <c r="O28" s="49" t="str">
        <f t="shared" si="21"/>
        <v xml:space="preserve"> [[bxiv-enc-cis\|bxiv-enc-cis.md]] </v>
      </c>
      <c r="P28" s="49">
        <v>28</v>
      </c>
      <c r="Q28" s="49" t="str">
        <f t="shared" si="16"/>
        <v>[[#^28|28.]] X.</v>
      </c>
      <c r="R28" s="49" t="str">
        <f t="shared" si="1"/>
        <v>{  .paragrafo-normale }</v>
      </c>
      <c r="S28" s="49" t="str">
        <f t="shared" si="2"/>
        <v xml:space="preserve">[[#^28|28.]] X.
{  .paragrafo-normale }
</v>
      </c>
    </row>
    <row r="29" spans="1:19" x14ac:dyDescent="0.25">
      <c r="B29" s="49">
        <v>11</v>
      </c>
      <c r="C29" s="49">
        <v>8</v>
      </c>
      <c r="D29" s="49" t="s">
        <v>845</v>
      </c>
      <c r="E29" s="49" t="str">
        <f t="shared" si="3"/>
        <v>{{date:23/03/1743}}</v>
      </c>
      <c r="F29" s="49" t="str">
        <f t="shared" si="4"/>
        <v>bxiv-enc-qpr.md</v>
      </c>
      <c r="G29" s="49" t="s">
        <v>377</v>
      </c>
      <c r="H29" s="49" t="s">
        <v>5212</v>
      </c>
      <c r="I29" s="49" t="s">
        <v>5181</v>
      </c>
      <c r="K29" s="49" t="str">
        <f t="shared" si="17"/>
        <v xml:space="preserve"> 11 </v>
      </c>
      <c r="L29" s="49" t="str">
        <f t="shared" si="18"/>
        <v xml:space="preserve"> 8 </v>
      </c>
      <c r="M29" s="49" t="str">
        <f t="shared" si="19"/>
        <v xml:space="preserve"> [[bxiv-enc-qpr\|Quemadmodum Preces]]</v>
      </c>
      <c r="N29" s="49" t="str">
        <f t="shared" si="20"/>
        <v xml:space="preserve"> {{date:23/03/1743}} </v>
      </c>
      <c r="O29" s="49" t="str">
        <f t="shared" si="21"/>
        <v xml:space="preserve"> [[bxiv-enc-qpr\|bxiv-enc-qpr.md]] </v>
      </c>
      <c r="P29" s="49">
        <v>29</v>
      </c>
      <c r="Q29" s="49" t="str">
        <f t="shared" si="16"/>
        <v>[[#^29|29.]] X.</v>
      </c>
      <c r="R29" s="49" t="str">
        <f t="shared" si="1"/>
        <v>{  .paragrafo-normale }</v>
      </c>
      <c r="S29" s="49" t="str">
        <f t="shared" si="2"/>
        <v xml:space="preserve">[[#^29|29.]] X.
{  .paragrafo-normale }
</v>
      </c>
    </row>
    <row r="30" spans="1:19" x14ac:dyDescent="0.25">
      <c r="B30" s="49">
        <v>13</v>
      </c>
      <c r="C30" s="49">
        <v>9</v>
      </c>
      <c r="D30" s="49" t="s">
        <v>847</v>
      </c>
      <c r="E30" s="49" t="str">
        <f t="shared" si="3"/>
        <v>{{date:02/02/1744}}</v>
      </c>
      <c r="F30" s="49" t="str">
        <f t="shared" si="4"/>
        <v>bxiv-enc-ino.md</v>
      </c>
      <c r="G30" s="49" t="s">
        <v>378</v>
      </c>
      <c r="H30" s="49" t="s">
        <v>5213</v>
      </c>
      <c r="I30" s="49" t="s">
        <v>5181</v>
      </c>
      <c r="K30" s="49" t="str">
        <f t="shared" si="17"/>
        <v xml:space="preserve"> 13 </v>
      </c>
      <c r="L30" s="49" t="str">
        <f t="shared" si="18"/>
        <v xml:space="preserve"> 9 </v>
      </c>
      <c r="M30" s="49" t="str">
        <f t="shared" si="19"/>
        <v xml:space="preserve"> [[bxiv-enc-ino\|Inter Omnigenas]]</v>
      </c>
      <c r="N30" s="49" t="str">
        <f t="shared" si="20"/>
        <v xml:space="preserve"> {{date:02/02/1744}} </v>
      </c>
      <c r="O30" s="49" t="str">
        <f t="shared" si="21"/>
        <v xml:space="preserve"> [[bxiv-enc-ino\|bxiv-enc-ino.md]] </v>
      </c>
      <c r="P30" s="49">
        <v>30</v>
      </c>
      <c r="Q30" s="49" t="str">
        <f t="shared" si="16"/>
        <v>[[#^30|30.]] X.</v>
      </c>
      <c r="R30" s="49" t="str">
        <f t="shared" si="1"/>
        <v>{  .paragrafo-normale }</v>
      </c>
      <c r="S30" s="49" t="str">
        <f t="shared" si="2"/>
        <v xml:space="preserve">[[#^30|30.]] X.
{  .paragrafo-normale }
</v>
      </c>
    </row>
    <row r="31" spans="1:19" x14ac:dyDescent="0.25">
      <c r="B31" s="49">
        <v>14</v>
      </c>
      <c r="C31" s="49">
        <v>10</v>
      </c>
      <c r="D31" s="49" t="s">
        <v>848</v>
      </c>
      <c r="E31" s="49" t="str">
        <f t="shared" si="3"/>
        <v>{{date:19/08/1744}}</v>
      </c>
      <c r="F31" s="49" t="str">
        <f t="shared" si="4"/>
        <v>bxiv-enc-cso.md</v>
      </c>
      <c r="G31" s="49" t="s">
        <v>379</v>
      </c>
      <c r="H31" s="49" t="s">
        <v>5214</v>
      </c>
      <c r="I31" s="49" t="s">
        <v>5181</v>
      </c>
      <c r="K31" s="49" t="str">
        <f t="shared" si="17"/>
        <v xml:space="preserve"> 14 </v>
      </c>
      <c r="L31" s="49" t="str">
        <f t="shared" si="18"/>
        <v xml:space="preserve"> 10 </v>
      </c>
      <c r="M31" s="49" t="str">
        <f t="shared" si="19"/>
        <v xml:space="preserve"> [[bxiv-enc-cso\|Cum Semper Oblatas]]</v>
      </c>
      <c r="N31" s="49" t="str">
        <f t="shared" si="20"/>
        <v xml:space="preserve"> {{date:19/08/1744}} </v>
      </c>
      <c r="O31" s="49" t="str">
        <f t="shared" si="21"/>
        <v xml:space="preserve"> [[bxiv-enc-cso\|bxiv-enc-cso.md]] </v>
      </c>
      <c r="P31" s="49">
        <v>31</v>
      </c>
      <c r="Q31" s="49" t="str">
        <f t="shared" si="16"/>
        <v>[[#^31|31.]] X.</v>
      </c>
      <c r="R31" s="49" t="str">
        <f t="shared" si="1"/>
        <v>{  .paragrafo-normale }</v>
      </c>
      <c r="S31" s="49" t="str">
        <f t="shared" si="2"/>
        <v xml:space="preserve">[[#^31|31.]] X.
{  .paragrafo-normale }
</v>
      </c>
    </row>
    <row r="32" spans="1:19" x14ac:dyDescent="0.25">
      <c r="B32" s="49">
        <v>17</v>
      </c>
      <c r="C32" s="49">
        <v>11</v>
      </c>
      <c r="D32" s="49" t="s">
        <v>851</v>
      </c>
      <c r="E32" s="49" t="str">
        <f t="shared" si="3"/>
        <v>{{date:10/06/1745}}</v>
      </c>
      <c r="F32" s="49" t="str">
        <f t="shared" si="4"/>
        <v>bxiv-enc-liq.md</v>
      </c>
      <c r="G32" s="49" t="s">
        <v>380</v>
      </c>
      <c r="H32" s="49" t="s">
        <v>5215</v>
      </c>
      <c r="I32" s="49" t="s">
        <v>5181</v>
      </c>
      <c r="K32" s="49" t="str">
        <f t="shared" si="17"/>
        <v xml:space="preserve"> 17 </v>
      </c>
      <c r="L32" s="49" t="str">
        <f t="shared" si="18"/>
        <v xml:space="preserve"> 11 </v>
      </c>
      <c r="M32" s="49" t="str">
        <f t="shared" si="19"/>
        <v xml:space="preserve"> [[bxiv-enc-liq\|Libentissime Quidem]]</v>
      </c>
      <c r="N32" s="49" t="str">
        <f t="shared" si="20"/>
        <v xml:space="preserve"> {{date:10/06/1745}} </v>
      </c>
      <c r="O32" s="49" t="str">
        <f t="shared" si="21"/>
        <v xml:space="preserve"> [[bxiv-enc-liq\|bxiv-enc-liq.md]] </v>
      </c>
      <c r="P32" s="49">
        <v>32</v>
      </c>
      <c r="Q32" s="49" t="str">
        <f t="shared" si="16"/>
        <v>[[#^32|32.]] X.</v>
      </c>
      <c r="R32" s="49" t="str">
        <f t="shared" si="1"/>
        <v>{  .paragrafo-normale }</v>
      </c>
      <c r="S32" s="49" t="str">
        <f t="shared" si="2"/>
        <v xml:space="preserve">[[#^32|32.]] X.
{  .paragrafo-normale }
</v>
      </c>
    </row>
    <row r="33" spans="2:19" x14ac:dyDescent="0.25">
      <c r="B33" s="49">
        <v>18</v>
      </c>
      <c r="C33" s="49">
        <v>12</v>
      </c>
      <c r="D33" s="49" t="s">
        <v>852</v>
      </c>
      <c r="E33" s="49" t="str">
        <f t="shared" si="3"/>
        <v>{{date:08/09/1745}}</v>
      </c>
      <c r="F33" s="49" t="str">
        <f t="shared" si="4"/>
        <v>bxiv-enc-grs.md</v>
      </c>
      <c r="G33" s="49" t="s">
        <v>381</v>
      </c>
      <c r="H33" s="49" t="s">
        <v>5216</v>
      </c>
      <c r="I33" s="49" t="s">
        <v>5181</v>
      </c>
      <c r="K33" s="49" t="str">
        <f t="shared" si="17"/>
        <v xml:space="preserve"> 18 </v>
      </c>
      <c r="L33" s="49" t="str">
        <f t="shared" si="18"/>
        <v xml:space="preserve"> 12 </v>
      </c>
      <c r="M33" s="49" t="str">
        <f t="shared" si="19"/>
        <v xml:space="preserve"> [[bxiv-enc-grs\|Gravissimum Supremi]]</v>
      </c>
      <c r="N33" s="49" t="str">
        <f t="shared" si="20"/>
        <v xml:space="preserve"> {{date:08/09/1745}} </v>
      </c>
      <c r="O33" s="49" t="str">
        <f t="shared" si="21"/>
        <v xml:space="preserve"> [[bxiv-enc-grs\|bxiv-enc-grs.md]] </v>
      </c>
      <c r="P33" s="49">
        <v>33</v>
      </c>
      <c r="Q33" s="49" t="str">
        <f t="shared" si="16"/>
        <v>[[#^33|33.]] X.</v>
      </c>
      <c r="R33" s="49" t="str">
        <f t="shared" si="1"/>
        <v>{  .paragrafo-normale }</v>
      </c>
      <c r="S33" s="49" t="str">
        <f t="shared" si="2"/>
        <v xml:space="preserve">[[#^33|33.]] X.
{  .paragrafo-normale }
</v>
      </c>
    </row>
    <row r="34" spans="2:19" x14ac:dyDescent="0.25">
      <c r="B34" s="49">
        <v>19</v>
      </c>
      <c r="C34" s="49">
        <v>13</v>
      </c>
      <c r="D34" s="49" t="s">
        <v>853</v>
      </c>
      <c r="E34" s="49" t="str">
        <f t="shared" si="3"/>
        <v>{{date:01/11/1745}}</v>
      </c>
      <c r="F34" s="49" t="str">
        <f t="shared" si="4"/>
        <v>bxiv-enc-vip.md</v>
      </c>
      <c r="G34" s="49" t="s">
        <v>382</v>
      </c>
      <c r="H34" s="49" t="s">
        <v>5217</v>
      </c>
      <c r="I34" s="49" t="s">
        <v>5181</v>
      </c>
      <c r="K34" s="49" t="str">
        <f t="shared" si="17"/>
        <v xml:space="preserve"> 19 </v>
      </c>
      <c r="L34" s="49" t="str">
        <f t="shared" si="18"/>
        <v xml:space="preserve"> 13 </v>
      </c>
      <c r="M34" s="49" t="str">
        <f t="shared" si="19"/>
        <v xml:space="preserve"> [[bxiv-enc-vip\|Vix Pervenit]]</v>
      </c>
      <c r="N34" s="49" t="str">
        <f t="shared" si="20"/>
        <v xml:space="preserve"> {{date:01/11/1745}} </v>
      </c>
      <c r="O34" s="49" t="str">
        <f t="shared" si="21"/>
        <v xml:space="preserve"> [[bxiv-enc-vip\|bxiv-enc-vip.md]] </v>
      </c>
      <c r="P34" s="49">
        <v>34</v>
      </c>
      <c r="Q34" s="49" t="str">
        <f t="shared" si="16"/>
        <v>[[#^34|34.]] X.</v>
      </c>
      <c r="R34" s="49" t="str">
        <f t="shared" si="1"/>
        <v>{  .paragrafo-normale }</v>
      </c>
      <c r="S34" s="49" t="str">
        <f t="shared" si="2"/>
        <v xml:space="preserve">[[#^34|34.]] X.
{  .paragrafo-normale }
</v>
      </c>
    </row>
    <row r="35" spans="2:19" x14ac:dyDescent="0.25">
      <c r="B35" s="49">
        <v>20</v>
      </c>
      <c r="C35" s="49">
        <v>14</v>
      </c>
      <c r="D35" s="49" t="s">
        <v>854</v>
      </c>
      <c r="E35" s="49" t="str">
        <f t="shared" si="3"/>
        <v>{{date:16/07/1746}}</v>
      </c>
      <c r="F35" s="49" t="str">
        <f t="shared" si="4"/>
        <v>bxiv-enc-acp.md</v>
      </c>
      <c r="G35" s="49" t="s">
        <v>383</v>
      </c>
      <c r="H35" s="49" t="s">
        <v>5218</v>
      </c>
      <c r="I35" s="49" t="s">
        <v>5181</v>
      </c>
      <c r="K35" s="49" t="str">
        <f t="shared" si="17"/>
        <v xml:space="preserve"> 20 </v>
      </c>
      <c r="L35" s="49" t="str">
        <f t="shared" si="18"/>
        <v xml:space="preserve"> 14 </v>
      </c>
      <c r="M35" s="49" t="str">
        <f t="shared" si="19"/>
        <v xml:space="preserve"> [[bxiv-enc-acp\|Accepimus Praestantium]]</v>
      </c>
      <c r="N35" s="49" t="str">
        <f t="shared" si="20"/>
        <v xml:space="preserve"> {{date:16/07/1746}} </v>
      </c>
      <c r="O35" s="49" t="str">
        <f t="shared" si="21"/>
        <v xml:space="preserve"> [[bxiv-enc-acp\|bxiv-enc-acp.md]] </v>
      </c>
      <c r="P35" s="49">
        <v>35</v>
      </c>
      <c r="Q35" s="49" t="str">
        <f t="shared" si="16"/>
        <v>[[#^35|35.]] X.</v>
      </c>
      <c r="R35" s="49" t="str">
        <f t="shared" si="1"/>
        <v>{  .paragrafo-normale }</v>
      </c>
      <c r="S35" s="49" t="str">
        <f t="shared" si="2"/>
        <v xml:space="preserve">[[#^35|35.]] X.
{  .paragrafo-normale }
</v>
      </c>
    </row>
    <row r="36" spans="2:19" x14ac:dyDescent="0.25">
      <c r="B36" s="49">
        <v>22</v>
      </c>
      <c r="C36" s="49">
        <v>15</v>
      </c>
      <c r="D36" s="49" t="s">
        <v>856</v>
      </c>
      <c r="E36" s="49" t="str">
        <f t="shared" si="3"/>
        <v>{{date:01/01/1748}}</v>
      </c>
      <c r="F36" s="49" t="str">
        <f t="shared" si="4"/>
        <v>bxiv-enc-inc.md</v>
      </c>
      <c r="G36" s="49" t="s">
        <v>384</v>
      </c>
      <c r="H36" s="49" t="s">
        <v>5219</v>
      </c>
      <c r="I36" s="49" t="s">
        <v>5181</v>
      </c>
      <c r="K36" s="49" t="str">
        <f t="shared" si="17"/>
        <v xml:space="preserve"> 22 </v>
      </c>
      <c r="L36" s="49" t="str">
        <f t="shared" si="18"/>
        <v xml:space="preserve"> 15 </v>
      </c>
      <c r="M36" s="49" t="str">
        <f t="shared" si="19"/>
        <v xml:space="preserve"> [[bxiv-enc-inc\|Inter Caetera]]</v>
      </c>
      <c r="N36" s="49" t="str">
        <f t="shared" si="20"/>
        <v xml:space="preserve"> {{date:01/01/1748}} </v>
      </c>
      <c r="O36" s="49" t="str">
        <f t="shared" si="21"/>
        <v xml:space="preserve"> [[bxiv-enc-inc\|bxiv-enc-inc.md]] </v>
      </c>
      <c r="P36" s="49">
        <v>36</v>
      </c>
      <c r="Q36" s="49" t="str">
        <f t="shared" si="16"/>
        <v>[[#^36|36.]] X.</v>
      </c>
      <c r="R36" s="49" t="str">
        <f t="shared" si="1"/>
        <v>{  .paragrafo-normale }</v>
      </c>
      <c r="S36" s="49" t="str">
        <f t="shared" si="2"/>
        <v xml:space="preserve">[[#^36|36.]] X.
{  .paragrafo-normale }
</v>
      </c>
    </row>
    <row r="37" spans="2:19" x14ac:dyDescent="0.25">
      <c r="B37" s="49">
        <v>23</v>
      </c>
      <c r="C37" s="49">
        <v>16</v>
      </c>
      <c r="D37" s="49" t="s">
        <v>857</v>
      </c>
      <c r="E37" s="49" t="str">
        <f t="shared" si="3"/>
        <v>{{date:29/06/1748}}</v>
      </c>
      <c r="F37" s="49" t="str">
        <f t="shared" si="4"/>
        <v>bxiv-enc-man.md</v>
      </c>
      <c r="G37" s="49" t="s">
        <v>385</v>
      </c>
      <c r="H37" s="49" t="s">
        <v>5220</v>
      </c>
      <c r="I37" s="49" t="s">
        <v>5181</v>
      </c>
      <c r="K37" s="49" t="str">
        <f t="shared" si="17"/>
        <v xml:space="preserve"> 23 </v>
      </c>
      <c r="L37" s="49" t="str">
        <f t="shared" si="18"/>
        <v xml:space="preserve"> 16 </v>
      </c>
      <c r="M37" s="49" t="str">
        <f t="shared" si="19"/>
        <v xml:space="preserve"> [[bxiv-enc-man\|Magnae Nobis]]</v>
      </c>
      <c r="N37" s="49" t="str">
        <f t="shared" si="20"/>
        <v xml:space="preserve"> {{date:29/06/1748}} </v>
      </c>
      <c r="O37" s="49" t="str">
        <f t="shared" si="21"/>
        <v xml:space="preserve"> [[bxiv-enc-man\|bxiv-enc-man.md]] </v>
      </c>
      <c r="P37" s="49">
        <v>37</v>
      </c>
      <c r="Q37" s="49" t="str">
        <f t="shared" si="16"/>
        <v>[[#^37|37.]] X.</v>
      </c>
      <c r="R37" s="49" t="str">
        <f t="shared" si="1"/>
        <v>{  .paragrafo-normale }</v>
      </c>
      <c r="S37" s="49" t="str">
        <f t="shared" si="2"/>
        <v xml:space="preserve">[[#^37|37.]] X.
{  .paragrafo-normale }
</v>
      </c>
    </row>
    <row r="38" spans="2:19" x14ac:dyDescent="0.25">
      <c r="B38" s="49">
        <v>24</v>
      </c>
      <c r="C38" s="49">
        <v>17</v>
      </c>
      <c r="D38" s="49" t="s">
        <v>858</v>
      </c>
      <c r="E38" s="49" t="str">
        <f t="shared" si="3"/>
        <v>{{date:19/02/1749}}</v>
      </c>
      <c r="F38" s="49" t="str">
        <f t="shared" si="4"/>
        <v>bxiv-enc-aqh.md</v>
      </c>
      <c r="G38" s="49" t="s">
        <v>386</v>
      </c>
      <c r="H38" s="49" t="s">
        <v>5221</v>
      </c>
      <c r="I38" s="49" t="s">
        <v>5181</v>
      </c>
      <c r="K38" s="49" t="str">
        <f t="shared" si="17"/>
        <v xml:space="preserve"> 24 </v>
      </c>
      <c r="L38" s="49" t="str">
        <f t="shared" si="18"/>
        <v xml:space="preserve"> 17 </v>
      </c>
      <c r="M38" s="49" t="str">
        <f t="shared" si="19"/>
        <v xml:space="preserve"> [[bxiv-enc-aqh\|Annus Qui Hunc]]</v>
      </c>
      <c r="N38" s="49" t="str">
        <f t="shared" si="20"/>
        <v xml:space="preserve"> {{date:19/02/1749}} </v>
      </c>
      <c r="O38" s="49" t="str">
        <f t="shared" si="21"/>
        <v xml:space="preserve"> [[bxiv-enc-aqh\|bxiv-enc-aqh.md]] </v>
      </c>
      <c r="P38" s="49">
        <v>38</v>
      </c>
      <c r="Q38" s="49" t="str">
        <f t="shared" si="16"/>
        <v>[[#^38|38.]] X.</v>
      </c>
      <c r="R38" s="49" t="str">
        <f t="shared" si="1"/>
        <v>{  .paragrafo-normale }</v>
      </c>
      <c r="S38" s="49" t="str">
        <f t="shared" si="2"/>
        <v xml:space="preserve">[[#^38|38.]] X.
{  .paragrafo-normale }
</v>
      </c>
    </row>
    <row r="39" spans="2:19" x14ac:dyDescent="0.25">
      <c r="B39" s="49">
        <v>27</v>
      </c>
      <c r="C39" s="49">
        <v>18</v>
      </c>
      <c r="D39" s="49" t="s">
        <v>861</v>
      </c>
      <c r="E39" s="49" t="str">
        <f t="shared" si="3"/>
        <v>{{date:26/06/1749}}</v>
      </c>
      <c r="F39" s="49" t="str">
        <f t="shared" si="4"/>
        <v>bxiv-enc-apc.md</v>
      </c>
      <c r="G39" s="49" t="s">
        <v>387</v>
      </c>
      <c r="H39" s="49" t="s">
        <v>5222</v>
      </c>
      <c r="I39" s="49" t="s">
        <v>5181</v>
      </c>
      <c r="K39" s="49" t="str">
        <f t="shared" si="17"/>
        <v xml:space="preserve"> 27 </v>
      </c>
      <c r="L39" s="49" t="str">
        <f t="shared" si="18"/>
        <v xml:space="preserve"> 18 </v>
      </c>
      <c r="M39" s="49" t="str">
        <f t="shared" si="19"/>
        <v xml:space="preserve"> [[bxiv-enc-apc\|Apostolica Constitutio]]</v>
      </c>
      <c r="N39" s="49" t="str">
        <f t="shared" si="20"/>
        <v xml:space="preserve"> {{date:26/06/1749}} </v>
      </c>
      <c r="O39" s="49" t="str">
        <f t="shared" si="21"/>
        <v xml:space="preserve"> [[bxiv-enc-apc\|bxiv-enc-apc.md]] </v>
      </c>
      <c r="P39" s="49">
        <v>39</v>
      </c>
      <c r="Q39" s="49" t="str">
        <f t="shared" si="16"/>
        <v>[[#^39|39.]] X.</v>
      </c>
      <c r="R39" s="49" t="str">
        <f t="shared" si="1"/>
        <v>{  .paragrafo-normale }</v>
      </c>
      <c r="S39" s="49" t="str">
        <f t="shared" si="2"/>
        <v xml:space="preserve">[[#^39|39.]] X.
{  .paragrafo-normale }
</v>
      </c>
    </row>
    <row r="40" spans="2:19" x14ac:dyDescent="0.25">
      <c r="B40" s="49">
        <v>28</v>
      </c>
      <c r="C40" s="49">
        <v>19</v>
      </c>
      <c r="D40" s="49" t="s">
        <v>862</v>
      </c>
      <c r="E40" s="49" t="str">
        <f t="shared" si="3"/>
        <v>{{date:31/10/1749}}</v>
      </c>
      <c r="F40" s="49" t="str">
        <f t="shared" si="4"/>
        <v>bxiv-enc-gra.md</v>
      </c>
      <c r="G40" s="49" t="s">
        <v>388</v>
      </c>
      <c r="H40" s="49" t="s">
        <v>5223</v>
      </c>
      <c r="I40" s="49" t="s">
        <v>5181</v>
      </c>
      <c r="K40" s="49" t="str">
        <f t="shared" si="17"/>
        <v xml:space="preserve"> 28 </v>
      </c>
      <c r="L40" s="49" t="str">
        <f t="shared" si="18"/>
        <v xml:space="preserve"> 19 </v>
      </c>
      <c r="M40" s="49" t="str">
        <f t="shared" si="19"/>
        <v xml:space="preserve"> [[bxiv-enc-gra\|Gravissimo Animi]]</v>
      </c>
      <c r="N40" s="49" t="str">
        <f t="shared" si="20"/>
        <v xml:space="preserve"> {{date:31/10/1749}} </v>
      </c>
      <c r="O40" s="49" t="str">
        <f t="shared" si="21"/>
        <v xml:space="preserve"> [[bxiv-enc-gra\|bxiv-enc-gra.md]] </v>
      </c>
      <c r="P40" s="49">
        <v>40</v>
      </c>
      <c r="Q40" s="49" t="str">
        <f t="shared" si="16"/>
        <v>[[#^40|40.]] X.</v>
      </c>
      <c r="R40" s="49" t="str">
        <f t="shared" si="1"/>
        <v>{  .paragrafo-normale }</v>
      </c>
      <c r="S40" s="49" t="str">
        <f t="shared" si="2"/>
        <v xml:space="preserve">[[#^40|40.]] X.
{  .paragrafo-normale }
</v>
      </c>
    </row>
    <row r="41" spans="2:19" x14ac:dyDescent="0.25">
      <c r="B41" s="49">
        <v>29</v>
      </c>
      <c r="C41" s="49">
        <v>20</v>
      </c>
      <c r="D41" s="49" t="s">
        <v>358</v>
      </c>
      <c r="E41" s="49" t="str">
        <f t="shared" si="3"/>
        <v>{{date:03/12/1749}}</v>
      </c>
      <c r="F41" s="49" t="str">
        <f t="shared" si="4"/>
        <v>bxiv-enc-inp.md</v>
      </c>
      <c r="G41" s="49" t="s">
        <v>389</v>
      </c>
      <c r="H41" s="49" t="s">
        <v>5224</v>
      </c>
      <c r="I41" s="49" t="s">
        <v>5181</v>
      </c>
      <c r="K41" s="49" t="str">
        <f t="shared" si="17"/>
        <v xml:space="preserve"> 29 </v>
      </c>
      <c r="L41" s="49" t="str">
        <f t="shared" si="18"/>
        <v xml:space="preserve"> 20 </v>
      </c>
      <c r="M41" s="49" t="str">
        <f t="shared" si="19"/>
        <v xml:space="preserve"> [[bxiv-enc-inp\|Inter praeteritos]]</v>
      </c>
      <c r="N41" s="49" t="str">
        <f t="shared" si="20"/>
        <v xml:space="preserve"> {{date:03/12/1749}} </v>
      </c>
      <c r="O41" s="49" t="str">
        <f t="shared" si="21"/>
        <v xml:space="preserve"> [[bxiv-enc-inp\|bxiv-enc-inp.md]] </v>
      </c>
      <c r="P41" s="49">
        <v>41</v>
      </c>
      <c r="Q41" s="49" t="str">
        <f t="shared" si="16"/>
        <v>[[#^41|41.]] X.</v>
      </c>
      <c r="R41" s="49" t="str">
        <f t="shared" si="1"/>
        <v>{  .paragrafo-normale }</v>
      </c>
      <c r="S41" s="49" t="str">
        <f t="shared" si="2"/>
        <v xml:space="preserve">[[#^41|41.]] X.
{  .paragrafo-normale }
</v>
      </c>
    </row>
    <row r="42" spans="2:19" x14ac:dyDescent="0.25">
      <c r="B42" s="49">
        <v>31</v>
      </c>
      <c r="C42" s="49">
        <v>21</v>
      </c>
      <c r="D42" s="49" t="s">
        <v>864</v>
      </c>
      <c r="E42" s="49" t="str">
        <f t="shared" si="3"/>
        <v>{{date:01/01/1751}}</v>
      </c>
      <c r="F42" s="49" t="str">
        <f t="shared" si="4"/>
        <v>bxiv-enc-cem.md</v>
      </c>
      <c r="G42" s="49" t="s">
        <v>390</v>
      </c>
      <c r="H42" s="49" t="s">
        <v>5225</v>
      </c>
      <c r="I42" s="49" t="s">
        <v>5181</v>
      </c>
      <c r="K42" s="49" t="str">
        <f t="shared" si="17"/>
        <v xml:space="preserve"> 31 </v>
      </c>
      <c r="L42" s="49" t="str">
        <f t="shared" si="18"/>
        <v xml:space="preserve"> 21 </v>
      </c>
      <c r="M42" s="49" t="str">
        <f t="shared" si="19"/>
        <v xml:space="preserve"> [[bxiv-enc-cem\|Celebrationem Magni]]</v>
      </c>
      <c r="N42" s="49" t="str">
        <f t="shared" si="20"/>
        <v xml:space="preserve"> {{date:01/01/1751}} </v>
      </c>
      <c r="O42" s="49" t="str">
        <f t="shared" si="21"/>
        <v xml:space="preserve"> [[bxiv-enc-cem\|bxiv-enc-cem.md]] </v>
      </c>
      <c r="P42" s="49">
        <v>42</v>
      </c>
      <c r="Q42" s="49" t="str">
        <f t="shared" si="16"/>
        <v>[[#^42|42.]] X.</v>
      </c>
      <c r="R42" s="49" t="str">
        <f t="shared" si="1"/>
        <v>{  .paragrafo-normale }</v>
      </c>
      <c r="S42" s="49" t="str">
        <f t="shared" si="2"/>
        <v xml:space="preserve">[[#^42|42.]] X.
{  .paragrafo-normale }
</v>
      </c>
    </row>
    <row r="43" spans="2:19" x14ac:dyDescent="0.25">
      <c r="B43" s="49">
        <v>32</v>
      </c>
      <c r="C43" s="49">
        <v>22</v>
      </c>
      <c r="D43" s="49" t="s">
        <v>865</v>
      </c>
      <c r="E43" s="49" t="str">
        <f t="shared" si="3"/>
        <v>{{date:30/01/1751}}</v>
      </c>
      <c r="F43" s="49" t="str">
        <f t="shared" si="4"/>
        <v>bxiv-enc-prj.md</v>
      </c>
      <c r="G43" s="49" t="s">
        <v>391</v>
      </c>
      <c r="H43" s="49" t="s">
        <v>5226</v>
      </c>
      <c r="I43" s="49" t="s">
        <v>5181</v>
      </c>
      <c r="K43" s="49" t="str">
        <f t="shared" si="17"/>
        <v xml:space="preserve"> 32 </v>
      </c>
      <c r="L43" s="49" t="str">
        <f t="shared" si="18"/>
        <v xml:space="preserve"> 22 </v>
      </c>
      <c r="M43" s="49" t="str">
        <f t="shared" si="19"/>
        <v xml:space="preserve"> [[bxiv-enc-prj\|Prodiit Jamdudum]]</v>
      </c>
      <c r="N43" s="49" t="str">
        <f t="shared" si="20"/>
        <v xml:space="preserve"> {{date:30/01/1751}} </v>
      </c>
      <c r="O43" s="49" t="str">
        <f t="shared" si="21"/>
        <v xml:space="preserve"> [[bxiv-enc-prj\|bxiv-enc-prj.md]] </v>
      </c>
      <c r="P43" s="49">
        <v>43</v>
      </c>
      <c r="Q43" s="49" t="str">
        <f t="shared" si="16"/>
        <v>[[#^43|43.]] X.</v>
      </c>
      <c r="R43" s="49" t="str">
        <f t="shared" si="1"/>
        <v>{  .paragrafo-normale }</v>
      </c>
      <c r="S43" s="49" t="str">
        <f t="shared" si="2"/>
        <v xml:space="preserve">[[#^43|43.]] X.
{  .paragrafo-normale }
</v>
      </c>
    </row>
    <row r="44" spans="2:19" x14ac:dyDescent="0.25">
      <c r="B44" s="49">
        <v>33</v>
      </c>
      <c r="C44" s="49">
        <v>23</v>
      </c>
      <c r="D44" s="49" t="s">
        <v>866</v>
      </c>
      <c r="E44" s="49" t="str">
        <f t="shared" si="3"/>
        <v>{{date:20/02/1751}}</v>
      </c>
      <c r="F44" s="49" t="str">
        <f t="shared" si="4"/>
        <v>bxiv-enc-epa.md</v>
      </c>
      <c r="G44" s="49" t="s">
        <v>392</v>
      </c>
      <c r="H44" s="49" t="s">
        <v>5227</v>
      </c>
      <c r="I44" s="49" t="s">
        <v>5181</v>
      </c>
      <c r="K44" s="49" t="str">
        <f t="shared" si="17"/>
        <v xml:space="preserve"> 33 </v>
      </c>
      <c r="L44" s="49" t="str">
        <f t="shared" si="18"/>
        <v xml:space="preserve"> 23 </v>
      </c>
      <c r="M44" s="49" t="str">
        <f t="shared" si="19"/>
        <v xml:space="preserve"> [[bxiv-enc-epa\|Elapso Proxime Anno]]</v>
      </c>
      <c r="N44" s="49" t="str">
        <f t="shared" si="20"/>
        <v xml:space="preserve"> {{date:20/02/1751}} </v>
      </c>
      <c r="O44" s="49" t="str">
        <f t="shared" si="21"/>
        <v xml:space="preserve"> [[bxiv-enc-epa\|bxiv-enc-epa.md]] </v>
      </c>
      <c r="P44" s="49">
        <v>44</v>
      </c>
      <c r="Q44" s="49" t="str">
        <f t="shared" si="16"/>
        <v>[[#^44|44.]] X.</v>
      </c>
      <c r="R44" s="49" t="str">
        <f t="shared" si="1"/>
        <v>{  .paragrafo-normale }</v>
      </c>
      <c r="S44" s="49" t="str">
        <f t="shared" si="2"/>
        <v xml:space="preserve">[[#^44|44.]] X.
{  .paragrafo-normale }
</v>
      </c>
    </row>
    <row r="45" spans="2:19" x14ac:dyDescent="0.25">
      <c r="B45" s="49">
        <v>35</v>
      </c>
      <c r="C45" s="49">
        <v>24</v>
      </c>
      <c r="D45" s="49" t="s">
        <v>868</v>
      </c>
      <c r="E45" s="49" t="str">
        <f t="shared" si="3"/>
        <v>{{date:02/06/1751}}</v>
      </c>
      <c r="F45" s="49" t="str">
        <f t="shared" si="4"/>
        <v>bxiv-enc-mca.md</v>
      </c>
      <c r="G45" s="49" t="s">
        <v>393</v>
      </c>
      <c r="H45" s="49" t="s">
        <v>5228</v>
      </c>
      <c r="I45" s="49" t="s">
        <v>5181</v>
      </c>
      <c r="K45" s="49" t="str">
        <f t="shared" si="17"/>
        <v xml:space="preserve"> 35 </v>
      </c>
      <c r="L45" s="49" t="str">
        <f t="shared" si="18"/>
        <v xml:space="preserve"> 24 </v>
      </c>
      <c r="M45" s="49" t="str">
        <f t="shared" si="19"/>
        <v xml:space="preserve"> [[bxiv-enc-mca\|Magno Cum Animi]]</v>
      </c>
      <c r="N45" s="49" t="str">
        <f t="shared" si="20"/>
        <v xml:space="preserve"> {{date:02/06/1751}} </v>
      </c>
      <c r="O45" s="49" t="str">
        <f t="shared" si="21"/>
        <v xml:space="preserve"> [[bxiv-enc-mca\|bxiv-enc-mca.md]] </v>
      </c>
      <c r="P45" s="49">
        <v>45</v>
      </c>
      <c r="Q45" s="49" t="str">
        <f t="shared" si="16"/>
        <v>[[#^45|45.]] X.</v>
      </c>
      <c r="R45" s="49" t="str">
        <f t="shared" si="1"/>
        <v>{  .paragrafo-normale }</v>
      </c>
      <c r="S45" s="49" t="str">
        <f t="shared" si="2"/>
        <v xml:space="preserve">[[#^45|45.]] X.
{  .paragrafo-normale }
</v>
      </c>
    </row>
    <row r="46" spans="2:19" x14ac:dyDescent="0.25">
      <c r="B46" s="49">
        <v>36</v>
      </c>
      <c r="C46" s="49">
        <v>25</v>
      </c>
      <c r="D46" s="49" t="s">
        <v>869</v>
      </c>
      <c r="E46" s="49" t="str">
        <f t="shared" si="3"/>
        <v>{{date:14/06/1751}}</v>
      </c>
      <c r="F46" s="49" t="str">
        <f t="shared" si="4"/>
        <v>bxiv-enc-aqp.md</v>
      </c>
      <c r="G46" s="49" t="s">
        <v>394</v>
      </c>
      <c r="H46" s="49" t="s">
        <v>5229</v>
      </c>
      <c r="I46" s="49" t="s">
        <v>5181</v>
      </c>
      <c r="K46" s="49" t="str">
        <f t="shared" si="17"/>
        <v xml:space="preserve"> 36 </v>
      </c>
      <c r="L46" s="49" t="str">
        <f t="shared" si="18"/>
        <v xml:space="preserve"> 25 </v>
      </c>
      <c r="M46" s="49" t="str">
        <f t="shared" si="19"/>
        <v xml:space="preserve"> [[bxiv-enc-aqp\|A Quo Primum]]</v>
      </c>
      <c r="N46" s="49" t="str">
        <f t="shared" si="20"/>
        <v xml:space="preserve"> {{date:14/06/1751}} </v>
      </c>
      <c r="O46" s="49" t="str">
        <f t="shared" si="21"/>
        <v xml:space="preserve"> [[bxiv-enc-aqp\|bxiv-enc-aqp.md]] </v>
      </c>
      <c r="P46" s="49">
        <v>46</v>
      </c>
      <c r="Q46" s="49" t="str">
        <f t="shared" si="16"/>
        <v>[[#^46|46.]] X.</v>
      </c>
      <c r="R46" s="49" t="str">
        <f t="shared" si="1"/>
        <v>{  .paragrafo-normale }</v>
      </c>
      <c r="S46" s="49" t="str">
        <f t="shared" si="2"/>
        <v xml:space="preserve">[[#^46|46.]] X.
{  .paragrafo-normale }
</v>
      </c>
    </row>
    <row r="47" spans="2:19" x14ac:dyDescent="0.25">
      <c r="B47" s="49">
        <v>37</v>
      </c>
      <c r="C47" s="49">
        <v>26</v>
      </c>
      <c r="D47" s="49" t="s">
        <v>870</v>
      </c>
      <c r="E47" s="49" t="str">
        <f t="shared" si="3"/>
        <v>{{date:26/06/1754}}</v>
      </c>
      <c r="F47" s="49" t="str">
        <f t="shared" si="4"/>
        <v>bxiv-enc-cra.md</v>
      </c>
      <c r="G47" s="49" t="s">
        <v>395</v>
      </c>
      <c r="H47" s="49" t="s">
        <v>5230</v>
      </c>
      <c r="I47" s="49" t="s">
        <v>5181</v>
      </c>
      <c r="K47" s="49" t="str">
        <f t="shared" si="17"/>
        <v xml:space="preserve"> 37 </v>
      </c>
      <c r="L47" s="49" t="str">
        <f t="shared" si="18"/>
        <v xml:space="preserve"> 26 </v>
      </c>
      <c r="M47" s="49" t="str">
        <f t="shared" si="19"/>
        <v xml:space="preserve"> [[bxiv-enc-cra\|Cum Religiosi Aeque]]</v>
      </c>
      <c r="N47" s="49" t="str">
        <f t="shared" si="20"/>
        <v xml:space="preserve"> {{date:26/06/1754}} </v>
      </c>
      <c r="O47" s="49" t="str">
        <f t="shared" si="21"/>
        <v xml:space="preserve"> [[bxiv-enc-cra\|bxiv-enc-cra.md]] </v>
      </c>
      <c r="P47" s="49">
        <v>47</v>
      </c>
      <c r="Q47" s="49" t="str">
        <f t="shared" si="16"/>
        <v>[[#^47|47.]] X.</v>
      </c>
      <c r="R47" s="49" t="str">
        <f t="shared" si="1"/>
        <v>{  .paragrafo-normale }</v>
      </c>
      <c r="S47" s="49" t="str">
        <f t="shared" si="2"/>
        <v xml:space="preserve">[[#^47|47.]] X.
{  .paragrafo-normale }
</v>
      </c>
    </row>
    <row r="48" spans="2:19" x14ac:dyDescent="0.25">
      <c r="B48" s="49">
        <v>38</v>
      </c>
      <c r="C48" s="49">
        <v>27</v>
      </c>
      <c r="D48" s="49" t="s">
        <v>871</v>
      </c>
      <c r="E48" s="49" t="str">
        <f t="shared" si="3"/>
        <v>{{date:01/08/1754}}</v>
      </c>
      <c r="F48" s="49" t="str">
        <f t="shared" si="4"/>
        <v>bxiv-enc-qup.md</v>
      </c>
      <c r="G48" s="49" t="s">
        <v>396</v>
      </c>
      <c r="H48" s="49" t="s">
        <v>5231</v>
      </c>
      <c r="I48" s="49" t="s">
        <v>5181</v>
      </c>
      <c r="K48" s="49" t="str">
        <f t="shared" si="17"/>
        <v xml:space="preserve"> 38 </v>
      </c>
      <c r="L48" s="49" t="str">
        <f t="shared" si="18"/>
        <v xml:space="preserve"> 27 </v>
      </c>
      <c r="M48" s="49" t="str">
        <f t="shared" si="19"/>
        <v xml:space="preserve"> [[bxiv-enc-qup\|Quod Provinciale]]</v>
      </c>
      <c r="N48" s="49" t="str">
        <f t="shared" si="20"/>
        <v xml:space="preserve"> {{date:01/08/1754}} </v>
      </c>
      <c r="O48" s="49" t="str">
        <f t="shared" si="21"/>
        <v xml:space="preserve"> [[bxiv-enc-qup\|bxiv-enc-qup.md]] </v>
      </c>
      <c r="P48" s="49">
        <v>48</v>
      </c>
      <c r="Q48" s="49" t="str">
        <f t="shared" si="16"/>
        <v>[[#^48|48.]] X.</v>
      </c>
      <c r="R48" s="49" t="str">
        <f t="shared" si="1"/>
        <v>{  .paragrafo-normale }</v>
      </c>
      <c r="S48" s="49" t="str">
        <f t="shared" si="2"/>
        <v xml:space="preserve">[[#^48|48.]] X.
{  .paragrafo-normale }
</v>
      </c>
    </row>
    <row r="49" spans="2:19" x14ac:dyDescent="0.25">
      <c r="B49" s="49">
        <v>39</v>
      </c>
      <c r="C49" s="49">
        <v>28</v>
      </c>
      <c r="D49" s="49" t="s">
        <v>872</v>
      </c>
      <c r="E49" s="49" t="str">
        <f t="shared" si="3"/>
        <v>{{date:26/07/1755}}</v>
      </c>
      <c r="F49" s="49" t="str">
        <f t="shared" si="4"/>
        <v>bxiv-enc-als.md</v>
      </c>
      <c r="G49" s="49" t="s">
        <v>397</v>
      </c>
      <c r="H49" s="49" t="s">
        <v>5232</v>
      </c>
      <c r="I49" s="49" t="s">
        <v>5181</v>
      </c>
      <c r="K49" s="49" t="str">
        <f t="shared" si="17"/>
        <v xml:space="preserve"> 39 </v>
      </c>
      <c r="L49" s="49" t="str">
        <f t="shared" si="18"/>
        <v xml:space="preserve"> 28 </v>
      </c>
      <c r="M49" s="49" t="str">
        <f t="shared" si="19"/>
        <v xml:space="preserve"> [[bxiv-enc-als\|Allatae Sunt]]</v>
      </c>
      <c r="N49" s="49" t="str">
        <f t="shared" si="20"/>
        <v xml:space="preserve"> {{date:26/07/1755}} </v>
      </c>
      <c r="O49" s="49" t="str">
        <f t="shared" si="21"/>
        <v xml:space="preserve"> [[bxiv-enc-als\|bxiv-enc-als.md]] </v>
      </c>
      <c r="P49" s="49">
        <v>49</v>
      </c>
      <c r="Q49" s="49" t="str">
        <f t="shared" si="16"/>
        <v>[[#^49|49.]] X.</v>
      </c>
      <c r="R49" s="49" t="str">
        <f t="shared" si="1"/>
        <v>{  .paragrafo-normale }</v>
      </c>
      <c r="S49" s="49" t="str">
        <f t="shared" si="2"/>
        <v xml:space="preserve">[[#^49|49.]] X.
{  .paragrafo-normale }
</v>
      </c>
    </row>
    <row r="50" spans="2:19" x14ac:dyDescent="0.25">
      <c r="B50" s="49">
        <v>41</v>
      </c>
      <c r="C50" s="49">
        <v>29</v>
      </c>
      <c r="D50" s="49" t="s">
        <v>874</v>
      </c>
      <c r="E50" s="49" t="str">
        <f t="shared" si="3"/>
        <v>{{date:01/03/1756}}</v>
      </c>
      <c r="F50" s="49" t="str">
        <f t="shared" si="4"/>
        <v>bxiv-enc-eqp.md</v>
      </c>
      <c r="G50" s="49" t="s">
        <v>398</v>
      </c>
      <c r="H50" s="49" t="s">
        <v>5233</v>
      </c>
      <c r="I50" s="49" t="s">
        <v>5181</v>
      </c>
      <c r="K50" s="49" t="str">
        <f t="shared" si="17"/>
        <v xml:space="preserve"> 41 </v>
      </c>
      <c r="L50" s="49" t="str">
        <f t="shared" si="18"/>
        <v xml:space="preserve"> 29 </v>
      </c>
      <c r="M50" s="49" t="str">
        <f t="shared" si="19"/>
        <v xml:space="preserve"> [[bxiv-enc-eqp\|Ex Quo Primum]]</v>
      </c>
      <c r="N50" s="49" t="str">
        <f t="shared" si="20"/>
        <v xml:space="preserve"> {{date:01/03/1756}} </v>
      </c>
      <c r="O50" s="49" t="str">
        <f t="shared" si="21"/>
        <v xml:space="preserve"> [[bxiv-enc-eqp\|bxiv-enc-eqp.md]] </v>
      </c>
      <c r="P50" s="49">
        <v>50</v>
      </c>
      <c r="Q50" s="49" t="str">
        <f t="shared" si="16"/>
        <v>[[#^50|50.]] X.</v>
      </c>
      <c r="R50" s="49" t="str">
        <f t="shared" si="1"/>
        <v>{  .paragrafo-normale }</v>
      </c>
      <c r="S50" s="49" t="str">
        <f t="shared" si="2"/>
        <v xml:space="preserve">[[#^50|50.]] X.
{  .paragrafo-normale }
</v>
      </c>
    </row>
    <row r="51" spans="2:19" x14ac:dyDescent="0.25">
      <c r="B51" s="49">
        <v>42</v>
      </c>
      <c r="C51" s="49">
        <v>30</v>
      </c>
      <c r="D51" s="49" t="s">
        <v>875</v>
      </c>
      <c r="E51" s="49" t="str">
        <f t="shared" si="3"/>
        <v>{{date:16/10/1756}}</v>
      </c>
      <c r="F51" s="49" t="str">
        <f t="shared" si="4"/>
        <v>bxiv-enc-eoc.md</v>
      </c>
      <c r="G51" s="49" t="s">
        <v>399</v>
      </c>
      <c r="H51" s="49" t="s">
        <v>5234</v>
      </c>
      <c r="I51" s="49" t="s">
        <v>5181</v>
      </c>
      <c r="K51" s="49" t="str">
        <f t="shared" si="17"/>
        <v xml:space="preserve"> 42 </v>
      </c>
      <c r="L51" s="49" t="str">
        <f t="shared" si="18"/>
        <v xml:space="preserve"> 30 </v>
      </c>
      <c r="M51" s="49" t="str">
        <f t="shared" si="19"/>
        <v xml:space="preserve"> [[bxiv-enc-eoc\|Ex Omnibus Christiani]]</v>
      </c>
      <c r="N51" s="49" t="str">
        <f t="shared" si="20"/>
        <v xml:space="preserve"> {{date:16/10/1756}} </v>
      </c>
      <c r="O51" s="49" t="str">
        <f t="shared" si="21"/>
        <v xml:space="preserve"> [[bxiv-enc-eoc\|bxiv-enc-eoc.md]] </v>
      </c>
      <c r="P51" s="49">
        <v>51</v>
      </c>
      <c r="Q51" s="49" t="str">
        <f t="shared" si="16"/>
        <v>[[#^51|51.]] X.</v>
      </c>
      <c r="R51" s="49" t="str">
        <f t="shared" si="1"/>
        <v>{  .paragrafo-normale }</v>
      </c>
      <c r="S51" s="49" t="str">
        <f t="shared" si="2"/>
        <v xml:space="preserve">[[#^51|51.]] X.
{  .paragrafo-normale }
</v>
      </c>
    </row>
    <row r="52" spans="2:19" x14ac:dyDescent="0.25">
      <c r="B52" s="49">
        <v>43</v>
      </c>
      <c r="C52" s="49">
        <v>31</v>
      </c>
      <c r="D52" s="49" t="s">
        <v>876</v>
      </c>
      <c r="E52" s="49" t="str">
        <f t="shared" si="3"/>
        <v>{{date:02/08/1757}}</v>
      </c>
      <c r="F52" s="49" t="str">
        <f t="shared" si="4"/>
        <v>bxiv-enc-qug.md</v>
      </c>
      <c r="G52" s="49" t="s">
        <v>400</v>
      </c>
      <c r="H52" s="49" t="s">
        <v>5235</v>
      </c>
      <c r="I52" s="49" t="s">
        <v>5181</v>
      </c>
      <c r="K52" s="49" t="str">
        <f t="shared" si="17"/>
        <v xml:space="preserve"> 43 </v>
      </c>
      <c r="L52" s="49" t="str">
        <f t="shared" si="18"/>
        <v xml:space="preserve"> 31 </v>
      </c>
      <c r="M52" s="49" t="str">
        <f t="shared" si="19"/>
        <v xml:space="preserve"> [[bxiv-enc-qug\|Quam Grave]]</v>
      </c>
      <c r="N52" s="49" t="str">
        <f t="shared" si="20"/>
        <v xml:space="preserve"> {{date:02/08/1757}} </v>
      </c>
      <c r="O52" s="49" t="str">
        <f t="shared" si="21"/>
        <v xml:space="preserve"> [[bxiv-enc-qug\|bxiv-enc-qug.md]] </v>
      </c>
      <c r="P52" s="49">
        <v>52</v>
      </c>
      <c r="Q52" s="49" t="str">
        <f t="shared" si="16"/>
        <v>[[#^52|52.]] X.</v>
      </c>
      <c r="R52" s="49" t="str">
        <f t="shared" si="1"/>
        <v>{  .paragrafo-normale }</v>
      </c>
      <c r="S52" s="49" t="str">
        <f t="shared" si="2"/>
        <v xml:space="preserve">[[#^52|52.]] X.
{  .paragrafo-normale }
</v>
      </c>
    </row>
    <row r="53" spans="2:19" x14ac:dyDescent="0.25">
      <c r="P53" s="49">
        <v>53</v>
      </c>
      <c r="Q53" s="49" t="str">
        <f t="shared" si="16"/>
        <v>[[#^53|53.]] X.</v>
      </c>
      <c r="R53" s="49" t="str">
        <f t="shared" si="1"/>
        <v>{  .paragrafo-normale }</v>
      </c>
      <c r="S53" s="49" t="str">
        <f t="shared" si="2"/>
        <v xml:space="preserve">[[#^53|53.]] X.
{  .paragrafo-normale }
</v>
      </c>
    </row>
    <row r="54" spans="2:19" x14ac:dyDescent="0.25">
      <c r="P54" s="49">
        <v>54</v>
      </c>
      <c r="Q54" s="49" t="str">
        <f t="shared" si="16"/>
        <v>[[#^54|54.]] X.</v>
      </c>
      <c r="R54" s="49" t="str">
        <f t="shared" si="1"/>
        <v>{  .paragrafo-normale }</v>
      </c>
      <c r="S54" s="49" t="str">
        <f t="shared" si="2"/>
        <v xml:space="preserve">[[#^54|54.]] X.
{  .paragrafo-normale }
</v>
      </c>
    </row>
    <row r="55" spans="2:19" x14ac:dyDescent="0.25">
      <c r="P55" s="49">
        <v>55</v>
      </c>
      <c r="Q55" s="49" t="str">
        <f t="shared" si="16"/>
        <v>[[#^55|55.]] X.</v>
      </c>
      <c r="R55" s="49" t="str">
        <f t="shared" si="1"/>
        <v>{  .paragrafo-normale }</v>
      </c>
      <c r="S55" s="49" t="str">
        <f t="shared" si="2"/>
        <v xml:space="preserve">[[#^55|55.]] X.
{  .paragrafo-normale }
</v>
      </c>
    </row>
    <row r="56" spans="2:19" x14ac:dyDescent="0.25">
      <c r="P56" s="49">
        <v>56</v>
      </c>
      <c r="Q56" s="49" t="str">
        <f t="shared" si="16"/>
        <v>[[#^56|56.]] X.</v>
      </c>
      <c r="R56" s="49" t="str">
        <f t="shared" si="1"/>
        <v>{  .paragrafo-normale }</v>
      </c>
      <c r="S56" s="49" t="str">
        <f t="shared" si="2"/>
        <v xml:space="preserve">[[#^56|56.]] X.
{  .paragrafo-normale }
</v>
      </c>
    </row>
    <row r="57" spans="2:19" x14ac:dyDescent="0.25">
      <c r="P57" s="49">
        <v>57</v>
      </c>
      <c r="Q57" s="49" t="str">
        <f t="shared" si="16"/>
        <v>[[#^57|57.]] X.</v>
      </c>
      <c r="R57" s="49" t="str">
        <f t="shared" si="1"/>
        <v>{  .paragrafo-normale }</v>
      </c>
      <c r="S57" s="49" t="str">
        <f t="shared" si="2"/>
        <v xml:space="preserve">[[#^57|57.]] X.
{  .paragrafo-normale }
</v>
      </c>
    </row>
    <row r="58" spans="2:19" x14ac:dyDescent="0.25">
      <c r="P58" s="49">
        <v>58</v>
      </c>
      <c r="Q58" s="49" t="str">
        <f t="shared" si="16"/>
        <v>[[#^58|58.]] X.</v>
      </c>
      <c r="R58" s="49" t="str">
        <f t="shared" si="1"/>
        <v>{  .paragrafo-normale }</v>
      </c>
      <c r="S58" s="49" t="str">
        <f t="shared" si="2"/>
        <v xml:space="preserve">[[#^58|58.]] X.
{  .paragrafo-normale }
</v>
      </c>
    </row>
    <row r="59" spans="2:19" x14ac:dyDescent="0.25">
      <c r="P59" s="49">
        <v>59</v>
      </c>
      <c r="Q59" s="49" t="str">
        <f t="shared" si="16"/>
        <v>[[#^59|59.]] X.</v>
      </c>
      <c r="R59" s="49" t="str">
        <f t="shared" si="1"/>
        <v>{  .paragrafo-normale }</v>
      </c>
      <c r="S59" s="49" t="str">
        <f t="shared" si="2"/>
        <v xml:space="preserve">[[#^59|59.]] X.
{  .paragrafo-normale }
</v>
      </c>
    </row>
    <row r="60" spans="2:19" x14ac:dyDescent="0.25">
      <c r="P60" s="49">
        <v>60</v>
      </c>
      <c r="Q60" s="49" t="str">
        <f t="shared" si="16"/>
        <v>[[#^60|60.]] X.</v>
      </c>
      <c r="R60" s="49" t="str">
        <f t="shared" si="1"/>
        <v>{  .paragrafo-normale }</v>
      </c>
      <c r="S60" s="49" t="str">
        <f t="shared" si="2"/>
        <v xml:space="preserve">[[#^60|60.]] X.
{  .paragrafo-normale }
</v>
      </c>
    </row>
    <row r="61" spans="2:19" x14ac:dyDescent="0.25">
      <c r="P61" s="49">
        <v>61</v>
      </c>
      <c r="Q61" s="49" t="str">
        <f t="shared" si="16"/>
        <v>[[#^61|61.]] X.</v>
      </c>
      <c r="R61" s="49" t="str">
        <f t="shared" si="1"/>
        <v>{  .paragrafo-normale }</v>
      </c>
      <c r="S61" s="49" t="str">
        <f t="shared" si="2"/>
        <v xml:space="preserve">[[#^61|61.]] X.
{  .paragrafo-normale }
</v>
      </c>
    </row>
    <row r="62" spans="2:19" x14ac:dyDescent="0.25">
      <c r="P62" s="49">
        <v>62</v>
      </c>
      <c r="Q62" s="49" t="str">
        <f t="shared" si="16"/>
        <v>[[#^62|62.]] X.</v>
      </c>
      <c r="R62" s="49" t="str">
        <f t="shared" si="1"/>
        <v>{  .paragrafo-normale }</v>
      </c>
      <c r="S62" s="49" t="str">
        <f t="shared" si="2"/>
        <v xml:space="preserve">[[#^62|62.]] X.
{  .paragrafo-normale }
</v>
      </c>
    </row>
    <row r="63" spans="2:19" x14ac:dyDescent="0.25">
      <c r="P63" s="49">
        <v>63</v>
      </c>
      <c r="Q63" s="49" t="str">
        <f t="shared" si="16"/>
        <v>[[#^63|63.]] X.</v>
      </c>
      <c r="R63" s="49" t="str">
        <f t="shared" si="1"/>
        <v>{  .paragrafo-normale }</v>
      </c>
      <c r="S63" s="49" t="str">
        <f t="shared" si="2"/>
        <v xml:space="preserve">[[#^63|63.]] X.
{  .paragrafo-normale }
</v>
      </c>
    </row>
    <row r="64" spans="2:19" x14ac:dyDescent="0.25">
      <c r="P64" s="49">
        <v>64</v>
      </c>
      <c r="Q64" s="49" t="str">
        <f t="shared" si="16"/>
        <v>[[#^64|64.]] X.</v>
      </c>
      <c r="R64" s="49" t="str">
        <f t="shared" si="1"/>
        <v>{  .paragrafo-normale }</v>
      </c>
      <c r="S64" s="49" t="str">
        <f t="shared" si="2"/>
        <v xml:space="preserve">[[#^64|64.]] X.
{  .paragrafo-normale }
</v>
      </c>
    </row>
    <row r="65" spans="16:19" x14ac:dyDescent="0.25">
      <c r="P65" s="49">
        <v>65</v>
      </c>
      <c r="Q65" s="49" t="str">
        <f t="shared" si="16"/>
        <v>[[#^65|65.]] X.</v>
      </c>
      <c r="R65" s="49" t="str">
        <f t="shared" si="1"/>
        <v>{  .paragrafo-normale }</v>
      </c>
      <c r="S65" s="49" t="str">
        <f t="shared" si="2"/>
        <v xml:space="preserve">[[#^65|65.]] X.
{  .paragrafo-normale }
</v>
      </c>
    </row>
    <row r="66" spans="16:19" x14ac:dyDescent="0.25">
      <c r="P66" s="49">
        <v>66</v>
      </c>
      <c r="Q66" s="49" t="str">
        <f t="shared" si="16"/>
        <v>[[#^66|66.]] X.</v>
      </c>
      <c r="R66" s="49" t="str">
        <f t="shared" ref="R66:R129" si="22">_xlfn.CONCAT("{  .paragrafo-normale }")</f>
        <v>{  .paragrafo-normale }</v>
      </c>
      <c r="S66" s="49" t="str">
        <f t="shared" ref="S66:S129" si="23">_xlfn.CONCAT(Q66,"
",R66,"
")</f>
        <v xml:space="preserve">[[#^66|66.]] X.
{  .paragrafo-normale }
</v>
      </c>
    </row>
    <row r="67" spans="16:19" x14ac:dyDescent="0.25">
      <c r="P67" s="49">
        <v>67</v>
      </c>
      <c r="Q67" s="49" t="str">
        <f t="shared" si="16"/>
        <v>[[#^67|67.]] X.</v>
      </c>
      <c r="R67" s="49" t="str">
        <f t="shared" si="22"/>
        <v>{  .paragrafo-normale }</v>
      </c>
      <c r="S67" s="49" t="str">
        <f t="shared" si="23"/>
        <v xml:space="preserve">[[#^67|67.]] X.
{  .paragrafo-normale }
</v>
      </c>
    </row>
    <row r="68" spans="16:19" x14ac:dyDescent="0.25">
      <c r="P68" s="49">
        <v>68</v>
      </c>
      <c r="Q68" s="49" t="str">
        <f t="shared" si="16"/>
        <v>[[#^68|68.]] X.</v>
      </c>
      <c r="R68" s="49" t="str">
        <f t="shared" si="22"/>
        <v>{  .paragrafo-normale }</v>
      </c>
      <c r="S68" s="49" t="str">
        <f t="shared" si="23"/>
        <v xml:space="preserve">[[#^68|68.]] X.
{  .paragrafo-normale }
</v>
      </c>
    </row>
    <row r="69" spans="16:19" x14ac:dyDescent="0.25">
      <c r="P69" s="49">
        <v>69</v>
      </c>
      <c r="Q69" s="49" t="str">
        <f t="shared" si="16"/>
        <v>[[#^69|69.]] X.</v>
      </c>
      <c r="R69" s="49" t="str">
        <f t="shared" si="22"/>
        <v>{  .paragrafo-normale }</v>
      </c>
      <c r="S69" s="49" t="str">
        <f t="shared" si="23"/>
        <v xml:space="preserve">[[#^69|69.]] X.
{  .paragrafo-normale }
</v>
      </c>
    </row>
    <row r="70" spans="16:19" x14ac:dyDescent="0.25">
      <c r="P70" s="49">
        <v>70</v>
      </c>
      <c r="Q70" s="49" t="str">
        <f t="shared" si="16"/>
        <v>[[#^70|70.]] X.</v>
      </c>
      <c r="R70" s="49" t="str">
        <f t="shared" si="22"/>
        <v>{  .paragrafo-normale }</v>
      </c>
      <c r="S70" s="49" t="str">
        <f t="shared" si="23"/>
        <v xml:space="preserve">[[#^70|70.]] X.
{  .paragrafo-normale }
</v>
      </c>
    </row>
    <row r="71" spans="16:19" x14ac:dyDescent="0.25">
      <c r="P71" s="49">
        <v>71</v>
      </c>
      <c r="Q71" s="49" t="str">
        <f t="shared" si="16"/>
        <v>[[#^71|71.]] X.</v>
      </c>
      <c r="R71" s="49" t="str">
        <f t="shared" si="22"/>
        <v>{  .paragrafo-normale }</v>
      </c>
      <c r="S71" s="49" t="str">
        <f t="shared" si="23"/>
        <v xml:space="preserve">[[#^71|71.]] X.
{  .paragrafo-normale }
</v>
      </c>
    </row>
    <row r="72" spans="16:19" x14ac:dyDescent="0.25">
      <c r="P72" s="49">
        <v>72</v>
      </c>
      <c r="Q72" s="49" t="str">
        <f t="shared" si="16"/>
        <v>[[#^72|72.]] X.</v>
      </c>
      <c r="R72" s="49" t="str">
        <f t="shared" si="22"/>
        <v>{  .paragrafo-normale }</v>
      </c>
      <c r="S72" s="49" t="str">
        <f t="shared" si="23"/>
        <v xml:space="preserve">[[#^72|72.]] X.
{  .paragrafo-normale }
</v>
      </c>
    </row>
    <row r="73" spans="16:19" x14ac:dyDescent="0.25">
      <c r="P73" s="49">
        <v>73</v>
      </c>
      <c r="Q73" s="49" t="str">
        <f t="shared" si="16"/>
        <v>[[#^73|73.]] X.</v>
      </c>
      <c r="R73" s="49" t="str">
        <f t="shared" si="22"/>
        <v>{  .paragrafo-normale }</v>
      </c>
      <c r="S73" s="49" t="str">
        <f t="shared" si="23"/>
        <v xml:space="preserve">[[#^73|73.]] X.
{  .paragrafo-normale }
</v>
      </c>
    </row>
    <row r="74" spans="16:19" x14ac:dyDescent="0.25">
      <c r="P74" s="49">
        <v>74</v>
      </c>
      <c r="Q74" s="49" t="str">
        <f t="shared" si="16"/>
        <v>[[#^74|74.]] X.</v>
      </c>
      <c r="R74" s="49" t="str">
        <f t="shared" si="22"/>
        <v>{  .paragrafo-normale }</v>
      </c>
      <c r="S74" s="49" t="str">
        <f t="shared" si="23"/>
        <v xml:space="preserve">[[#^74|74.]] X.
{  .paragrafo-normale }
</v>
      </c>
    </row>
    <row r="75" spans="16:19" x14ac:dyDescent="0.25">
      <c r="P75" s="49">
        <v>75</v>
      </c>
      <c r="Q75" s="49" t="str">
        <f t="shared" si="16"/>
        <v>[[#^75|75.]] X.</v>
      </c>
      <c r="R75" s="49" t="str">
        <f t="shared" si="22"/>
        <v>{  .paragrafo-normale }</v>
      </c>
      <c r="S75" s="49" t="str">
        <f t="shared" si="23"/>
        <v xml:space="preserve">[[#^75|75.]] X.
{  .paragrafo-normale }
</v>
      </c>
    </row>
    <row r="76" spans="16:19" x14ac:dyDescent="0.25">
      <c r="P76" s="49">
        <v>76</v>
      </c>
      <c r="Q76" s="49" t="str">
        <f t="shared" ref="Q76:Q139" si="24">_xlfn.CONCAT("[[#^",P76,"|",P76,".]] X.")</f>
        <v>[[#^76|76.]] X.</v>
      </c>
      <c r="R76" s="49" t="str">
        <f t="shared" si="22"/>
        <v>{  .paragrafo-normale }</v>
      </c>
      <c r="S76" s="49" t="str">
        <f t="shared" si="23"/>
        <v xml:space="preserve">[[#^76|76.]] X.
{  .paragrafo-normale }
</v>
      </c>
    </row>
    <row r="77" spans="16:19" x14ac:dyDescent="0.25">
      <c r="P77" s="49">
        <v>77</v>
      </c>
      <c r="Q77" s="49" t="str">
        <f t="shared" si="24"/>
        <v>[[#^77|77.]] X.</v>
      </c>
      <c r="R77" s="49" t="str">
        <f t="shared" si="22"/>
        <v>{  .paragrafo-normale }</v>
      </c>
      <c r="S77" s="49" t="str">
        <f t="shared" si="23"/>
        <v xml:space="preserve">[[#^77|77.]] X.
{  .paragrafo-normale }
</v>
      </c>
    </row>
    <row r="78" spans="16:19" x14ac:dyDescent="0.25">
      <c r="P78" s="49">
        <v>78</v>
      </c>
      <c r="Q78" s="49" t="str">
        <f t="shared" si="24"/>
        <v>[[#^78|78.]] X.</v>
      </c>
      <c r="R78" s="49" t="str">
        <f t="shared" si="22"/>
        <v>{  .paragrafo-normale }</v>
      </c>
      <c r="S78" s="49" t="str">
        <f t="shared" si="23"/>
        <v xml:space="preserve">[[#^78|78.]] X.
{  .paragrafo-normale }
</v>
      </c>
    </row>
    <row r="79" spans="16:19" x14ac:dyDescent="0.25">
      <c r="P79" s="49">
        <v>79</v>
      </c>
      <c r="Q79" s="49" t="str">
        <f t="shared" si="24"/>
        <v>[[#^79|79.]] X.</v>
      </c>
      <c r="R79" s="49" t="str">
        <f t="shared" si="22"/>
        <v>{  .paragrafo-normale }</v>
      </c>
      <c r="S79" s="49" t="str">
        <f t="shared" si="23"/>
        <v xml:space="preserve">[[#^79|79.]] X.
{  .paragrafo-normale }
</v>
      </c>
    </row>
    <row r="80" spans="16:19" x14ac:dyDescent="0.25">
      <c r="P80" s="49">
        <v>80</v>
      </c>
      <c r="Q80" s="49" t="str">
        <f t="shared" si="24"/>
        <v>[[#^80|80.]] X.</v>
      </c>
      <c r="R80" s="49" t="str">
        <f t="shared" si="22"/>
        <v>{  .paragrafo-normale }</v>
      </c>
      <c r="S80" s="49" t="str">
        <f t="shared" si="23"/>
        <v xml:space="preserve">[[#^80|80.]] X.
{  .paragrafo-normale }
</v>
      </c>
    </row>
    <row r="81" spans="16:19" x14ac:dyDescent="0.25">
      <c r="P81" s="49">
        <v>81</v>
      </c>
      <c r="Q81" s="49" t="str">
        <f t="shared" si="24"/>
        <v>[[#^81|81.]] X.</v>
      </c>
      <c r="R81" s="49" t="str">
        <f t="shared" si="22"/>
        <v>{  .paragrafo-normale }</v>
      </c>
      <c r="S81" s="49" t="str">
        <f t="shared" si="23"/>
        <v xml:space="preserve">[[#^81|81.]] X.
{  .paragrafo-normale }
</v>
      </c>
    </row>
    <row r="82" spans="16:19" x14ac:dyDescent="0.25">
      <c r="P82" s="49">
        <v>82</v>
      </c>
      <c r="Q82" s="49" t="str">
        <f t="shared" si="24"/>
        <v>[[#^82|82.]] X.</v>
      </c>
      <c r="R82" s="49" t="str">
        <f t="shared" si="22"/>
        <v>{  .paragrafo-normale }</v>
      </c>
      <c r="S82" s="49" t="str">
        <f t="shared" si="23"/>
        <v xml:space="preserve">[[#^82|82.]] X.
{  .paragrafo-normale }
</v>
      </c>
    </row>
    <row r="83" spans="16:19" x14ac:dyDescent="0.25">
      <c r="P83" s="49">
        <v>83</v>
      </c>
      <c r="Q83" s="49" t="str">
        <f t="shared" si="24"/>
        <v>[[#^83|83.]] X.</v>
      </c>
      <c r="R83" s="49" t="str">
        <f t="shared" si="22"/>
        <v>{  .paragrafo-normale }</v>
      </c>
      <c r="S83" s="49" t="str">
        <f t="shared" si="23"/>
        <v xml:space="preserve">[[#^83|83.]] X.
{  .paragrafo-normale }
</v>
      </c>
    </row>
    <row r="84" spans="16:19" x14ac:dyDescent="0.25">
      <c r="P84" s="49">
        <v>84</v>
      </c>
      <c r="Q84" s="49" t="str">
        <f t="shared" si="24"/>
        <v>[[#^84|84.]] X.</v>
      </c>
      <c r="R84" s="49" t="str">
        <f t="shared" si="22"/>
        <v>{  .paragrafo-normale }</v>
      </c>
      <c r="S84" s="49" t="str">
        <f t="shared" si="23"/>
        <v xml:space="preserve">[[#^84|84.]] X.
{  .paragrafo-normale }
</v>
      </c>
    </row>
    <row r="85" spans="16:19" x14ac:dyDescent="0.25">
      <c r="P85" s="49">
        <v>85</v>
      </c>
      <c r="Q85" s="49" t="str">
        <f t="shared" si="24"/>
        <v>[[#^85|85.]] X.</v>
      </c>
      <c r="R85" s="49" t="str">
        <f t="shared" si="22"/>
        <v>{  .paragrafo-normale }</v>
      </c>
      <c r="S85" s="49" t="str">
        <f t="shared" si="23"/>
        <v xml:space="preserve">[[#^85|85.]] X.
{  .paragrafo-normale }
</v>
      </c>
    </row>
    <row r="86" spans="16:19" x14ac:dyDescent="0.25">
      <c r="P86" s="49">
        <v>86</v>
      </c>
      <c r="Q86" s="49" t="str">
        <f t="shared" si="24"/>
        <v>[[#^86|86.]] X.</v>
      </c>
      <c r="R86" s="49" t="str">
        <f t="shared" si="22"/>
        <v>{  .paragrafo-normale }</v>
      </c>
      <c r="S86" s="49" t="str">
        <f t="shared" si="23"/>
        <v xml:space="preserve">[[#^86|86.]] X.
{  .paragrafo-normale }
</v>
      </c>
    </row>
    <row r="87" spans="16:19" x14ac:dyDescent="0.25">
      <c r="P87" s="49">
        <v>87</v>
      </c>
      <c r="Q87" s="49" t="str">
        <f t="shared" si="24"/>
        <v>[[#^87|87.]] X.</v>
      </c>
      <c r="R87" s="49" t="str">
        <f t="shared" si="22"/>
        <v>{  .paragrafo-normale }</v>
      </c>
      <c r="S87" s="49" t="str">
        <f t="shared" si="23"/>
        <v xml:space="preserve">[[#^87|87.]] X.
{  .paragrafo-normale }
</v>
      </c>
    </row>
    <row r="88" spans="16:19" x14ac:dyDescent="0.25">
      <c r="P88" s="49">
        <v>88</v>
      </c>
      <c r="Q88" s="49" t="str">
        <f t="shared" si="24"/>
        <v>[[#^88|88.]] X.</v>
      </c>
      <c r="R88" s="49" t="str">
        <f t="shared" si="22"/>
        <v>{  .paragrafo-normale }</v>
      </c>
      <c r="S88" s="49" t="str">
        <f t="shared" si="23"/>
        <v xml:space="preserve">[[#^88|88.]] X.
{  .paragrafo-normale }
</v>
      </c>
    </row>
    <row r="89" spans="16:19" x14ac:dyDescent="0.25">
      <c r="P89" s="49">
        <v>89</v>
      </c>
      <c r="Q89" s="49" t="str">
        <f t="shared" si="24"/>
        <v>[[#^89|89.]] X.</v>
      </c>
      <c r="R89" s="49" t="str">
        <f t="shared" si="22"/>
        <v>{  .paragrafo-normale }</v>
      </c>
      <c r="S89" s="49" t="str">
        <f t="shared" si="23"/>
        <v xml:space="preserve">[[#^89|89.]] X.
{  .paragrafo-normale }
</v>
      </c>
    </row>
    <row r="90" spans="16:19" x14ac:dyDescent="0.25">
      <c r="P90" s="49">
        <v>90</v>
      </c>
      <c r="Q90" s="49" t="str">
        <f t="shared" si="24"/>
        <v>[[#^90|90.]] X.</v>
      </c>
      <c r="R90" s="49" t="str">
        <f t="shared" si="22"/>
        <v>{  .paragrafo-normale }</v>
      </c>
      <c r="S90" s="49" t="str">
        <f t="shared" si="23"/>
        <v xml:space="preserve">[[#^90|90.]] X.
{  .paragrafo-normale }
</v>
      </c>
    </row>
    <row r="91" spans="16:19" x14ac:dyDescent="0.25">
      <c r="P91" s="49">
        <v>91</v>
      </c>
      <c r="Q91" s="49" t="str">
        <f t="shared" si="24"/>
        <v>[[#^91|91.]] X.</v>
      </c>
      <c r="R91" s="49" t="str">
        <f t="shared" si="22"/>
        <v>{  .paragrafo-normale }</v>
      </c>
      <c r="S91" s="49" t="str">
        <f t="shared" si="23"/>
        <v xml:space="preserve">[[#^91|91.]] X.
{  .paragrafo-normale }
</v>
      </c>
    </row>
    <row r="92" spans="16:19" x14ac:dyDescent="0.25">
      <c r="P92" s="49">
        <v>92</v>
      </c>
      <c r="Q92" s="49" t="str">
        <f t="shared" si="24"/>
        <v>[[#^92|92.]] X.</v>
      </c>
      <c r="R92" s="49" t="str">
        <f t="shared" si="22"/>
        <v>{  .paragrafo-normale }</v>
      </c>
      <c r="S92" s="49" t="str">
        <f t="shared" si="23"/>
        <v xml:space="preserve">[[#^92|92.]] X.
{  .paragrafo-normale }
</v>
      </c>
    </row>
    <row r="93" spans="16:19" x14ac:dyDescent="0.25">
      <c r="P93" s="49">
        <v>93</v>
      </c>
      <c r="Q93" s="49" t="str">
        <f t="shared" si="24"/>
        <v>[[#^93|93.]] X.</v>
      </c>
      <c r="R93" s="49" t="str">
        <f t="shared" si="22"/>
        <v>{  .paragrafo-normale }</v>
      </c>
      <c r="S93" s="49" t="str">
        <f t="shared" si="23"/>
        <v xml:space="preserve">[[#^93|93.]] X.
{  .paragrafo-normale }
</v>
      </c>
    </row>
    <row r="94" spans="16:19" x14ac:dyDescent="0.25">
      <c r="P94" s="49">
        <v>94</v>
      </c>
      <c r="Q94" s="49" t="str">
        <f t="shared" si="24"/>
        <v>[[#^94|94.]] X.</v>
      </c>
      <c r="R94" s="49" t="str">
        <f t="shared" si="22"/>
        <v>{  .paragrafo-normale }</v>
      </c>
      <c r="S94" s="49" t="str">
        <f t="shared" si="23"/>
        <v xml:space="preserve">[[#^94|94.]] X.
{  .paragrafo-normale }
</v>
      </c>
    </row>
    <row r="95" spans="16:19" x14ac:dyDescent="0.25">
      <c r="P95" s="49">
        <v>95</v>
      </c>
      <c r="Q95" s="49" t="str">
        <f t="shared" si="24"/>
        <v>[[#^95|95.]] X.</v>
      </c>
      <c r="R95" s="49" t="str">
        <f t="shared" si="22"/>
        <v>{  .paragrafo-normale }</v>
      </c>
      <c r="S95" s="49" t="str">
        <f t="shared" si="23"/>
        <v xml:space="preserve">[[#^95|95.]] X.
{  .paragrafo-normale }
</v>
      </c>
    </row>
    <row r="96" spans="16:19" x14ac:dyDescent="0.25">
      <c r="P96" s="49">
        <v>96</v>
      </c>
      <c r="Q96" s="49" t="str">
        <f t="shared" si="24"/>
        <v>[[#^96|96.]] X.</v>
      </c>
      <c r="R96" s="49" t="str">
        <f t="shared" si="22"/>
        <v>{  .paragrafo-normale }</v>
      </c>
      <c r="S96" s="49" t="str">
        <f t="shared" si="23"/>
        <v xml:space="preserve">[[#^96|96.]] X.
{  .paragrafo-normale }
</v>
      </c>
    </row>
    <row r="97" spans="16:19" x14ac:dyDescent="0.25">
      <c r="P97" s="49">
        <v>97</v>
      </c>
      <c r="Q97" s="49" t="str">
        <f t="shared" si="24"/>
        <v>[[#^97|97.]] X.</v>
      </c>
      <c r="R97" s="49" t="str">
        <f t="shared" si="22"/>
        <v>{  .paragrafo-normale }</v>
      </c>
      <c r="S97" s="49" t="str">
        <f t="shared" si="23"/>
        <v xml:space="preserve">[[#^97|97.]] X.
{  .paragrafo-normale }
</v>
      </c>
    </row>
    <row r="98" spans="16:19" x14ac:dyDescent="0.25">
      <c r="P98" s="49">
        <v>98</v>
      </c>
      <c r="Q98" s="49" t="str">
        <f t="shared" si="24"/>
        <v>[[#^98|98.]] X.</v>
      </c>
      <c r="R98" s="49" t="str">
        <f t="shared" si="22"/>
        <v>{  .paragrafo-normale }</v>
      </c>
      <c r="S98" s="49" t="str">
        <f t="shared" si="23"/>
        <v xml:space="preserve">[[#^98|98.]] X.
{  .paragrafo-normale }
</v>
      </c>
    </row>
    <row r="99" spans="16:19" x14ac:dyDescent="0.25">
      <c r="P99" s="49">
        <v>99</v>
      </c>
      <c r="Q99" s="49" t="str">
        <f t="shared" si="24"/>
        <v>[[#^99|99.]] X.</v>
      </c>
      <c r="R99" s="49" t="str">
        <f t="shared" si="22"/>
        <v>{  .paragrafo-normale }</v>
      </c>
      <c r="S99" s="49" t="str">
        <f t="shared" si="23"/>
        <v xml:space="preserve">[[#^99|99.]] X.
{  .paragrafo-normale }
</v>
      </c>
    </row>
    <row r="100" spans="16:19" x14ac:dyDescent="0.25">
      <c r="P100" s="49">
        <v>100</v>
      </c>
      <c r="Q100" s="49" t="str">
        <f t="shared" si="24"/>
        <v>[[#^100|100.]] X.</v>
      </c>
      <c r="R100" s="49" t="str">
        <f t="shared" si="22"/>
        <v>{  .paragrafo-normale }</v>
      </c>
      <c r="S100" s="49" t="str">
        <f t="shared" si="23"/>
        <v xml:space="preserve">[[#^100|100.]] X.
{  .paragrafo-normale }
</v>
      </c>
    </row>
    <row r="101" spans="16:19" x14ac:dyDescent="0.25">
      <c r="P101" s="49">
        <v>101</v>
      </c>
      <c r="Q101" s="49" t="str">
        <f t="shared" si="24"/>
        <v>[[#^101|101.]] X.</v>
      </c>
      <c r="R101" s="49" t="str">
        <f t="shared" si="22"/>
        <v>{  .paragrafo-normale }</v>
      </c>
      <c r="S101" s="49" t="str">
        <f t="shared" si="23"/>
        <v xml:space="preserve">[[#^101|101.]] X.
{  .paragrafo-normale }
</v>
      </c>
    </row>
    <row r="102" spans="16:19" x14ac:dyDescent="0.25">
      <c r="P102" s="49">
        <v>102</v>
      </c>
      <c r="Q102" s="49" t="str">
        <f t="shared" si="24"/>
        <v>[[#^102|102.]] X.</v>
      </c>
      <c r="R102" s="49" t="str">
        <f t="shared" si="22"/>
        <v>{  .paragrafo-normale }</v>
      </c>
      <c r="S102" s="49" t="str">
        <f t="shared" si="23"/>
        <v xml:space="preserve">[[#^102|102.]] X.
{  .paragrafo-normale }
</v>
      </c>
    </row>
    <row r="103" spans="16:19" x14ac:dyDescent="0.25">
      <c r="P103" s="49">
        <v>103</v>
      </c>
      <c r="Q103" s="49" t="str">
        <f t="shared" si="24"/>
        <v>[[#^103|103.]] X.</v>
      </c>
      <c r="R103" s="49" t="str">
        <f t="shared" si="22"/>
        <v>{  .paragrafo-normale }</v>
      </c>
      <c r="S103" s="49" t="str">
        <f t="shared" si="23"/>
        <v xml:space="preserve">[[#^103|103.]] X.
{  .paragrafo-normale }
</v>
      </c>
    </row>
    <row r="104" spans="16:19" x14ac:dyDescent="0.25">
      <c r="P104" s="49">
        <v>104</v>
      </c>
      <c r="Q104" s="49" t="str">
        <f t="shared" si="24"/>
        <v>[[#^104|104.]] X.</v>
      </c>
      <c r="R104" s="49" t="str">
        <f t="shared" si="22"/>
        <v>{  .paragrafo-normale }</v>
      </c>
      <c r="S104" s="49" t="str">
        <f t="shared" si="23"/>
        <v xml:space="preserve">[[#^104|104.]] X.
{  .paragrafo-normale }
</v>
      </c>
    </row>
    <row r="105" spans="16:19" x14ac:dyDescent="0.25">
      <c r="P105" s="49">
        <v>105</v>
      </c>
      <c r="Q105" s="49" t="str">
        <f t="shared" si="24"/>
        <v>[[#^105|105.]] X.</v>
      </c>
      <c r="R105" s="49" t="str">
        <f t="shared" si="22"/>
        <v>{  .paragrafo-normale }</v>
      </c>
      <c r="S105" s="49" t="str">
        <f t="shared" si="23"/>
        <v xml:space="preserve">[[#^105|105.]] X.
{  .paragrafo-normale }
</v>
      </c>
    </row>
    <row r="106" spans="16:19" x14ac:dyDescent="0.25">
      <c r="P106" s="49">
        <v>106</v>
      </c>
      <c r="Q106" s="49" t="str">
        <f t="shared" si="24"/>
        <v>[[#^106|106.]] X.</v>
      </c>
      <c r="R106" s="49" t="str">
        <f t="shared" si="22"/>
        <v>{  .paragrafo-normale }</v>
      </c>
      <c r="S106" s="49" t="str">
        <f t="shared" si="23"/>
        <v xml:space="preserve">[[#^106|106.]] X.
{  .paragrafo-normale }
</v>
      </c>
    </row>
    <row r="107" spans="16:19" x14ac:dyDescent="0.25">
      <c r="P107" s="49">
        <v>107</v>
      </c>
      <c r="Q107" s="49" t="str">
        <f t="shared" si="24"/>
        <v>[[#^107|107.]] X.</v>
      </c>
      <c r="R107" s="49" t="str">
        <f t="shared" si="22"/>
        <v>{  .paragrafo-normale }</v>
      </c>
      <c r="S107" s="49" t="str">
        <f t="shared" si="23"/>
        <v xml:space="preserve">[[#^107|107.]] X.
{  .paragrafo-normale }
</v>
      </c>
    </row>
    <row r="108" spans="16:19" x14ac:dyDescent="0.25">
      <c r="P108" s="49">
        <v>108</v>
      </c>
      <c r="Q108" s="49" t="str">
        <f t="shared" si="24"/>
        <v>[[#^108|108.]] X.</v>
      </c>
      <c r="R108" s="49" t="str">
        <f t="shared" si="22"/>
        <v>{  .paragrafo-normale }</v>
      </c>
      <c r="S108" s="49" t="str">
        <f t="shared" si="23"/>
        <v xml:space="preserve">[[#^108|108.]] X.
{  .paragrafo-normale }
</v>
      </c>
    </row>
    <row r="109" spans="16:19" x14ac:dyDescent="0.25">
      <c r="P109" s="49">
        <v>109</v>
      </c>
      <c r="Q109" s="49" t="str">
        <f t="shared" si="24"/>
        <v>[[#^109|109.]] X.</v>
      </c>
      <c r="R109" s="49" t="str">
        <f t="shared" si="22"/>
        <v>{  .paragrafo-normale }</v>
      </c>
      <c r="S109" s="49" t="str">
        <f t="shared" si="23"/>
        <v xml:space="preserve">[[#^109|109.]] X.
{  .paragrafo-normale }
</v>
      </c>
    </row>
    <row r="110" spans="16:19" x14ac:dyDescent="0.25">
      <c r="P110" s="49">
        <v>110</v>
      </c>
      <c r="Q110" s="49" t="str">
        <f t="shared" si="24"/>
        <v>[[#^110|110.]] X.</v>
      </c>
      <c r="R110" s="49" t="str">
        <f t="shared" si="22"/>
        <v>{  .paragrafo-normale }</v>
      </c>
      <c r="S110" s="49" t="str">
        <f t="shared" si="23"/>
        <v xml:space="preserve">[[#^110|110.]] X.
{  .paragrafo-normale }
</v>
      </c>
    </row>
    <row r="111" spans="16:19" x14ac:dyDescent="0.25">
      <c r="P111" s="49">
        <v>111</v>
      </c>
      <c r="Q111" s="49" t="str">
        <f t="shared" si="24"/>
        <v>[[#^111|111.]] X.</v>
      </c>
      <c r="R111" s="49" t="str">
        <f t="shared" si="22"/>
        <v>{  .paragrafo-normale }</v>
      </c>
      <c r="S111" s="49" t="str">
        <f t="shared" si="23"/>
        <v xml:space="preserve">[[#^111|111.]] X.
{  .paragrafo-normale }
</v>
      </c>
    </row>
    <row r="112" spans="16:19" x14ac:dyDescent="0.25">
      <c r="P112" s="49">
        <v>112</v>
      </c>
      <c r="Q112" s="49" t="str">
        <f t="shared" si="24"/>
        <v>[[#^112|112.]] X.</v>
      </c>
      <c r="R112" s="49" t="str">
        <f t="shared" si="22"/>
        <v>{  .paragrafo-normale }</v>
      </c>
      <c r="S112" s="49" t="str">
        <f t="shared" si="23"/>
        <v xml:space="preserve">[[#^112|112.]] X.
{  .paragrafo-normale }
</v>
      </c>
    </row>
    <row r="113" spans="16:19" x14ac:dyDescent="0.25">
      <c r="P113" s="49">
        <v>113</v>
      </c>
      <c r="Q113" s="49" t="str">
        <f t="shared" si="24"/>
        <v>[[#^113|113.]] X.</v>
      </c>
      <c r="R113" s="49" t="str">
        <f t="shared" si="22"/>
        <v>{  .paragrafo-normale }</v>
      </c>
      <c r="S113" s="49" t="str">
        <f t="shared" si="23"/>
        <v xml:space="preserve">[[#^113|113.]] X.
{  .paragrafo-normale }
</v>
      </c>
    </row>
    <row r="114" spans="16:19" x14ac:dyDescent="0.25">
      <c r="P114" s="49">
        <v>114</v>
      </c>
      <c r="Q114" s="49" t="str">
        <f t="shared" si="24"/>
        <v>[[#^114|114.]] X.</v>
      </c>
      <c r="R114" s="49" t="str">
        <f t="shared" si="22"/>
        <v>{  .paragrafo-normale }</v>
      </c>
      <c r="S114" s="49" t="str">
        <f t="shared" si="23"/>
        <v xml:space="preserve">[[#^114|114.]] X.
{  .paragrafo-normale }
</v>
      </c>
    </row>
    <row r="115" spans="16:19" x14ac:dyDescent="0.25">
      <c r="P115" s="49">
        <v>115</v>
      </c>
      <c r="Q115" s="49" t="str">
        <f t="shared" si="24"/>
        <v>[[#^115|115.]] X.</v>
      </c>
      <c r="R115" s="49" t="str">
        <f t="shared" si="22"/>
        <v>{  .paragrafo-normale }</v>
      </c>
      <c r="S115" s="49" t="str">
        <f t="shared" si="23"/>
        <v xml:space="preserve">[[#^115|115.]] X.
{  .paragrafo-normale }
</v>
      </c>
    </row>
    <row r="116" spans="16:19" x14ac:dyDescent="0.25">
      <c r="P116" s="49">
        <v>116</v>
      </c>
      <c r="Q116" s="49" t="str">
        <f t="shared" si="24"/>
        <v>[[#^116|116.]] X.</v>
      </c>
      <c r="R116" s="49" t="str">
        <f t="shared" si="22"/>
        <v>{  .paragrafo-normale }</v>
      </c>
      <c r="S116" s="49" t="str">
        <f t="shared" si="23"/>
        <v xml:space="preserve">[[#^116|116.]] X.
{  .paragrafo-normale }
</v>
      </c>
    </row>
    <row r="117" spans="16:19" x14ac:dyDescent="0.25">
      <c r="P117" s="49">
        <v>117</v>
      </c>
      <c r="Q117" s="49" t="str">
        <f t="shared" si="24"/>
        <v>[[#^117|117.]] X.</v>
      </c>
      <c r="R117" s="49" t="str">
        <f t="shared" si="22"/>
        <v>{  .paragrafo-normale }</v>
      </c>
      <c r="S117" s="49" t="str">
        <f t="shared" si="23"/>
        <v xml:space="preserve">[[#^117|117.]] X.
{  .paragrafo-normale }
</v>
      </c>
    </row>
    <row r="118" spans="16:19" x14ac:dyDescent="0.25">
      <c r="P118" s="49">
        <v>118</v>
      </c>
      <c r="Q118" s="49" t="str">
        <f t="shared" si="24"/>
        <v>[[#^118|118.]] X.</v>
      </c>
      <c r="R118" s="49" t="str">
        <f t="shared" si="22"/>
        <v>{  .paragrafo-normale }</v>
      </c>
      <c r="S118" s="49" t="str">
        <f t="shared" si="23"/>
        <v xml:space="preserve">[[#^118|118.]] X.
{  .paragrafo-normale }
</v>
      </c>
    </row>
    <row r="119" spans="16:19" x14ac:dyDescent="0.25">
      <c r="P119" s="49">
        <v>119</v>
      </c>
      <c r="Q119" s="49" t="str">
        <f t="shared" si="24"/>
        <v>[[#^119|119.]] X.</v>
      </c>
      <c r="R119" s="49" t="str">
        <f t="shared" si="22"/>
        <v>{  .paragrafo-normale }</v>
      </c>
      <c r="S119" s="49" t="str">
        <f t="shared" si="23"/>
        <v xml:space="preserve">[[#^119|119.]] X.
{  .paragrafo-normale }
</v>
      </c>
    </row>
    <row r="120" spans="16:19" x14ac:dyDescent="0.25">
      <c r="P120" s="49">
        <v>120</v>
      </c>
      <c r="Q120" s="49" t="str">
        <f t="shared" si="24"/>
        <v>[[#^120|120.]] X.</v>
      </c>
      <c r="R120" s="49" t="str">
        <f t="shared" si="22"/>
        <v>{  .paragrafo-normale }</v>
      </c>
      <c r="S120" s="49" t="str">
        <f t="shared" si="23"/>
        <v xml:space="preserve">[[#^120|120.]] X.
{  .paragrafo-normale }
</v>
      </c>
    </row>
    <row r="121" spans="16:19" x14ac:dyDescent="0.25">
      <c r="P121" s="49">
        <v>121</v>
      </c>
      <c r="Q121" s="49" t="str">
        <f t="shared" si="24"/>
        <v>[[#^121|121.]] X.</v>
      </c>
      <c r="R121" s="49" t="str">
        <f t="shared" si="22"/>
        <v>{  .paragrafo-normale }</v>
      </c>
      <c r="S121" s="49" t="str">
        <f t="shared" si="23"/>
        <v xml:space="preserve">[[#^121|121.]] X.
{  .paragrafo-normale }
</v>
      </c>
    </row>
    <row r="122" spans="16:19" x14ac:dyDescent="0.25">
      <c r="P122" s="49">
        <v>122</v>
      </c>
      <c r="Q122" s="49" t="str">
        <f t="shared" si="24"/>
        <v>[[#^122|122.]] X.</v>
      </c>
      <c r="R122" s="49" t="str">
        <f t="shared" si="22"/>
        <v>{  .paragrafo-normale }</v>
      </c>
      <c r="S122" s="49" t="str">
        <f t="shared" si="23"/>
        <v xml:space="preserve">[[#^122|122.]] X.
{  .paragrafo-normale }
</v>
      </c>
    </row>
    <row r="123" spans="16:19" x14ac:dyDescent="0.25">
      <c r="P123" s="49">
        <v>123</v>
      </c>
      <c r="Q123" s="49" t="str">
        <f t="shared" si="24"/>
        <v>[[#^123|123.]] X.</v>
      </c>
      <c r="R123" s="49" t="str">
        <f t="shared" si="22"/>
        <v>{  .paragrafo-normale }</v>
      </c>
      <c r="S123" s="49" t="str">
        <f t="shared" si="23"/>
        <v xml:space="preserve">[[#^123|123.]] X.
{  .paragrafo-normale }
</v>
      </c>
    </row>
    <row r="124" spans="16:19" x14ac:dyDescent="0.25">
      <c r="P124" s="49">
        <v>124</v>
      </c>
      <c r="Q124" s="49" t="str">
        <f t="shared" si="24"/>
        <v>[[#^124|124.]] X.</v>
      </c>
      <c r="R124" s="49" t="str">
        <f t="shared" si="22"/>
        <v>{  .paragrafo-normale }</v>
      </c>
      <c r="S124" s="49" t="str">
        <f t="shared" si="23"/>
        <v xml:space="preserve">[[#^124|124.]] X.
{  .paragrafo-normale }
</v>
      </c>
    </row>
    <row r="125" spans="16:19" x14ac:dyDescent="0.25">
      <c r="P125" s="49">
        <v>125</v>
      </c>
      <c r="Q125" s="49" t="str">
        <f t="shared" si="24"/>
        <v>[[#^125|125.]] X.</v>
      </c>
      <c r="R125" s="49" t="str">
        <f t="shared" si="22"/>
        <v>{  .paragrafo-normale }</v>
      </c>
      <c r="S125" s="49" t="str">
        <f t="shared" si="23"/>
        <v xml:space="preserve">[[#^125|125.]] X.
{  .paragrafo-normale }
</v>
      </c>
    </row>
    <row r="126" spans="16:19" x14ac:dyDescent="0.25">
      <c r="P126" s="49">
        <v>126</v>
      </c>
      <c r="Q126" s="49" t="str">
        <f t="shared" si="24"/>
        <v>[[#^126|126.]] X.</v>
      </c>
      <c r="R126" s="49" t="str">
        <f t="shared" si="22"/>
        <v>{  .paragrafo-normale }</v>
      </c>
      <c r="S126" s="49" t="str">
        <f t="shared" si="23"/>
        <v xml:space="preserve">[[#^126|126.]] X.
{  .paragrafo-normale }
</v>
      </c>
    </row>
    <row r="127" spans="16:19" x14ac:dyDescent="0.25">
      <c r="P127" s="49">
        <v>127</v>
      </c>
      <c r="Q127" s="49" t="str">
        <f t="shared" si="24"/>
        <v>[[#^127|127.]] X.</v>
      </c>
      <c r="R127" s="49" t="str">
        <f t="shared" si="22"/>
        <v>{  .paragrafo-normale }</v>
      </c>
      <c r="S127" s="49" t="str">
        <f t="shared" si="23"/>
        <v xml:space="preserve">[[#^127|127.]] X.
{  .paragrafo-normale }
</v>
      </c>
    </row>
    <row r="128" spans="16:19" x14ac:dyDescent="0.25">
      <c r="P128" s="49">
        <v>128</v>
      </c>
      <c r="Q128" s="49" t="str">
        <f t="shared" si="24"/>
        <v>[[#^128|128.]] X.</v>
      </c>
      <c r="R128" s="49" t="str">
        <f t="shared" si="22"/>
        <v>{  .paragrafo-normale }</v>
      </c>
      <c r="S128" s="49" t="str">
        <f t="shared" si="23"/>
        <v xml:space="preserve">[[#^128|128.]] X.
{  .paragrafo-normale }
</v>
      </c>
    </row>
    <row r="129" spans="16:19" x14ac:dyDescent="0.25">
      <c r="P129" s="49">
        <v>129</v>
      </c>
      <c r="Q129" s="49" t="str">
        <f t="shared" si="24"/>
        <v>[[#^129|129.]] X.</v>
      </c>
      <c r="R129" s="49" t="str">
        <f t="shared" si="22"/>
        <v>{  .paragrafo-normale }</v>
      </c>
      <c r="S129" s="49" t="str">
        <f t="shared" si="23"/>
        <v xml:space="preserve">[[#^129|129.]] X.
{  .paragrafo-normale }
</v>
      </c>
    </row>
    <row r="130" spans="16:19" x14ac:dyDescent="0.25">
      <c r="P130" s="49">
        <v>130</v>
      </c>
      <c r="Q130" s="49" t="str">
        <f t="shared" si="24"/>
        <v>[[#^130|130.]] X.</v>
      </c>
      <c r="R130" s="49" t="str">
        <f t="shared" ref="R130:R150" si="25">_xlfn.CONCAT("{  .paragrafo-normale }")</f>
        <v>{  .paragrafo-normale }</v>
      </c>
      <c r="S130" s="49" t="str">
        <f t="shared" ref="S130:S150" si="26">_xlfn.CONCAT(Q130,"
",R130,"
")</f>
        <v xml:space="preserve">[[#^130|130.]] X.
{  .paragrafo-normale }
</v>
      </c>
    </row>
    <row r="131" spans="16:19" x14ac:dyDescent="0.25">
      <c r="P131" s="49">
        <v>131</v>
      </c>
      <c r="Q131" s="49" t="str">
        <f t="shared" si="24"/>
        <v>[[#^131|131.]] X.</v>
      </c>
      <c r="R131" s="49" t="str">
        <f t="shared" si="25"/>
        <v>{  .paragrafo-normale }</v>
      </c>
      <c r="S131" s="49" t="str">
        <f t="shared" si="26"/>
        <v xml:space="preserve">[[#^131|131.]] X.
{  .paragrafo-normale }
</v>
      </c>
    </row>
    <row r="132" spans="16:19" x14ac:dyDescent="0.25">
      <c r="P132" s="49">
        <v>132</v>
      </c>
      <c r="Q132" s="49" t="str">
        <f t="shared" si="24"/>
        <v>[[#^132|132.]] X.</v>
      </c>
      <c r="R132" s="49" t="str">
        <f t="shared" si="25"/>
        <v>{  .paragrafo-normale }</v>
      </c>
      <c r="S132" s="49" t="str">
        <f t="shared" si="26"/>
        <v xml:space="preserve">[[#^132|132.]] X.
{  .paragrafo-normale }
</v>
      </c>
    </row>
    <row r="133" spans="16:19" x14ac:dyDescent="0.25">
      <c r="P133" s="49">
        <v>133</v>
      </c>
      <c r="Q133" s="49" t="str">
        <f t="shared" si="24"/>
        <v>[[#^133|133.]] X.</v>
      </c>
      <c r="R133" s="49" t="str">
        <f t="shared" si="25"/>
        <v>{  .paragrafo-normale }</v>
      </c>
      <c r="S133" s="49" t="str">
        <f t="shared" si="26"/>
        <v xml:space="preserve">[[#^133|133.]] X.
{  .paragrafo-normale }
</v>
      </c>
    </row>
    <row r="134" spans="16:19" x14ac:dyDescent="0.25">
      <c r="P134" s="49">
        <v>134</v>
      </c>
      <c r="Q134" s="49" t="str">
        <f t="shared" si="24"/>
        <v>[[#^134|134.]] X.</v>
      </c>
      <c r="R134" s="49" t="str">
        <f t="shared" si="25"/>
        <v>{  .paragrafo-normale }</v>
      </c>
      <c r="S134" s="49" t="str">
        <f t="shared" si="26"/>
        <v xml:space="preserve">[[#^134|134.]] X.
{  .paragrafo-normale }
</v>
      </c>
    </row>
    <row r="135" spans="16:19" x14ac:dyDescent="0.25">
      <c r="P135" s="49">
        <v>135</v>
      </c>
      <c r="Q135" s="49" t="str">
        <f t="shared" si="24"/>
        <v>[[#^135|135.]] X.</v>
      </c>
      <c r="R135" s="49" t="str">
        <f t="shared" si="25"/>
        <v>{  .paragrafo-normale }</v>
      </c>
      <c r="S135" s="49" t="str">
        <f t="shared" si="26"/>
        <v xml:space="preserve">[[#^135|135.]] X.
{  .paragrafo-normale }
</v>
      </c>
    </row>
    <row r="136" spans="16:19" x14ac:dyDescent="0.25">
      <c r="P136" s="49">
        <v>136</v>
      </c>
      <c r="Q136" s="49" t="str">
        <f t="shared" si="24"/>
        <v>[[#^136|136.]] X.</v>
      </c>
      <c r="R136" s="49" t="str">
        <f t="shared" si="25"/>
        <v>{  .paragrafo-normale }</v>
      </c>
      <c r="S136" s="49" t="str">
        <f t="shared" si="26"/>
        <v xml:space="preserve">[[#^136|136.]] X.
{  .paragrafo-normale }
</v>
      </c>
    </row>
    <row r="137" spans="16:19" x14ac:dyDescent="0.25">
      <c r="P137" s="49">
        <v>137</v>
      </c>
      <c r="Q137" s="49" t="str">
        <f t="shared" si="24"/>
        <v>[[#^137|137.]] X.</v>
      </c>
      <c r="R137" s="49" t="str">
        <f t="shared" si="25"/>
        <v>{  .paragrafo-normale }</v>
      </c>
      <c r="S137" s="49" t="str">
        <f t="shared" si="26"/>
        <v xml:space="preserve">[[#^137|137.]] X.
{  .paragrafo-normale }
</v>
      </c>
    </row>
    <row r="138" spans="16:19" x14ac:dyDescent="0.25">
      <c r="P138" s="49">
        <v>138</v>
      </c>
      <c r="Q138" s="49" t="str">
        <f t="shared" si="24"/>
        <v>[[#^138|138.]] X.</v>
      </c>
      <c r="R138" s="49" t="str">
        <f t="shared" si="25"/>
        <v>{  .paragrafo-normale }</v>
      </c>
      <c r="S138" s="49" t="str">
        <f t="shared" si="26"/>
        <v xml:space="preserve">[[#^138|138.]] X.
{  .paragrafo-normale }
</v>
      </c>
    </row>
    <row r="139" spans="16:19" x14ac:dyDescent="0.25">
      <c r="P139" s="49">
        <v>139</v>
      </c>
      <c r="Q139" s="49" t="str">
        <f t="shared" si="24"/>
        <v>[[#^139|139.]] X.</v>
      </c>
      <c r="R139" s="49" t="str">
        <f t="shared" si="25"/>
        <v>{  .paragrafo-normale }</v>
      </c>
      <c r="S139" s="49" t="str">
        <f t="shared" si="26"/>
        <v xml:space="preserve">[[#^139|139.]] X.
{  .paragrafo-normale }
</v>
      </c>
    </row>
    <row r="140" spans="16:19" x14ac:dyDescent="0.25">
      <c r="P140" s="49">
        <v>140</v>
      </c>
      <c r="Q140" s="49" t="str">
        <f t="shared" ref="Q140:Q150" si="27">_xlfn.CONCAT("[[#^",P140,"|",P140,".]] X.")</f>
        <v>[[#^140|140.]] X.</v>
      </c>
      <c r="R140" s="49" t="str">
        <f t="shared" si="25"/>
        <v>{  .paragrafo-normale }</v>
      </c>
      <c r="S140" s="49" t="str">
        <f t="shared" si="26"/>
        <v xml:space="preserve">[[#^140|140.]] X.
{  .paragrafo-normale }
</v>
      </c>
    </row>
    <row r="141" spans="16:19" x14ac:dyDescent="0.25">
      <c r="P141" s="49">
        <v>141</v>
      </c>
      <c r="Q141" s="49" t="str">
        <f t="shared" si="27"/>
        <v>[[#^141|141.]] X.</v>
      </c>
      <c r="R141" s="49" t="str">
        <f t="shared" si="25"/>
        <v>{  .paragrafo-normale }</v>
      </c>
      <c r="S141" s="49" t="str">
        <f t="shared" si="26"/>
        <v xml:space="preserve">[[#^141|141.]] X.
{  .paragrafo-normale }
</v>
      </c>
    </row>
    <row r="142" spans="16:19" x14ac:dyDescent="0.25">
      <c r="P142" s="49">
        <v>142</v>
      </c>
      <c r="Q142" s="49" t="str">
        <f t="shared" si="27"/>
        <v>[[#^142|142.]] X.</v>
      </c>
      <c r="R142" s="49" t="str">
        <f t="shared" si="25"/>
        <v>{  .paragrafo-normale }</v>
      </c>
      <c r="S142" s="49" t="str">
        <f t="shared" si="26"/>
        <v xml:space="preserve">[[#^142|142.]] X.
{  .paragrafo-normale }
</v>
      </c>
    </row>
    <row r="143" spans="16:19" x14ac:dyDescent="0.25">
      <c r="P143" s="49">
        <v>143</v>
      </c>
      <c r="Q143" s="49" t="str">
        <f t="shared" si="27"/>
        <v>[[#^143|143.]] X.</v>
      </c>
      <c r="R143" s="49" t="str">
        <f t="shared" si="25"/>
        <v>{  .paragrafo-normale }</v>
      </c>
      <c r="S143" s="49" t="str">
        <f t="shared" si="26"/>
        <v xml:space="preserve">[[#^143|143.]] X.
{  .paragrafo-normale }
</v>
      </c>
    </row>
    <row r="144" spans="16:19" x14ac:dyDescent="0.25">
      <c r="P144" s="49">
        <v>144</v>
      </c>
      <c r="Q144" s="49" t="str">
        <f t="shared" si="27"/>
        <v>[[#^144|144.]] X.</v>
      </c>
      <c r="R144" s="49" t="str">
        <f t="shared" si="25"/>
        <v>{  .paragrafo-normale }</v>
      </c>
      <c r="S144" s="49" t="str">
        <f t="shared" si="26"/>
        <v xml:space="preserve">[[#^144|144.]] X.
{  .paragrafo-normale }
</v>
      </c>
    </row>
    <row r="145" spans="16:19" x14ac:dyDescent="0.25">
      <c r="P145" s="49">
        <v>145</v>
      </c>
      <c r="Q145" s="49" t="str">
        <f t="shared" si="27"/>
        <v>[[#^145|145.]] X.</v>
      </c>
      <c r="R145" s="49" t="str">
        <f t="shared" si="25"/>
        <v>{  .paragrafo-normale }</v>
      </c>
      <c r="S145" s="49" t="str">
        <f t="shared" si="26"/>
        <v xml:space="preserve">[[#^145|145.]] X.
{  .paragrafo-normale }
</v>
      </c>
    </row>
    <row r="146" spans="16:19" x14ac:dyDescent="0.25">
      <c r="P146" s="49">
        <v>146</v>
      </c>
      <c r="Q146" s="49" t="str">
        <f t="shared" si="27"/>
        <v>[[#^146|146.]] X.</v>
      </c>
      <c r="R146" s="49" t="str">
        <f t="shared" si="25"/>
        <v>{  .paragrafo-normale }</v>
      </c>
      <c r="S146" s="49" t="str">
        <f t="shared" si="26"/>
        <v xml:space="preserve">[[#^146|146.]] X.
{  .paragrafo-normale }
</v>
      </c>
    </row>
    <row r="147" spans="16:19" x14ac:dyDescent="0.25">
      <c r="P147" s="49">
        <v>147</v>
      </c>
      <c r="Q147" s="49" t="str">
        <f t="shared" si="27"/>
        <v>[[#^147|147.]] X.</v>
      </c>
      <c r="R147" s="49" t="str">
        <f t="shared" si="25"/>
        <v>{  .paragrafo-normale }</v>
      </c>
      <c r="S147" s="49" t="str">
        <f t="shared" si="26"/>
        <v xml:space="preserve">[[#^147|147.]] X.
{  .paragrafo-normale }
</v>
      </c>
    </row>
    <row r="148" spans="16:19" x14ac:dyDescent="0.25">
      <c r="P148" s="49">
        <v>148</v>
      </c>
      <c r="Q148" s="49" t="str">
        <f t="shared" si="27"/>
        <v>[[#^148|148.]] X.</v>
      </c>
      <c r="R148" s="49" t="str">
        <f t="shared" si="25"/>
        <v>{  .paragrafo-normale }</v>
      </c>
      <c r="S148" s="49" t="str">
        <f t="shared" si="26"/>
        <v xml:space="preserve">[[#^148|148.]] X.
{  .paragrafo-normale }
</v>
      </c>
    </row>
    <row r="149" spans="16:19" x14ac:dyDescent="0.25">
      <c r="P149" s="49">
        <v>149</v>
      </c>
      <c r="Q149" s="49" t="str">
        <f t="shared" si="27"/>
        <v>[[#^149|149.]] X.</v>
      </c>
      <c r="R149" s="49" t="str">
        <f t="shared" si="25"/>
        <v>{  .paragrafo-normale }</v>
      </c>
      <c r="S149" s="49" t="str">
        <f t="shared" si="26"/>
        <v xml:space="preserve">[[#^149|149.]] X.
{  .paragrafo-normale }
</v>
      </c>
    </row>
    <row r="150" spans="16:19" x14ac:dyDescent="0.25">
      <c r="P150" s="49">
        <v>150</v>
      </c>
      <c r="Q150" s="49" t="str">
        <f t="shared" si="27"/>
        <v>[[#^150|150.]] X.</v>
      </c>
      <c r="R150" s="49" t="str">
        <f t="shared" si="25"/>
        <v>{  .paragrafo-normale }</v>
      </c>
      <c r="S150" s="49"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workbookViewId="0">
      <selection activeCell="C16" sqref="C16"/>
    </sheetView>
  </sheetViews>
  <sheetFormatPr defaultRowHeight="15" x14ac:dyDescent="0.25"/>
  <cols>
    <col min="1" max="1" width="18.42578125" bestFit="1" customWidth="1"/>
    <col min="2" max="2" width="120.5703125" bestFit="1" customWidth="1"/>
    <col min="3" max="3" width="10.7109375" bestFit="1" customWidth="1"/>
    <col min="4" max="4" width="133" bestFit="1" customWidth="1"/>
  </cols>
  <sheetData>
    <row r="1" spans="1:4" x14ac:dyDescent="0.25">
      <c r="A1" t="s">
        <v>551</v>
      </c>
      <c r="B1" t="s">
        <v>2949</v>
      </c>
      <c r="C1" s="28">
        <v>28918</v>
      </c>
      <c r="D1" t="s">
        <v>2950</v>
      </c>
    </row>
    <row r="2" spans="1:4" x14ac:dyDescent="0.25">
      <c r="A2" t="s">
        <v>551</v>
      </c>
      <c r="B2" t="s">
        <v>2947</v>
      </c>
      <c r="C2" s="28">
        <v>29555</v>
      </c>
      <c r="D2" t="s">
        <v>2948</v>
      </c>
    </row>
    <row r="3" spans="1:4" x14ac:dyDescent="0.25">
      <c r="A3" t="s">
        <v>551</v>
      </c>
      <c r="B3" t="s">
        <v>2945</v>
      </c>
      <c r="C3" s="28">
        <v>29843</v>
      </c>
      <c r="D3" t="s">
        <v>2946</v>
      </c>
    </row>
    <row r="4" spans="1:4" x14ac:dyDescent="0.25">
      <c r="A4" t="s">
        <v>551</v>
      </c>
      <c r="B4" t="s">
        <v>39</v>
      </c>
      <c r="C4" s="28">
        <v>31200</v>
      </c>
      <c r="D4" t="s">
        <v>2944</v>
      </c>
    </row>
    <row r="5" spans="1:4" x14ac:dyDescent="0.25">
      <c r="A5" t="s">
        <v>551</v>
      </c>
      <c r="B5" t="s">
        <v>2942</v>
      </c>
      <c r="C5" s="28">
        <v>31550</v>
      </c>
      <c r="D5" t="s">
        <v>2943</v>
      </c>
    </row>
    <row r="6" spans="1:4" x14ac:dyDescent="0.25">
      <c r="A6" t="s">
        <v>551</v>
      </c>
      <c r="B6" t="s">
        <v>41</v>
      </c>
      <c r="C6" s="28">
        <v>31861</v>
      </c>
      <c r="D6" t="s">
        <v>2941</v>
      </c>
    </row>
    <row r="7" spans="1:4" x14ac:dyDescent="0.25">
      <c r="A7" t="s">
        <v>551</v>
      </c>
      <c r="B7" t="s">
        <v>2939</v>
      </c>
      <c r="C7" s="28">
        <v>32141</v>
      </c>
      <c r="D7" t="s">
        <v>2940</v>
      </c>
    </row>
    <row r="8" spans="1:4" x14ac:dyDescent="0.25">
      <c r="A8" t="s">
        <v>551</v>
      </c>
      <c r="B8" t="s">
        <v>2937</v>
      </c>
      <c r="C8" s="28">
        <v>33214</v>
      </c>
      <c r="D8" t="s">
        <v>2938</v>
      </c>
    </row>
    <row r="9" spans="1:4" x14ac:dyDescent="0.25">
      <c r="A9" t="s">
        <v>551</v>
      </c>
      <c r="B9" t="s">
        <v>2935</v>
      </c>
      <c r="C9" s="28">
        <v>33359</v>
      </c>
      <c r="D9" t="s">
        <v>2936</v>
      </c>
    </row>
    <row r="10" spans="1:4" x14ac:dyDescent="0.25">
      <c r="A10" t="s">
        <v>551</v>
      </c>
      <c r="B10" t="s">
        <v>2933</v>
      </c>
      <c r="C10" s="28">
        <v>34187</v>
      </c>
      <c r="D10" t="s">
        <v>2934</v>
      </c>
    </row>
    <row r="11" spans="1:4" x14ac:dyDescent="0.25">
      <c r="A11" t="s">
        <v>551</v>
      </c>
      <c r="B11" t="s">
        <v>2931</v>
      </c>
      <c r="C11" s="28">
        <v>34783</v>
      </c>
      <c r="D11" t="s">
        <v>2932</v>
      </c>
    </row>
    <row r="12" spans="1:4" x14ac:dyDescent="0.25">
      <c r="A12" t="s">
        <v>551</v>
      </c>
      <c r="B12" t="s">
        <v>2929</v>
      </c>
      <c r="C12" s="28">
        <v>34844</v>
      </c>
      <c r="D12" t="s">
        <v>2930</v>
      </c>
    </row>
    <row r="13" spans="1:4" x14ac:dyDescent="0.25">
      <c r="A13" t="s">
        <v>551</v>
      </c>
      <c r="B13" t="s">
        <v>2927</v>
      </c>
      <c r="C13" s="28">
        <v>36052</v>
      </c>
      <c r="D13" t="s">
        <v>2928</v>
      </c>
    </row>
    <row r="14" spans="1:4" x14ac:dyDescent="0.25">
      <c r="A14" t="s">
        <v>551</v>
      </c>
      <c r="B14" t="s">
        <v>49</v>
      </c>
      <c r="C14" s="28">
        <v>37728</v>
      </c>
      <c r="D14" t="s">
        <v>2926</v>
      </c>
    </row>
    <row r="15" spans="1:4" x14ac:dyDescent="0.25">
      <c r="A15" t="s">
        <v>2805</v>
      </c>
      <c r="B15" t="s">
        <v>2906</v>
      </c>
      <c r="C15" s="25">
        <v>28983</v>
      </c>
      <c r="D15" t="s">
        <v>2905</v>
      </c>
    </row>
    <row r="16" spans="1:4" x14ac:dyDescent="0.25">
      <c r="A16" t="s">
        <v>2805</v>
      </c>
      <c r="B16" t="s">
        <v>2904</v>
      </c>
      <c r="C16" s="25">
        <v>29222</v>
      </c>
      <c r="D16" t="s">
        <v>2903</v>
      </c>
    </row>
    <row r="17" spans="1:4" x14ac:dyDescent="0.25">
      <c r="A17" t="s">
        <v>2805</v>
      </c>
      <c r="B17" t="s">
        <v>2902</v>
      </c>
      <c r="C17" s="25">
        <v>29340</v>
      </c>
      <c r="D17" t="s">
        <v>2901</v>
      </c>
    </row>
    <row r="18" spans="1:4" x14ac:dyDescent="0.25">
      <c r="A18" t="s">
        <v>2805</v>
      </c>
      <c r="B18" t="s">
        <v>2900</v>
      </c>
      <c r="C18" s="25">
        <v>29413</v>
      </c>
      <c r="D18" t="s">
        <v>2899</v>
      </c>
    </row>
    <row r="19" spans="1:4" x14ac:dyDescent="0.25">
      <c r="A19" t="s">
        <v>2805</v>
      </c>
      <c r="B19" t="s">
        <v>2898</v>
      </c>
      <c r="C19" s="25">
        <v>29586</v>
      </c>
      <c r="D19" t="s">
        <v>2897</v>
      </c>
    </row>
    <row r="20" spans="1:4" x14ac:dyDescent="0.25">
      <c r="A20" t="s">
        <v>2805</v>
      </c>
      <c r="B20" t="s">
        <v>2896</v>
      </c>
      <c r="C20" s="25">
        <v>29670</v>
      </c>
      <c r="D20" t="s">
        <v>2895</v>
      </c>
    </row>
    <row r="21" spans="1:4" x14ac:dyDescent="0.25">
      <c r="A21" t="s">
        <v>2805</v>
      </c>
      <c r="B21" t="s">
        <v>2894</v>
      </c>
      <c r="C21" s="25">
        <v>30723</v>
      </c>
      <c r="D21" t="s">
        <v>2893</v>
      </c>
    </row>
    <row r="22" spans="1:4" x14ac:dyDescent="0.25">
      <c r="A22" t="s">
        <v>2805</v>
      </c>
      <c r="B22" t="s">
        <v>2892</v>
      </c>
      <c r="C22" s="25">
        <v>30781</v>
      </c>
      <c r="D22" t="s">
        <v>2891</v>
      </c>
    </row>
    <row r="23" spans="1:4" x14ac:dyDescent="0.25">
      <c r="A23" t="s">
        <v>2805</v>
      </c>
      <c r="B23" t="s">
        <v>2890</v>
      </c>
      <c r="C23" s="25">
        <v>30792</v>
      </c>
      <c r="D23" t="s">
        <v>2889</v>
      </c>
    </row>
    <row r="24" spans="1:4" x14ac:dyDescent="0.25">
      <c r="A24" t="s">
        <v>2805</v>
      </c>
      <c r="B24" t="s">
        <v>2888</v>
      </c>
      <c r="C24" s="25">
        <v>30801</v>
      </c>
      <c r="D24" t="s">
        <v>2887</v>
      </c>
    </row>
    <row r="25" spans="1:4" x14ac:dyDescent="0.25">
      <c r="A25" t="s">
        <v>2805</v>
      </c>
      <c r="B25" t="s">
        <v>2886</v>
      </c>
      <c r="C25" s="25">
        <v>30803</v>
      </c>
      <c r="D25" t="s">
        <v>2885</v>
      </c>
    </row>
    <row r="26" spans="1:4" x14ac:dyDescent="0.25">
      <c r="A26" t="s">
        <v>2805</v>
      </c>
      <c r="B26" t="s">
        <v>2884</v>
      </c>
      <c r="C26" s="25">
        <v>31137</v>
      </c>
      <c r="D26" t="s">
        <v>2883</v>
      </c>
    </row>
    <row r="27" spans="1:4" x14ac:dyDescent="0.25">
      <c r="A27" t="s">
        <v>2805</v>
      </c>
      <c r="B27" t="s">
        <v>2882</v>
      </c>
      <c r="C27" s="25">
        <v>31652</v>
      </c>
      <c r="D27" t="s">
        <v>2881</v>
      </c>
    </row>
    <row r="28" spans="1:4" x14ac:dyDescent="0.25">
      <c r="A28" t="s">
        <v>2805</v>
      </c>
      <c r="B28" t="s">
        <v>2880</v>
      </c>
      <c r="C28" s="25">
        <v>31843</v>
      </c>
      <c r="D28" t="s">
        <v>2879</v>
      </c>
    </row>
    <row r="29" spans="1:4" x14ac:dyDescent="0.25">
      <c r="A29" t="s">
        <v>2805</v>
      </c>
      <c r="B29" t="s">
        <v>2878</v>
      </c>
      <c r="C29" s="25">
        <v>31933</v>
      </c>
      <c r="D29" t="s">
        <v>2877</v>
      </c>
    </row>
    <row r="30" spans="1:4" x14ac:dyDescent="0.25">
      <c r="A30" t="s">
        <v>2805</v>
      </c>
      <c r="B30" t="s">
        <v>2876</v>
      </c>
      <c r="C30" s="25">
        <v>31990</v>
      </c>
      <c r="D30" t="s">
        <v>2875</v>
      </c>
    </row>
    <row r="31" spans="1:4" x14ac:dyDescent="0.25">
      <c r="A31" t="s">
        <v>2805</v>
      </c>
      <c r="B31" t="s">
        <v>2874</v>
      </c>
      <c r="C31" s="25">
        <v>32115</v>
      </c>
      <c r="D31" t="s">
        <v>2873</v>
      </c>
    </row>
    <row r="32" spans="1:4" x14ac:dyDescent="0.25">
      <c r="A32" t="s">
        <v>2805</v>
      </c>
      <c r="B32" t="s">
        <v>2872</v>
      </c>
      <c r="C32" s="25">
        <v>32167</v>
      </c>
      <c r="D32" t="s">
        <v>2871</v>
      </c>
    </row>
    <row r="33" spans="1:4" x14ac:dyDescent="0.25">
      <c r="A33" t="s">
        <v>2805</v>
      </c>
      <c r="B33" t="s">
        <v>2870</v>
      </c>
      <c r="C33" s="25">
        <v>32173</v>
      </c>
      <c r="D33" t="s">
        <v>2869</v>
      </c>
    </row>
    <row r="34" spans="1:4" x14ac:dyDescent="0.25">
      <c r="A34" t="s">
        <v>2805</v>
      </c>
      <c r="B34" t="s">
        <v>603</v>
      </c>
      <c r="C34" s="25">
        <v>32285</v>
      </c>
      <c r="D34" t="s">
        <v>2868</v>
      </c>
    </row>
    <row r="35" spans="1:4" x14ac:dyDescent="0.25">
      <c r="A35" t="s">
        <v>2805</v>
      </c>
      <c r="B35" t="s">
        <v>2867</v>
      </c>
      <c r="C35" s="25">
        <v>32370</v>
      </c>
      <c r="D35" t="s">
        <v>2866</v>
      </c>
    </row>
    <row r="36" spans="1:4" x14ac:dyDescent="0.25">
      <c r="A36" t="s">
        <v>2805</v>
      </c>
      <c r="B36" t="s">
        <v>2865</v>
      </c>
      <c r="C36" s="25">
        <v>32481</v>
      </c>
      <c r="D36" t="s">
        <v>2864</v>
      </c>
    </row>
    <row r="37" spans="1:4" x14ac:dyDescent="0.25">
      <c r="A37" t="s">
        <v>2805</v>
      </c>
      <c r="B37" t="s">
        <v>2863</v>
      </c>
      <c r="C37" s="25">
        <v>32747</v>
      </c>
      <c r="D37" t="s">
        <v>2862</v>
      </c>
    </row>
    <row r="38" spans="1:4" x14ac:dyDescent="0.25">
      <c r="A38" t="s">
        <v>2805</v>
      </c>
      <c r="B38" t="s">
        <v>2861</v>
      </c>
      <c r="C38" s="25">
        <v>32747</v>
      </c>
      <c r="D38" t="s">
        <v>2860</v>
      </c>
    </row>
    <row r="39" spans="1:4" x14ac:dyDescent="0.25">
      <c r="A39" t="s">
        <v>2805</v>
      </c>
      <c r="B39" t="s">
        <v>2859</v>
      </c>
      <c r="C39" s="25">
        <v>32758</v>
      </c>
      <c r="D39" t="s">
        <v>2858</v>
      </c>
    </row>
    <row r="40" spans="1:4" x14ac:dyDescent="0.25">
      <c r="A40" t="s">
        <v>2805</v>
      </c>
      <c r="B40" t="s">
        <v>2857</v>
      </c>
      <c r="C40" s="25">
        <v>32758</v>
      </c>
      <c r="D40" t="s">
        <v>2856</v>
      </c>
    </row>
    <row r="41" spans="1:4" x14ac:dyDescent="0.25">
      <c r="A41" t="s">
        <v>2805</v>
      </c>
      <c r="B41" t="s">
        <v>2855</v>
      </c>
      <c r="C41" s="25">
        <v>32782</v>
      </c>
      <c r="D41" t="s">
        <v>2854</v>
      </c>
    </row>
    <row r="42" spans="1:4" x14ac:dyDescent="0.25">
      <c r="A42" t="s">
        <v>2805</v>
      </c>
      <c r="B42" t="s">
        <v>2853</v>
      </c>
      <c r="C42" s="25">
        <v>33053</v>
      </c>
      <c r="D42" t="s">
        <v>2852</v>
      </c>
    </row>
    <row r="43" spans="1:4" x14ac:dyDescent="0.25">
      <c r="A43" t="s">
        <v>2805</v>
      </c>
      <c r="B43" t="s">
        <v>2851</v>
      </c>
      <c r="C43" s="25">
        <v>33053</v>
      </c>
      <c r="D43" t="s">
        <v>2850</v>
      </c>
    </row>
    <row r="44" spans="1:4" x14ac:dyDescent="0.25">
      <c r="A44" t="s">
        <v>2805</v>
      </c>
      <c r="B44" t="s">
        <v>2849</v>
      </c>
      <c r="C44" s="25">
        <v>33221</v>
      </c>
      <c r="D44" t="s">
        <v>2848</v>
      </c>
    </row>
    <row r="45" spans="1:4" x14ac:dyDescent="0.25">
      <c r="A45" t="s">
        <v>2805</v>
      </c>
      <c r="B45" t="s">
        <v>2845</v>
      </c>
      <c r="C45" s="25">
        <v>33688</v>
      </c>
      <c r="D45" t="s">
        <v>2844</v>
      </c>
    </row>
    <row r="46" spans="1:4" x14ac:dyDescent="0.25">
      <c r="A46" t="s">
        <v>2805</v>
      </c>
      <c r="B46" t="s">
        <v>2843</v>
      </c>
      <c r="C46" s="25">
        <v>34119</v>
      </c>
      <c r="D46" t="s">
        <v>2842</v>
      </c>
    </row>
    <row r="47" spans="1:4" x14ac:dyDescent="0.25">
      <c r="A47" t="s">
        <v>2805</v>
      </c>
      <c r="B47" t="s">
        <v>2847</v>
      </c>
      <c r="C47" s="25">
        <v>34335</v>
      </c>
      <c r="D47" t="s">
        <v>2846</v>
      </c>
    </row>
    <row r="48" spans="1:4" x14ac:dyDescent="0.25">
      <c r="A48" t="s">
        <v>2805</v>
      </c>
      <c r="B48" t="s">
        <v>2841</v>
      </c>
      <c r="C48" s="25">
        <v>34476</v>
      </c>
      <c r="D48" t="s">
        <v>2840</v>
      </c>
    </row>
    <row r="49" spans="1:4" x14ac:dyDescent="0.25">
      <c r="A49" t="s">
        <v>2805</v>
      </c>
      <c r="B49" t="s">
        <v>2839</v>
      </c>
      <c r="C49" s="25">
        <v>34648</v>
      </c>
      <c r="D49" t="s">
        <v>2838</v>
      </c>
    </row>
    <row r="50" spans="1:4" x14ac:dyDescent="0.25">
      <c r="A50" t="s">
        <v>2805</v>
      </c>
      <c r="B50" t="s">
        <v>2837</v>
      </c>
      <c r="C50" s="25">
        <v>34821</v>
      </c>
      <c r="D50" t="s">
        <v>2836</v>
      </c>
    </row>
    <row r="51" spans="1:4" x14ac:dyDescent="0.25">
      <c r="A51" t="s">
        <v>2805</v>
      </c>
      <c r="B51" t="s">
        <v>2835</v>
      </c>
      <c r="C51" s="25">
        <v>35015</v>
      </c>
      <c r="D51" t="s">
        <v>2834</v>
      </c>
    </row>
    <row r="52" spans="1:4" x14ac:dyDescent="0.25">
      <c r="A52" t="s">
        <v>2805</v>
      </c>
      <c r="B52" t="s">
        <v>2833</v>
      </c>
      <c r="C52" s="25">
        <v>35173</v>
      </c>
      <c r="D52" t="s">
        <v>2832</v>
      </c>
    </row>
    <row r="53" spans="1:4" x14ac:dyDescent="0.25">
      <c r="A53" t="s">
        <v>2805</v>
      </c>
      <c r="B53" t="s">
        <v>2831</v>
      </c>
      <c r="C53" s="25">
        <v>35400</v>
      </c>
      <c r="D53" t="s">
        <v>2830</v>
      </c>
    </row>
    <row r="54" spans="1:4" x14ac:dyDescent="0.25">
      <c r="A54" t="s">
        <v>2805</v>
      </c>
      <c r="B54" t="s">
        <v>2827</v>
      </c>
      <c r="C54" s="25">
        <v>35657</v>
      </c>
      <c r="D54" t="s">
        <v>2826</v>
      </c>
    </row>
    <row r="55" spans="1:4" x14ac:dyDescent="0.25">
      <c r="A55" t="s">
        <v>2805</v>
      </c>
      <c r="B55" t="s">
        <v>2829</v>
      </c>
      <c r="C55" s="25">
        <v>35722</v>
      </c>
      <c r="D55" t="s">
        <v>2828</v>
      </c>
    </row>
    <row r="56" spans="1:4" x14ac:dyDescent="0.25">
      <c r="A56" t="s">
        <v>2805</v>
      </c>
      <c r="B56" t="s">
        <v>2825</v>
      </c>
      <c r="C56" s="25">
        <v>35946</v>
      </c>
      <c r="D56" t="s">
        <v>2824</v>
      </c>
    </row>
    <row r="57" spans="1:4" x14ac:dyDescent="0.25">
      <c r="A57" t="s">
        <v>2805</v>
      </c>
      <c r="B57" t="s">
        <v>2823</v>
      </c>
      <c r="C57" s="25">
        <v>36188</v>
      </c>
      <c r="D57" t="s">
        <v>2822</v>
      </c>
    </row>
    <row r="58" spans="1:4" x14ac:dyDescent="0.25">
      <c r="A58" t="s">
        <v>2805</v>
      </c>
      <c r="B58" t="s">
        <v>2821</v>
      </c>
      <c r="C58" s="25">
        <v>36727</v>
      </c>
      <c r="D58" t="s">
        <v>2820</v>
      </c>
    </row>
    <row r="59" spans="1:4" x14ac:dyDescent="0.25">
      <c r="A59" t="s">
        <v>2805</v>
      </c>
      <c r="B59" t="s">
        <v>2819</v>
      </c>
      <c r="C59" s="25">
        <v>36897</v>
      </c>
      <c r="D59" t="s">
        <v>2818</v>
      </c>
    </row>
    <row r="60" spans="1:4" x14ac:dyDescent="0.25">
      <c r="A60" t="s">
        <v>2805</v>
      </c>
      <c r="B60" t="s">
        <v>2817</v>
      </c>
      <c r="C60" s="25">
        <v>36939</v>
      </c>
      <c r="D60" t="s">
        <v>2816</v>
      </c>
    </row>
    <row r="61" spans="1:4" x14ac:dyDescent="0.25">
      <c r="A61" t="s">
        <v>2805</v>
      </c>
      <c r="B61" t="s">
        <v>2815</v>
      </c>
      <c r="C61" s="25">
        <v>37097</v>
      </c>
      <c r="D61" t="s">
        <v>2814</v>
      </c>
    </row>
    <row r="62" spans="1:4" x14ac:dyDescent="0.25">
      <c r="A62" t="s">
        <v>2805</v>
      </c>
      <c r="B62" t="s">
        <v>2813</v>
      </c>
      <c r="C62" s="25">
        <v>37545</v>
      </c>
      <c r="D62" t="s">
        <v>2812</v>
      </c>
    </row>
    <row r="63" spans="1:4" x14ac:dyDescent="0.25">
      <c r="A63" t="s">
        <v>2805</v>
      </c>
      <c r="B63" t="s">
        <v>2811</v>
      </c>
      <c r="C63" s="25">
        <v>37959</v>
      </c>
      <c r="D63" t="s">
        <v>2810</v>
      </c>
    </row>
    <row r="64" spans="1:4" x14ac:dyDescent="0.25">
      <c r="A64" t="s">
        <v>2805</v>
      </c>
      <c r="B64" t="s">
        <v>2809</v>
      </c>
      <c r="C64" s="25">
        <v>38267</v>
      </c>
      <c r="D64" t="s">
        <v>2808</v>
      </c>
    </row>
    <row r="65" spans="1:4" x14ac:dyDescent="0.25">
      <c r="A65" t="s">
        <v>2805</v>
      </c>
      <c r="B65" t="s">
        <v>2807</v>
      </c>
      <c r="C65" s="25">
        <v>38376</v>
      </c>
      <c r="D65" t="s">
        <v>2806</v>
      </c>
    </row>
    <row r="66" spans="1:4" x14ac:dyDescent="0.25">
      <c r="A66" t="s">
        <v>2805</v>
      </c>
      <c r="B66" t="s">
        <v>2804</v>
      </c>
      <c r="C66" s="25">
        <v>38432</v>
      </c>
      <c r="D66" t="s">
        <v>2803</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topLeftCell="A21" workbookViewId="0">
      <selection activeCell="F50" sqref="F50"/>
    </sheetView>
  </sheetViews>
  <sheetFormatPr defaultRowHeight="15.75" x14ac:dyDescent="0.25"/>
  <cols>
    <col min="1" max="1" width="6.85546875" bestFit="1" customWidth="1"/>
    <col min="2" max="2" width="18.140625" bestFit="1" customWidth="1"/>
    <col min="3" max="3" width="29.42578125" bestFit="1" customWidth="1"/>
    <col min="4" max="4" width="51.7109375" bestFit="1" customWidth="1"/>
    <col min="5" max="5" width="68.28515625" bestFit="1" customWidth="1"/>
    <col min="6" max="6" width="50.5703125" bestFit="1" customWidth="1"/>
    <col min="7" max="7" width="18.85546875" bestFit="1" customWidth="1"/>
    <col min="8" max="8" width="19.7109375" bestFit="1" customWidth="1"/>
    <col min="9" max="9" width="20.28515625" bestFit="1" customWidth="1"/>
    <col min="11" max="11" width="6.7109375" style="24" bestFit="1" customWidth="1"/>
    <col min="12" max="12" width="255.7109375" bestFit="1" customWidth="1"/>
  </cols>
  <sheetData>
    <row r="1" spans="1:12" ht="63.75" x14ac:dyDescent="0.25">
      <c r="A1" t="s">
        <v>2737</v>
      </c>
      <c r="B1" t="s">
        <v>2736</v>
      </c>
      <c r="C1" t="s">
        <v>2735</v>
      </c>
      <c r="D1" t="s">
        <v>2734</v>
      </c>
      <c r="E1" t="s">
        <v>2733</v>
      </c>
      <c r="F1" t="s">
        <v>2731</v>
      </c>
      <c r="G1" t="s">
        <v>2732</v>
      </c>
      <c r="H1" t="s">
        <v>2729</v>
      </c>
      <c r="I1" t="s">
        <v>2730</v>
      </c>
      <c r="K1" s="13" t="s">
        <v>2738</v>
      </c>
      <c r="L1" s="13" t="s">
        <v>2739</v>
      </c>
    </row>
    <row r="2" spans="1:12" x14ac:dyDescent="0.25">
      <c r="A2">
        <v>1</v>
      </c>
      <c r="B2" t="s">
        <v>2517</v>
      </c>
      <c r="C2" t="s">
        <v>2710</v>
      </c>
      <c r="D2" t="s">
        <v>2728</v>
      </c>
      <c r="E2" t="s">
        <v>2740</v>
      </c>
      <c r="F2" t="s">
        <v>2727</v>
      </c>
      <c r="G2" t="s">
        <v>2726</v>
      </c>
      <c r="H2" t="s">
        <v>2725</v>
      </c>
      <c r="I2" t="s">
        <v>2726</v>
      </c>
      <c r="K2" s="24">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25">
      <c r="A3">
        <v>2</v>
      </c>
      <c r="B3" t="s">
        <v>2517</v>
      </c>
      <c r="C3" t="s">
        <v>2710</v>
      </c>
      <c r="D3" t="s">
        <v>2724</v>
      </c>
      <c r="E3" t="s">
        <v>2741</v>
      </c>
      <c r="F3" t="s">
        <v>2722</v>
      </c>
      <c r="G3" t="s">
        <v>2723</v>
      </c>
      <c r="H3" t="s">
        <v>2720</v>
      </c>
      <c r="I3" t="s">
        <v>2721</v>
      </c>
      <c r="K3" s="24">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25">
      <c r="A4">
        <v>3</v>
      </c>
      <c r="B4" t="s">
        <v>2517</v>
      </c>
      <c r="C4" t="s">
        <v>2710</v>
      </c>
      <c r="D4" t="s">
        <v>2719</v>
      </c>
      <c r="E4" t="s">
        <v>2742</v>
      </c>
      <c r="F4" t="s">
        <v>2718</v>
      </c>
      <c r="G4" t="s">
        <v>2717</v>
      </c>
      <c r="H4" t="s">
        <v>2716</v>
      </c>
      <c r="I4" t="s">
        <v>2717</v>
      </c>
      <c r="K4" s="24">
        <v>2</v>
      </c>
      <c r="L4" t="str">
        <f t="shared" si="0"/>
        <v>['Numero libro','3', 'Testamento','Antico Testamento', 'Gruppo','Il Pentateuco', 'Nome libro IT','Levitico','AbbrIT','Lv;Le','Nome libro LT','Liber Leviticus','AbbrLT','Lev','Nome libro EN','Leviticus','AbbrEN','Lev'],</v>
      </c>
    </row>
    <row r="5" spans="1:12" x14ac:dyDescent="0.25">
      <c r="A5">
        <v>4</v>
      </c>
      <c r="B5" t="s">
        <v>2517</v>
      </c>
      <c r="C5" t="s">
        <v>2710</v>
      </c>
      <c r="D5" t="s">
        <v>2715</v>
      </c>
      <c r="E5" t="s">
        <v>2743</v>
      </c>
      <c r="F5" t="s">
        <v>2713</v>
      </c>
      <c r="G5" t="s">
        <v>2714</v>
      </c>
      <c r="H5" t="s">
        <v>2711</v>
      </c>
      <c r="I5" t="s">
        <v>2712</v>
      </c>
      <c r="K5" s="24">
        <v>3</v>
      </c>
      <c r="L5" t="str">
        <f t="shared" si="0"/>
        <v>['Numero libro','4', 'Testamento','Antico Testamento', 'Gruppo','Il Pentateuco', 'Nome libro IT','Numeri','AbbrIT','Nm;Nu','Nome libro LT','Liber Numeri','AbbrLT','Num','Nome libro EN','Numbers','AbbrEN','Nun'],</v>
      </c>
    </row>
    <row r="6" spans="1:12" x14ac:dyDescent="0.25">
      <c r="A6">
        <v>5</v>
      </c>
      <c r="B6" t="s">
        <v>2517</v>
      </c>
      <c r="C6" t="s">
        <v>2710</v>
      </c>
      <c r="D6" t="s">
        <v>2709</v>
      </c>
      <c r="E6" t="s">
        <v>2744</v>
      </c>
      <c r="F6" t="s">
        <v>2708</v>
      </c>
      <c r="G6" t="s">
        <v>2707</v>
      </c>
      <c r="H6" t="s">
        <v>2706</v>
      </c>
      <c r="I6" t="s">
        <v>2707</v>
      </c>
      <c r="K6" s="24">
        <v>4</v>
      </c>
      <c r="L6" t="str">
        <f t="shared" si="0"/>
        <v>['Numero libro','5', 'Testamento','Antico Testamento', 'Gruppo','Il Pentateuco', 'Nome libro IT','Deuteronomio','AbbrIT','Dt;Deut;De','Nome libro LT','Liber Deuteronomii','AbbrLT','Deut','Nome libro EN','Deuteronomy','AbbrEN','Deut'],</v>
      </c>
    </row>
    <row r="7" spans="1:12" x14ac:dyDescent="0.25">
      <c r="A7">
        <v>6</v>
      </c>
      <c r="B7" t="s">
        <v>2517</v>
      </c>
      <c r="C7" t="s">
        <v>2635</v>
      </c>
      <c r="D7" t="s">
        <v>2705</v>
      </c>
      <c r="E7" t="s">
        <v>2745</v>
      </c>
      <c r="F7" t="s">
        <v>2703</v>
      </c>
      <c r="G7" t="s">
        <v>2704</v>
      </c>
      <c r="H7" t="s">
        <v>2701</v>
      </c>
      <c r="I7" t="s">
        <v>2702</v>
      </c>
      <c r="K7" s="24">
        <v>5</v>
      </c>
      <c r="L7" t="str">
        <f t="shared" si="0"/>
        <v>['Numero libro','6', 'Testamento','Antico Testamento', 'Gruppo','I libri storici', 'Nome libro IT','Giosuè','AbbrIT','Gs;Gios','Nome libro LT','Liber Josue','AbbrLT','Ios','Nome libro EN','Joshua','AbbrEN','Josh'],</v>
      </c>
    </row>
    <row r="8" spans="1:12" x14ac:dyDescent="0.25">
      <c r="A8">
        <v>7</v>
      </c>
      <c r="B8" t="s">
        <v>2517</v>
      </c>
      <c r="C8" t="s">
        <v>2635</v>
      </c>
      <c r="D8" t="s">
        <v>2700</v>
      </c>
      <c r="E8" t="s">
        <v>2746</v>
      </c>
      <c r="F8" t="s">
        <v>2698</v>
      </c>
      <c r="G8" t="s">
        <v>2699</v>
      </c>
      <c r="H8" t="s">
        <v>2696</v>
      </c>
      <c r="I8" t="s">
        <v>2697</v>
      </c>
      <c r="K8" s="24">
        <v>6</v>
      </c>
      <c r="L8" t="str">
        <f t="shared" si="0"/>
        <v>['Numero libro','7', 'Testamento','Antico Testamento', 'Gruppo','I libri storici', 'Nome libro IT','Giudici','AbbrIT','Gdc; Giudic;Gc','Nome libro LT','Liber Judicum','AbbrLT','Iudc','Nome libro EN','Judges','AbbrEN','Judg'],</v>
      </c>
    </row>
    <row r="9" spans="1:12" x14ac:dyDescent="0.25">
      <c r="A9">
        <v>8</v>
      </c>
      <c r="B9" t="s">
        <v>2517</v>
      </c>
      <c r="C9" t="s">
        <v>2635</v>
      </c>
      <c r="D9" t="s">
        <v>2695</v>
      </c>
      <c r="E9" t="s">
        <v>2747</v>
      </c>
      <c r="F9" t="s">
        <v>2694</v>
      </c>
      <c r="G9" t="s">
        <v>2693</v>
      </c>
      <c r="H9" t="s">
        <v>2693</v>
      </c>
      <c r="I9" t="s">
        <v>2693</v>
      </c>
      <c r="K9" s="24">
        <v>7</v>
      </c>
      <c r="L9" t="str">
        <f t="shared" si="0"/>
        <v>['Numero libro','8', 'Testamento','Antico Testamento', 'Gruppo','I libri storici', 'Nome libro IT','Rut','AbbrIT','Rt;Ru','Nome libro LT','Liber Ruth','AbbrLT','Ruth','Nome libro EN','Ruth','AbbrEN','Ruth'],</v>
      </c>
    </row>
    <row r="10" spans="1:12" x14ac:dyDescent="0.25">
      <c r="A10">
        <v>9</v>
      </c>
      <c r="B10" t="s">
        <v>2517</v>
      </c>
      <c r="C10" t="s">
        <v>2635</v>
      </c>
      <c r="D10" t="s">
        <v>2692</v>
      </c>
      <c r="E10" t="s">
        <v>2748</v>
      </c>
      <c r="F10" t="s">
        <v>2690</v>
      </c>
      <c r="G10" t="s">
        <v>2691</v>
      </c>
      <c r="H10" t="s">
        <v>2688</v>
      </c>
      <c r="I10" t="s">
        <v>2689</v>
      </c>
      <c r="K10" s="24">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25">
      <c r="A11">
        <v>10</v>
      </c>
      <c r="B11" t="s">
        <v>2517</v>
      </c>
      <c r="C11" t="s">
        <v>2635</v>
      </c>
      <c r="D11" t="s">
        <v>2687</v>
      </c>
      <c r="E11" t="s">
        <v>2749</v>
      </c>
      <c r="F11" t="s">
        <v>2685</v>
      </c>
      <c r="G11" t="s">
        <v>2686</v>
      </c>
      <c r="H11" t="s">
        <v>2683</v>
      </c>
      <c r="I11" t="s">
        <v>2684</v>
      </c>
      <c r="K11" s="24">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25">
      <c r="A12">
        <v>11</v>
      </c>
      <c r="B12" t="s">
        <v>2517</v>
      </c>
      <c r="C12" t="s">
        <v>2635</v>
      </c>
      <c r="D12" t="s">
        <v>2682</v>
      </c>
      <c r="E12" t="s">
        <v>2750</v>
      </c>
      <c r="F12" t="s">
        <v>2680</v>
      </c>
      <c r="G12" t="s">
        <v>2681</v>
      </c>
      <c r="H12" t="s">
        <v>2678</v>
      </c>
      <c r="I12" t="s">
        <v>2679</v>
      </c>
      <c r="K12" s="24">
        <v>10</v>
      </c>
      <c r="L12" t="str">
        <f t="shared" si="0"/>
        <v>['Numero libro','11', 'Testamento','Antico Testamento', 'Gruppo','I libri storici', 'Nome libro IT','Primo libro dei Re (=3 Re)','AbbrIT','1Re;1 Re;1R;1 R;IRe;I Re;IR;I R','Nome libro LT','Liber Tertius Regum','AbbrLT','3 Re','Nome libro EN','1 Kings','AbbrEN','1 Kgs'],</v>
      </c>
    </row>
    <row r="13" spans="1:12" x14ac:dyDescent="0.25">
      <c r="A13">
        <v>12</v>
      </c>
      <c r="B13" t="s">
        <v>2517</v>
      </c>
      <c r="C13" t="s">
        <v>2635</v>
      </c>
      <c r="D13" t="s">
        <v>2677</v>
      </c>
      <c r="E13" t="s">
        <v>2751</v>
      </c>
      <c r="F13" t="s">
        <v>2675</v>
      </c>
      <c r="G13" t="s">
        <v>2676</v>
      </c>
      <c r="H13" t="s">
        <v>2673</v>
      </c>
      <c r="I13" t="s">
        <v>2674</v>
      </c>
      <c r="K13" s="24">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25">
      <c r="A14">
        <v>13</v>
      </c>
      <c r="B14" t="s">
        <v>2517</v>
      </c>
      <c r="C14" t="s">
        <v>2635</v>
      </c>
      <c r="D14" t="s">
        <v>2672</v>
      </c>
      <c r="E14" t="s">
        <v>2752</v>
      </c>
      <c r="F14" t="s">
        <v>2670</v>
      </c>
      <c r="G14" t="s">
        <v>2671</v>
      </c>
      <c r="H14" t="s">
        <v>2668</v>
      </c>
      <c r="I14" t="s">
        <v>2669</v>
      </c>
      <c r="K14" s="24">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25">
      <c r="A15">
        <v>14</v>
      </c>
      <c r="B15" t="s">
        <v>2517</v>
      </c>
      <c r="C15" t="s">
        <v>2635</v>
      </c>
      <c r="D15" t="s">
        <v>2667</v>
      </c>
      <c r="E15" t="s">
        <v>2753</v>
      </c>
      <c r="F15" t="s">
        <v>2665</v>
      </c>
      <c r="G15" t="s">
        <v>2666</v>
      </c>
      <c r="H15" t="s">
        <v>2663</v>
      </c>
      <c r="I15" t="s">
        <v>2664</v>
      </c>
      <c r="K15" s="24">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25">
      <c r="A16">
        <v>15</v>
      </c>
      <c r="B16" t="s">
        <v>2517</v>
      </c>
      <c r="C16" t="s">
        <v>2635</v>
      </c>
      <c r="D16" t="s">
        <v>2662</v>
      </c>
      <c r="E16" t="s">
        <v>2754</v>
      </c>
      <c r="F16" t="s">
        <v>2660</v>
      </c>
      <c r="G16" t="s">
        <v>2661</v>
      </c>
      <c r="H16" t="s">
        <v>2659</v>
      </c>
      <c r="I16" t="s">
        <v>2659</v>
      </c>
      <c r="K16" s="24">
        <v>14</v>
      </c>
      <c r="L16" t="str">
        <f t="shared" si="0"/>
        <v>['Numero libro','15', 'Testamento','Antico Testamento', 'Gruppo','I libri storici', 'Nome libro IT','Esdra (= 1 Esdra)','AbbrIT','Esd;Ed','Nome libro LT','Liber Esdræ','AbbrLT','Esd','Nome libro EN','Ezra','AbbrEN','Ezra'],</v>
      </c>
    </row>
    <row r="17" spans="1:12" x14ac:dyDescent="0.25">
      <c r="A17">
        <v>16</v>
      </c>
      <c r="B17" t="s">
        <v>2517</v>
      </c>
      <c r="C17" t="s">
        <v>2635</v>
      </c>
      <c r="D17" t="s">
        <v>2658</v>
      </c>
      <c r="E17" t="s">
        <v>2657</v>
      </c>
      <c r="F17" t="s">
        <v>2656</v>
      </c>
      <c r="G17" t="s">
        <v>2655</v>
      </c>
      <c r="H17" t="s">
        <v>2654</v>
      </c>
      <c r="I17" t="s">
        <v>2655</v>
      </c>
      <c r="K17" s="24">
        <v>15</v>
      </c>
      <c r="L17" t="str">
        <f t="shared" si="0"/>
        <v>['Numero libro','16', 'Testamento','Antico Testamento', 'Gruppo','I libri storici', 'Nome libro IT','Neemia (= 2 Esdra)','AbbrIT','Ne','Nome libro LT','Liber Nehemiæ','AbbrLT','Neh','Nome libro EN','Nehemiah','AbbrEN','Neh'],</v>
      </c>
    </row>
    <row r="18" spans="1:12" x14ac:dyDescent="0.25">
      <c r="A18">
        <v>17</v>
      </c>
      <c r="B18" t="s">
        <v>2517</v>
      </c>
      <c r="C18" t="s">
        <v>2635</v>
      </c>
      <c r="D18" t="s">
        <v>2653</v>
      </c>
      <c r="E18" t="s">
        <v>2755</v>
      </c>
      <c r="F18" t="s">
        <v>2652</v>
      </c>
      <c r="G18" t="s">
        <v>2651</v>
      </c>
      <c r="H18" t="s">
        <v>2650</v>
      </c>
      <c r="I18" t="s">
        <v>2651</v>
      </c>
      <c r="K18" s="24">
        <v>16</v>
      </c>
      <c r="L18" t="str">
        <f t="shared" si="0"/>
        <v>['Numero libro','17', 'Testamento','Antico Testamento', 'Gruppo','I libri storici', 'Nome libro IT','Tobia','AbbrIT','Tb;Tob;To','Nome libro LT','Liber Tobiæ','AbbrLT','Tob','Nome libro EN','Tobit','AbbrEN','Tob'],</v>
      </c>
    </row>
    <row r="19" spans="1:12" x14ac:dyDescent="0.25">
      <c r="A19">
        <v>18</v>
      </c>
      <c r="B19" t="s">
        <v>2517</v>
      </c>
      <c r="C19" t="s">
        <v>2635</v>
      </c>
      <c r="D19" t="s">
        <v>2649</v>
      </c>
      <c r="E19" t="s">
        <v>2756</v>
      </c>
      <c r="F19" t="s">
        <v>2647</v>
      </c>
      <c r="G19" t="s">
        <v>2648</v>
      </c>
      <c r="H19" t="s">
        <v>2645</v>
      </c>
      <c r="I19" t="s">
        <v>2646</v>
      </c>
      <c r="K19" s="24">
        <v>17</v>
      </c>
      <c r="L19" t="str">
        <f t="shared" si="0"/>
        <v>['Numero libro','18', 'Testamento','Antico Testamento', 'Gruppo','I libri storici', 'Nome libro IT','Giuditta','AbbrIT','Gdt;Giudit','Nome libro LT','Liber Judith','AbbrLT','Iudt','Nome libro EN','Judith','AbbrEN','Jdt'],</v>
      </c>
    </row>
    <row r="20" spans="1:12" x14ac:dyDescent="0.25">
      <c r="A20">
        <v>19</v>
      </c>
      <c r="B20" t="s">
        <v>2517</v>
      </c>
      <c r="C20" t="s">
        <v>2635</v>
      </c>
      <c r="D20" t="s">
        <v>2644</v>
      </c>
      <c r="E20" t="s">
        <v>2757</v>
      </c>
      <c r="F20" t="s">
        <v>2643</v>
      </c>
      <c r="G20" t="s">
        <v>2642</v>
      </c>
      <c r="H20" t="s">
        <v>2641</v>
      </c>
      <c r="I20" t="s">
        <v>2642</v>
      </c>
      <c r="K20" s="24">
        <v>18</v>
      </c>
      <c r="L20" t="str">
        <f t="shared" si="0"/>
        <v>['Numero libro','19', 'Testamento','Antico Testamento', 'Gruppo','I libri storici', 'Nome libro IT','Ester','AbbrIT','Est;Et','Nome libro LT','Liber Esther','AbbrLT','Esth','Nome libro EN','Esther','AbbrEN','Esth'],</v>
      </c>
    </row>
    <row r="21" spans="1:12" x14ac:dyDescent="0.25">
      <c r="A21">
        <v>20</v>
      </c>
      <c r="B21" t="s">
        <v>2517</v>
      </c>
      <c r="C21" t="s">
        <v>2635</v>
      </c>
      <c r="D21" t="s">
        <v>2640</v>
      </c>
      <c r="E21" t="s">
        <v>2758</v>
      </c>
      <c r="F21" t="s">
        <v>2638</v>
      </c>
      <c r="G21" t="s">
        <v>2639</v>
      </c>
      <c r="H21" t="s">
        <v>2636</v>
      </c>
      <c r="I21" t="s">
        <v>2637</v>
      </c>
      <c r="K21" s="24">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25">
      <c r="A22">
        <v>21</v>
      </c>
      <c r="B22" t="s">
        <v>2517</v>
      </c>
      <c r="C22" t="s">
        <v>2635</v>
      </c>
      <c r="D22" t="s">
        <v>2634</v>
      </c>
      <c r="E22" t="s">
        <v>2759</v>
      </c>
      <c r="F22" t="s">
        <v>2632</v>
      </c>
      <c r="G22" t="s">
        <v>2633</v>
      </c>
      <c r="H22" t="s">
        <v>2630</v>
      </c>
      <c r="I22" t="s">
        <v>2631</v>
      </c>
      <c r="K22" s="24">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25">
      <c r="A23">
        <v>22</v>
      </c>
      <c r="B23" t="s">
        <v>2517</v>
      </c>
      <c r="C23" t="s">
        <v>2601</v>
      </c>
      <c r="D23" t="s">
        <v>2629</v>
      </c>
      <c r="E23" t="s">
        <v>2760</v>
      </c>
      <c r="F23" t="s">
        <v>2627</v>
      </c>
      <c r="G23" t="s">
        <v>2628</v>
      </c>
      <c r="H23" t="s">
        <v>2626</v>
      </c>
      <c r="I23" t="s">
        <v>2626</v>
      </c>
      <c r="K23" s="24">
        <v>21</v>
      </c>
      <c r="L23" t="str">
        <f t="shared" si="0"/>
        <v>['Numero libro','22', 'Testamento','Antico Testamento', 'Gruppo','I libri poetici e sapienziali', 'Nome libro IT','Giobbe','AbbrIT','Gb;Giob','Nome libro LT','Liber Job','AbbrLT','Iob','Nome libro EN','Job','AbbrEN','Job'],</v>
      </c>
    </row>
    <row r="24" spans="1:12" x14ac:dyDescent="0.25">
      <c r="A24">
        <v>23</v>
      </c>
      <c r="B24" t="s">
        <v>2517</v>
      </c>
      <c r="C24" t="s">
        <v>2601</v>
      </c>
      <c r="D24" t="s">
        <v>2625</v>
      </c>
      <c r="E24" t="s">
        <v>2761</v>
      </c>
      <c r="F24" t="s">
        <v>2623</v>
      </c>
      <c r="G24" t="s">
        <v>2624</v>
      </c>
      <c r="H24" t="s">
        <v>2621</v>
      </c>
      <c r="I24" t="s">
        <v>2622</v>
      </c>
      <c r="K24" s="24">
        <v>22</v>
      </c>
      <c r="L24" t="str">
        <f t="shared" si="0"/>
        <v>['Numero libro','23', 'Testamento','Antico Testamento', 'Gruppo','I libri poetici e sapienziali', 'Nome libro IT','Salmi','AbbrIT','Sal;Sl','Nome libro LT','Liber Psalmorum','AbbrLT','Ps','Nome libro EN','Psalms','AbbrEN','Ps(s)'],</v>
      </c>
    </row>
    <row r="25" spans="1:12" x14ac:dyDescent="0.25">
      <c r="A25">
        <v>24</v>
      </c>
      <c r="B25" t="s">
        <v>2517</v>
      </c>
      <c r="C25" t="s">
        <v>2601</v>
      </c>
      <c r="D25" t="s">
        <v>2620</v>
      </c>
      <c r="E25" t="s">
        <v>2762</v>
      </c>
      <c r="F25" t="s">
        <v>2619</v>
      </c>
      <c r="G25" t="s">
        <v>2618</v>
      </c>
      <c r="H25" t="s">
        <v>2617</v>
      </c>
      <c r="I25" t="s">
        <v>2618</v>
      </c>
      <c r="K25" s="24">
        <v>23</v>
      </c>
      <c r="L25" t="str">
        <f t="shared" si="0"/>
        <v>['Numero libro','24', 'Testamento','Antico Testamento', 'Gruppo','I libri poetici e sapienziali', 'Nome libro IT','Proverbi','AbbrIT','Prv;Prov;P','Nome libro LT','Liber Proverbiorum','AbbrLT','Prov','Nome libro EN','Proverbs','AbbrEN','Prov'],</v>
      </c>
    </row>
    <row r="26" spans="1:12" x14ac:dyDescent="0.25">
      <c r="A26">
        <v>25</v>
      </c>
      <c r="B26" t="s">
        <v>2517</v>
      </c>
      <c r="C26" t="s">
        <v>2601</v>
      </c>
      <c r="D26" t="s">
        <v>2616</v>
      </c>
      <c r="E26" t="s">
        <v>2763</v>
      </c>
      <c r="F26" t="s">
        <v>2614</v>
      </c>
      <c r="G26" t="s">
        <v>2615</v>
      </c>
      <c r="H26" t="s">
        <v>2612</v>
      </c>
      <c r="I26" t="s">
        <v>2613</v>
      </c>
      <c r="K26" s="24">
        <v>24</v>
      </c>
      <c r="L26" t="str">
        <f t="shared" si="0"/>
        <v>['Numero libro','25', 'Testamento','Antico Testamento', 'Gruppo','I libri poetici e sapienziali', 'Nome libro IT','Qoelet (=Ecclesiaste)','AbbrIT','Qo;Ec;Q','Nome libro LT','Liber Ecclesiastes','AbbrLT','Eccle','Nome libro EN','Ecclesiastes','AbbrEN','Eccl'],</v>
      </c>
    </row>
    <row r="27" spans="1:12" x14ac:dyDescent="0.25">
      <c r="A27">
        <v>26</v>
      </c>
      <c r="B27" t="s">
        <v>2517</v>
      </c>
      <c r="C27" t="s">
        <v>2601</v>
      </c>
      <c r="D27" t="s">
        <v>2611</v>
      </c>
      <c r="E27" t="s">
        <v>2764</v>
      </c>
      <c r="F27" t="s">
        <v>2609</v>
      </c>
      <c r="G27" t="s">
        <v>2610</v>
      </c>
      <c r="H27" t="s">
        <v>2607</v>
      </c>
      <c r="I27" t="s">
        <v>2608</v>
      </c>
      <c r="K27" s="24">
        <v>25</v>
      </c>
      <c r="L27" t="str">
        <f t="shared" si="0"/>
        <v>['Numero libro','26', 'Testamento','Antico Testamento', 'Gruppo','I libri poetici e sapienziali', 'Nome libro IT','Cantico','AbbrIT','Ct;Ca;CC','Nome libro LT','Canticum Canticorum Salomonis','AbbrLT','Cant','Nome libro EN','Song of Songs','AbbrEN','Song'],</v>
      </c>
    </row>
    <row r="28" spans="1:12" x14ac:dyDescent="0.25">
      <c r="A28">
        <v>27</v>
      </c>
      <c r="B28" t="s">
        <v>2517</v>
      </c>
      <c r="C28" t="s">
        <v>2601</v>
      </c>
      <c r="D28" t="s">
        <v>2606</v>
      </c>
      <c r="E28" t="s">
        <v>2605</v>
      </c>
      <c r="F28" t="s">
        <v>2604</v>
      </c>
      <c r="G28" t="s">
        <v>2605</v>
      </c>
      <c r="H28" t="s">
        <v>2602</v>
      </c>
      <c r="I28" t="s">
        <v>2603</v>
      </c>
      <c r="K28" s="24">
        <v>26</v>
      </c>
      <c r="L28" t="str">
        <f t="shared" si="0"/>
        <v>['Numero libro','27', 'Testamento','Antico Testamento', 'Gruppo','I libri poetici e sapienziali', 'Nome libro IT','Sapienza','AbbrIT','Sap','Nome libro LT','Liber Sapientiæ','AbbrLT','Sap','Nome libro EN','Wisdom of Solomon','AbbrEN','Wis'],</v>
      </c>
    </row>
    <row r="29" spans="1:12" x14ac:dyDescent="0.25">
      <c r="A29">
        <v>28</v>
      </c>
      <c r="B29" t="s">
        <v>2517</v>
      </c>
      <c r="C29" t="s">
        <v>2601</v>
      </c>
      <c r="D29" t="s">
        <v>2600</v>
      </c>
      <c r="E29" t="s">
        <v>2765</v>
      </c>
      <c r="F29" t="s">
        <v>2598</v>
      </c>
      <c r="G29" t="s">
        <v>2599</v>
      </c>
      <c r="H29" t="s">
        <v>2596</v>
      </c>
      <c r="I29" t="s">
        <v>2597</v>
      </c>
      <c r="K29" s="24">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25">
      <c r="A30">
        <v>29</v>
      </c>
      <c r="B30" t="s">
        <v>2517</v>
      </c>
      <c r="C30" t="s">
        <v>2572</v>
      </c>
      <c r="D30" t="s">
        <v>2595</v>
      </c>
      <c r="E30" t="s">
        <v>2594</v>
      </c>
      <c r="F30" t="s">
        <v>2593</v>
      </c>
      <c r="G30" t="s">
        <v>2802</v>
      </c>
      <c r="H30" t="s">
        <v>2591</v>
      </c>
      <c r="I30" t="s">
        <v>2592</v>
      </c>
      <c r="K30" s="24">
        <v>28</v>
      </c>
      <c r="L30" t="str">
        <f t="shared" si="0"/>
        <v>['Numero libro','29', 'Testamento','Antico Testamento', 'Gruppo','I libri profetici: Profeti maggiori', 'Nome libro IT','Isaia','AbbrIT','Is','Nome libro LT','Prophetia Isaiæ','AbbrLT','Isai;Isa','Nome libro EN','Isaiah','AbbrEN','Isa'],</v>
      </c>
    </row>
    <row r="31" spans="1:12" x14ac:dyDescent="0.25">
      <c r="A31">
        <v>30</v>
      </c>
      <c r="B31" t="s">
        <v>2517</v>
      </c>
      <c r="C31" t="s">
        <v>2572</v>
      </c>
      <c r="D31" t="s">
        <v>2590</v>
      </c>
      <c r="E31" t="s">
        <v>2766</v>
      </c>
      <c r="F31" t="s">
        <v>2588</v>
      </c>
      <c r="G31" t="s">
        <v>2589</v>
      </c>
      <c r="H31" t="s">
        <v>2586</v>
      </c>
      <c r="I31" t="s">
        <v>2587</v>
      </c>
      <c r="K31" s="24">
        <v>29</v>
      </c>
      <c r="L31" t="str">
        <f t="shared" si="0"/>
        <v>['Numero libro','30', 'Testamento','Antico Testamento', 'Gruppo','I libri profetici: Profeti maggiori', 'Nome libro IT','Geremia','AbbrIT','Ger;Gr','Nome libro LT','Prophetia Jeremiæ','AbbrLT','Ier','Nome libro EN','Jeremiah','AbbrEN','Jer'],</v>
      </c>
    </row>
    <row r="32" spans="1:12" x14ac:dyDescent="0.25">
      <c r="A32">
        <v>31</v>
      </c>
      <c r="B32" t="s">
        <v>2517</v>
      </c>
      <c r="C32" t="s">
        <v>2572</v>
      </c>
      <c r="D32" t="s">
        <v>2585</v>
      </c>
      <c r="E32" t="s">
        <v>2767</v>
      </c>
      <c r="F32" t="s">
        <v>2584</v>
      </c>
      <c r="G32" t="s">
        <v>2583</v>
      </c>
      <c r="H32" t="s">
        <v>2582</v>
      </c>
      <c r="I32" t="s">
        <v>2583</v>
      </c>
      <c r="K32" s="24">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25">
      <c r="A33">
        <v>32</v>
      </c>
      <c r="B33" t="s">
        <v>2517</v>
      </c>
      <c r="C33" t="s">
        <v>2572</v>
      </c>
      <c r="D33" t="s">
        <v>2581</v>
      </c>
      <c r="E33" t="s">
        <v>2768</v>
      </c>
      <c r="F33" t="s">
        <v>2580</v>
      </c>
      <c r="G33" t="s">
        <v>2579</v>
      </c>
      <c r="H33" t="s">
        <v>2578</v>
      </c>
      <c r="I33" t="s">
        <v>2579</v>
      </c>
      <c r="K33" s="24">
        <v>31</v>
      </c>
      <c r="L33" t="str">
        <f t="shared" si="0"/>
        <v>['Numero libro','32', 'Testamento','Antico Testamento', 'Gruppo','I libri profetici: Profeti maggiori', 'Nome libro IT','Baruc','AbbrIT','Bar;B','Nome libro LT','Prophetia Baruch','AbbrLT','Bar','Nome libro EN','Baruch','AbbrEN','Bar'],</v>
      </c>
    </row>
    <row r="34" spans="1:12" x14ac:dyDescent="0.25">
      <c r="A34">
        <v>33</v>
      </c>
      <c r="B34" t="s">
        <v>2517</v>
      </c>
      <c r="C34" t="s">
        <v>2572</v>
      </c>
      <c r="D34" t="s">
        <v>2577</v>
      </c>
      <c r="E34" t="s">
        <v>2576</v>
      </c>
      <c r="F34" t="s">
        <v>2575</v>
      </c>
      <c r="G34" t="s">
        <v>2576</v>
      </c>
      <c r="H34" t="s">
        <v>2573</v>
      </c>
      <c r="I34" t="s">
        <v>2574</v>
      </c>
      <c r="K34" s="24">
        <v>32</v>
      </c>
      <c r="L34" t="str">
        <f t="shared" si="0"/>
        <v>['Numero libro','33', 'Testamento','Antico Testamento', 'Gruppo','I libri profetici: Profeti maggiori', 'Nome libro IT','Ezechiele','AbbrIT','Ez','Nome libro LT','Prophetia Ezechielis','AbbrLT','Ez','Nome libro EN','Ezekiel','AbbrEN','Ezek'],</v>
      </c>
    </row>
    <row r="35" spans="1:12" x14ac:dyDescent="0.25">
      <c r="A35">
        <v>34</v>
      </c>
      <c r="B35" t="s">
        <v>2517</v>
      </c>
      <c r="C35" t="s">
        <v>2572</v>
      </c>
      <c r="D35" t="s">
        <v>2571</v>
      </c>
      <c r="E35" t="s">
        <v>2769</v>
      </c>
      <c r="F35" t="s">
        <v>2570</v>
      </c>
      <c r="G35" t="s">
        <v>2569</v>
      </c>
      <c r="H35" t="s">
        <v>2568</v>
      </c>
      <c r="I35" t="s">
        <v>2569</v>
      </c>
      <c r="K35" s="24">
        <v>33</v>
      </c>
      <c r="L35" t="str">
        <f t="shared" si="0"/>
        <v>['Numero libro','34', 'Testamento','Antico Testamento', 'Gruppo','I libri profetici: Profeti maggiori', 'Nome libro IT','Daniele','AbbrIT','Dn;Dan;Da','Nome libro LT','Prophetia Danielis','AbbrLT','Dan','Nome libro EN','Daniel','AbbrEN','Dan'],</v>
      </c>
    </row>
    <row r="36" spans="1:12" x14ac:dyDescent="0.25">
      <c r="A36">
        <v>35</v>
      </c>
      <c r="B36" t="s">
        <v>2517</v>
      </c>
      <c r="C36" t="s">
        <v>2516</v>
      </c>
      <c r="D36" t="s">
        <v>2567</v>
      </c>
      <c r="E36" t="s">
        <v>2770</v>
      </c>
      <c r="F36" t="s">
        <v>2565</v>
      </c>
      <c r="G36" t="s">
        <v>2566</v>
      </c>
      <c r="H36" t="s">
        <v>2563</v>
      </c>
      <c r="I36" t="s">
        <v>2564</v>
      </c>
      <c r="K36" s="24">
        <v>34</v>
      </c>
      <c r="L36" t="str">
        <f t="shared" si="0"/>
        <v>['Numero libro','35', 'Testamento','Antico Testamento', 'Gruppo','I libri profetici: Profeti minori', 'Nome libro IT','Osea','AbbrIT','Os;O','Nome libro LT','Prophetia Osee','AbbrLT','Os','Nome libro EN','Hosea','AbbrEN','Hos'],</v>
      </c>
    </row>
    <row r="37" spans="1:12" x14ac:dyDescent="0.25">
      <c r="A37">
        <v>36</v>
      </c>
      <c r="B37" t="s">
        <v>2517</v>
      </c>
      <c r="C37" t="s">
        <v>2516</v>
      </c>
      <c r="D37" t="s">
        <v>2562</v>
      </c>
      <c r="E37" t="s">
        <v>2771</v>
      </c>
      <c r="F37" t="s">
        <v>2560</v>
      </c>
      <c r="G37" t="s">
        <v>2561</v>
      </c>
      <c r="H37" t="s">
        <v>2559</v>
      </c>
      <c r="I37" t="s">
        <v>2559</v>
      </c>
      <c r="K37" s="24">
        <v>35</v>
      </c>
      <c r="L37" t="str">
        <f t="shared" si="0"/>
        <v>['Numero libro','36', 'Testamento','Antico Testamento', 'Gruppo','I libri profetici: Profeti minori', 'Nome libro IT','Gioele','AbbrIT','Gl;Gioe;Gi','Nome libro LT','Prophetia Joël','AbbrLT','Ioel','Nome libro EN','Joel','AbbrEN','Joel'],</v>
      </c>
    </row>
    <row r="38" spans="1:12" x14ac:dyDescent="0.25">
      <c r="A38">
        <v>37</v>
      </c>
      <c r="B38" t="s">
        <v>2517</v>
      </c>
      <c r="C38" t="s">
        <v>2516</v>
      </c>
      <c r="D38" t="s">
        <v>2556</v>
      </c>
      <c r="E38" t="s">
        <v>2558</v>
      </c>
      <c r="F38" t="s">
        <v>2557</v>
      </c>
      <c r="G38" t="s">
        <v>2558</v>
      </c>
      <c r="H38" t="s">
        <v>2556</v>
      </c>
      <c r="I38" t="s">
        <v>2556</v>
      </c>
      <c r="K38" s="24">
        <v>36</v>
      </c>
      <c r="L38" t="str">
        <f t="shared" si="0"/>
        <v>['Numero libro','37', 'Testamento','Antico Testamento', 'Gruppo','I libri profetici: Profeti minori', 'Nome libro IT','Amos','AbbrIT','Am','Nome libro LT','Prophetia Amos','AbbrLT','Am','Nome libro EN','Amos','AbbrEN','Amos'],</v>
      </c>
    </row>
    <row r="39" spans="1:12" x14ac:dyDescent="0.25">
      <c r="A39">
        <v>38</v>
      </c>
      <c r="B39" t="s">
        <v>2517</v>
      </c>
      <c r="C39" t="s">
        <v>2516</v>
      </c>
      <c r="D39" t="s">
        <v>2555</v>
      </c>
      <c r="E39" t="s">
        <v>2772</v>
      </c>
      <c r="F39" t="s">
        <v>2553</v>
      </c>
      <c r="G39" t="s">
        <v>2554</v>
      </c>
      <c r="H39" t="s">
        <v>2551</v>
      </c>
      <c r="I39" t="s">
        <v>2552</v>
      </c>
      <c r="K39" s="24">
        <v>37</v>
      </c>
      <c r="L39" t="str">
        <f t="shared" si="0"/>
        <v>['Numero libro','38', 'Testamento','Antico Testamento', 'Gruppo','I libri profetici: Profeti minori', 'Nome libro IT','Abdia','AbbrIT','Abd;Ad','Nome libro LT','Prophetia Abdiæ','AbbrLT','Abd','Nome libro EN','Obadiah','AbbrEN','Obad'],</v>
      </c>
    </row>
    <row r="40" spans="1:12" x14ac:dyDescent="0.25">
      <c r="A40">
        <v>39</v>
      </c>
      <c r="B40" t="s">
        <v>2517</v>
      </c>
      <c r="C40" t="s">
        <v>2516</v>
      </c>
      <c r="D40" t="s">
        <v>2550</v>
      </c>
      <c r="E40" t="s">
        <v>2773</v>
      </c>
      <c r="F40" t="s">
        <v>2548</v>
      </c>
      <c r="G40" t="s">
        <v>2549</v>
      </c>
      <c r="H40" t="s">
        <v>2547</v>
      </c>
      <c r="I40" t="s">
        <v>2547</v>
      </c>
      <c r="K40" s="24">
        <v>38</v>
      </c>
      <c r="L40" t="str">
        <f t="shared" si="0"/>
        <v>['Numero libro','39', 'Testamento','Antico Testamento', 'Gruppo','I libri profetici: Profeti minori', 'Nome libro IT','Giona','AbbrIT','Gio;Gion','Nome libro LT','Prophetia Jonæ','AbbrLT','Ion','Nome libro EN','Jonah','AbbrEN','Jonah'],</v>
      </c>
    </row>
    <row r="41" spans="1:12" x14ac:dyDescent="0.25">
      <c r="A41">
        <v>40</v>
      </c>
      <c r="B41" t="s">
        <v>2517</v>
      </c>
      <c r="C41" t="s">
        <v>2516</v>
      </c>
      <c r="D41" t="s">
        <v>2546</v>
      </c>
      <c r="E41" t="s">
        <v>2545</v>
      </c>
      <c r="F41" t="s">
        <v>2544</v>
      </c>
      <c r="G41" t="s">
        <v>2543</v>
      </c>
      <c r="H41" t="s">
        <v>2542</v>
      </c>
      <c r="I41" t="s">
        <v>2543</v>
      </c>
      <c r="K41" s="24">
        <v>39</v>
      </c>
      <c r="L41" t="str">
        <f t="shared" si="0"/>
        <v>['Numero libro','40', 'Testamento','Antico Testamento', 'Gruppo','I libri profetici: Profeti minori', 'Nome libro IT','Michea','AbbrIT','Mi','Nome libro LT','Prophetia Michææ','AbbrLT','Mic','Nome libro EN','Micah','AbbrEN','Mic'],</v>
      </c>
    </row>
    <row r="42" spans="1:12" x14ac:dyDescent="0.25">
      <c r="A42">
        <v>41</v>
      </c>
      <c r="B42" t="s">
        <v>2517</v>
      </c>
      <c r="C42" t="s">
        <v>2516</v>
      </c>
      <c r="D42" t="s">
        <v>2541</v>
      </c>
      <c r="E42" t="s">
        <v>2540</v>
      </c>
      <c r="F42" t="s">
        <v>2539</v>
      </c>
      <c r="G42" t="s">
        <v>2538</v>
      </c>
      <c r="H42" t="s">
        <v>2537</v>
      </c>
      <c r="I42" t="s">
        <v>2538</v>
      </c>
      <c r="K42" s="24">
        <v>40</v>
      </c>
      <c r="L42" t="str">
        <f t="shared" si="0"/>
        <v>['Numero libro','41', 'Testamento','Antico Testamento', 'Gruppo','I libri profetici: Profeti minori', 'Nome libro IT','Naum','AbbrIT','Na','Nome libro LT','Prophetia Nahum','AbbrLT','Nah','Nome libro EN','Nahum','AbbrEN','Nah'],</v>
      </c>
    </row>
    <row r="43" spans="1:12" x14ac:dyDescent="0.25">
      <c r="A43">
        <v>42</v>
      </c>
      <c r="B43" t="s">
        <v>2517</v>
      </c>
      <c r="C43" t="s">
        <v>2516</v>
      </c>
      <c r="D43" t="s">
        <v>2536</v>
      </c>
      <c r="E43" t="s">
        <v>2774</v>
      </c>
      <c r="F43" t="s">
        <v>2535</v>
      </c>
      <c r="G43" t="s">
        <v>2534</v>
      </c>
      <c r="H43" t="s">
        <v>2533</v>
      </c>
      <c r="I43" t="s">
        <v>2534</v>
      </c>
      <c r="K43" s="24">
        <v>41</v>
      </c>
      <c r="L43" t="str">
        <f t="shared" si="0"/>
        <v>['Numero libro','42', 'Testamento','Antico Testamento', 'Gruppo','I libri profetici: Profeti minori', 'Nome libro IT','Abacuc','AbbrIT','Ab;Abac;Aba;Ac;H','Nome libro LT','Prophetia Habacuc','AbbrLT','Hab','Nome libro EN','Habakkuk','AbbrEN','Hab'],</v>
      </c>
    </row>
    <row r="44" spans="1:12" x14ac:dyDescent="0.25">
      <c r="A44">
        <v>43</v>
      </c>
      <c r="B44" t="s">
        <v>2517</v>
      </c>
      <c r="C44" t="s">
        <v>2516</v>
      </c>
      <c r="D44" t="s">
        <v>2532</v>
      </c>
      <c r="E44" t="s">
        <v>2775</v>
      </c>
      <c r="F44" t="s">
        <v>2530</v>
      </c>
      <c r="G44" t="s">
        <v>2531</v>
      </c>
      <c r="H44" t="s">
        <v>2528</v>
      </c>
      <c r="I44" t="s">
        <v>2529</v>
      </c>
      <c r="K44" s="24">
        <v>42</v>
      </c>
      <c r="L44" t="str">
        <f t="shared" si="0"/>
        <v>['Numero libro','43', 'Testamento','Antico Testamento', 'Gruppo','I libri profetici: Profeti minori', 'Nome libro IT','Sofonia','AbbrIT','Sof;So','Nome libro LT','Prophetia Sophoniæ','AbbrLT','Soph','Nome libro EN','Zephaniah','AbbrEN','Zeph'],</v>
      </c>
    </row>
    <row r="45" spans="1:12" x14ac:dyDescent="0.25">
      <c r="A45">
        <v>44</v>
      </c>
      <c r="B45" t="s">
        <v>2517</v>
      </c>
      <c r="C45" t="s">
        <v>2516</v>
      </c>
      <c r="D45" t="s">
        <v>2527</v>
      </c>
      <c r="E45" t="s">
        <v>2776</v>
      </c>
      <c r="F45" t="s">
        <v>2525</v>
      </c>
      <c r="G45" t="s">
        <v>2526</v>
      </c>
      <c r="H45" t="s">
        <v>2523</v>
      </c>
      <c r="I45" t="s">
        <v>2524</v>
      </c>
      <c r="K45" s="24">
        <v>43</v>
      </c>
      <c r="L45" t="str">
        <f t="shared" si="0"/>
        <v>['Numero libro','44', 'Testamento','Antico Testamento', 'Gruppo','I libri profetici: Profeti minori', 'Nome libro IT','Aggeo','AbbrIT','Ag;Agg','Nome libro LT','Prophetia Aggæi','AbbrLT','Agg','Nome libro EN','Haggai','AbbrEN','Hag'],</v>
      </c>
    </row>
    <row r="46" spans="1:12" x14ac:dyDescent="0.25">
      <c r="A46">
        <v>45</v>
      </c>
      <c r="B46" t="s">
        <v>2517</v>
      </c>
      <c r="C46" t="s">
        <v>2516</v>
      </c>
      <c r="D46" t="s">
        <v>2522</v>
      </c>
      <c r="E46" t="s">
        <v>2777</v>
      </c>
      <c r="F46" t="s">
        <v>2520</v>
      </c>
      <c r="G46" t="s">
        <v>2521</v>
      </c>
      <c r="H46" t="s">
        <v>2518</v>
      </c>
      <c r="I46" t="s">
        <v>2519</v>
      </c>
      <c r="K46" s="24">
        <v>44</v>
      </c>
      <c r="L46" t="str">
        <f t="shared" si="0"/>
        <v>['Numero libro','45', 'Testamento','Antico Testamento', 'Gruppo','I libri profetici: Profeti minori', 'Nome libro IT','Zaccaria','AbbrIT','Zc;Zac;Z','Nome libro LT','Prophetia Zachariæ','AbbrLT','Zach','Nome libro EN','Zechariah','AbbrEN','Zech'],</v>
      </c>
    </row>
    <row r="47" spans="1:12" x14ac:dyDescent="0.25">
      <c r="A47">
        <v>46</v>
      </c>
      <c r="B47" t="s">
        <v>2517</v>
      </c>
      <c r="C47" t="s">
        <v>2516</v>
      </c>
      <c r="D47" t="s">
        <v>2515</v>
      </c>
      <c r="E47" t="s">
        <v>2778</v>
      </c>
      <c r="F47" t="s">
        <v>2514</v>
      </c>
      <c r="G47" t="s">
        <v>2513</v>
      </c>
      <c r="H47" t="s">
        <v>2512</v>
      </c>
      <c r="I47" t="s">
        <v>2513</v>
      </c>
      <c r="K47" s="24">
        <v>45</v>
      </c>
      <c r="L47" t="str">
        <f t="shared" si="0"/>
        <v>['Numero libro','46', 'Testamento','Antico Testamento', 'Gruppo','I libri profetici: Profeti minori', 'Nome libro IT','Malachia','AbbrIT','Ml;Mal','Nome libro LT','Prophetia Malachiæ','AbbrLT','Mal','Nome libro EN','Malachi','AbbrEN','Mal'],</v>
      </c>
    </row>
    <row r="48" spans="1:12" s="53" customFormat="1" x14ac:dyDescent="0.25">
      <c r="A48" s="53">
        <v>47</v>
      </c>
      <c r="B48" s="53" t="s">
        <v>2392</v>
      </c>
      <c r="C48" s="53" t="s">
        <v>2498</v>
      </c>
      <c r="D48" s="53" t="s">
        <v>2511</v>
      </c>
      <c r="E48" s="53" t="s">
        <v>2779</v>
      </c>
      <c r="F48" s="53" t="s">
        <v>2509</v>
      </c>
      <c r="G48" s="53" t="s">
        <v>2510</v>
      </c>
      <c r="H48" s="53" t="s">
        <v>2507</v>
      </c>
      <c r="I48" s="53" t="s">
        <v>2508</v>
      </c>
      <c r="K48" s="58">
        <v>46</v>
      </c>
      <c r="L48" s="53" t="str">
        <f t="shared" si="0"/>
        <v>['Numero libro','47', 'Testamento','Nuovo Testamento', 'Gruppo','I Vangeli', 'Nome libro IT','Vangelo di san Matteo Apostolo','AbbrIT','Mt;Mat','Nome libro LT','Evangelium secundum Matthæum','AbbrLT','Matteo','Nome libro EN','Matthew','AbbrEN','Matt'],</v>
      </c>
    </row>
    <row r="49" spans="1:12" x14ac:dyDescent="0.25">
      <c r="A49">
        <v>48</v>
      </c>
      <c r="B49" t="s">
        <v>2392</v>
      </c>
      <c r="C49" t="s">
        <v>2498</v>
      </c>
      <c r="D49" t="s">
        <v>2506</v>
      </c>
      <c r="E49" t="s">
        <v>2780</v>
      </c>
      <c r="F49" t="s">
        <v>2504</v>
      </c>
      <c r="G49" t="s">
        <v>2505</v>
      </c>
      <c r="H49" t="s">
        <v>2503</v>
      </c>
      <c r="I49" t="s">
        <v>2503</v>
      </c>
      <c r="K49" s="24">
        <v>47</v>
      </c>
      <c r="L49" t="str">
        <f t="shared" si="0"/>
        <v>['Numero libro','48', 'Testamento','Nuovo Testamento', 'Gruppo','I Vangeli', 'Nome libro IT','Vangelo di san Marco','AbbrIT','Mc;Mar;Mr','Nome libro LT','Evangelium secundum Marcum','AbbrLT','Marco','Nome libro EN','Mark','AbbrEN','Mark'],</v>
      </c>
    </row>
    <row r="50" spans="1:12" x14ac:dyDescent="0.25">
      <c r="A50">
        <v>49</v>
      </c>
      <c r="B50" t="s">
        <v>2392</v>
      </c>
      <c r="C50" t="s">
        <v>2498</v>
      </c>
      <c r="D50" t="s">
        <v>2502</v>
      </c>
      <c r="E50" t="s">
        <v>2781</v>
      </c>
      <c r="F50" t="s">
        <v>2500</v>
      </c>
      <c r="G50" t="s">
        <v>2501</v>
      </c>
      <c r="H50" t="s">
        <v>2499</v>
      </c>
      <c r="I50" t="s">
        <v>2499</v>
      </c>
      <c r="K50" s="24">
        <v>48</v>
      </c>
      <c r="L50" t="str">
        <f t="shared" si="0"/>
        <v>['Numero libro','49', 'Testamento','Nuovo Testamento', 'Gruppo','I Vangeli', 'Nome libro IT','Vangelo di san Luca','AbbrIT','Lc;Lu','Nome libro LT','Evangelium secundum Lucam','AbbrLT','Luca','Nome libro EN','Luke','AbbrEN','Luke'],</v>
      </c>
    </row>
    <row r="51" spans="1:12" x14ac:dyDescent="0.25">
      <c r="A51">
        <v>50</v>
      </c>
      <c r="B51" t="s">
        <v>2392</v>
      </c>
      <c r="C51" t="s">
        <v>2498</v>
      </c>
      <c r="D51" t="s">
        <v>2497</v>
      </c>
      <c r="E51" t="s">
        <v>2782</v>
      </c>
      <c r="F51" t="s">
        <v>2495</v>
      </c>
      <c r="G51" t="s">
        <v>2496</v>
      </c>
      <c r="H51" t="s">
        <v>2494</v>
      </c>
      <c r="I51" t="s">
        <v>2494</v>
      </c>
      <c r="K51" s="24">
        <v>49</v>
      </c>
      <c r="L51" t="str">
        <f t="shared" si="0"/>
        <v>['Numero libro','50', 'Testamento','Nuovo Testamento', 'Gruppo','I Vangeli', 'Nome libro IT','Vangelo di san Giovanni Apostolo','AbbrIT','Gv;Giov','Nome libro LT','Evangelium secundum Joannem','AbbrLT','Io','Nome libro EN','John','AbbrEN','John'],</v>
      </c>
    </row>
    <row r="52" spans="1:12" x14ac:dyDescent="0.25">
      <c r="A52">
        <v>51</v>
      </c>
      <c r="B52" t="s">
        <v>2392</v>
      </c>
      <c r="C52" t="s">
        <v>2493</v>
      </c>
      <c r="D52" t="s">
        <v>2492</v>
      </c>
      <c r="E52" t="s">
        <v>2491</v>
      </c>
      <c r="F52" t="s">
        <v>2489</v>
      </c>
      <c r="G52" t="s">
        <v>2490</v>
      </c>
      <c r="H52" t="s">
        <v>2488</v>
      </c>
      <c r="I52" t="s">
        <v>2488</v>
      </c>
      <c r="K52" s="24">
        <v>50</v>
      </c>
      <c r="L52" t="str">
        <f t="shared" si="0"/>
        <v>['Numero libro','51', 'Testamento','Nuovo Testamento', 'Gruppo','Atti', 'Nome libro IT','Atti degli Apostoli','AbbrIT','At','Nome libro LT','Actus Apostolorum','AbbrLT','Act','Nome libro EN','Acts','AbbrEN','Acts'],</v>
      </c>
    </row>
    <row r="53" spans="1:12" x14ac:dyDescent="0.25">
      <c r="A53">
        <v>52</v>
      </c>
      <c r="B53" t="s">
        <v>2392</v>
      </c>
      <c r="C53" t="s">
        <v>2436</v>
      </c>
      <c r="D53" t="s">
        <v>2487</v>
      </c>
      <c r="E53" t="s">
        <v>2783</v>
      </c>
      <c r="F53" t="s">
        <v>2486</v>
      </c>
      <c r="G53" t="s">
        <v>2485</v>
      </c>
      <c r="H53" t="s">
        <v>2484</v>
      </c>
      <c r="I53" t="s">
        <v>2485</v>
      </c>
      <c r="K53" s="24">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25">
      <c r="A54">
        <v>53</v>
      </c>
      <c r="B54" t="s">
        <v>2392</v>
      </c>
      <c r="C54" t="s">
        <v>2436</v>
      </c>
      <c r="D54" t="s">
        <v>2483</v>
      </c>
      <c r="E54" t="s">
        <v>2784</v>
      </c>
      <c r="F54" t="s">
        <v>2481</v>
      </c>
      <c r="G54" t="s">
        <v>2482</v>
      </c>
      <c r="H54" t="s">
        <v>2479</v>
      </c>
      <c r="I54" t="s">
        <v>2480</v>
      </c>
      <c r="K54" s="24">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25">
      <c r="A55">
        <v>54</v>
      </c>
      <c r="B55" t="s">
        <v>2392</v>
      </c>
      <c r="C55" t="s">
        <v>2436</v>
      </c>
      <c r="D55" t="s">
        <v>2478</v>
      </c>
      <c r="E55" t="s">
        <v>2785</v>
      </c>
      <c r="F55" t="s">
        <v>2476</v>
      </c>
      <c r="G55" t="s">
        <v>2477</v>
      </c>
      <c r="H55" t="s">
        <v>2474</v>
      </c>
      <c r="I55" t="s">
        <v>2475</v>
      </c>
      <c r="K55" s="24">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25">
      <c r="A56">
        <v>55</v>
      </c>
      <c r="B56" t="s">
        <v>2392</v>
      </c>
      <c r="C56" t="s">
        <v>2436</v>
      </c>
      <c r="D56" t="s">
        <v>2473</v>
      </c>
      <c r="E56" t="s">
        <v>2786</v>
      </c>
      <c r="F56" t="s">
        <v>2472</v>
      </c>
      <c r="G56" t="s">
        <v>2471</v>
      </c>
      <c r="H56" t="s">
        <v>2470</v>
      </c>
      <c r="I56" t="s">
        <v>2471</v>
      </c>
      <c r="K56" s="24">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25">
      <c r="A57">
        <v>56</v>
      </c>
      <c r="B57" t="s">
        <v>2392</v>
      </c>
      <c r="C57" t="s">
        <v>2436</v>
      </c>
      <c r="D57" t="s">
        <v>2469</v>
      </c>
      <c r="E57" t="s">
        <v>2468</v>
      </c>
      <c r="F57" t="s">
        <v>2467</v>
      </c>
      <c r="G57" t="s">
        <v>2466</v>
      </c>
      <c r="H57" t="s">
        <v>2465</v>
      </c>
      <c r="I57" t="s">
        <v>2466</v>
      </c>
      <c r="K57" s="24">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25">
      <c r="A58">
        <v>57</v>
      </c>
      <c r="B58" t="s">
        <v>2392</v>
      </c>
      <c r="C58" t="s">
        <v>2436</v>
      </c>
      <c r="D58" t="s">
        <v>2464</v>
      </c>
      <c r="E58" t="s">
        <v>2787</v>
      </c>
      <c r="F58" t="s">
        <v>2463</v>
      </c>
      <c r="G58" t="s">
        <v>2462</v>
      </c>
      <c r="H58" t="s">
        <v>2461</v>
      </c>
      <c r="I58" t="s">
        <v>2462</v>
      </c>
      <c r="K58" s="24">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25">
      <c r="A59">
        <v>58</v>
      </c>
      <c r="B59" t="s">
        <v>2392</v>
      </c>
      <c r="C59" t="s">
        <v>2436</v>
      </c>
      <c r="D59" t="s">
        <v>2460</v>
      </c>
      <c r="E59" t="s">
        <v>2788</v>
      </c>
      <c r="F59" t="s">
        <v>2459</v>
      </c>
      <c r="G59" t="s">
        <v>2458</v>
      </c>
      <c r="H59" t="s">
        <v>2457</v>
      </c>
      <c r="I59" t="s">
        <v>2458</v>
      </c>
      <c r="K59" s="24">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25">
      <c r="A60">
        <v>59</v>
      </c>
      <c r="B60" t="s">
        <v>2392</v>
      </c>
      <c r="C60" t="s">
        <v>2436</v>
      </c>
      <c r="D60" t="s">
        <v>2456</v>
      </c>
      <c r="E60" t="s">
        <v>2789</v>
      </c>
      <c r="F60" t="s">
        <v>2455</v>
      </c>
      <c r="G60" t="s">
        <v>2454</v>
      </c>
      <c r="H60" t="s">
        <v>2453</v>
      </c>
      <c r="I60" t="s">
        <v>2454</v>
      </c>
      <c r="K60" s="24">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25">
      <c r="A61">
        <v>60</v>
      </c>
      <c r="B61" t="s">
        <v>2392</v>
      </c>
      <c r="C61" t="s">
        <v>2436</v>
      </c>
      <c r="D61" t="s">
        <v>2452</v>
      </c>
      <c r="E61" t="s">
        <v>2790</v>
      </c>
      <c r="F61" t="s">
        <v>2451</v>
      </c>
      <c r="G61" t="s">
        <v>2450</v>
      </c>
      <c r="H61" t="s">
        <v>2449</v>
      </c>
      <c r="I61" t="s">
        <v>2450</v>
      </c>
      <c r="K61" s="24">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25">
      <c r="A62">
        <v>61</v>
      </c>
      <c r="B62" t="s">
        <v>2392</v>
      </c>
      <c r="C62" t="s">
        <v>2436</v>
      </c>
      <c r="D62" t="s">
        <v>2448</v>
      </c>
      <c r="E62" t="s">
        <v>2791</v>
      </c>
      <c r="F62" t="s">
        <v>2447</v>
      </c>
      <c r="G62" t="s">
        <v>2446</v>
      </c>
      <c r="H62" t="s">
        <v>2445</v>
      </c>
      <c r="I62" t="s">
        <v>2446</v>
      </c>
      <c r="K62" s="24">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25">
      <c r="A63">
        <v>62</v>
      </c>
      <c r="B63" t="s">
        <v>2392</v>
      </c>
      <c r="C63" t="s">
        <v>2436</v>
      </c>
      <c r="D63" t="s">
        <v>2444</v>
      </c>
      <c r="E63" t="s">
        <v>2792</v>
      </c>
      <c r="F63" t="s">
        <v>2443</v>
      </c>
      <c r="G63" t="s">
        <v>2442</v>
      </c>
      <c r="H63" t="s">
        <v>2441</v>
      </c>
      <c r="I63" t="s">
        <v>2442</v>
      </c>
      <c r="K63" s="24">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25">
      <c r="A64">
        <v>63</v>
      </c>
      <c r="B64" t="s">
        <v>2392</v>
      </c>
      <c r="C64" t="s">
        <v>2436</v>
      </c>
      <c r="D64" t="s">
        <v>2440</v>
      </c>
      <c r="E64" t="s">
        <v>2793</v>
      </c>
      <c r="F64" t="s">
        <v>2438</v>
      </c>
      <c r="G64" t="s">
        <v>2439</v>
      </c>
      <c r="H64" t="s">
        <v>2437</v>
      </c>
      <c r="I64" t="s">
        <v>2437</v>
      </c>
      <c r="K64" s="24">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25">
      <c r="A65">
        <v>64</v>
      </c>
      <c r="B65" t="s">
        <v>2392</v>
      </c>
      <c r="C65" t="s">
        <v>2436</v>
      </c>
      <c r="D65" t="s">
        <v>2435</v>
      </c>
      <c r="E65" t="s">
        <v>2794</v>
      </c>
      <c r="F65" t="s">
        <v>2433</v>
      </c>
      <c r="G65" t="s">
        <v>2434</v>
      </c>
      <c r="H65" t="s">
        <v>2431</v>
      </c>
      <c r="I65" t="s">
        <v>2432</v>
      </c>
      <c r="K65" s="24">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25">
      <c r="A66">
        <v>65</v>
      </c>
      <c r="B66" t="s">
        <v>2392</v>
      </c>
      <c r="C66" t="s">
        <v>2397</v>
      </c>
      <c r="D66" t="s">
        <v>2430</v>
      </c>
      <c r="E66" t="s">
        <v>2429</v>
      </c>
      <c r="F66" t="s">
        <v>2427</v>
      </c>
      <c r="G66" t="s">
        <v>2428</v>
      </c>
      <c r="H66" t="s">
        <v>2425</v>
      </c>
      <c r="I66" t="s">
        <v>2426</v>
      </c>
      <c r="K66" s="24">
        <v>64</v>
      </c>
      <c r="L66" t="str">
        <f t="shared" si="0"/>
        <v>['Numero libro','65', 'Testamento','Nuovo Testamento', 'Gruppo','Le altre Lettere Cattoliche', 'Nome libro IT','Lettera agli Ebrei','AbbrIT','Eb','Nome libro LT','Epistola B. Pauli Apostoli ad Hebræos','AbbrLT','Hebr','Nome libro EN','Hebrews','AbbrEN','Heb'],</v>
      </c>
    </row>
    <row r="67" spans="1:12" x14ac:dyDescent="0.25">
      <c r="A67">
        <v>66</v>
      </c>
      <c r="B67" t="s">
        <v>2392</v>
      </c>
      <c r="C67" t="s">
        <v>2397</v>
      </c>
      <c r="D67" t="s">
        <v>2424</v>
      </c>
      <c r="E67" t="s">
        <v>2795</v>
      </c>
      <c r="F67" t="s">
        <v>2422</v>
      </c>
      <c r="G67" t="s">
        <v>2423</v>
      </c>
      <c r="H67" t="s">
        <v>2420</v>
      </c>
      <c r="I67" t="s">
        <v>2421</v>
      </c>
      <c r="K67" s="24">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25">
      <c r="A68">
        <v>67</v>
      </c>
      <c r="B68" t="s">
        <v>2392</v>
      </c>
      <c r="C68" t="s">
        <v>2397</v>
      </c>
      <c r="D68" t="s">
        <v>2419</v>
      </c>
      <c r="E68" t="s">
        <v>2796</v>
      </c>
      <c r="F68" t="s">
        <v>2417</v>
      </c>
      <c r="G68" t="s">
        <v>2418</v>
      </c>
      <c r="H68" t="s">
        <v>2415</v>
      </c>
      <c r="I68" t="s">
        <v>2416</v>
      </c>
      <c r="K68" s="24">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25">
      <c r="A69">
        <v>68</v>
      </c>
      <c r="B69" t="s">
        <v>2392</v>
      </c>
      <c r="C69" t="s">
        <v>2397</v>
      </c>
      <c r="D69" t="s">
        <v>2414</v>
      </c>
      <c r="E69" t="s">
        <v>2797</v>
      </c>
      <c r="F69" t="s">
        <v>2412</v>
      </c>
      <c r="G69" t="s">
        <v>2413</v>
      </c>
      <c r="H69" t="s">
        <v>2410</v>
      </c>
      <c r="I69" t="s">
        <v>2411</v>
      </c>
      <c r="K69" s="24">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25">
      <c r="A70">
        <v>69</v>
      </c>
      <c r="B70" t="s">
        <v>2392</v>
      </c>
      <c r="C70" t="s">
        <v>2397</v>
      </c>
      <c r="D70" t="s">
        <v>2409</v>
      </c>
      <c r="E70" t="s">
        <v>2798</v>
      </c>
      <c r="F70" t="s">
        <v>2407</v>
      </c>
      <c r="G70" t="s">
        <v>2408</v>
      </c>
      <c r="H70" t="s">
        <v>2406</v>
      </c>
      <c r="I70" t="s">
        <v>2406</v>
      </c>
      <c r="K70" s="24">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25">
      <c r="A71">
        <v>70</v>
      </c>
      <c r="B71" t="s">
        <v>2392</v>
      </c>
      <c r="C71" t="s">
        <v>2397</v>
      </c>
      <c r="D71" t="s">
        <v>2405</v>
      </c>
      <c r="E71" t="s">
        <v>2799</v>
      </c>
      <c r="F71" t="s">
        <v>2403</v>
      </c>
      <c r="G71" t="s">
        <v>2404</v>
      </c>
      <c r="H71" t="s">
        <v>2402</v>
      </c>
      <c r="I71" t="s">
        <v>2402</v>
      </c>
      <c r="K71" s="24">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25">
      <c r="A72">
        <v>71</v>
      </c>
      <c r="B72" t="s">
        <v>2392</v>
      </c>
      <c r="C72" t="s">
        <v>2397</v>
      </c>
      <c r="D72" t="s">
        <v>2401</v>
      </c>
      <c r="E72" t="s">
        <v>2800</v>
      </c>
      <c r="F72" t="s">
        <v>2399</v>
      </c>
      <c r="G72" t="s">
        <v>2400</v>
      </c>
      <c r="H72" t="s">
        <v>2398</v>
      </c>
      <c r="I72" t="s">
        <v>2398</v>
      </c>
      <c r="K72" s="24">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25">
      <c r="A73">
        <v>72</v>
      </c>
      <c r="B73" t="s">
        <v>2392</v>
      </c>
      <c r="C73" t="s">
        <v>2397</v>
      </c>
      <c r="D73" t="s">
        <v>2396</v>
      </c>
      <c r="E73" t="s">
        <v>2801</v>
      </c>
      <c r="F73" t="s">
        <v>2394</v>
      </c>
      <c r="G73" t="s">
        <v>2395</v>
      </c>
      <c r="H73" t="s">
        <v>2393</v>
      </c>
      <c r="I73" t="s">
        <v>2393</v>
      </c>
      <c r="K73" s="24">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25">
      <c r="A74">
        <v>73</v>
      </c>
      <c r="B74" t="s">
        <v>2392</v>
      </c>
      <c r="C74" t="s">
        <v>2391</v>
      </c>
      <c r="D74" t="s">
        <v>2390</v>
      </c>
      <c r="E74" t="s">
        <v>2389</v>
      </c>
      <c r="F74" t="s">
        <v>2387</v>
      </c>
      <c r="G74" t="s">
        <v>2388</v>
      </c>
      <c r="H74" t="s">
        <v>2385</v>
      </c>
      <c r="I74" t="s">
        <v>2386</v>
      </c>
      <c r="K74" s="24">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dimension ref="A2:G22"/>
  <sheetViews>
    <sheetView workbookViewId="0">
      <selection activeCell="F2" sqref="F2"/>
    </sheetView>
  </sheetViews>
  <sheetFormatPr defaultRowHeight="15" x14ac:dyDescent="0.25"/>
  <cols>
    <col min="1" max="1" width="5.140625" bestFit="1" customWidth="1"/>
    <col min="2" max="2" width="6.7109375" bestFit="1" customWidth="1"/>
    <col min="3" max="3" width="3" bestFit="1" customWidth="1"/>
    <col min="4" max="4" width="24" bestFit="1" customWidth="1"/>
    <col min="5" max="5" width="16" bestFit="1" customWidth="1"/>
    <col min="6" max="6" width="11.7109375" bestFit="1" customWidth="1"/>
    <col min="7" max="7" width="250.7109375" bestFit="1" customWidth="1"/>
  </cols>
  <sheetData>
    <row r="2" spans="1:7" x14ac:dyDescent="0.25">
      <c r="A2" s="53" t="s">
        <v>5244</v>
      </c>
      <c r="B2" s="53" t="s">
        <v>5245</v>
      </c>
      <c r="C2" s="53" t="s">
        <v>5288</v>
      </c>
      <c r="D2" s="53" t="str">
        <f t="shared" ref="D2:D22" si="0">_xlfn.CONCAT(C2," ","[!info]- ",A2," ",B2)</f>
        <v>&gt;&gt; [!info]- XXI secolo</v>
      </c>
      <c r="E2" s="53">
        <v>21</v>
      </c>
      <c r="F2" s="53" t="s">
        <v>5286</v>
      </c>
      <c r="G2" s="53" t="s">
        <v>5287</v>
      </c>
    </row>
    <row r="3" spans="1:7" x14ac:dyDescent="0.25">
      <c r="A3" s="53" t="s">
        <v>5243</v>
      </c>
      <c r="B3" s="53" t="s">
        <v>5245</v>
      </c>
      <c r="C3" s="53" t="s">
        <v>5288</v>
      </c>
      <c r="D3" s="53" t="str">
        <f t="shared" si="0"/>
        <v>&gt;&gt; [!info]- XX secolo</v>
      </c>
      <c r="E3" s="53">
        <v>20</v>
      </c>
      <c r="F3" s="53" t="s">
        <v>5284</v>
      </c>
      <c r="G3" s="53" t="s">
        <v>5285</v>
      </c>
    </row>
    <row r="4" spans="1:7" s="53" customFormat="1" x14ac:dyDescent="0.25">
      <c r="A4" s="53" t="s">
        <v>5242</v>
      </c>
      <c r="B4" s="53" t="s">
        <v>5245</v>
      </c>
      <c r="C4" s="53" t="s">
        <v>5288</v>
      </c>
      <c r="D4" s="53" t="str">
        <f t="shared" si="0"/>
        <v>&gt;&gt; [!info]- XIX secolo</v>
      </c>
      <c r="E4" s="53">
        <v>19</v>
      </c>
      <c r="F4" s="53" t="s">
        <v>5282</v>
      </c>
      <c r="G4" s="53" t="s">
        <v>5283</v>
      </c>
    </row>
    <row r="5" spans="1:7" s="53" customFormat="1" x14ac:dyDescent="0.25">
      <c r="A5" s="53" t="s">
        <v>5241</v>
      </c>
      <c r="B5" s="53" t="s">
        <v>5245</v>
      </c>
      <c r="C5" s="53" t="s">
        <v>5288</v>
      </c>
      <c r="D5" s="53" t="str">
        <f t="shared" si="0"/>
        <v>&gt;&gt; [!info]- XVIII secolo</v>
      </c>
      <c r="E5" s="53">
        <v>18</v>
      </c>
      <c r="F5" s="53" t="s">
        <v>5280</v>
      </c>
      <c r="G5" s="53" t="s">
        <v>5281</v>
      </c>
    </row>
    <row r="6" spans="1:7" s="53" customFormat="1" x14ac:dyDescent="0.25">
      <c r="A6" s="53" t="s">
        <v>5240</v>
      </c>
      <c r="B6" s="53" t="s">
        <v>5245</v>
      </c>
      <c r="C6" s="53" t="s">
        <v>5288</v>
      </c>
      <c r="D6" s="53" t="str">
        <f t="shared" si="0"/>
        <v>&gt;&gt; [!info]- XVII secolo</v>
      </c>
      <c r="E6" s="53">
        <v>17</v>
      </c>
      <c r="F6" s="53" t="s">
        <v>5278</v>
      </c>
      <c r="G6" s="53" t="s">
        <v>5279</v>
      </c>
    </row>
    <row r="7" spans="1:7" s="53" customFormat="1" x14ac:dyDescent="0.25">
      <c r="A7" s="53" t="s">
        <v>700</v>
      </c>
      <c r="B7" s="53" t="s">
        <v>5245</v>
      </c>
      <c r="C7" s="53" t="s">
        <v>5288</v>
      </c>
      <c r="D7" s="53" t="str">
        <f t="shared" si="0"/>
        <v>&gt;&gt; [!info]- XVI secolo</v>
      </c>
      <c r="E7" s="53">
        <v>16</v>
      </c>
      <c r="F7" s="53" t="s">
        <v>5276</v>
      </c>
      <c r="G7" s="53" t="s">
        <v>5277</v>
      </c>
    </row>
    <row r="8" spans="1:7" s="53" customFormat="1" x14ac:dyDescent="0.25">
      <c r="A8" s="53" t="s">
        <v>738</v>
      </c>
      <c r="B8" s="53" t="s">
        <v>5245</v>
      </c>
      <c r="C8" s="53" t="s">
        <v>5288</v>
      </c>
      <c r="D8" s="53" t="str">
        <f t="shared" si="0"/>
        <v>&gt;&gt; [!info]- XV secolo</v>
      </c>
      <c r="E8" s="53">
        <v>15</v>
      </c>
      <c r="F8" s="53" t="s">
        <v>5274</v>
      </c>
      <c r="G8" s="53" t="s">
        <v>5275</v>
      </c>
    </row>
    <row r="9" spans="1:7" s="53" customFormat="1" x14ac:dyDescent="0.25">
      <c r="A9" s="53" t="s">
        <v>704</v>
      </c>
      <c r="B9" s="53" t="s">
        <v>5245</v>
      </c>
      <c r="C9" s="53" t="s">
        <v>5288</v>
      </c>
      <c r="D9" s="53" t="str">
        <f t="shared" si="0"/>
        <v>&gt;&gt; [!info]- XIV secolo</v>
      </c>
      <c r="E9" s="53">
        <v>14</v>
      </c>
      <c r="F9" s="53" t="s">
        <v>5272</v>
      </c>
      <c r="G9" s="53" t="s">
        <v>5273</v>
      </c>
    </row>
    <row r="10" spans="1:7" x14ac:dyDescent="0.25">
      <c r="A10" t="s">
        <v>707</v>
      </c>
      <c r="B10" t="s">
        <v>5245</v>
      </c>
      <c r="C10" t="s">
        <v>5288</v>
      </c>
      <c r="D10" t="str">
        <f t="shared" si="0"/>
        <v>&gt;&gt; [!info]- XIII secolo</v>
      </c>
      <c r="E10">
        <v>13</v>
      </c>
      <c r="F10" t="s">
        <v>5270</v>
      </c>
      <c r="G10" t="s">
        <v>5271</v>
      </c>
    </row>
    <row r="11" spans="1:7" x14ac:dyDescent="0.25">
      <c r="A11" t="s">
        <v>724</v>
      </c>
      <c r="B11" t="s">
        <v>5245</v>
      </c>
      <c r="C11" t="s">
        <v>5288</v>
      </c>
      <c r="D11" t="str">
        <f t="shared" si="0"/>
        <v>&gt;&gt; [!info]- XII secolo</v>
      </c>
      <c r="E11">
        <v>12</v>
      </c>
      <c r="F11" t="s">
        <v>5268</v>
      </c>
      <c r="G11" t="s">
        <v>5269</v>
      </c>
    </row>
    <row r="12" spans="1:7" x14ac:dyDescent="0.25">
      <c r="A12" t="s">
        <v>739</v>
      </c>
      <c r="B12" t="s">
        <v>5245</v>
      </c>
      <c r="C12" t="s">
        <v>5288</v>
      </c>
      <c r="D12" t="str">
        <f t="shared" si="0"/>
        <v>&gt;&gt; [!info]- XI secolo</v>
      </c>
      <c r="E12">
        <v>11</v>
      </c>
      <c r="F12" t="s">
        <v>5266</v>
      </c>
      <c r="G12" t="s">
        <v>5267</v>
      </c>
    </row>
    <row r="13" spans="1:7" x14ac:dyDescent="0.25">
      <c r="A13" t="s">
        <v>737</v>
      </c>
      <c r="B13" t="s">
        <v>5245</v>
      </c>
      <c r="C13" t="s">
        <v>5288</v>
      </c>
      <c r="D13" t="str">
        <f t="shared" si="0"/>
        <v>&gt;&gt; [!info]- X secolo</v>
      </c>
      <c r="E13">
        <v>10</v>
      </c>
      <c r="F13" t="s">
        <v>5264</v>
      </c>
      <c r="G13" t="s">
        <v>5265</v>
      </c>
    </row>
    <row r="14" spans="1:7" x14ac:dyDescent="0.25">
      <c r="A14" t="s">
        <v>736</v>
      </c>
      <c r="B14" t="s">
        <v>5245</v>
      </c>
      <c r="C14" t="s">
        <v>5288</v>
      </c>
      <c r="D14" t="str">
        <f t="shared" si="0"/>
        <v>&gt;&gt; [!info]- IX secolo</v>
      </c>
      <c r="E14">
        <v>9</v>
      </c>
      <c r="F14" t="s">
        <v>5262</v>
      </c>
      <c r="G14" t="s">
        <v>5263</v>
      </c>
    </row>
    <row r="15" spans="1:7" x14ac:dyDescent="0.25">
      <c r="A15" t="s">
        <v>726</v>
      </c>
      <c r="B15" t="s">
        <v>5245</v>
      </c>
      <c r="C15" t="s">
        <v>5288</v>
      </c>
      <c r="D15" t="str">
        <f t="shared" si="0"/>
        <v>&gt;&gt; [!info]- VIII secolo</v>
      </c>
      <c r="E15">
        <v>8</v>
      </c>
      <c r="F15" t="s">
        <v>5260</v>
      </c>
      <c r="G15" t="s">
        <v>5261</v>
      </c>
    </row>
    <row r="16" spans="1:7" x14ac:dyDescent="0.25">
      <c r="A16" t="s">
        <v>720</v>
      </c>
      <c r="B16" t="s">
        <v>5245</v>
      </c>
      <c r="C16" t="s">
        <v>5288</v>
      </c>
      <c r="D16" t="str">
        <f t="shared" si="0"/>
        <v>&gt;&gt; [!info]- VII secolo</v>
      </c>
      <c r="E16">
        <v>7</v>
      </c>
      <c r="F16" t="s">
        <v>5258</v>
      </c>
      <c r="G16" t="s">
        <v>5259</v>
      </c>
    </row>
    <row r="17" spans="1:7" x14ac:dyDescent="0.25">
      <c r="A17" t="s">
        <v>714</v>
      </c>
      <c r="B17" t="s">
        <v>5245</v>
      </c>
      <c r="C17" t="s">
        <v>5288</v>
      </c>
      <c r="D17" t="str">
        <f t="shared" si="0"/>
        <v>&gt;&gt; [!info]- VI secolo</v>
      </c>
      <c r="E17">
        <v>6</v>
      </c>
      <c r="F17" t="s">
        <v>5256</v>
      </c>
      <c r="G17" t="s">
        <v>5257</v>
      </c>
    </row>
    <row r="18" spans="1:7" x14ac:dyDescent="0.25">
      <c r="A18" t="s">
        <v>5143</v>
      </c>
      <c r="B18" t="s">
        <v>5245</v>
      </c>
      <c r="C18" t="s">
        <v>5288</v>
      </c>
      <c r="D18" t="str">
        <f t="shared" si="0"/>
        <v>&gt;&gt; [!info]- V secolo</v>
      </c>
      <c r="E18">
        <v>5</v>
      </c>
      <c r="F18" t="s">
        <v>5254</v>
      </c>
      <c r="G18" t="s">
        <v>5255</v>
      </c>
    </row>
    <row r="19" spans="1:7" x14ac:dyDescent="0.25">
      <c r="A19" t="s">
        <v>5142</v>
      </c>
      <c r="B19" t="s">
        <v>5245</v>
      </c>
      <c r="C19" t="s">
        <v>5288</v>
      </c>
      <c r="D19" t="str">
        <f t="shared" si="0"/>
        <v>&gt;&gt; [!info]- IV secolo</v>
      </c>
      <c r="E19">
        <v>4</v>
      </c>
      <c r="F19" t="s">
        <v>5252</v>
      </c>
      <c r="G19" t="s">
        <v>5253</v>
      </c>
    </row>
    <row r="20" spans="1:7" x14ac:dyDescent="0.25">
      <c r="A20" t="s">
        <v>5141</v>
      </c>
      <c r="B20" t="s">
        <v>5245</v>
      </c>
      <c r="C20" t="s">
        <v>5288</v>
      </c>
      <c r="D20" t="str">
        <f t="shared" si="0"/>
        <v>&gt;&gt; [!info]- III secolo</v>
      </c>
      <c r="E20">
        <v>3</v>
      </c>
      <c r="F20" t="s">
        <v>5250</v>
      </c>
      <c r="G20" t="s">
        <v>5251</v>
      </c>
    </row>
    <row r="21" spans="1:7" s="53" customFormat="1" x14ac:dyDescent="0.25">
      <c r="A21" t="s">
        <v>742</v>
      </c>
      <c r="B21" t="s">
        <v>5245</v>
      </c>
      <c r="C21" t="s">
        <v>5288</v>
      </c>
      <c r="D21" t="str">
        <f t="shared" si="0"/>
        <v>&gt;&gt; [!info]- II secolo</v>
      </c>
      <c r="E21">
        <v>2</v>
      </c>
      <c r="F21" t="s">
        <v>5248</v>
      </c>
      <c r="G21" t="s">
        <v>5249</v>
      </c>
    </row>
    <row r="22" spans="1:7" s="53" customFormat="1" x14ac:dyDescent="0.25">
      <c r="A22" t="s">
        <v>741</v>
      </c>
      <c r="B22" t="s">
        <v>5245</v>
      </c>
      <c r="C22" t="s">
        <v>5288</v>
      </c>
      <c r="D22" t="str">
        <f t="shared" si="0"/>
        <v>&gt;&gt; [!info]- I secolo</v>
      </c>
      <c r="E22">
        <v>1</v>
      </c>
      <c r="F22" t="s">
        <v>5246</v>
      </c>
      <c r="G22" t="s">
        <v>5247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dimension ref="A1:E310"/>
  <sheetViews>
    <sheetView workbookViewId="0">
      <selection activeCell="E3" sqref="E3"/>
    </sheetView>
  </sheetViews>
  <sheetFormatPr defaultRowHeight="23.25" x14ac:dyDescent="0.35"/>
  <cols>
    <col min="1" max="1" width="34.28515625" style="54" bestFit="1" customWidth="1"/>
    <col min="2" max="2" width="7.5703125" style="54" bestFit="1" customWidth="1"/>
    <col min="3" max="3" width="10.28515625" style="54" bestFit="1" customWidth="1"/>
    <col min="4" max="4" width="25.5703125" style="54" bestFit="1" customWidth="1"/>
    <col min="5" max="5" width="97.85546875" style="54" bestFit="1" customWidth="1"/>
    <col min="6" max="16384" width="9.140625" style="54"/>
  </cols>
  <sheetData>
    <row r="1" spans="1:5" x14ac:dyDescent="0.35">
      <c r="A1" s="54" t="s">
        <v>5539</v>
      </c>
      <c r="B1" s="54" t="s">
        <v>5296</v>
      </c>
      <c r="C1" s="54" t="s">
        <v>5297</v>
      </c>
      <c r="D1" s="54" t="s">
        <v>5298</v>
      </c>
      <c r="E1" s="54" t="s">
        <v>5299</v>
      </c>
    </row>
    <row r="2" spans="1:5" x14ac:dyDescent="0.35">
      <c r="B2" s="54" t="s">
        <v>5300</v>
      </c>
      <c r="E2" s="54" t="str">
        <f>B2</f>
        <v>&gt;</v>
      </c>
    </row>
    <row r="3" spans="1:5" x14ac:dyDescent="0.35">
      <c r="B3" s="54" t="s">
        <v>741</v>
      </c>
      <c r="C3" s="54" t="s">
        <v>5245</v>
      </c>
      <c r="D3" s="54" t="s">
        <v>5288</v>
      </c>
      <c r="E3" s="54" t="str">
        <f>_xlfn.CONCAT(D3," ","[!info]- ",B3," ",C3)</f>
        <v>&gt;&gt; [!info]- I secolo</v>
      </c>
    </row>
    <row r="4" spans="1:5" x14ac:dyDescent="0.35">
      <c r="A4" s="54">
        <v>5</v>
      </c>
      <c r="B4" s="54">
        <v>5</v>
      </c>
      <c r="C4" s="54" t="s">
        <v>5289</v>
      </c>
      <c r="D4" s="54" t="s">
        <v>5534</v>
      </c>
      <c r="E4" s="54" t="str">
        <f t="shared" ref="E4:E8" si="0">_xlfn.CONCAT("&gt;&gt; ",B4,"° - ","[[Scheda ",B4,"° papa - ",D4,"|",D4,"]]")</f>
        <v>&gt;&gt; 5° - [[Scheda 5° papa - Evaristo|Evaristo]]</v>
      </c>
    </row>
    <row r="5" spans="1:5" x14ac:dyDescent="0.35">
      <c r="A5" s="54">
        <v>4</v>
      </c>
      <c r="B5" s="54">
        <v>4</v>
      </c>
      <c r="C5" s="54" t="s">
        <v>5289</v>
      </c>
      <c r="D5" s="54" t="s">
        <v>5535</v>
      </c>
      <c r="E5" s="54" t="str">
        <f t="shared" si="0"/>
        <v>&gt;&gt; 4° - [[Scheda 4° papa - Clemente I|Clemente I]]</v>
      </c>
    </row>
    <row r="6" spans="1:5" x14ac:dyDescent="0.35">
      <c r="A6" s="54">
        <v>3</v>
      </c>
      <c r="B6" s="54">
        <v>3</v>
      </c>
      <c r="C6" s="54" t="s">
        <v>5289</v>
      </c>
      <c r="D6" s="54" t="s">
        <v>5536</v>
      </c>
      <c r="E6" s="54" t="str">
        <f t="shared" si="0"/>
        <v>&gt;&gt; 3° - [[Scheda 3° papa - Anacleto|Anacleto]]</v>
      </c>
    </row>
    <row r="7" spans="1:5" x14ac:dyDescent="0.35">
      <c r="A7" s="54">
        <v>2</v>
      </c>
      <c r="B7" s="54">
        <v>2</v>
      </c>
      <c r="C7" s="54" t="s">
        <v>5289</v>
      </c>
      <c r="D7" s="54" t="s">
        <v>5537</v>
      </c>
      <c r="E7" s="54" t="str">
        <f t="shared" si="0"/>
        <v>&gt;&gt; 2° - [[Scheda 2° papa - Lino|Lino]]</v>
      </c>
    </row>
    <row r="8" spans="1:5" x14ac:dyDescent="0.35">
      <c r="A8" s="54">
        <v>1</v>
      </c>
      <c r="B8" s="54">
        <v>1</v>
      </c>
      <c r="C8" s="54" t="s">
        <v>5289</v>
      </c>
      <c r="D8" s="54" t="s">
        <v>5538</v>
      </c>
      <c r="E8" s="54" t="str">
        <f t="shared" si="0"/>
        <v>&gt;&gt; 1° - [[Scheda 1° papa - Pietro|Pietro]]</v>
      </c>
    </row>
    <row r="9" spans="1:5" x14ac:dyDescent="0.35">
      <c r="B9" s="54" t="s">
        <v>5300</v>
      </c>
      <c r="E9" s="54" t="str">
        <f>B9</f>
        <v>&gt;</v>
      </c>
    </row>
    <row r="10" spans="1:5" x14ac:dyDescent="0.35">
      <c r="B10" s="54" t="s">
        <v>742</v>
      </c>
      <c r="C10" s="54" t="s">
        <v>5245</v>
      </c>
      <c r="D10" s="54" t="s">
        <v>5288</v>
      </c>
      <c r="E10" s="54" t="str">
        <f>_xlfn.CONCAT(D10," ","[!info]- ",B10," ",C10)</f>
        <v>&gt;&gt; [!info]- II secolo</v>
      </c>
    </row>
    <row r="11" spans="1:5" x14ac:dyDescent="0.35">
      <c r="A11" s="54">
        <v>10</v>
      </c>
      <c r="B11" s="54">
        <v>15</v>
      </c>
      <c r="C11" s="54" t="s">
        <v>5289</v>
      </c>
      <c r="D11" s="54" t="s">
        <v>5524</v>
      </c>
      <c r="E11" s="54" t="str">
        <f t="shared" ref="E11:E20" si="1">_xlfn.CONCAT("&gt;&gt; ",B11,"° - ","[[Scheda ",B11,"° papa - ",D11,"|",D11,"]]")</f>
        <v>&gt;&gt; 15° - [[Scheda 15° papa - Zefirino|Zefirino]]</v>
      </c>
    </row>
    <row r="12" spans="1:5" x14ac:dyDescent="0.35">
      <c r="A12" s="54">
        <v>9</v>
      </c>
      <c r="B12" s="54">
        <v>14</v>
      </c>
      <c r="C12" s="54" t="s">
        <v>5289</v>
      </c>
      <c r="D12" s="54" t="s">
        <v>5525</v>
      </c>
      <c r="E12" s="54" t="str">
        <f t="shared" si="1"/>
        <v>&gt;&gt; 14° - [[Scheda 14° papa - Vittore I|Vittore I]]</v>
      </c>
    </row>
    <row r="13" spans="1:5" x14ac:dyDescent="0.35">
      <c r="A13" s="54">
        <v>8</v>
      </c>
      <c r="B13" s="54">
        <v>13</v>
      </c>
      <c r="C13" s="54" t="s">
        <v>5289</v>
      </c>
      <c r="D13" s="54" t="s">
        <v>5526</v>
      </c>
      <c r="E13" s="54" t="str">
        <f t="shared" si="1"/>
        <v>&gt;&gt; 13° - [[Scheda 13° papa - Eleuterio|Eleuterio]]</v>
      </c>
    </row>
    <row r="14" spans="1:5" x14ac:dyDescent="0.35">
      <c r="A14" s="54">
        <v>7</v>
      </c>
      <c r="B14" s="54">
        <v>12</v>
      </c>
      <c r="C14" s="54" t="s">
        <v>5289</v>
      </c>
      <c r="D14" s="54" t="s">
        <v>5527</v>
      </c>
      <c r="E14" s="54" t="str">
        <f t="shared" si="1"/>
        <v>&gt;&gt; 12° - [[Scheda 12° papa - Sotero|Sotero]]</v>
      </c>
    </row>
    <row r="15" spans="1:5" x14ac:dyDescent="0.35">
      <c r="A15" s="54">
        <v>6</v>
      </c>
      <c r="B15" s="54">
        <v>11</v>
      </c>
      <c r="C15" s="54" t="s">
        <v>5289</v>
      </c>
      <c r="D15" s="54" t="s">
        <v>5528</v>
      </c>
      <c r="E15" s="54" t="str">
        <f t="shared" si="1"/>
        <v>&gt;&gt; 11° - [[Scheda 11° papa - Aniceto|Aniceto]]</v>
      </c>
    </row>
    <row r="16" spans="1:5" x14ac:dyDescent="0.35">
      <c r="A16" s="54">
        <v>5</v>
      </c>
      <c r="B16" s="54">
        <v>10</v>
      </c>
      <c r="C16" s="54" t="s">
        <v>5289</v>
      </c>
      <c r="D16" s="54" t="s">
        <v>5529</v>
      </c>
      <c r="E16" s="54" t="str">
        <f t="shared" si="1"/>
        <v>&gt;&gt; 10° - [[Scheda 10° papa - Pio I|Pio I]]</v>
      </c>
    </row>
    <row r="17" spans="1:5" x14ac:dyDescent="0.35">
      <c r="A17" s="54">
        <v>4</v>
      </c>
      <c r="B17" s="54">
        <v>9</v>
      </c>
      <c r="C17" s="54" t="s">
        <v>5289</v>
      </c>
      <c r="D17" s="54" t="s">
        <v>5530</v>
      </c>
      <c r="E17" s="54" t="str">
        <f t="shared" si="1"/>
        <v>&gt;&gt; 9° - [[Scheda 9° papa - Igino|Igino]]</v>
      </c>
    </row>
    <row r="18" spans="1:5" x14ac:dyDescent="0.35">
      <c r="A18" s="54">
        <v>3</v>
      </c>
      <c r="B18" s="54">
        <v>8</v>
      </c>
      <c r="C18" s="54" t="s">
        <v>5289</v>
      </c>
      <c r="D18" s="54" t="s">
        <v>5531</v>
      </c>
      <c r="E18" s="54" t="str">
        <f t="shared" si="1"/>
        <v>&gt;&gt; 8° - [[Scheda 8° papa - Telesforo|Telesforo]]</v>
      </c>
    </row>
    <row r="19" spans="1:5" x14ac:dyDescent="0.35">
      <c r="A19" s="54">
        <v>2</v>
      </c>
      <c r="B19" s="54">
        <v>7</v>
      </c>
      <c r="C19" s="54" t="s">
        <v>5289</v>
      </c>
      <c r="D19" s="54" t="s">
        <v>5532</v>
      </c>
      <c r="E19" s="54" t="str">
        <f t="shared" si="1"/>
        <v>&gt;&gt; 7° - [[Scheda 7° papa - Sisto I|Sisto I]]</v>
      </c>
    </row>
    <row r="20" spans="1:5" x14ac:dyDescent="0.35">
      <c r="A20" s="54">
        <v>1</v>
      </c>
      <c r="B20" s="54">
        <v>6</v>
      </c>
      <c r="C20" s="54" t="s">
        <v>5289</v>
      </c>
      <c r="D20" s="54" t="s">
        <v>5533</v>
      </c>
      <c r="E20" s="54" t="str">
        <f t="shared" si="1"/>
        <v>&gt;&gt; 6° - [[Scheda 6° papa - Alessandro I|Alessandro I]]</v>
      </c>
    </row>
    <row r="21" spans="1:5" x14ac:dyDescent="0.35">
      <c r="B21" s="54" t="s">
        <v>5300</v>
      </c>
      <c r="E21" s="54" t="str">
        <f>B21</f>
        <v>&gt;</v>
      </c>
    </row>
    <row r="22" spans="1:5" x14ac:dyDescent="0.35">
      <c r="B22" s="54" t="s">
        <v>5141</v>
      </c>
      <c r="C22" s="54" t="s">
        <v>5245</v>
      </c>
      <c r="D22" s="54" t="s">
        <v>5288</v>
      </c>
      <c r="E22" s="54" t="str">
        <f>_xlfn.CONCAT(D22," ","[!info]- ",B22," ",C22)</f>
        <v>&gt;&gt; [!info]- III secolo</v>
      </c>
    </row>
    <row r="23" spans="1:5" x14ac:dyDescent="0.35">
      <c r="A23" s="54">
        <v>14</v>
      </c>
      <c r="B23" s="54">
        <v>29</v>
      </c>
      <c r="C23" s="54" t="s">
        <v>5289</v>
      </c>
      <c r="D23" s="54" t="s">
        <v>5510</v>
      </c>
      <c r="E23" s="54" t="str">
        <f t="shared" ref="E23:E36" si="2">_xlfn.CONCAT("&gt;&gt; ",B23,"° - ","[[Scheda ",B23,"° papa - ",D23,"|",D23,"]]")</f>
        <v>&gt;&gt; 29° - [[Scheda 29° papa - Marcellino|Marcellino]]</v>
      </c>
    </row>
    <row r="24" spans="1:5" x14ac:dyDescent="0.35">
      <c r="A24" s="54">
        <v>13</v>
      </c>
      <c r="B24" s="54">
        <v>28</v>
      </c>
      <c r="C24" s="54" t="s">
        <v>5289</v>
      </c>
      <c r="D24" s="54" t="s">
        <v>5511</v>
      </c>
      <c r="E24" s="54" t="str">
        <f t="shared" si="2"/>
        <v>&gt;&gt; 28° - [[Scheda 28° papa - Caio|Caio]]</v>
      </c>
    </row>
    <row r="25" spans="1:5" x14ac:dyDescent="0.35">
      <c r="A25" s="54">
        <v>12</v>
      </c>
      <c r="B25" s="54">
        <v>27</v>
      </c>
      <c r="C25" s="54" t="s">
        <v>5289</v>
      </c>
      <c r="D25" s="54" t="s">
        <v>5512</v>
      </c>
      <c r="E25" s="54" t="str">
        <f t="shared" si="2"/>
        <v>&gt;&gt; 27° - [[Scheda 27° papa - Eutichiano|Eutichiano]]</v>
      </c>
    </row>
    <row r="26" spans="1:5" x14ac:dyDescent="0.35">
      <c r="A26" s="54">
        <v>11</v>
      </c>
      <c r="B26" s="54">
        <v>26</v>
      </c>
      <c r="C26" s="54" t="s">
        <v>5289</v>
      </c>
      <c r="D26" s="54" t="s">
        <v>5513</v>
      </c>
      <c r="E26" s="54" t="str">
        <f t="shared" si="2"/>
        <v>&gt;&gt; 26° - [[Scheda 26° papa - Felice I|Felice I]]</v>
      </c>
    </row>
    <row r="27" spans="1:5" x14ac:dyDescent="0.35">
      <c r="A27" s="54">
        <v>10</v>
      </c>
      <c r="B27" s="54">
        <v>25</v>
      </c>
      <c r="C27" s="54" t="s">
        <v>5289</v>
      </c>
      <c r="D27" s="54" t="s">
        <v>5514</v>
      </c>
      <c r="E27" s="54" t="str">
        <f t="shared" si="2"/>
        <v>&gt;&gt; 25° - [[Scheda 25° papa - Dionisio|Dionisio]]</v>
      </c>
    </row>
    <row r="28" spans="1:5" x14ac:dyDescent="0.35">
      <c r="A28" s="54">
        <v>9</v>
      </c>
      <c r="B28" s="54">
        <v>24</v>
      </c>
      <c r="C28" s="54" t="s">
        <v>5289</v>
      </c>
      <c r="D28" s="54" t="s">
        <v>5515</v>
      </c>
      <c r="E28" s="54" t="str">
        <f t="shared" si="2"/>
        <v>&gt;&gt; 24° - [[Scheda 24° papa - Sisto II|Sisto II]]</v>
      </c>
    </row>
    <row r="29" spans="1:5" x14ac:dyDescent="0.35">
      <c r="A29" s="54">
        <v>8</v>
      </c>
      <c r="B29" s="54">
        <v>23</v>
      </c>
      <c r="C29" s="54" t="s">
        <v>5289</v>
      </c>
      <c r="D29" s="54" t="s">
        <v>5516</v>
      </c>
      <c r="E29" s="54" t="str">
        <f t="shared" si="2"/>
        <v>&gt;&gt; 23° - [[Scheda 23° papa - Stefano I|Stefano I]]</v>
      </c>
    </row>
    <row r="30" spans="1:5" x14ac:dyDescent="0.35">
      <c r="A30" s="54">
        <v>7</v>
      </c>
      <c r="B30" s="54">
        <v>22</v>
      </c>
      <c r="C30" s="54" t="s">
        <v>5289</v>
      </c>
      <c r="D30" s="54" t="s">
        <v>5517</v>
      </c>
      <c r="E30" s="54" t="str">
        <f t="shared" si="2"/>
        <v>&gt;&gt; 22° - [[Scheda 22° papa - Lucio I|Lucio I]]</v>
      </c>
    </row>
    <row r="31" spans="1:5" x14ac:dyDescent="0.35">
      <c r="A31" s="54">
        <v>6</v>
      </c>
      <c r="B31" s="54">
        <v>21</v>
      </c>
      <c r="C31" s="54" t="s">
        <v>5289</v>
      </c>
      <c r="D31" s="54" t="s">
        <v>5518</v>
      </c>
      <c r="E31" s="54" t="str">
        <f t="shared" si="2"/>
        <v>&gt;&gt; 21° - [[Scheda 21° papa - Cornelio|Cornelio]]</v>
      </c>
    </row>
    <row r="32" spans="1:5" x14ac:dyDescent="0.35">
      <c r="A32" s="54">
        <v>5</v>
      </c>
      <c r="B32" s="54">
        <v>20</v>
      </c>
      <c r="C32" s="54" t="s">
        <v>5289</v>
      </c>
      <c r="D32" s="54" t="s">
        <v>5519</v>
      </c>
      <c r="E32" s="54" t="str">
        <f t="shared" si="2"/>
        <v>&gt;&gt; 20° - [[Scheda 20° papa - Fabiano|Fabiano]]</v>
      </c>
    </row>
    <row r="33" spans="1:5" x14ac:dyDescent="0.35">
      <c r="A33" s="54">
        <v>4</v>
      </c>
      <c r="B33" s="54">
        <v>19</v>
      </c>
      <c r="C33" s="54" t="s">
        <v>5289</v>
      </c>
      <c r="D33" s="54" t="s">
        <v>5520</v>
      </c>
      <c r="E33" s="54" t="str">
        <f t="shared" si="2"/>
        <v>&gt;&gt; 19° - [[Scheda 19° papa - Antero|Antero]]</v>
      </c>
    </row>
    <row r="34" spans="1:5" x14ac:dyDescent="0.35">
      <c r="A34" s="54">
        <v>3</v>
      </c>
      <c r="B34" s="54">
        <v>18</v>
      </c>
      <c r="C34" s="54" t="s">
        <v>5289</v>
      </c>
      <c r="D34" s="54" t="s">
        <v>5521</v>
      </c>
      <c r="E34" s="54" t="str">
        <f t="shared" si="2"/>
        <v>&gt;&gt; 18° - [[Scheda 18° papa - Ponziano|Ponziano]]</v>
      </c>
    </row>
    <row r="35" spans="1:5" x14ac:dyDescent="0.35">
      <c r="A35" s="54">
        <v>2</v>
      </c>
      <c r="B35" s="54">
        <v>17</v>
      </c>
      <c r="C35" s="54" t="s">
        <v>5289</v>
      </c>
      <c r="D35" s="54" t="s">
        <v>5522</v>
      </c>
      <c r="E35" s="54" t="str">
        <f t="shared" si="2"/>
        <v>&gt;&gt; 17° - [[Scheda 17° papa - Urbano I|Urbano I]]</v>
      </c>
    </row>
    <row r="36" spans="1:5" x14ac:dyDescent="0.35">
      <c r="A36" s="54">
        <v>1</v>
      </c>
      <c r="B36" s="54">
        <v>16</v>
      </c>
      <c r="C36" s="54" t="s">
        <v>5289</v>
      </c>
      <c r="D36" s="54" t="s">
        <v>5523</v>
      </c>
      <c r="E36" s="54" t="str">
        <f t="shared" si="2"/>
        <v>&gt;&gt; 16° - [[Scheda 16° papa - Callisto I|Callisto I]]</v>
      </c>
    </row>
    <row r="37" spans="1:5" x14ac:dyDescent="0.35">
      <c r="B37" s="54" t="s">
        <v>5300</v>
      </c>
      <c r="E37" s="54" t="str">
        <f>B37</f>
        <v>&gt;</v>
      </c>
    </row>
    <row r="38" spans="1:5" x14ac:dyDescent="0.35">
      <c r="B38" s="54" t="s">
        <v>5142</v>
      </c>
      <c r="C38" s="54" t="s">
        <v>5245</v>
      </c>
      <c r="D38" s="54" t="s">
        <v>5288</v>
      </c>
      <c r="E38" s="54" t="str">
        <f>_xlfn.CONCAT(D38," ","[!info]- ",B38," ",C38)</f>
        <v>&gt;&gt; [!info]- IV secolo</v>
      </c>
    </row>
    <row r="39" spans="1:5" x14ac:dyDescent="0.35">
      <c r="A39" s="54">
        <v>10</v>
      </c>
      <c r="B39" s="54">
        <v>39</v>
      </c>
      <c r="C39" s="54" t="s">
        <v>5289</v>
      </c>
      <c r="D39" s="54" t="s">
        <v>5501</v>
      </c>
      <c r="E39" s="54" t="str">
        <f t="shared" ref="E39:E48" si="3">_xlfn.CONCAT("&gt;&gt; ",B39,"° - ","[[Scheda ",B39,"° papa - ",D39,"|",D39,"]]")</f>
        <v>&gt;&gt; 39° - [[Scheda 39° papa - Anastasio I|Anastasio I]]</v>
      </c>
    </row>
    <row r="40" spans="1:5" x14ac:dyDescent="0.35">
      <c r="A40" s="54">
        <v>9</v>
      </c>
      <c r="B40" s="54">
        <v>38</v>
      </c>
      <c r="C40" s="54" t="s">
        <v>5289</v>
      </c>
      <c r="D40" s="54" t="s">
        <v>5502</v>
      </c>
      <c r="E40" s="54" t="str">
        <f t="shared" si="3"/>
        <v>&gt;&gt; 38° - [[Scheda 38° papa - Siricio|Siricio]]</v>
      </c>
    </row>
    <row r="41" spans="1:5" x14ac:dyDescent="0.35">
      <c r="A41" s="54">
        <v>8</v>
      </c>
      <c r="B41" s="54">
        <v>37</v>
      </c>
      <c r="C41" s="54" t="s">
        <v>5289</v>
      </c>
      <c r="D41" s="54" t="s">
        <v>5503</v>
      </c>
      <c r="E41" s="54" t="str">
        <f t="shared" si="3"/>
        <v>&gt;&gt; 37° - [[Scheda 37° papa - Damaso I|Damaso I]]</v>
      </c>
    </row>
    <row r="42" spans="1:5" x14ac:dyDescent="0.35">
      <c r="A42" s="54">
        <v>7</v>
      </c>
      <c r="B42" s="54">
        <v>36</v>
      </c>
      <c r="C42" s="54" t="s">
        <v>5289</v>
      </c>
      <c r="D42" s="54" t="s">
        <v>5504</v>
      </c>
      <c r="E42" s="54" t="str">
        <f t="shared" si="3"/>
        <v>&gt;&gt; 36° - [[Scheda 36° papa - Liberio|Liberio]]</v>
      </c>
    </row>
    <row r="43" spans="1:5" x14ac:dyDescent="0.35">
      <c r="A43" s="54">
        <v>6</v>
      </c>
      <c r="B43" s="54">
        <v>35</v>
      </c>
      <c r="C43" s="54" t="s">
        <v>5289</v>
      </c>
      <c r="D43" s="54" t="s">
        <v>5505</v>
      </c>
      <c r="E43" s="54" t="str">
        <f t="shared" si="3"/>
        <v>&gt;&gt; 35° - [[Scheda 35° papa - Giulio I|Giulio I]]</v>
      </c>
    </row>
    <row r="44" spans="1:5" x14ac:dyDescent="0.35">
      <c r="A44" s="54">
        <v>5</v>
      </c>
      <c r="B44" s="54">
        <v>34</v>
      </c>
      <c r="C44" s="54" t="s">
        <v>5289</v>
      </c>
      <c r="D44" s="54" t="s">
        <v>2505</v>
      </c>
      <c r="E44" s="54" t="str">
        <f t="shared" si="3"/>
        <v>&gt;&gt; 34° - [[Scheda 34° papa - Marco|Marco]]</v>
      </c>
    </row>
    <row r="45" spans="1:5" x14ac:dyDescent="0.35">
      <c r="A45" s="54">
        <v>4</v>
      </c>
      <c r="B45" s="54">
        <v>33</v>
      </c>
      <c r="C45" s="54" t="s">
        <v>5289</v>
      </c>
      <c r="D45" s="54" t="s">
        <v>5506</v>
      </c>
      <c r="E45" s="54" t="str">
        <f t="shared" si="3"/>
        <v>&gt;&gt; 33° - [[Scheda 33° papa - Silvestro I|Silvestro I]]</v>
      </c>
    </row>
    <row r="46" spans="1:5" x14ac:dyDescent="0.35">
      <c r="A46" s="54">
        <v>3</v>
      </c>
      <c r="B46" s="54">
        <v>32</v>
      </c>
      <c r="C46" s="54" t="s">
        <v>5289</v>
      </c>
      <c r="D46" s="54" t="s">
        <v>5507</v>
      </c>
      <c r="E46" s="54" t="str">
        <f t="shared" si="3"/>
        <v>&gt;&gt; 32° - [[Scheda 32° papa - Milziade|Milziade]]</v>
      </c>
    </row>
    <row r="47" spans="1:5" x14ac:dyDescent="0.35">
      <c r="A47" s="54">
        <v>2</v>
      </c>
      <c r="B47" s="54">
        <v>31</v>
      </c>
      <c r="C47" s="54" t="s">
        <v>5289</v>
      </c>
      <c r="D47" s="54" t="s">
        <v>5508</v>
      </c>
      <c r="E47" s="54" t="str">
        <f t="shared" si="3"/>
        <v>&gt;&gt; 31° - [[Scheda 31° papa - Eusebio|Eusebio]]</v>
      </c>
    </row>
    <row r="48" spans="1:5" x14ac:dyDescent="0.35">
      <c r="A48" s="54">
        <v>1</v>
      </c>
      <c r="B48" s="54">
        <v>30</v>
      </c>
      <c r="C48" s="54" t="s">
        <v>5289</v>
      </c>
      <c r="D48" s="54" t="s">
        <v>5509</v>
      </c>
      <c r="E48" s="54" t="str">
        <f t="shared" si="3"/>
        <v>&gt;&gt; 30° - [[Scheda 30° papa - Marcello I|Marcello I]]</v>
      </c>
    </row>
    <row r="49" spans="1:5" x14ac:dyDescent="0.35">
      <c r="B49" s="54" t="s">
        <v>5300</v>
      </c>
      <c r="E49" s="54" t="str">
        <f>B49</f>
        <v>&gt;</v>
      </c>
    </row>
    <row r="50" spans="1:5" x14ac:dyDescent="0.35">
      <c r="B50" s="54" t="s">
        <v>5143</v>
      </c>
      <c r="C50" s="54" t="s">
        <v>5245</v>
      </c>
      <c r="D50" s="54" t="s">
        <v>5288</v>
      </c>
      <c r="E50" s="54" t="str">
        <f>_xlfn.CONCAT(D50," ","[!info]- ",B50," ",C50)</f>
        <v>&gt;&gt; [!info]- V secolo</v>
      </c>
    </row>
    <row r="51" spans="1:5" x14ac:dyDescent="0.35">
      <c r="A51" s="54">
        <v>12</v>
      </c>
      <c r="B51" s="54">
        <v>51</v>
      </c>
      <c r="C51" s="54" t="s">
        <v>5289</v>
      </c>
      <c r="D51" s="54" t="s">
        <v>5489</v>
      </c>
      <c r="E51" s="54" t="str">
        <f t="shared" ref="E51:E62" si="4">_xlfn.CONCAT("&gt;&gt; ",B51,"° - ","[[Scheda ",B51,"° papa - ",D51,"|",D51,"]]")</f>
        <v>&gt;&gt; 51° - [[Scheda 51° papa - Simmaco|Simmaco]]</v>
      </c>
    </row>
    <row r="52" spans="1:5" x14ac:dyDescent="0.35">
      <c r="A52" s="54">
        <v>11</v>
      </c>
      <c r="B52" s="54">
        <v>50</v>
      </c>
      <c r="C52" s="54" t="s">
        <v>5289</v>
      </c>
      <c r="D52" s="54" t="s">
        <v>5490</v>
      </c>
      <c r="E52" s="54" t="str">
        <f t="shared" si="4"/>
        <v>&gt;&gt; 50° - [[Scheda 50° papa - Anastasio II|Anastasio II]]</v>
      </c>
    </row>
    <row r="53" spans="1:5" x14ac:dyDescent="0.35">
      <c r="A53" s="54">
        <v>10</v>
      </c>
      <c r="B53" s="54">
        <v>49</v>
      </c>
      <c r="C53" s="54" t="s">
        <v>5289</v>
      </c>
      <c r="D53" s="54" t="s">
        <v>5491</v>
      </c>
      <c r="E53" s="54" t="str">
        <f t="shared" si="4"/>
        <v>&gt;&gt; 49° - [[Scheda 49° papa - Gelasio I|Gelasio I]]</v>
      </c>
    </row>
    <row r="54" spans="1:5" x14ac:dyDescent="0.35">
      <c r="A54" s="54">
        <v>9</v>
      </c>
      <c r="B54" s="54">
        <v>48</v>
      </c>
      <c r="C54" s="54" t="s">
        <v>5289</v>
      </c>
      <c r="D54" s="54" t="s">
        <v>5492</v>
      </c>
      <c r="E54" s="54" t="str">
        <f t="shared" si="4"/>
        <v>&gt;&gt; 48° - [[Scheda 48° papa - Felice III|Felice III]]</v>
      </c>
    </row>
    <row r="55" spans="1:5" x14ac:dyDescent="0.35">
      <c r="A55" s="54">
        <v>8</v>
      </c>
      <c r="B55" s="54">
        <v>47</v>
      </c>
      <c r="C55" s="54" t="s">
        <v>5289</v>
      </c>
      <c r="D55" s="54" t="s">
        <v>5493</v>
      </c>
      <c r="E55" s="54" t="str">
        <f t="shared" si="4"/>
        <v>&gt;&gt; 47° - [[Scheda 47° papa - Simplicio|Simplicio]]</v>
      </c>
    </row>
    <row r="56" spans="1:5" x14ac:dyDescent="0.35">
      <c r="A56" s="54">
        <v>7</v>
      </c>
      <c r="B56" s="54">
        <v>46</v>
      </c>
      <c r="C56" s="54" t="s">
        <v>5289</v>
      </c>
      <c r="D56" s="54" t="s">
        <v>5494</v>
      </c>
      <c r="E56" s="54" t="str">
        <f t="shared" si="4"/>
        <v>&gt;&gt; 46° - [[Scheda 46° papa - Ilario|Ilario]]</v>
      </c>
    </row>
    <row r="57" spans="1:5" x14ac:dyDescent="0.35">
      <c r="A57" s="54">
        <v>6</v>
      </c>
      <c r="B57" s="54">
        <v>45</v>
      </c>
      <c r="C57" s="54" t="s">
        <v>5289</v>
      </c>
      <c r="D57" s="54" t="s">
        <v>5495</v>
      </c>
      <c r="E57" s="54" t="str">
        <f t="shared" si="4"/>
        <v>&gt;&gt; 45° - [[Scheda 45° papa - Leone I|Leone I]]</v>
      </c>
    </row>
    <row r="58" spans="1:5" x14ac:dyDescent="0.35">
      <c r="A58" s="54">
        <v>5</v>
      </c>
      <c r="B58" s="54">
        <v>44</v>
      </c>
      <c r="C58" s="54" t="s">
        <v>5289</v>
      </c>
      <c r="D58" s="54" t="s">
        <v>5496</v>
      </c>
      <c r="E58" s="54" t="str">
        <f t="shared" si="4"/>
        <v>&gt;&gt; 44° - [[Scheda 44° papa - Sisto III|Sisto III]]</v>
      </c>
    </row>
    <row r="59" spans="1:5" x14ac:dyDescent="0.35">
      <c r="A59" s="54">
        <v>4</v>
      </c>
      <c r="B59" s="54">
        <v>43</v>
      </c>
      <c r="C59" s="54" t="s">
        <v>5289</v>
      </c>
      <c r="D59" s="54" t="s">
        <v>5497</v>
      </c>
      <c r="E59" s="54" t="str">
        <f t="shared" si="4"/>
        <v>&gt;&gt; 43° - [[Scheda 43° papa - Celestino I|Celestino I]]</v>
      </c>
    </row>
    <row r="60" spans="1:5" x14ac:dyDescent="0.35">
      <c r="A60" s="54">
        <v>3</v>
      </c>
      <c r="B60" s="54">
        <v>42</v>
      </c>
      <c r="C60" s="54" t="s">
        <v>5289</v>
      </c>
      <c r="D60" s="54" t="s">
        <v>5498</v>
      </c>
      <c r="E60" s="54" t="str">
        <f t="shared" si="4"/>
        <v>&gt;&gt; 42° - [[Scheda 42° papa - Bonifacio I|Bonifacio I]]</v>
      </c>
    </row>
    <row r="61" spans="1:5" x14ac:dyDescent="0.35">
      <c r="A61" s="54">
        <v>2</v>
      </c>
      <c r="B61" s="54">
        <v>41</v>
      </c>
      <c r="C61" s="54" t="s">
        <v>5289</v>
      </c>
      <c r="D61" s="54" t="s">
        <v>5499</v>
      </c>
      <c r="E61" s="54" t="str">
        <f t="shared" si="4"/>
        <v>&gt;&gt; 41° - [[Scheda 41° papa - Zosimo|Zosimo]]</v>
      </c>
    </row>
    <row r="62" spans="1:5" x14ac:dyDescent="0.35">
      <c r="A62" s="54">
        <v>1</v>
      </c>
      <c r="B62" s="54">
        <v>40</v>
      </c>
      <c r="C62" s="54" t="s">
        <v>5289</v>
      </c>
      <c r="D62" s="54" t="s">
        <v>5500</v>
      </c>
      <c r="E62" s="54" t="str">
        <f t="shared" si="4"/>
        <v>&gt;&gt; 40° - [[Scheda 40° papa - Innocenzo I|Innocenzo I]]</v>
      </c>
    </row>
    <row r="63" spans="1:5" x14ac:dyDescent="0.35">
      <c r="B63" s="54" t="s">
        <v>5300</v>
      </c>
      <c r="E63" s="54" t="str">
        <f>B63</f>
        <v>&gt;</v>
      </c>
    </row>
    <row r="64" spans="1:5" x14ac:dyDescent="0.35">
      <c r="B64" s="54" t="s">
        <v>714</v>
      </c>
      <c r="C64" s="54" t="s">
        <v>5245</v>
      </c>
      <c r="D64" s="54" t="s">
        <v>5288</v>
      </c>
      <c r="E64" s="54" t="str">
        <f>_xlfn.CONCAT(D64," ","[!info]- ",B64," ",C64)</f>
        <v>&gt;&gt; [!info]- VI secolo</v>
      </c>
    </row>
    <row r="65" spans="1:5" x14ac:dyDescent="0.35">
      <c r="A65" s="54">
        <v>13</v>
      </c>
      <c r="B65" s="54">
        <v>64</v>
      </c>
      <c r="C65" s="54" t="s">
        <v>5289</v>
      </c>
      <c r="D65" s="54" t="s">
        <v>5476</v>
      </c>
      <c r="E65" s="54" t="str">
        <f t="shared" ref="E65:E77" si="5">_xlfn.CONCAT("&gt;&gt; ",B65,"° - ","[[Scheda ",B65,"° papa - ",D65,"|",D65,"]]")</f>
        <v>&gt;&gt; 64° - [[Scheda 64° papa - Gregorio I|Gregorio I]]</v>
      </c>
    </row>
    <row r="66" spans="1:5" x14ac:dyDescent="0.35">
      <c r="A66" s="54">
        <v>12</v>
      </c>
      <c r="B66" s="54">
        <v>63</v>
      </c>
      <c r="C66" s="54" t="s">
        <v>5289</v>
      </c>
      <c r="D66" s="54" t="s">
        <v>5477</v>
      </c>
      <c r="E66" s="54" t="str">
        <f t="shared" si="5"/>
        <v>&gt;&gt; 63° - [[Scheda 63° papa - Pelagio II|Pelagio II]]</v>
      </c>
    </row>
    <row r="67" spans="1:5" x14ac:dyDescent="0.35">
      <c r="A67" s="54">
        <v>11</v>
      </c>
      <c r="B67" s="54">
        <v>62</v>
      </c>
      <c r="C67" s="54" t="s">
        <v>5289</v>
      </c>
      <c r="D67" s="54" t="s">
        <v>5478</v>
      </c>
      <c r="E67" s="54" t="str">
        <f t="shared" si="5"/>
        <v>&gt;&gt; 62° - [[Scheda 62° papa - Benedetto I|Benedetto I]]</v>
      </c>
    </row>
    <row r="68" spans="1:5" x14ac:dyDescent="0.35">
      <c r="A68" s="54">
        <v>10</v>
      </c>
      <c r="B68" s="54">
        <v>61</v>
      </c>
      <c r="C68" s="54" t="s">
        <v>5289</v>
      </c>
      <c r="D68" s="54" t="s">
        <v>5479</v>
      </c>
      <c r="E68" s="54" t="str">
        <f t="shared" si="5"/>
        <v>&gt;&gt; 61° - [[Scheda 61° papa - Giovanni III|Giovanni III]]</v>
      </c>
    </row>
    <row r="69" spans="1:5" x14ac:dyDescent="0.35">
      <c r="A69" s="54">
        <v>9</v>
      </c>
      <c r="B69" s="54">
        <v>60</v>
      </c>
      <c r="C69" s="54" t="s">
        <v>5289</v>
      </c>
      <c r="D69" s="54" t="s">
        <v>5480</v>
      </c>
      <c r="E69" s="54" t="str">
        <f t="shared" si="5"/>
        <v>&gt;&gt; 60° - [[Scheda 60° papa - Pelagio I|Pelagio I]]</v>
      </c>
    </row>
    <row r="70" spans="1:5" x14ac:dyDescent="0.35">
      <c r="A70" s="54">
        <v>8</v>
      </c>
      <c r="B70" s="54">
        <v>59</v>
      </c>
      <c r="C70" s="54" t="s">
        <v>5289</v>
      </c>
      <c r="D70" s="54" t="s">
        <v>5481</v>
      </c>
      <c r="E70" s="54" t="str">
        <f t="shared" si="5"/>
        <v>&gt;&gt; 59° - [[Scheda 59° papa - Vigilio|Vigilio]]</v>
      </c>
    </row>
    <row r="71" spans="1:5" x14ac:dyDescent="0.35">
      <c r="A71" s="54">
        <v>7</v>
      </c>
      <c r="B71" s="54">
        <v>58</v>
      </c>
      <c r="C71" s="54" t="s">
        <v>5289</v>
      </c>
      <c r="D71" s="54" t="s">
        <v>5482</v>
      </c>
      <c r="E71" s="54" t="str">
        <f t="shared" si="5"/>
        <v>&gt;&gt; 58° - [[Scheda 58° papa - Silverio|Silverio]]</v>
      </c>
    </row>
    <row r="72" spans="1:5" x14ac:dyDescent="0.35">
      <c r="A72" s="54">
        <v>6</v>
      </c>
      <c r="B72" s="54">
        <v>57</v>
      </c>
      <c r="C72" s="54" t="s">
        <v>5289</v>
      </c>
      <c r="D72" s="54" t="s">
        <v>5483</v>
      </c>
      <c r="E72" s="54" t="str">
        <f t="shared" si="5"/>
        <v>&gt;&gt; 57° - [[Scheda 57° papa - Agapito I|Agapito I]]</v>
      </c>
    </row>
    <row r="73" spans="1:5" x14ac:dyDescent="0.35">
      <c r="A73" s="54">
        <v>5</v>
      </c>
      <c r="B73" s="54">
        <v>56</v>
      </c>
      <c r="C73" s="54" t="s">
        <v>5289</v>
      </c>
      <c r="D73" s="54" t="s">
        <v>5484</v>
      </c>
      <c r="E73" s="54" t="str">
        <f t="shared" si="5"/>
        <v>&gt;&gt; 56° - [[Scheda 56° papa - Giovanni II|Giovanni II]]</v>
      </c>
    </row>
    <row r="74" spans="1:5" x14ac:dyDescent="0.35">
      <c r="A74" s="54">
        <v>4</v>
      </c>
      <c r="B74" s="54">
        <v>55</v>
      </c>
      <c r="C74" s="54" t="s">
        <v>5289</v>
      </c>
      <c r="D74" s="54" t="s">
        <v>5485</v>
      </c>
      <c r="E74" s="54" t="str">
        <f t="shared" si="5"/>
        <v>&gt;&gt; 55° - [[Scheda 55° papa - Bonifacio II|Bonifacio II]]</v>
      </c>
    </row>
    <row r="75" spans="1:5" x14ac:dyDescent="0.35">
      <c r="A75" s="54">
        <v>3</v>
      </c>
      <c r="B75" s="54">
        <v>54</v>
      </c>
      <c r="C75" s="54" t="s">
        <v>5289</v>
      </c>
      <c r="D75" s="54" t="s">
        <v>5486</v>
      </c>
      <c r="E75" s="54" t="str">
        <f t="shared" si="5"/>
        <v>&gt;&gt; 54° - [[Scheda 54° papa - Felice IV|Felice IV]]</v>
      </c>
    </row>
    <row r="76" spans="1:5" x14ac:dyDescent="0.35">
      <c r="A76" s="54">
        <v>2</v>
      </c>
      <c r="B76" s="54">
        <v>53</v>
      </c>
      <c r="C76" s="54" t="s">
        <v>5289</v>
      </c>
      <c r="D76" s="54" t="s">
        <v>5487</v>
      </c>
      <c r="E76" s="54" t="str">
        <f t="shared" si="5"/>
        <v>&gt;&gt; 53° - [[Scheda 53° papa - Giovanni I|Giovanni I]]</v>
      </c>
    </row>
    <row r="77" spans="1:5" x14ac:dyDescent="0.35">
      <c r="A77" s="54">
        <v>1</v>
      </c>
      <c r="B77" s="54">
        <v>52</v>
      </c>
      <c r="C77" s="54" t="s">
        <v>5289</v>
      </c>
      <c r="D77" s="54" t="s">
        <v>5488</v>
      </c>
      <c r="E77" s="54" t="str">
        <f t="shared" si="5"/>
        <v>&gt;&gt; 52° - [[Scheda 52° papa - Ormisda|Ormisda]]</v>
      </c>
    </row>
    <row r="78" spans="1:5" x14ac:dyDescent="0.35">
      <c r="B78" s="54" t="s">
        <v>5300</v>
      </c>
      <c r="E78" s="54" t="str">
        <f>B78</f>
        <v>&gt;</v>
      </c>
    </row>
    <row r="79" spans="1:5" x14ac:dyDescent="0.35">
      <c r="B79" s="54" t="s">
        <v>720</v>
      </c>
      <c r="C79" s="54" t="s">
        <v>5245</v>
      </c>
      <c r="D79" s="54" t="s">
        <v>5288</v>
      </c>
      <c r="E79" s="54" t="str">
        <f>_xlfn.CONCAT(D79," ","[!info]- ",B79," ",C79)</f>
        <v>&gt;&gt; [!info]- VII secolo</v>
      </c>
    </row>
    <row r="80" spans="1:5" x14ac:dyDescent="0.35">
      <c r="A80" s="54">
        <v>20</v>
      </c>
      <c r="B80" s="54">
        <v>84</v>
      </c>
      <c r="C80" s="54" t="s">
        <v>5289</v>
      </c>
      <c r="D80" s="54" t="s">
        <v>5456</v>
      </c>
      <c r="E80" s="54" t="str">
        <f t="shared" ref="E80:E99" si="6">_xlfn.CONCAT("&gt;&gt; ",B80,"° - ","[[Scheda ",B80,"° papa - ",D80,"|",D80,"]]")</f>
        <v>&gt;&gt; 84° - [[Scheda 84° papa - Sergio I|Sergio I]]</v>
      </c>
    </row>
    <row r="81" spans="1:5" x14ac:dyDescent="0.35">
      <c r="A81" s="54">
        <v>19</v>
      </c>
      <c r="B81" s="54">
        <v>83</v>
      </c>
      <c r="C81" s="54" t="s">
        <v>5289</v>
      </c>
      <c r="D81" s="54" t="s">
        <v>5457</v>
      </c>
      <c r="E81" s="54" t="str">
        <f t="shared" si="6"/>
        <v>&gt;&gt; 83° - [[Scheda 83° papa - Conone|Conone]]</v>
      </c>
    </row>
    <row r="82" spans="1:5" x14ac:dyDescent="0.35">
      <c r="A82" s="54">
        <v>18</v>
      </c>
      <c r="B82" s="54">
        <v>82</v>
      </c>
      <c r="C82" s="54" t="s">
        <v>5289</v>
      </c>
      <c r="D82" s="54" t="s">
        <v>5458</v>
      </c>
      <c r="E82" s="54" t="str">
        <f t="shared" si="6"/>
        <v>&gt;&gt; 82° - [[Scheda 82° papa - Giovanni V|Giovanni V]]</v>
      </c>
    </row>
    <row r="83" spans="1:5" x14ac:dyDescent="0.35">
      <c r="A83" s="54">
        <v>17</v>
      </c>
      <c r="B83" s="54">
        <v>81</v>
      </c>
      <c r="C83" s="54" t="s">
        <v>5289</v>
      </c>
      <c r="D83" s="54" t="s">
        <v>5459</v>
      </c>
      <c r="E83" s="54" t="str">
        <f t="shared" si="6"/>
        <v>&gt;&gt; 81° - [[Scheda 81° papa - Benedetto II|Benedetto II]]</v>
      </c>
    </row>
    <row r="84" spans="1:5" x14ac:dyDescent="0.35">
      <c r="A84" s="54">
        <v>16</v>
      </c>
      <c r="B84" s="54">
        <v>80</v>
      </c>
      <c r="C84" s="54" t="s">
        <v>5289</v>
      </c>
      <c r="D84" s="54" t="s">
        <v>5460</v>
      </c>
      <c r="E84" s="54" t="str">
        <f t="shared" si="6"/>
        <v>&gt;&gt; 80° - [[Scheda 80° papa - Leone II|Leone II]]</v>
      </c>
    </row>
    <row r="85" spans="1:5" x14ac:dyDescent="0.35">
      <c r="A85" s="54">
        <v>15</v>
      </c>
      <c r="B85" s="54">
        <v>79</v>
      </c>
      <c r="C85" s="54" t="s">
        <v>5289</v>
      </c>
      <c r="D85" s="54" t="s">
        <v>5461</v>
      </c>
      <c r="E85" s="54" t="str">
        <f t="shared" si="6"/>
        <v>&gt;&gt; 79° - [[Scheda 79° papa - Agatone|Agatone]]</v>
      </c>
    </row>
    <row r="86" spans="1:5" x14ac:dyDescent="0.35">
      <c r="A86" s="54">
        <v>14</v>
      </c>
      <c r="B86" s="54">
        <v>78</v>
      </c>
      <c r="C86" s="54" t="s">
        <v>5289</v>
      </c>
      <c r="D86" s="54" t="s">
        <v>5462</v>
      </c>
      <c r="E86" s="54" t="str">
        <f t="shared" si="6"/>
        <v>&gt;&gt; 78° - [[Scheda 78° papa - Dono|Dono]]</v>
      </c>
    </row>
    <row r="87" spans="1:5" x14ac:dyDescent="0.35">
      <c r="A87" s="54">
        <v>13</v>
      </c>
      <c r="B87" s="54">
        <v>77</v>
      </c>
      <c r="C87" s="54" t="s">
        <v>5289</v>
      </c>
      <c r="D87" s="54" t="s">
        <v>5463</v>
      </c>
      <c r="E87" s="54" t="str">
        <f t="shared" si="6"/>
        <v>&gt;&gt; 77° - [[Scheda 77° papa - Adeodato II|Adeodato II]]</v>
      </c>
    </row>
    <row r="88" spans="1:5" x14ac:dyDescent="0.35">
      <c r="A88" s="54">
        <v>12</v>
      </c>
      <c r="B88" s="54">
        <v>76</v>
      </c>
      <c r="C88" s="54" t="s">
        <v>5289</v>
      </c>
      <c r="D88" s="54" t="s">
        <v>5464</v>
      </c>
      <c r="E88" s="54" t="str">
        <f t="shared" si="6"/>
        <v>&gt;&gt; 76° - [[Scheda 76° papa - Vitaliano|Vitaliano]]</v>
      </c>
    </row>
    <row r="89" spans="1:5" x14ac:dyDescent="0.35">
      <c r="A89" s="54">
        <v>11</v>
      </c>
      <c r="B89" s="54">
        <v>75</v>
      </c>
      <c r="C89" s="54" t="s">
        <v>5289</v>
      </c>
      <c r="D89" s="54" t="s">
        <v>5465</v>
      </c>
      <c r="E89" s="54" t="str">
        <f t="shared" si="6"/>
        <v>&gt;&gt; 75° - [[Scheda 75° papa - Eugenio I|Eugenio I]]</v>
      </c>
    </row>
    <row r="90" spans="1:5" x14ac:dyDescent="0.35">
      <c r="A90" s="54">
        <v>10</v>
      </c>
      <c r="B90" s="54">
        <v>74</v>
      </c>
      <c r="C90" s="54" t="s">
        <v>5289</v>
      </c>
      <c r="D90" s="54" t="s">
        <v>5466</v>
      </c>
      <c r="E90" s="54" t="str">
        <f t="shared" si="6"/>
        <v>&gt;&gt; 74° - [[Scheda 74° papa - Martino I|Martino I]]</v>
      </c>
    </row>
    <row r="91" spans="1:5" x14ac:dyDescent="0.35">
      <c r="A91" s="54">
        <v>9</v>
      </c>
      <c r="B91" s="54">
        <v>73</v>
      </c>
      <c r="C91" s="54" t="s">
        <v>5289</v>
      </c>
      <c r="D91" s="54" t="s">
        <v>5467</v>
      </c>
      <c r="E91" s="54" t="str">
        <f t="shared" si="6"/>
        <v>&gt;&gt; 73° - [[Scheda 73° papa - Teodoro I|Teodoro I]]</v>
      </c>
    </row>
    <row r="92" spans="1:5" x14ac:dyDescent="0.35">
      <c r="A92" s="54">
        <v>8</v>
      </c>
      <c r="B92" s="54">
        <v>72</v>
      </c>
      <c r="C92" s="54" t="s">
        <v>5289</v>
      </c>
      <c r="D92" s="54" t="s">
        <v>5468</v>
      </c>
      <c r="E92" s="54" t="str">
        <f t="shared" si="6"/>
        <v>&gt;&gt; 72° - [[Scheda 72° papa - Giovanni IV|Giovanni IV]]</v>
      </c>
    </row>
    <row r="93" spans="1:5" x14ac:dyDescent="0.35">
      <c r="A93" s="54">
        <v>7</v>
      </c>
      <c r="B93" s="54">
        <v>71</v>
      </c>
      <c r="C93" s="54" t="s">
        <v>5289</v>
      </c>
      <c r="D93" s="54" t="s">
        <v>5469</v>
      </c>
      <c r="E93" s="54" t="str">
        <f t="shared" si="6"/>
        <v>&gt;&gt; 71° - [[Scheda 71° papa - Severino|Severino]]</v>
      </c>
    </row>
    <row r="94" spans="1:5" x14ac:dyDescent="0.35">
      <c r="A94" s="54">
        <v>6</v>
      </c>
      <c r="B94" s="54">
        <v>70</v>
      </c>
      <c r="C94" s="54" t="s">
        <v>5289</v>
      </c>
      <c r="D94" s="54" t="s">
        <v>5470</v>
      </c>
      <c r="E94" s="54" t="str">
        <f t="shared" si="6"/>
        <v>&gt;&gt; 70° - [[Scheda 70° papa - Onorio I|Onorio I]]</v>
      </c>
    </row>
    <row r="95" spans="1:5" x14ac:dyDescent="0.35">
      <c r="A95" s="54">
        <v>5</v>
      </c>
      <c r="B95" s="54">
        <v>69</v>
      </c>
      <c r="C95" s="54" t="s">
        <v>5289</v>
      </c>
      <c r="D95" s="54" t="s">
        <v>5471</v>
      </c>
      <c r="E95" s="54" t="str">
        <f t="shared" si="6"/>
        <v>&gt;&gt; 69° - [[Scheda 69° papa - Bonifacio V|Bonifacio V]]</v>
      </c>
    </row>
    <row r="96" spans="1:5" x14ac:dyDescent="0.35">
      <c r="A96" s="54">
        <v>4</v>
      </c>
      <c r="B96" s="54">
        <v>68</v>
      </c>
      <c r="C96" s="54" t="s">
        <v>5289</v>
      </c>
      <c r="D96" s="54" t="s">
        <v>5472</v>
      </c>
      <c r="E96" s="54" t="str">
        <f t="shared" si="6"/>
        <v>&gt;&gt; 68° - [[Scheda 68° papa - Adeodato I|Adeodato I]]</v>
      </c>
    </row>
    <row r="97" spans="1:5" x14ac:dyDescent="0.35">
      <c r="A97" s="54">
        <v>3</v>
      </c>
      <c r="B97" s="54">
        <v>67</v>
      </c>
      <c r="C97" s="54" t="s">
        <v>5289</v>
      </c>
      <c r="D97" s="54" t="s">
        <v>5473</v>
      </c>
      <c r="E97" s="54" t="str">
        <f t="shared" si="6"/>
        <v>&gt;&gt; 67° - [[Scheda 67° papa - Bonifacio IV|Bonifacio IV]]</v>
      </c>
    </row>
    <row r="98" spans="1:5" x14ac:dyDescent="0.35">
      <c r="A98" s="54">
        <v>2</v>
      </c>
      <c r="B98" s="54">
        <v>66</v>
      </c>
      <c r="C98" s="54" t="s">
        <v>5289</v>
      </c>
      <c r="D98" s="54" t="s">
        <v>5474</v>
      </c>
      <c r="E98" s="54" t="str">
        <f t="shared" si="6"/>
        <v>&gt;&gt; 66° - [[Scheda 66° papa - Bonifacio III|Bonifacio III]]</v>
      </c>
    </row>
    <row r="99" spans="1:5" x14ac:dyDescent="0.35">
      <c r="A99" s="54">
        <v>1</v>
      </c>
      <c r="B99" s="54">
        <v>65</v>
      </c>
      <c r="C99" s="54" t="s">
        <v>5289</v>
      </c>
      <c r="D99" s="54" t="s">
        <v>5475</v>
      </c>
      <c r="E99" s="54" t="str">
        <f t="shared" si="6"/>
        <v>&gt;&gt; 65° - [[Scheda 65° papa - Sabiniano|Sabiniano]]</v>
      </c>
    </row>
    <row r="100" spans="1:5" x14ac:dyDescent="0.35">
      <c r="B100" s="54" t="s">
        <v>5300</v>
      </c>
      <c r="E100" s="54" t="str">
        <f>B100</f>
        <v>&gt;</v>
      </c>
    </row>
    <row r="101" spans="1:5" x14ac:dyDescent="0.35">
      <c r="B101" s="54" t="s">
        <v>726</v>
      </c>
      <c r="C101" s="54" t="s">
        <v>5245</v>
      </c>
      <c r="D101" s="54" t="s">
        <v>5288</v>
      </c>
      <c r="E101" s="54" t="str">
        <f>_xlfn.CONCAT(D101," ","[!info]- ",B101," ",C101)</f>
        <v>&gt;&gt; [!info]- VIII secolo</v>
      </c>
    </row>
    <row r="102" spans="1:5" x14ac:dyDescent="0.35">
      <c r="A102" s="54">
        <v>12</v>
      </c>
      <c r="B102" s="54">
        <v>96</v>
      </c>
      <c r="C102" s="54" t="s">
        <v>5289</v>
      </c>
      <c r="D102" s="54" t="s">
        <v>5445</v>
      </c>
      <c r="E102" s="54" t="str">
        <f t="shared" ref="E102:E113" si="7">_xlfn.CONCAT("&gt;&gt; ",B102,"° - ","[[Scheda ",B102,"° papa - ",D102,"|",D102,"]]")</f>
        <v>&gt;&gt; 96° - [[Scheda 96° papa - Leone III|Leone III]]</v>
      </c>
    </row>
    <row r="103" spans="1:5" x14ac:dyDescent="0.35">
      <c r="A103" s="54">
        <v>11</v>
      </c>
      <c r="B103" s="54">
        <v>95</v>
      </c>
      <c r="C103" s="54" t="s">
        <v>5289</v>
      </c>
      <c r="D103" s="54" t="s">
        <v>5446</v>
      </c>
      <c r="E103" s="54" t="str">
        <f t="shared" si="7"/>
        <v>&gt;&gt; 95° - [[Scheda 95° papa - Adriano I|Adriano I]]</v>
      </c>
    </row>
    <row r="104" spans="1:5" x14ac:dyDescent="0.35">
      <c r="A104" s="54">
        <v>10</v>
      </c>
      <c r="B104" s="54">
        <v>94</v>
      </c>
      <c r="C104" s="54" t="s">
        <v>5289</v>
      </c>
      <c r="D104" s="54" t="s">
        <v>5447</v>
      </c>
      <c r="E104" s="54" t="str">
        <f t="shared" si="7"/>
        <v>&gt;&gt; 94° - [[Scheda 94° papa - Stefano III|Stefano III]]</v>
      </c>
    </row>
    <row r="105" spans="1:5" x14ac:dyDescent="0.35">
      <c r="A105" s="54">
        <v>9</v>
      </c>
      <c r="B105" s="54">
        <v>93</v>
      </c>
      <c r="C105" s="54" t="s">
        <v>5289</v>
      </c>
      <c r="D105" s="54" t="s">
        <v>5448</v>
      </c>
      <c r="E105" s="54" t="str">
        <f t="shared" si="7"/>
        <v>&gt;&gt; 93° - [[Scheda 93° papa - Paolo I|Paolo I]]</v>
      </c>
    </row>
    <row r="106" spans="1:5" x14ac:dyDescent="0.35">
      <c r="A106" s="54">
        <v>8</v>
      </c>
      <c r="B106" s="54">
        <v>92</v>
      </c>
      <c r="C106" s="54" t="s">
        <v>5289</v>
      </c>
      <c r="D106" s="54" t="s">
        <v>5449</v>
      </c>
      <c r="E106" s="54" t="str">
        <f t="shared" si="7"/>
        <v>&gt;&gt; 92° - [[Scheda 92° papa - Stefano II|Stefano II]]</v>
      </c>
    </row>
    <row r="107" spans="1:5" x14ac:dyDescent="0.35">
      <c r="A107" s="54">
        <v>7</v>
      </c>
      <c r="B107" s="54">
        <v>91</v>
      </c>
      <c r="C107" s="54" t="s">
        <v>5289</v>
      </c>
      <c r="D107" s="54" t="s">
        <v>2522</v>
      </c>
      <c r="E107" s="54" t="str">
        <f t="shared" si="7"/>
        <v>&gt;&gt; 91° - [[Scheda 91° papa - Zaccaria|Zaccaria]]</v>
      </c>
    </row>
    <row r="108" spans="1:5" x14ac:dyDescent="0.35">
      <c r="A108" s="54">
        <v>6</v>
      </c>
      <c r="B108" s="54">
        <v>90</v>
      </c>
      <c r="C108" s="54" t="s">
        <v>5289</v>
      </c>
      <c r="D108" s="54" t="s">
        <v>5450</v>
      </c>
      <c r="E108" s="54" t="str">
        <f t="shared" si="7"/>
        <v>&gt;&gt; 90° - [[Scheda 90° papa - Gregorio III|Gregorio III]]</v>
      </c>
    </row>
    <row r="109" spans="1:5" x14ac:dyDescent="0.35">
      <c r="A109" s="54">
        <v>5</v>
      </c>
      <c r="B109" s="54">
        <v>89</v>
      </c>
      <c r="C109" s="54" t="s">
        <v>5289</v>
      </c>
      <c r="D109" s="54" t="s">
        <v>5451</v>
      </c>
      <c r="E109" s="54" t="str">
        <f t="shared" si="7"/>
        <v>&gt;&gt; 89° - [[Scheda 89° papa - Gregorio II|Gregorio II]]</v>
      </c>
    </row>
    <row r="110" spans="1:5" x14ac:dyDescent="0.35">
      <c r="A110" s="54">
        <v>4</v>
      </c>
      <c r="B110" s="54">
        <v>88</v>
      </c>
      <c r="C110" s="54" t="s">
        <v>5289</v>
      </c>
      <c r="D110" s="54" t="s">
        <v>5452</v>
      </c>
      <c r="E110" s="54" t="str">
        <f t="shared" si="7"/>
        <v>&gt;&gt; 88° - [[Scheda 88° papa - Costantino|Costantino]]</v>
      </c>
    </row>
    <row r="111" spans="1:5" x14ac:dyDescent="0.35">
      <c r="A111" s="54">
        <v>3</v>
      </c>
      <c r="B111" s="54">
        <v>87</v>
      </c>
      <c r="C111" s="54" t="s">
        <v>5289</v>
      </c>
      <c r="D111" s="54" t="s">
        <v>5453</v>
      </c>
      <c r="E111" s="54" t="str">
        <f t="shared" si="7"/>
        <v>&gt;&gt; 87° - [[Scheda 87° papa - Sisinnio|Sisinnio]]</v>
      </c>
    </row>
    <row r="112" spans="1:5" x14ac:dyDescent="0.35">
      <c r="A112" s="54">
        <v>2</v>
      </c>
      <c r="B112" s="54">
        <v>86</v>
      </c>
      <c r="C112" s="54" t="s">
        <v>5289</v>
      </c>
      <c r="D112" s="54" t="s">
        <v>5454</v>
      </c>
      <c r="E112" s="54" t="str">
        <f t="shared" si="7"/>
        <v>&gt;&gt; 86° - [[Scheda 86° papa - Giovanni VII|Giovanni VII]]</v>
      </c>
    </row>
    <row r="113" spans="1:5" x14ac:dyDescent="0.35">
      <c r="A113" s="54">
        <v>1</v>
      </c>
      <c r="B113" s="54">
        <v>85</v>
      </c>
      <c r="C113" s="54" t="s">
        <v>5289</v>
      </c>
      <c r="D113" s="54" t="s">
        <v>5455</v>
      </c>
      <c r="E113" s="54" t="str">
        <f t="shared" si="7"/>
        <v>&gt;&gt; 85° - [[Scheda 85° papa - Giovanni VI|Giovanni VI]]</v>
      </c>
    </row>
    <row r="114" spans="1:5" x14ac:dyDescent="0.35">
      <c r="B114" s="54" t="s">
        <v>5300</v>
      </c>
      <c r="E114" s="54" t="str">
        <f>B114</f>
        <v>&gt;</v>
      </c>
    </row>
    <row r="115" spans="1:5" x14ac:dyDescent="0.35">
      <c r="B115" s="54" t="s">
        <v>736</v>
      </c>
      <c r="C115" s="54" t="s">
        <v>5245</v>
      </c>
      <c r="D115" s="54" t="s">
        <v>5288</v>
      </c>
      <c r="E115" s="54" t="str">
        <f>_xlfn.CONCAT(D115," ","[!info]- ",B115," ",C115)</f>
        <v>&gt;&gt; [!info]- IX secolo</v>
      </c>
    </row>
    <row r="116" spans="1:5" x14ac:dyDescent="0.35">
      <c r="A116" s="54">
        <v>21</v>
      </c>
      <c r="B116" s="54">
        <v>117</v>
      </c>
      <c r="C116" s="54" t="s">
        <v>5289</v>
      </c>
      <c r="D116" s="54" t="s">
        <v>5424</v>
      </c>
      <c r="E116" s="54" t="str">
        <f t="shared" ref="E116:E136" si="8">_xlfn.CONCAT("&gt;&gt; ",B116,"° - ","[[Scheda ",B116,"° papa - ",D116,"|",D116,"]]")</f>
        <v>&gt;&gt; 117° - [[Scheda 117° papa - Benedetto IV|Benedetto IV]]</v>
      </c>
    </row>
    <row r="117" spans="1:5" x14ac:dyDescent="0.35">
      <c r="A117" s="54">
        <v>20</v>
      </c>
      <c r="B117" s="54">
        <v>116</v>
      </c>
      <c r="C117" s="54" t="s">
        <v>5289</v>
      </c>
      <c r="D117" s="54" t="s">
        <v>5425</v>
      </c>
      <c r="E117" s="54" t="str">
        <f t="shared" si="8"/>
        <v>&gt;&gt; 116° - [[Scheda 116° papa - Giovanni IX|Giovanni IX]]</v>
      </c>
    </row>
    <row r="118" spans="1:5" x14ac:dyDescent="0.35">
      <c r="A118" s="54">
        <v>19</v>
      </c>
      <c r="B118" s="54">
        <v>115</v>
      </c>
      <c r="C118" s="54" t="s">
        <v>5289</v>
      </c>
      <c r="D118" s="54" t="s">
        <v>5426</v>
      </c>
      <c r="E118" s="54" t="str">
        <f t="shared" si="8"/>
        <v>&gt;&gt; 115° - [[Scheda 115° papa - Teodoro II|Teodoro II]]</v>
      </c>
    </row>
    <row r="119" spans="1:5" x14ac:dyDescent="0.35">
      <c r="A119" s="54">
        <v>18</v>
      </c>
      <c r="B119" s="54">
        <v>114</v>
      </c>
      <c r="C119" s="54" t="s">
        <v>5289</v>
      </c>
      <c r="D119" s="54" t="s">
        <v>5427</v>
      </c>
      <c r="E119" s="54" t="str">
        <f t="shared" si="8"/>
        <v>&gt;&gt; 114° - [[Scheda 114° papa - Romano|Romano]]</v>
      </c>
    </row>
    <row r="120" spans="1:5" x14ac:dyDescent="0.35">
      <c r="A120" s="54">
        <v>17</v>
      </c>
      <c r="B120" s="54">
        <v>113</v>
      </c>
      <c r="C120" s="54" t="s">
        <v>5289</v>
      </c>
      <c r="D120" s="54" t="s">
        <v>5428</v>
      </c>
      <c r="E120" s="54" t="str">
        <f t="shared" si="8"/>
        <v>&gt;&gt; 113° - [[Scheda 113° papa - Stefano VI|Stefano VI]]</v>
      </c>
    </row>
    <row r="121" spans="1:5" x14ac:dyDescent="0.35">
      <c r="A121" s="54">
        <v>16</v>
      </c>
      <c r="B121" s="54">
        <v>112</v>
      </c>
      <c r="C121" s="54" t="s">
        <v>5289</v>
      </c>
      <c r="D121" s="54" t="s">
        <v>5429</v>
      </c>
      <c r="E121" s="54" t="str">
        <f t="shared" si="8"/>
        <v>&gt;&gt; 112° - [[Scheda 112° papa - Bonifacio VI|Bonifacio VI]]</v>
      </c>
    </row>
    <row r="122" spans="1:5" x14ac:dyDescent="0.35">
      <c r="A122" s="54">
        <v>15</v>
      </c>
      <c r="B122" s="54">
        <v>111</v>
      </c>
      <c r="C122" s="54" t="s">
        <v>5289</v>
      </c>
      <c r="D122" s="54" t="s">
        <v>5430</v>
      </c>
      <c r="E122" s="54" t="str">
        <f t="shared" si="8"/>
        <v>&gt;&gt; 111° - [[Scheda 111° papa - Formoso|Formoso]]</v>
      </c>
    </row>
    <row r="123" spans="1:5" x14ac:dyDescent="0.35">
      <c r="A123" s="54">
        <v>14</v>
      </c>
      <c r="B123" s="54">
        <v>110</v>
      </c>
      <c r="C123" s="54" t="s">
        <v>5289</v>
      </c>
      <c r="D123" s="54" t="s">
        <v>5431</v>
      </c>
      <c r="E123" s="54" t="str">
        <f t="shared" si="8"/>
        <v>&gt;&gt; 110° - [[Scheda 110° papa - Stefano V|Stefano V]]</v>
      </c>
    </row>
    <row r="124" spans="1:5" x14ac:dyDescent="0.35">
      <c r="A124" s="54">
        <v>13</v>
      </c>
      <c r="B124" s="54">
        <v>109</v>
      </c>
      <c r="C124" s="54" t="s">
        <v>5289</v>
      </c>
      <c r="D124" s="54" t="s">
        <v>5432</v>
      </c>
      <c r="E124" s="54" t="str">
        <f t="shared" si="8"/>
        <v>&gt;&gt; 109° - [[Scheda 109° papa - Adriano III|Adriano III]]</v>
      </c>
    </row>
    <row r="125" spans="1:5" x14ac:dyDescent="0.35">
      <c r="A125" s="54">
        <v>12</v>
      </c>
      <c r="B125" s="54">
        <v>108</v>
      </c>
      <c r="C125" s="54" t="s">
        <v>5289</v>
      </c>
      <c r="D125" s="54" t="s">
        <v>5433</v>
      </c>
      <c r="E125" s="54" t="str">
        <f t="shared" si="8"/>
        <v>&gt;&gt; 108° - [[Scheda 108° papa - Marino I|Marino I]]</v>
      </c>
    </row>
    <row r="126" spans="1:5" x14ac:dyDescent="0.35">
      <c r="A126" s="54">
        <v>11</v>
      </c>
      <c r="B126" s="54">
        <v>107</v>
      </c>
      <c r="C126" s="54" t="s">
        <v>5289</v>
      </c>
      <c r="D126" s="54" t="s">
        <v>5434</v>
      </c>
      <c r="E126" s="54" t="str">
        <f t="shared" si="8"/>
        <v>&gt;&gt; 107° - [[Scheda 107° papa - Giovanni VIII|Giovanni VIII]]</v>
      </c>
    </row>
    <row r="127" spans="1:5" x14ac:dyDescent="0.35">
      <c r="A127" s="54">
        <v>10</v>
      </c>
      <c r="B127" s="54">
        <v>106</v>
      </c>
      <c r="C127" s="54" t="s">
        <v>5289</v>
      </c>
      <c r="D127" s="54" t="s">
        <v>5435</v>
      </c>
      <c r="E127" s="54" t="str">
        <f t="shared" si="8"/>
        <v>&gt;&gt; 106° - [[Scheda 106° papa - Adriano II|Adriano II]]</v>
      </c>
    </row>
    <row r="128" spans="1:5" x14ac:dyDescent="0.35">
      <c r="A128" s="54">
        <v>9</v>
      </c>
      <c r="B128" s="54">
        <v>105</v>
      </c>
      <c r="C128" s="54" t="s">
        <v>5289</v>
      </c>
      <c r="D128" s="54" t="s">
        <v>5436</v>
      </c>
      <c r="E128" s="54" t="str">
        <f t="shared" si="8"/>
        <v>&gt;&gt; 105° - [[Scheda 105° papa - Niccolò I|Niccolò I]]</v>
      </c>
    </row>
    <row r="129" spans="1:5" x14ac:dyDescent="0.35">
      <c r="A129" s="54">
        <v>8</v>
      </c>
      <c r="B129" s="54">
        <v>104</v>
      </c>
      <c r="C129" s="54" t="s">
        <v>5289</v>
      </c>
      <c r="D129" s="54" t="s">
        <v>5437</v>
      </c>
      <c r="E129" s="54" t="str">
        <f t="shared" si="8"/>
        <v>&gt;&gt; 104° - [[Scheda 104° papa - Benedetto III|Benedetto III]]</v>
      </c>
    </row>
    <row r="130" spans="1:5" x14ac:dyDescent="0.35">
      <c r="A130" s="54">
        <v>7</v>
      </c>
      <c r="B130" s="54">
        <v>103</v>
      </c>
      <c r="C130" s="54" t="s">
        <v>5289</v>
      </c>
      <c r="D130" s="54" t="s">
        <v>5438</v>
      </c>
      <c r="E130" s="54" t="str">
        <f t="shared" si="8"/>
        <v>&gt;&gt; 103° - [[Scheda 103° papa - Leone IV|Leone IV]]</v>
      </c>
    </row>
    <row r="131" spans="1:5" x14ac:dyDescent="0.35">
      <c r="A131" s="54">
        <v>6</v>
      </c>
      <c r="B131" s="54">
        <v>102</v>
      </c>
      <c r="C131" s="54" t="s">
        <v>5289</v>
      </c>
      <c r="D131" s="54" t="s">
        <v>5439</v>
      </c>
      <c r="E131" s="54" t="str">
        <f t="shared" si="8"/>
        <v>&gt;&gt; 102° - [[Scheda 102° papa - Sergio II|Sergio II]]</v>
      </c>
    </row>
    <row r="132" spans="1:5" x14ac:dyDescent="0.35">
      <c r="A132" s="54">
        <v>5</v>
      </c>
      <c r="B132" s="54">
        <v>101</v>
      </c>
      <c r="C132" s="54" t="s">
        <v>5289</v>
      </c>
      <c r="D132" s="54" t="s">
        <v>5440</v>
      </c>
      <c r="E132" s="54" t="str">
        <f t="shared" si="8"/>
        <v>&gt;&gt; 101° - [[Scheda 101° papa - Gregorio IV|Gregorio IV]]</v>
      </c>
    </row>
    <row r="133" spans="1:5" x14ac:dyDescent="0.35">
      <c r="A133" s="54">
        <v>4</v>
      </c>
      <c r="B133" s="54">
        <v>100</v>
      </c>
      <c r="C133" s="54" t="s">
        <v>5289</v>
      </c>
      <c r="D133" s="54" t="s">
        <v>5441</v>
      </c>
      <c r="E133" s="54" t="str">
        <f t="shared" si="8"/>
        <v>&gt;&gt; 100° - [[Scheda 100° papa - Valentino|Valentino]]</v>
      </c>
    </row>
    <row r="134" spans="1:5" x14ac:dyDescent="0.35">
      <c r="A134" s="54">
        <v>3</v>
      </c>
      <c r="B134" s="54">
        <v>99</v>
      </c>
      <c r="C134" s="54" t="s">
        <v>5289</v>
      </c>
      <c r="D134" s="54" t="s">
        <v>5442</v>
      </c>
      <c r="E134" s="54" t="str">
        <f t="shared" si="8"/>
        <v>&gt;&gt; 99° - [[Scheda 99° papa - Eugenio II|Eugenio II]]</v>
      </c>
    </row>
    <row r="135" spans="1:5" x14ac:dyDescent="0.35">
      <c r="A135" s="54">
        <v>2</v>
      </c>
      <c r="B135" s="54">
        <v>98</v>
      </c>
      <c r="C135" s="54" t="s">
        <v>5289</v>
      </c>
      <c r="D135" s="54" t="s">
        <v>5443</v>
      </c>
      <c r="E135" s="54" t="str">
        <f t="shared" si="8"/>
        <v>&gt;&gt; 98° - [[Scheda 98° papa - Pasquale I|Pasquale I]]</v>
      </c>
    </row>
    <row r="136" spans="1:5" x14ac:dyDescent="0.35">
      <c r="A136" s="54">
        <v>1</v>
      </c>
      <c r="B136" s="54">
        <v>97</v>
      </c>
      <c r="C136" s="54" t="s">
        <v>5289</v>
      </c>
      <c r="D136" s="54" t="s">
        <v>5444</v>
      </c>
      <c r="E136" s="54" t="str">
        <f t="shared" si="8"/>
        <v>&gt;&gt; 97° - [[Scheda 97° papa - Stefano IV|Stefano IV]]</v>
      </c>
    </row>
    <row r="137" spans="1:5" x14ac:dyDescent="0.35">
      <c r="B137" s="54" t="s">
        <v>5300</v>
      </c>
      <c r="E137" s="54" t="str">
        <f>B137</f>
        <v>&gt;</v>
      </c>
    </row>
    <row r="138" spans="1:5" x14ac:dyDescent="0.35">
      <c r="B138" s="54" t="s">
        <v>737</v>
      </c>
      <c r="C138" s="54" t="s">
        <v>5245</v>
      </c>
      <c r="D138" s="54" t="s">
        <v>5288</v>
      </c>
      <c r="E138" s="54" t="str">
        <f>_xlfn.CONCAT(D138," ","[!info]- ",B138," ",C138)</f>
        <v>&gt;&gt; [!info]- X secolo</v>
      </c>
    </row>
    <row r="139" spans="1:5" x14ac:dyDescent="0.35">
      <c r="A139" s="54">
        <v>22</v>
      </c>
      <c r="B139" s="54">
        <v>139</v>
      </c>
      <c r="C139" s="54" t="s">
        <v>5289</v>
      </c>
      <c r="D139" s="54" t="s">
        <v>5402</v>
      </c>
      <c r="E139" s="54" t="str">
        <f t="shared" ref="E139:E160" si="9">_xlfn.CONCAT("&gt;&gt; ",B139,"° - ","[[Scheda ",B139,"° papa - ",D139,"|",D139,"]]")</f>
        <v>&gt;&gt; 139° - [[Scheda 139° papa - Silvestro II|Silvestro II]]</v>
      </c>
    </row>
    <row r="140" spans="1:5" x14ac:dyDescent="0.35">
      <c r="A140" s="54">
        <v>21</v>
      </c>
      <c r="B140" s="54">
        <v>138</v>
      </c>
      <c r="C140" s="54" t="s">
        <v>5289</v>
      </c>
      <c r="D140" s="54" t="s">
        <v>5403</v>
      </c>
      <c r="E140" s="54" t="str">
        <f t="shared" si="9"/>
        <v>&gt;&gt; 138° - [[Scheda 138° papa - Gregorio V|Gregorio V]]</v>
      </c>
    </row>
    <row r="141" spans="1:5" x14ac:dyDescent="0.35">
      <c r="A141" s="54">
        <v>20</v>
      </c>
      <c r="B141" s="54">
        <v>137</v>
      </c>
      <c r="C141" s="54" t="s">
        <v>5289</v>
      </c>
      <c r="D141" s="54" t="s">
        <v>5404</v>
      </c>
      <c r="E141" s="54" t="str">
        <f t="shared" si="9"/>
        <v>&gt;&gt; 137° - [[Scheda 137° papa - Giovanni XV|Giovanni XV]]</v>
      </c>
    </row>
    <row r="142" spans="1:5" x14ac:dyDescent="0.35">
      <c r="A142" s="54">
        <v>19</v>
      </c>
      <c r="B142" s="54">
        <v>136</v>
      </c>
      <c r="C142" s="54" t="s">
        <v>5289</v>
      </c>
      <c r="D142" s="54" t="s">
        <v>5405</v>
      </c>
      <c r="E142" s="54" t="str">
        <f t="shared" si="9"/>
        <v>&gt;&gt; 136° - [[Scheda 136° papa - Giovanni XIV|Giovanni XIV]]</v>
      </c>
    </row>
    <row r="143" spans="1:5" x14ac:dyDescent="0.35">
      <c r="A143" s="54">
        <v>18</v>
      </c>
      <c r="B143" s="54">
        <v>135</v>
      </c>
      <c r="C143" s="54" t="s">
        <v>5289</v>
      </c>
      <c r="D143" s="54" t="s">
        <v>5406</v>
      </c>
      <c r="E143" s="54" t="str">
        <f t="shared" si="9"/>
        <v>&gt;&gt; 135° - [[Scheda 135° papa - Benedetto VII|Benedetto VII]]</v>
      </c>
    </row>
    <row r="144" spans="1:5" x14ac:dyDescent="0.35">
      <c r="A144" s="54">
        <v>17</v>
      </c>
      <c r="B144" s="54">
        <v>134</v>
      </c>
      <c r="C144" s="54" t="s">
        <v>5289</v>
      </c>
      <c r="D144" s="54" t="s">
        <v>5407</v>
      </c>
      <c r="E144" s="54" t="str">
        <f t="shared" si="9"/>
        <v>&gt;&gt; 134° - [[Scheda 134° papa - Benedetto VI|Benedetto VI]]</v>
      </c>
    </row>
    <row r="145" spans="1:5" x14ac:dyDescent="0.35">
      <c r="A145" s="54">
        <v>16</v>
      </c>
      <c r="B145" s="54">
        <v>133</v>
      </c>
      <c r="C145" s="54" t="s">
        <v>5289</v>
      </c>
      <c r="D145" s="54" t="s">
        <v>5408</v>
      </c>
      <c r="E145" s="54" t="str">
        <f t="shared" si="9"/>
        <v>&gt;&gt; 133° - [[Scheda 133° papa - Giovanni XIII|Giovanni XIII]]</v>
      </c>
    </row>
    <row r="146" spans="1:5" x14ac:dyDescent="0.35">
      <c r="A146" s="54">
        <v>15</v>
      </c>
      <c r="B146" s="54">
        <v>132</v>
      </c>
      <c r="C146" s="54" t="s">
        <v>5289</v>
      </c>
      <c r="D146" s="54" t="s">
        <v>5409</v>
      </c>
      <c r="E146" s="54" t="str">
        <f t="shared" si="9"/>
        <v>&gt;&gt; 132° - [[Scheda 132° papa - Benedetto V|Benedetto V]]</v>
      </c>
    </row>
    <row r="147" spans="1:5" x14ac:dyDescent="0.35">
      <c r="A147" s="54">
        <v>14</v>
      </c>
      <c r="B147" s="54">
        <v>131</v>
      </c>
      <c r="C147" s="54" t="s">
        <v>5289</v>
      </c>
      <c r="D147" s="54" t="s">
        <v>5410</v>
      </c>
      <c r="E147" s="54" t="str">
        <f t="shared" si="9"/>
        <v>&gt;&gt; 131° - [[Scheda 131° papa - Leone VIII|Leone VIII]]</v>
      </c>
    </row>
    <row r="148" spans="1:5" x14ac:dyDescent="0.35">
      <c r="A148" s="54">
        <v>13</v>
      </c>
      <c r="B148" s="54">
        <v>130</v>
      </c>
      <c r="C148" s="54" t="s">
        <v>5289</v>
      </c>
      <c r="D148" s="54" t="s">
        <v>5411</v>
      </c>
      <c r="E148" s="54" t="str">
        <f t="shared" si="9"/>
        <v>&gt;&gt; 130° - [[Scheda 130° papa - Giovanni XII|Giovanni XII]]</v>
      </c>
    </row>
    <row r="149" spans="1:5" x14ac:dyDescent="0.35">
      <c r="A149" s="54">
        <v>12</v>
      </c>
      <c r="B149" s="54">
        <v>129</v>
      </c>
      <c r="C149" s="54" t="s">
        <v>5289</v>
      </c>
      <c r="D149" s="54" t="s">
        <v>5412</v>
      </c>
      <c r="E149" s="54" t="str">
        <f t="shared" si="9"/>
        <v>&gt;&gt; 129° - [[Scheda 129° papa - Agapito II|Agapito II]]</v>
      </c>
    </row>
    <row r="150" spans="1:5" x14ac:dyDescent="0.35">
      <c r="A150" s="54">
        <v>11</v>
      </c>
      <c r="B150" s="54">
        <v>128</v>
      </c>
      <c r="C150" s="54" t="s">
        <v>5289</v>
      </c>
      <c r="D150" s="54" t="s">
        <v>5413</v>
      </c>
      <c r="E150" s="54" t="str">
        <f t="shared" si="9"/>
        <v>&gt;&gt; 128° - [[Scheda 128° papa - Marino II|Marino II]]</v>
      </c>
    </row>
    <row r="151" spans="1:5" x14ac:dyDescent="0.35">
      <c r="A151" s="54">
        <v>10</v>
      </c>
      <c r="B151" s="54">
        <v>127</v>
      </c>
      <c r="C151" s="54" t="s">
        <v>5289</v>
      </c>
      <c r="D151" s="54" t="s">
        <v>5414</v>
      </c>
      <c r="E151" s="54" t="str">
        <f t="shared" si="9"/>
        <v>&gt;&gt; 127° - [[Scheda 127° papa - Stefano VIII|Stefano VIII]]</v>
      </c>
    </row>
    <row r="152" spans="1:5" x14ac:dyDescent="0.35">
      <c r="A152" s="54">
        <v>9</v>
      </c>
      <c r="B152" s="54">
        <v>126</v>
      </c>
      <c r="C152" s="54" t="s">
        <v>5289</v>
      </c>
      <c r="D152" s="54" t="s">
        <v>5415</v>
      </c>
      <c r="E152" s="54" t="str">
        <f t="shared" si="9"/>
        <v>&gt;&gt; 126° - [[Scheda 126° papa - Leone VII|Leone VII]]</v>
      </c>
    </row>
    <row r="153" spans="1:5" x14ac:dyDescent="0.35">
      <c r="A153" s="54">
        <v>8</v>
      </c>
      <c r="B153" s="54">
        <v>125</v>
      </c>
      <c r="C153" s="54" t="s">
        <v>5289</v>
      </c>
      <c r="D153" s="54" t="s">
        <v>5416</v>
      </c>
      <c r="E153" s="54" t="str">
        <f t="shared" si="9"/>
        <v>&gt;&gt; 125° - [[Scheda 125° papa - Giovanni XI|Giovanni XI]]</v>
      </c>
    </row>
    <row r="154" spans="1:5" x14ac:dyDescent="0.35">
      <c r="A154" s="54">
        <v>7</v>
      </c>
      <c r="B154" s="54">
        <v>124</v>
      </c>
      <c r="C154" s="54" t="s">
        <v>5289</v>
      </c>
      <c r="D154" s="54" t="s">
        <v>5417</v>
      </c>
      <c r="E154" s="54" t="str">
        <f t="shared" si="9"/>
        <v>&gt;&gt; 124° - [[Scheda 124° papa - Stefano VII|Stefano VII]]</v>
      </c>
    </row>
    <row r="155" spans="1:5" x14ac:dyDescent="0.35">
      <c r="A155" s="54">
        <v>6</v>
      </c>
      <c r="B155" s="54">
        <v>123</v>
      </c>
      <c r="C155" s="54" t="s">
        <v>5289</v>
      </c>
      <c r="D155" s="54" t="s">
        <v>5418</v>
      </c>
      <c r="E155" s="54" t="str">
        <f t="shared" si="9"/>
        <v>&gt;&gt; 123° - [[Scheda 123° papa - Leone VI|Leone VI]]</v>
      </c>
    </row>
    <row r="156" spans="1:5" x14ac:dyDescent="0.35">
      <c r="A156" s="54">
        <v>5</v>
      </c>
      <c r="B156" s="54">
        <v>122</v>
      </c>
      <c r="C156" s="54" t="s">
        <v>5289</v>
      </c>
      <c r="D156" s="54" t="s">
        <v>5419</v>
      </c>
      <c r="E156" s="54" t="str">
        <f t="shared" si="9"/>
        <v>&gt;&gt; 122° - [[Scheda 122° papa - Giovanni X|Giovanni X]]</v>
      </c>
    </row>
    <row r="157" spans="1:5" x14ac:dyDescent="0.35">
      <c r="A157" s="54">
        <v>4</v>
      </c>
      <c r="B157" s="54">
        <v>121</v>
      </c>
      <c r="C157" s="54" t="s">
        <v>5289</v>
      </c>
      <c r="D157" s="54" t="s">
        <v>5420</v>
      </c>
      <c r="E157" s="54" t="str">
        <f t="shared" si="9"/>
        <v>&gt;&gt; 121° - [[Scheda 121° papa - Lando|Lando]]</v>
      </c>
    </row>
    <row r="158" spans="1:5" x14ac:dyDescent="0.35">
      <c r="A158" s="54">
        <v>3</v>
      </c>
      <c r="B158" s="54">
        <v>120</v>
      </c>
      <c r="C158" s="54" t="s">
        <v>5289</v>
      </c>
      <c r="D158" s="54" t="s">
        <v>5421</v>
      </c>
      <c r="E158" s="54" t="str">
        <f t="shared" si="9"/>
        <v>&gt;&gt; 120° - [[Scheda 120° papa - Anastasio III|Anastasio III]]</v>
      </c>
    </row>
    <row r="159" spans="1:5" x14ac:dyDescent="0.35">
      <c r="A159" s="54">
        <v>2</v>
      </c>
      <c r="B159" s="54">
        <v>119</v>
      </c>
      <c r="C159" s="54" t="s">
        <v>5289</v>
      </c>
      <c r="D159" s="54" t="s">
        <v>5422</v>
      </c>
      <c r="E159" s="54" t="str">
        <f t="shared" si="9"/>
        <v>&gt;&gt; 119° - [[Scheda 119° papa - Sergio III|Sergio III]]</v>
      </c>
    </row>
    <row r="160" spans="1:5" x14ac:dyDescent="0.35">
      <c r="A160" s="54">
        <v>1</v>
      </c>
      <c r="B160" s="54">
        <v>118</v>
      </c>
      <c r="C160" s="54" t="s">
        <v>5289</v>
      </c>
      <c r="D160" s="54" t="s">
        <v>5423</v>
      </c>
      <c r="E160" s="54" t="str">
        <f t="shared" si="9"/>
        <v>&gt;&gt; 118° - [[Scheda 118° papa - Leone V|Leone V]]</v>
      </c>
    </row>
    <row r="161" spans="1:5" x14ac:dyDescent="0.35">
      <c r="B161" s="54" t="s">
        <v>5300</v>
      </c>
      <c r="E161" s="54" t="str">
        <f>B161</f>
        <v>&gt;</v>
      </c>
    </row>
    <row r="162" spans="1:5" x14ac:dyDescent="0.35">
      <c r="B162" s="54" t="s">
        <v>739</v>
      </c>
      <c r="C162" s="54" t="s">
        <v>5245</v>
      </c>
      <c r="D162" s="54" t="s">
        <v>5288</v>
      </c>
      <c r="E162" s="54" t="str">
        <f>_xlfn.CONCAT(D162," ","[!info]- ",B162," ",C162)</f>
        <v>&gt;&gt; [!info]- XI secolo</v>
      </c>
    </row>
    <row r="163" spans="1:5" x14ac:dyDescent="0.35">
      <c r="A163" s="54">
        <v>21</v>
      </c>
      <c r="B163" s="54">
        <v>160</v>
      </c>
      <c r="C163" s="54" t="s">
        <v>5289</v>
      </c>
      <c r="D163" s="54" t="s">
        <v>5383</v>
      </c>
      <c r="E163" s="54" t="str">
        <f t="shared" ref="E163:E183" si="10">_xlfn.CONCAT("&gt;&gt; ",B163,"° - ","[[Scheda ",B163,"° papa - ",D163,"|",D163,"]]")</f>
        <v>&gt;&gt; 160° - [[Scheda 160° papa - Pasquale II|Pasquale II]]</v>
      </c>
    </row>
    <row r="164" spans="1:5" x14ac:dyDescent="0.35">
      <c r="A164" s="54">
        <v>20</v>
      </c>
      <c r="B164" s="54">
        <v>159</v>
      </c>
      <c r="C164" s="54" t="s">
        <v>5289</v>
      </c>
      <c r="D164" s="54" t="s">
        <v>5384</v>
      </c>
      <c r="E164" s="54" t="str">
        <f t="shared" si="10"/>
        <v>&gt;&gt; 159° - [[Scheda 159° papa - Urbano II|Urbano II]]</v>
      </c>
    </row>
    <row r="165" spans="1:5" x14ac:dyDescent="0.35">
      <c r="A165" s="54">
        <v>19</v>
      </c>
      <c r="B165" s="54">
        <v>158</v>
      </c>
      <c r="C165" s="54" t="s">
        <v>5289</v>
      </c>
      <c r="D165" s="54" t="s">
        <v>5385</v>
      </c>
      <c r="E165" s="54" t="str">
        <f t="shared" si="10"/>
        <v>&gt;&gt; 158° - [[Scheda 158° papa - Vittore III|Vittore III]]</v>
      </c>
    </row>
    <row r="166" spans="1:5" x14ac:dyDescent="0.35">
      <c r="A166" s="54">
        <v>18</v>
      </c>
      <c r="B166" s="54">
        <v>157</v>
      </c>
      <c r="C166" s="54" t="s">
        <v>5289</v>
      </c>
      <c r="D166" s="54" t="s">
        <v>5386</v>
      </c>
      <c r="E166" s="54" t="str">
        <f t="shared" si="10"/>
        <v>&gt;&gt; 157° - [[Scheda 157° papa - Gregorio VII|Gregorio VII]]</v>
      </c>
    </row>
    <row r="167" spans="1:5" x14ac:dyDescent="0.35">
      <c r="A167" s="54">
        <v>17</v>
      </c>
      <c r="B167" s="54">
        <v>156</v>
      </c>
      <c r="C167" s="54" t="s">
        <v>5289</v>
      </c>
      <c r="D167" s="54" t="s">
        <v>5387</v>
      </c>
      <c r="E167" s="54" t="str">
        <f t="shared" si="10"/>
        <v>&gt;&gt; 156° - [[Scheda 156° papa - Alessandro II|Alessandro II]]</v>
      </c>
    </row>
    <row r="168" spans="1:5" x14ac:dyDescent="0.35">
      <c r="A168" s="54">
        <v>16</v>
      </c>
      <c r="B168" s="54">
        <v>155</v>
      </c>
      <c r="C168" s="54" t="s">
        <v>5289</v>
      </c>
      <c r="D168" s="54" t="s">
        <v>5388</v>
      </c>
      <c r="E168" s="54" t="str">
        <f t="shared" si="10"/>
        <v>&gt;&gt; 155° - [[Scheda 155° papa - Niccolò II|Niccolò II]]</v>
      </c>
    </row>
    <row r="169" spans="1:5" x14ac:dyDescent="0.35">
      <c r="A169" s="54">
        <v>15</v>
      </c>
      <c r="B169" s="54">
        <v>154</v>
      </c>
      <c r="C169" s="54" t="s">
        <v>5289</v>
      </c>
      <c r="D169" s="54" t="s">
        <v>5389</v>
      </c>
      <c r="E169" s="54" t="str">
        <f t="shared" si="10"/>
        <v>&gt;&gt; 154° - [[Scheda 154° papa - Stefano IX|Stefano IX]]</v>
      </c>
    </row>
    <row r="170" spans="1:5" x14ac:dyDescent="0.35">
      <c r="A170" s="54">
        <v>14</v>
      </c>
      <c r="B170" s="54">
        <v>153</v>
      </c>
      <c r="C170" s="54" t="s">
        <v>5289</v>
      </c>
      <c r="D170" s="54" t="s">
        <v>5390</v>
      </c>
      <c r="E170" s="54" t="str">
        <f t="shared" si="10"/>
        <v>&gt;&gt; 153° - [[Scheda 153° papa - Vittore II|Vittore II]]</v>
      </c>
    </row>
    <row r="171" spans="1:5" x14ac:dyDescent="0.35">
      <c r="A171" s="54">
        <v>13</v>
      </c>
      <c r="B171" s="54">
        <v>152</v>
      </c>
      <c r="C171" s="54" t="s">
        <v>5289</v>
      </c>
      <c r="D171" s="54" t="s">
        <v>5391</v>
      </c>
      <c r="E171" s="54" t="str">
        <f t="shared" si="10"/>
        <v>&gt;&gt; 152° - [[Scheda 152° papa - Leone IX|Leone IX]]</v>
      </c>
    </row>
    <row r="172" spans="1:5" x14ac:dyDescent="0.35">
      <c r="A172" s="54">
        <v>12</v>
      </c>
      <c r="B172" s="54">
        <v>151</v>
      </c>
      <c r="C172" s="54" t="s">
        <v>5289</v>
      </c>
      <c r="D172" s="54" t="s">
        <v>5392</v>
      </c>
      <c r="E172" s="54" t="str">
        <f t="shared" si="10"/>
        <v>&gt;&gt; 151° - [[Scheda 151° papa - Damaso II|Damaso II]]</v>
      </c>
    </row>
    <row r="173" spans="1:5" x14ac:dyDescent="0.35">
      <c r="A173" s="54">
        <v>11</v>
      </c>
      <c r="B173" s="54">
        <v>150</v>
      </c>
      <c r="C173" s="54" t="s">
        <v>5289</v>
      </c>
      <c r="D173" s="54" t="s">
        <v>5393</v>
      </c>
      <c r="E173" s="54" t="str">
        <f t="shared" si="10"/>
        <v>&gt;&gt; 150° - [[Scheda 150° papa - Benedetto IX|Benedetto IX]]</v>
      </c>
    </row>
    <row r="174" spans="1:5" x14ac:dyDescent="0.35">
      <c r="A174" s="54">
        <v>10</v>
      </c>
      <c r="B174" s="54">
        <v>149</v>
      </c>
      <c r="C174" s="54" t="s">
        <v>5289</v>
      </c>
      <c r="D174" s="54" t="s">
        <v>5394</v>
      </c>
      <c r="E174" s="54" t="str">
        <f t="shared" si="10"/>
        <v>&gt;&gt; 149° - [[Scheda 149° papa - Clemente II|Clemente II]]</v>
      </c>
    </row>
    <row r="175" spans="1:5" x14ac:dyDescent="0.35">
      <c r="A175" s="54">
        <v>9</v>
      </c>
      <c r="B175" s="54">
        <v>148</v>
      </c>
      <c r="C175" s="54" t="s">
        <v>5289</v>
      </c>
      <c r="D175" s="54" t="s">
        <v>5395</v>
      </c>
      <c r="E175" s="54" t="str">
        <f t="shared" si="10"/>
        <v>&gt;&gt; 148° - [[Scheda 148° papa - Gregorio VI|Gregorio VI]]</v>
      </c>
    </row>
    <row r="176" spans="1:5" x14ac:dyDescent="0.35">
      <c r="A176" s="54">
        <v>8</v>
      </c>
      <c r="B176" s="54">
        <v>147</v>
      </c>
      <c r="C176" s="54" t="s">
        <v>5289</v>
      </c>
      <c r="D176" s="54" t="s">
        <v>5393</v>
      </c>
      <c r="E176" s="54" t="str">
        <f t="shared" si="10"/>
        <v>&gt;&gt; 147° - [[Scheda 147° papa - Benedetto IX|Benedetto IX]]</v>
      </c>
    </row>
    <row r="177" spans="1:5" x14ac:dyDescent="0.35">
      <c r="A177" s="54">
        <v>7</v>
      </c>
      <c r="B177" s="54">
        <v>146</v>
      </c>
      <c r="C177" s="54" t="s">
        <v>5289</v>
      </c>
      <c r="D177" s="54" t="s">
        <v>5396</v>
      </c>
      <c r="E177" s="54" t="str">
        <f t="shared" si="10"/>
        <v>&gt;&gt; 146° - [[Scheda 146° papa - Silvestro III|Silvestro III]]</v>
      </c>
    </row>
    <row r="178" spans="1:5" x14ac:dyDescent="0.35">
      <c r="A178" s="54">
        <v>6</v>
      </c>
      <c r="B178" s="54">
        <v>145</v>
      </c>
      <c r="C178" s="54" t="s">
        <v>5289</v>
      </c>
      <c r="D178" s="54" t="s">
        <v>5393</v>
      </c>
      <c r="E178" s="54" t="str">
        <f t="shared" si="10"/>
        <v>&gt;&gt; 145° - [[Scheda 145° papa - Benedetto IX|Benedetto IX]]</v>
      </c>
    </row>
    <row r="179" spans="1:5" x14ac:dyDescent="0.35">
      <c r="A179" s="54">
        <v>5</v>
      </c>
      <c r="B179" s="54">
        <v>144</v>
      </c>
      <c r="C179" s="54" t="s">
        <v>5289</v>
      </c>
      <c r="D179" s="54" t="s">
        <v>5397</v>
      </c>
      <c r="E179" s="54" t="str">
        <f t="shared" si="10"/>
        <v>&gt;&gt; 144° - [[Scheda 144° papa - Giovanni XIX|Giovanni XIX]]</v>
      </c>
    </row>
    <row r="180" spans="1:5" x14ac:dyDescent="0.35">
      <c r="A180" s="54">
        <v>4</v>
      </c>
      <c r="B180" s="54">
        <v>143</v>
      </c>
      <c r="C180" s="54" t="s">
        <v>5289</v>
      </c>
      <c r="D180" s="54" t="s">
        <v>5398</v>
      </c>
      <c r="E180" s="54" t="str">
        <f t="shared" si="10"/>
        <v>&gt;&gt; 143° - [[Scheda 143° papa - Benedetto VIII|Benedetto VIII]]</v>
      </c>
    </row>
    <row r="181" spans="1:5" x14ac:dyDescent="0.35">
      <c r="A181" s="54">
        <v>3</v>
      </c>
      <c r="B181" s="54">
        <v>142</v>
      </c>
      <c r="C181" s="54" t="s">
        <v>5289</v>
      </c>
      <c r="D181" s="54" t="s">
        <v>5399</v>
      </c>
      <c r="E181" s="54" t="str">
        <f t="shared" si="10"/>
        <v>&gt;&gt; 142° - [[Scheda 142° papa - Sergio IV|Sergio IV]]</v>
      </c>
    </row>
    <row r="182" spans="1:5" x14ac:dyDescent="0.35">
      <c r="A182" s="54">
        <v>2</v>
      </c>
      <c r="B182" s="54">
        <v>141</v>
      </c>
      <c r="C182" s="54" t="s">
        <v>5289</v>
      </c>
      <c r="D182" s="54" t="s">
        <v>5400</v>
      </c>
      <c r="E182" s="54" t="str">
        <f t="shared" si="10"/>
        <v>&gt;&gt; 141° - [[Scheda 141° papa - Giovanni XVIII|Giovanni XVIII]]</v>
      </c>
    </row>
    <row r="183" spans="1:5" x14ac:dyDescent="0.35">
      <c r="A183" s="54">
        <v>1</v>
      </c>
      <c r="B183" s="54">
        <v>140</v>
      </c>
      <c r="C183" s="54" t="s">
        <v>5289</v>
      </c>
      <c r="D183" s="54" t="s">
        <v>5401</v>
      </c>
      <c r="E183" s="54" t="str">
        <f t="shared" si="10"/>
        <v>&gt;&gt; 140° - [[Scheda 140° papa - Giovanni XVII|Giovanni XVII]]</v>
      </c>
    </row>
    <row r="184" spans="1:5" x14ac:dyDescent="0.35">
      <c r="B184" s="54" t="s">
        <v>5300</v>
      </c>
      <c r="E184" s="54" t="str">
        <f>B184</f>
        <v>&gt;</v>
      </c>
    </row>
    <row r="185" spans="1:5" x14ac:dyDescent="0.35">
      <c r="B185" s="54" t="s">
        <v>724</v>
      </c>
      <c r="C185" s="54" t="s">
        <v>5245</v>
      </c>
      <c r="D185" s="54" t="s">
        <v>5288</v>
      </c>
      <c r="E185" s="54" t="str">
        <f>_xlfn.CONCAT(D185," ","[!info]- ",B185," ",C185)</f>
        <v>&gt;&gt; [!info]- XII secolo</v>
      </c>
    </row>
    <row r="186" spans="1:5" x14ac:dyDescent="0.35">
      <c r="A186" s="54">
        <v>16</v>
      </c>
      <c r="B186" s="54">
        <v>176</v>
      </c>
      <c r="C186" s="54" t="s">
        <v>5289</v>
      </c>
      <c r="D186" s="54" t="s">
        <v>5301</v>
      </c>
      <c r="E186" s="54" t="str">
        <f t="shared" ref="E186:E201" si="11">_xlfn.CONCAT("&gt;&gt; ",B186,"° - ","[[Scheda ",B186,"° papa - ",D186,"|",D186,"]]")</f>
        <v>&gt;&gt; 176° - [[Scheda 176° papa -  Innocenzo III| Innocenzo III]]</v>
      </c>
    </row>
    <row r="187" spans="1:5" x14ac:dyDescent="0.35">
      <c r="A187" s="54">
        <v>15</v>
      </c>
      <c r="B187" s="54">
        <v>175</v>
      </c>
      <c r="C187" s="54" t="s">
        <v>5289</v>
      </c>
      <c r="D187" s="54" t="s">
        <v>5368</v>
      </c>
      <c r="E187" s="54" t="str">
        <f t="shared" si="11"/>
        <v>&gt;&gt; 175° - [[Scheda 175° papa - Celestino III|Celestino III]]</v>
      </c>
    </row>
    <row r="188" spans="1:5" x14ac:dyDescent="0.35">
      <c r="A188" s="54">
        <v>14</v>
      </c>
      <c r="B188" s="54">
        <v>174</v>
      </c>
      <c r="C188" s="54" t="s">
        <v>5289</v>
      </c>
      <c r="D188" s="54" t="s">
        <v>5369</v>
      </c>
      <c r="E188" s="54" t="str">
        <f t="shared" si="11"/>
        <v>&gt;&gt; 174° - [[Scheda 174° papa - Clemente III|Clemente III]]</v>
      </c>
    </row>
    <row r="189" spans="1:5" x14ac:dyDescent="0.35">
      <c r="A189" s="54">
        <v>13</v>
      </c>
      <c r="B189" s="54">
        <v>173</v>
      </c>
      <c r="C189" s="54" t="s">
        <v>5289</v>
      </c>
      <c r="D189" s="54" t="s">
        <v>5370</v>
      </c>
      <c r="E189" s="54" t="str">
        <f t="shared" si="11"/>
        <v>&gt;&gt; 173° - [[Scheda 173° papa - Gregorio VIII|Gregorio VIII]]</v>
      </c>
    </row>
    <row r="190" spans="1:5" x14ac:dyDescent="0.35">
      <c r="A190" s="54">
        <v>12</v>
      </c>
      <c r="B190" s="54">
        <v>172</v>
      </c>
      <c r="C190" s="54" t="s">
        <v>5289</v>
      </c>
      <c r="D190" s="54" t="s">
        <v>5371</v>
      </c>
      <c r="E190" s="54" t="str">
        <f t="shared" si="11"/>
        <v>&gt;&gt; 172° - [[Scheda 172° papa - Urbano III|Urbano III]]</v>
      </c>
    </row>
    <row r="191" spans="1:5" x14ac:dyDescent="0.35">
      <c r="A191" s="54">
        <v>11</v>
      </c>
      <c r="B191" s="54">
        <v>171</v>
      </c>
      <c r="C191" s="54" t="s">
        <v>5289</v>
      </c>
      <c r="D191" s="54" t="s">
        <v>5372</v>
      </c>
      <c r="E191" s="54" t="str">
        <f t="shared" si="11"/>
        <v>&gt;&gt; 171° - [[Scheda 171° papa - Lucio III|Lucio III]]</v>
      </c>
    </row>
    <row r="192" spans="1:5" x14ac:dyDescent="0.35">
      <c r="A192" s="54">
        <v>10</v>
      </c>
      <c r="B192" s="54">
        <v>170</v>
      </c>
      <c r="C192" s="54" t="s">
        <v>5289</v>
      </c>
      <c r="D192" s="54" t="s">
        <v>5373</v>
      </c>
      <c r="E192" s="54" t="str">
        <f t="shared" si="11"/>
        <v>&gt;&gt; 170° - [[Scheda 170° papa - Alessandro III|Alessandro III]]</v>
      </c>
    </row>
    <row r="193" spans="1:5" x14ac:dyDescent="0.35">
      <c r="A193" s="54">
        <v>9</v>
      </c>
      <c r="B193" s="54">
        <v>169</v>
      </c>
      <c r="C193" s="54" t="s">
        <v>5289</v>
      </c>
      <c r="D193" s="54" t="s">
        <v>5374</v>
      </c>
      <c r="E193" s="54" t="str">
        <f t="shared" si="11"/>
        <v>&gt;&gt; 169° - [[Scheda 169° papa - Adriano IV|Adriano IV]]</v>
      </c>
    </row>
    <row r="194" spans="1:5" x14ac:dyDescent="0.35">
      <c r="A194" s="54">
        <v>8</v>
      </c>
      <c r="B194" s="54">
        <v>168</v>
      </c>
      <c r="C194" s="54" t="s">
        <v>5289</v>
      </c>
      <c r="D194" s="54" t="s">
        <v>5375</v>
      </c>
      <c r="E194" s="54" t="str">
        <f t="shared" si="11"/>
        <v>&gt;&gt; 168° - [[Scheda 168° papa - Anastasio IV|Anastasio IV]]</v>
      </c>
    </row>
    <row r="195" spans="1:5" x14ac:dyDescent="0.35">
      <c r="A195" s="54">
        <v>7</v>
      </c>
      <c r="B195" s="54">
        <v>167</v>
      </c>
      <c r="C195" s="54" t="s">
        <v>5289</v>
      </c>
      <c r="D195" s="54" t="s">
        <v>5376</v>
      </c>
      <c r="E195" s="54" t="str">
        <f t="shared" si="11"/>
        <v>&gt;&gt; 167° - [[Scheda 167° papa - Eugenio III|Eugenio III]]</v>
      </c>
    </row>
    <row r="196" spans="1:5" x14ac:dyDescent="0.35">
      <c r="A196" s="54">
        <v>6</v>
      </c>
      <c r="B196" s="54">
        <v>166</v>
      </c>
      <c r="C196" s="54" t="s">
        <v>5289</v>
      </c>
      <c r="D196" s="54" t="s">
        <v>5377</v>
      </c>
      <c r="E196" s="54" t="str">
        <f t="shared" si="11"/>
        <v>&gt;&gt; 166° - [[Scheda 166° papa - Lucio II|Lucio II]]</v>
      </c>
    </row>
    <row r="197" spans="1:5" x14ac:dyDescent="0.35">
      <c r="A197" s="54">
        <v>5</v>
      </c>
      <c r="B197" s="54">
        <v>165</v>
      </c>
      <c r="C197" s="54" t="s">
        <v>5289</v>
      </c>
      <c r="D197" s="54" t="s">
        <v>5378</v>
      </c>
      <c r="E197" s="54" t="str">
        <f t="shared" si="11"/>
        <v>&gt;&gt; 165° - [[Scheda 165° papa - Celestino II|Celestino II]]</v>
      </c>
    </row>
    <row r="198" spans="1:5" x14ac:dyDescent="0.35">
      <c r="A198" s="54">
        <v>4</v>
      </c>
      <c r="B198" s="54">
        <v>164</v>
      </c>
      <c r="C198" s="54" t="s">
        <v>5289</v>
      </c>
      <c r="D198" s="54" t="s">
        <v>5379</v>
      </c>
      <c r="E198" s="54" t="str">
        <f t="shared" si="11"/>
        <v>&gt;&gt; 164° - [[Scheda 164° papa - Innocenzo II|Innocenzo II]]</v>
      </c>
    </row>
    <row r="199" spans="1:5" x14ac:dyDescent="0.35">
      <c r="A199" s="54">
        <v>3</v>
      </c>
      <c r="B199" s="54">
        <v>163</v>
      </c>
      <c r="C199" s="54" t="s">
        <v>5289</v>
      </c>
      <c r="D199" s="54" t="s">
        <v>5380</v>
      </c>
      <c r="E199" s="54" t="str">
        <f t="shared" si="11"/>
        <v>&gt;&gt; 163° - [[Scheda 163° papa - Onorio II|Onorio II]]</v>
      </c>
    </row>
    <row r="200" spans="1:5" x14ac:dyDescent="0.35">
      <c r="A200" s="54">
        <v>2</v>
      </c>
      <c r="B200" s="54">
        <v>162</v>
      </c>
      <c r="C200" s="54" t="s">
        <v>5289</v>
      </c>
      <c r="D200" s="54" t="s">
        <v>5381</v>
      </c>
      <c r="E200" s="54" t="str">
        <f t="shared" si="11"/>
        <v>&gt;&gt; 162° - [[Scheda 162° papa - Callisto II|Callisto II]]</v>
      </c>
    </row>
    <row r="201" spans="1:5" x14ac:dyDescent="0.35">
      <c r="A201" s="54">
        <v>1</v>
      </c>
      <c r="B201" s="54">
        <v>161</v>
      </c>
      <c r="C201" s="54" t="s">
        <v>5289</v>
      </c>
      <c r="D201" s="54" t="s">
        <v>5382</v>
      </c>
      <c r="E201" s="54" t="str">
        <f t="shared" si="11"/>
        <v>&gt;&gt; 161° - [[Scheda 161° papa - Gelasio II|Gelasio II]]</v>
      </c>
    </row>
    <row r="202" spans="1:5" x14ac:dyDescent="0.35">
      <c r="B202" s="54" t="s">
        <v>5300</v>
      </c>
      <c r="E202" s="54" t="str">
        <f>B202</f>
        <v>&gt;</v>
      </c>
    </row>
    <row r="203" spans="1:5" x14ac:dyDescent="0.35">
      <c r="B203" s="54" t="s">
        <v>707</v>
      </c>
      <c r="C203" s="54" t="s">
        <v>5245</v>
      </c>
      <c r="D203" s="54" t="s">
        <v>5288</v>
      </c>
      <c r="E203" s="54" t="str">
        <f>_xlfn.CONCAT(D203," ","[!info]- ",B203," ",C203)</f>
        <v>&gt;&gt; [!info]- XIII secolo</v>
      </c>
    </row>
    <row r="204" spans="1:5" x14ac:dyDescent="0.35">
      <c r="A204" s="54">
        <v>17</v>
      </c>
      <c r="B204" s="54">
        <v>193</v>
      </c>
      <c r="C204" s="54" t="s">
        <v>5289</v>
      </c>
      <c r="D204" s="54" t="s">
        <v>5318</v>
      </c>
      <c r="E204" s="54" t="str">
        <f t="shared" ref="E204:E220" si="12">_xlfn.CONCAT("&gt;&gt; ",B204,"° - ","[[Scheda ",B204,"° papa - ",D204,"|",D204,"]]")</f>
        <v>&gt;&gt; 193° - [[Scheda 193° papa -  Bonifacio VIII| Bonifacio VIII]]</v>
      </c>
    </row>
    <row r="205" spans="1:5" x14ac:dyDescent="0.35">
      <c r="A205" s="54">
        <v>16</v>
      </c>
      <c r="B205" s="54">
        <v>192</v>
      </c>
      <c r="C205" s="54" t="s">
        <v>5289</v>
      </c>
      <c r="D205" s="54" t="s">
        <v>5317</v>
      </c>
      <c r="E205" s="54" t="str">
        <f t="shared" si="12"/>
        <v>&gt;&gt; 192° - [[Scheda 192° papa -  Celestino V| Celestino V]]</v>
      </c>
    </row>
    <row r="206" spans="1:5" x14ac:dyDescent="0.35">
      <c r="A206" s="54">
        <v>15</v>
      </c>
      <c r="B206" s="54">
        <v>191</v>
      </c>
      <c r="C206" s="54" t="s">
        <v>5289</v>
      </c>
      <c r="D206" s="54" t="s">
        <v>5316</v>
      </c>
      <c r="E206" s="54" t="str">
        <f t="shared" si="12"/>
        <v>&gt;&gt; 191° - [[Scheda 191° papa -  Niccolò IV| Niccolò IV]]</v>
      </c>
    </row>
    <row r="207" spans="1:5" x14ac:dyDescent="0.35">
      <c r="A207" s="54">
        <v>14</v>
      </c>
      <c r="B207" s="54">
        <v>190</v>
      </c>
      <c r="C207" s="54" t="s">
        <v>5289</v>
      </c>
      <c r="D207" s="54" t="s">
        <v>5315</v>
      </c>
      <c r="E207" s="54" t="str">
        <f t="shared" si="12"/>
        <v>&gt;&gt; 190° - [[Scheda 190° papa -  Onorio IV| Onorio IV]]</v>
      </c>
    </row>
    <row r="208" spans="1:5" x14ac:dyDescent="0.35">
      <c r="A208" s="54">
        <v>13</v>
      </c>
      <c r="B208" s="54">
        <v>189</v>
      </c>
      <c r="C208" s="54" t="s">
        <v>5289</v>
      </c>
      <c r="D208" s="54" t="s">
        <v>5314</v>
      </c>
      <c r="E208" s="54" t="str">
        <f t="shared" si="12"/>
        <v>&gt;&gt; 189° - [[Scheda 189° papa -  Martino IV| Martino IV]]</v>
      </c>
    </row>
    <row r="209" spans="1:5" x14ac:dyDescent="0.35">
      <c r="A209" s="54">
        <v>12</v>
      </c>
      <c r="B209" s="54">
        <v>188</v>
      </c>
      <c r="C209" s="54" t="s">
        <v>5289</v>
      </c>
      <c r="D209" s="54" t="s">
        <v>5313</v>
      </c>
      <c r="E209" s="54" t="str">
        <f t="shared" si="12"/>
        <v>&gt;&gt; 188° - [[Scheda 188° papa -  Niccolò III| Niccolò III]]</v>
      </c>
    </row>
    <row r="210" spans="1:5" x14ac:dyDescent="0.35">
      <c r="A210" s="54">
        <v>11</v>
      </c>
      <c r="B210" s="54">
        <v>187</v>
      </c>
      <c r="C210" s="54" t="s">
        <v>5289</v>
      </c>
      <c r="D210" s="54" t="s">
        <v>5312</v>
      </c>
      <c r="E210" s="54" t="str">
        <f t="shared" si="12"/>
        <v>&gt;&gt; 187° - [[Scheda 187° papa -  Giovanni XXI| Giovanni XXI]]</v>
      </c>
    </row>
    <row r="211" spans="1:5" x14ac:dyDescent="0.35">
      <c r="A211" s="54">
        <v>10</v>
      </c>
      <c r="B211" s="54">
        <v>186</v>
      </c>
      <c r="C211" s="54" t="s">
        <v>5289</v>
      </c>
      <c r="D211" s="54" t="s">
        <v>5311</v>
      </c>
      <c r="E211" s="54" t="str">
        <f t="shared" si="12"/>
        <v>&gt;&gt; 186° - [[Scheda 186° papa -  Adriano V| Adriano V]]</v>
      </c>
    </row>
    <row r="212" spans="1:5" x14ac:dyDescent="0.35">
      <c r="A212" s="54">
        <v>9</v>
      </c>
      <c r="B212" s="54">
        <v>185</v>
      </c>
      <c r="C212" s="54" t="s">
        <v>5289</v>
      </c>
      <c r="D212" s="54" t="s">
        <v>5310</v>
      </c>
      <c r="E212" s="54" t="str">
        <f t="shared" si="12"/>
        <v>&gt;&gt; 185° - [[Scheda 185° papa -  Innocenzo V| Innocenzo V]]</v>
      </c>
    </row>
    <row r="213" spans="1:5" x14ac:dyDescent="0.35">
      <c r="A213" s="54">
        <v>8</v>
      </c>
      <c r="B213" s="54">
        <v>184</v>
      </c>
      <c r="C213" s="54" t="s">
        <v>5289</v>
      </c>
      <c r="D213" s="54" t="s">
        <v>5309</v>
      </c>
      <c r="E213" s="54" t="str">
        <f t="shared" si="12"/>
        <v>&gt;&gt; 184° - [[Scheda 184° papa -  Gregorio X| Gregorio X]]</v>
      </c>
    </row>
    <row r="214" spans="1:5" x14ac:dyDescent="0.35">
      <c r="A214" s="54">
        <v>7</v>
      </c>
      <c r="B214" s="54">
        <v>183</v>
      </c>
      <c r="C214" s="54" t="s">
        <v>5289</v>
      </c>
      <c r="D214" s="54" t="s">
        <v>5308</v>
      </c>
      <c r="E214" s="54" t="str">
        <f t="shared" si="12"/>
        <v>&gt;&gt; 183° - [[Scheda 183° papa -  Clemente IV| Clemente IV]]</v>
      </c>
    </row>
    <row r="215" spans="1:5" x14ac:dyDescent="0.35">
      <c r="A215" s="54">
        <v>6</v>
      </c>
      <c r="B215" s="54">
        <v>182</v>
      </c>
      <c r="C215" s="54" t="s">
        <v>5289</v>
      </c>
      <c r="D215" s="54" t="s">
        <v>5307</v>
      </c>
      <c r="E215" s="54" t="str">
        <f t="shared" si="12"/>
        <v>&gt;&gt; 182° - [[Scheda 182° papa -  Urbano IV| Urbano IV]]</v>
      </c>
    </row>
    <row r="216" spans="1:5" x14ac:dyDescent="0.35">
      <c r="A216" s="54">
        <v>5</v>
      </c>
      <c r="B216" s="54">
        <v>181</v>
      </c>
      <c r="C216" s="54" t="s">
        <v>5289</v>
      </c>
      <c r="D216" s="54" t="s">
        <v>5306</v>
      </c>
      <c r="E216" s="54" t="str">
        <f t="shared" si="12"/>
        <v>&gt;&gt; 181° - [[Scheda 181° papa -  Alessandro IV| Alessandro IV]]</v>
      </c>
    </row>
    <row r="217" spans="1:5" x14ac:dyDescent="0.35">
      <c r="A217" s="54">
        <v>4</v>
      </c>
      <c r="B217" s="54">
        <v>180</v>
      </c>
      <c r="C217" s="54" t="s">
        <v>5289</v>
      </c>
      <c r="D217" s="54" t="s">
        <v>5305</v>
      </c>
      <c r="E217" s="54" t="str">
        <f t="shared" si="12"/>
        <v>&gt;&gt; 180° - [[Scheda 180° papa -  Innocenzo IV| Innocenzo IV]]</v>
      </c>
    </row>
    <row r="218" spans="1:5" x14ac:dyDescent="0.35">
      <c r="A218" s="54">
        <v>3</v>
      </c>
      <c r="B218" s="54">
        <v>179</v>
      </c>
      <c r="C218" s="54" t="s">
        <v>5289</v>
      </c>
      <c r="D218" s="54" t="s">
        <v>5304</v>
      </c>
      <c r="E218" s="54" t="str">
        <f t="shared" si="12"/>
        <v>&gt;&gt; 179° - [[Scheda 179° papa -  Celestino IV| Celestino IV]]</v>
      </c>
    </row>
    <row r="219" spans="1:5" x14ac:dyDescent="0.35">
      <c r="A219" s="54">
        <v>2</v>
      </c>
      <c r="B219" s="54">
        <v>178</v>
      </c>
      <c r="C219" s="54" t="s">
        <v>5289</v>
      </c>
      <c r="D219" s="54" t="s">
        <v>5303</v>
      </c>
      <c r="E219" s="54" t="str">
        <f t="shared" si="12"/>
        <v>&gt;&gt; 178° - [[Scheda 178° papa -  Gregorio IX| Gregorio IX]]</v>
      </c>
    </row>
    <row r="220" spans="1:5" x14ac:dyDescent="0.35">
      <c r="A220" s="54">
        <v>1</v>
      </c>
      <c r="B220" s="54">
        <v>177</v>
      </c>
      <c r="C220" s="54" t="s">
        <v>5289</v>
      </c>
      <c r="D220" s="54" t="s">
        <v>5302</v>
      </c>
      <c r="E220" s="54" t="str">
        <f t="shared" si="12"/>
        <v>&gt;&gt; 177° - [[Scheda 177° papa -  Onorio III| Onorio III]]</v>
      </c>
    </row>
    <row r="221" spans="1:5" x14ac:dyDescent="0.35">
      <c r="B221" s="54" t="s">
        <v>5300</v>
      </c>
      <c r="E221" s="54" t="str">
        <f>B221</f>
        <v>&gt;</v>
      </c>
    </row>
    <row r="222" spans="1:5" x14ac:dyDescent="0.35">
      <c r="B222" s="54" t="s">
        <v>704</v>
      </c>
      <c r="C222" s="54" t="s">
        <v>5245</v>
      </c>
      <c r="D222" s="54" t="s">
        <v>5288</v>
      </c>
      <c r="E222" s="54" t="str">
        <f>_xlfn.CONCAT(D222," ","[!info]- ",B222," ",C222)</f>
        <v>&gt;&gt; [!info]- XIV secolo</v>
      </c>
    </row>
    <row r="223" spans="1:5" x14ac:dyDescent="0.35">
      <c r="A223" s="54">
        <v>10</v>
      </c>
      <c r="B223" s="54">
        <v>203</v>
      </c>
      <c r="C223" s="54" t="s">
        <v>5289</v>
      </c>
      <c r="D223" s="54" t="s">
        <v>5328</v>
      </c>
      <c r="E223" s="54" t="str">
        <f t="shared" ref="E223:E232" si="13">_xlfn.CONCAT("&gt;&gt; ",B223,"° - ","[[Scheda ",B223,"° papa - ",D223,"|",D223,"]]")</f>
        <v>&gt;&gt; 203° - [[Scheda 203° papa -  Bonifacio IX| Bonifacio IX]]</v>
      </c>
    </row>
    <row r="224" spans="1:5" x14ac:dyDescent="0.35">
      <c r="A224" s="54">
        <v>9</v>
      </c>
      <c r="B224" s="54">
        <v>202</v>
      </c>
      <c r="C224" s="54" t="s">
        <v>5289</v>
      </c>
      <c r="D224" s="54" t="s">
        <v>5327</v>
      </c>
      <c r="E224" s="54" t="str">
        <f t="shared" si="13"/>
        <v>&gt;&gt; 202° - [[Scheda 202° papa -  Urbano VI| Urbano VI]]</v>
      </c>
    </row>
    <row r="225" spans="1:5" x14ac:dyDescent="0.35">
      <c r="A225" s="54">
        <v>8</v>
      </c>
      <c r="B225" s="54">
        <v>201</v>
      </c>
      <c r="C225" s="54" t="s">
        <v>5289</v>
      </c>
      <c r="D225" s="54" t="s">
        <v>5326</v>
      </c>
      <c r="E225" s="54" t="str">
        <f t="shared" si="13"/>
        <v>&gt;&gt; 201° - [[Scheda 201° papa -  Gregorio XI| Gregorio XI]]</v>
      </c>
    </row>
    <row r="226" spans="1:5" x14ac:dyDescent="0.35">
      <c r="A226" s="54">
        <v>7</v>
      </c>
      <c r="B226" s="54">
        <v>200</v>
      </c>
      <c r="C226" s="54" t="s">
        <v>5289</v>
      </c>
      <c r="D226" s="54" t="s">
        <v>5325</v>
      </c>
      <c r="E226" s="54" t="str">
        <f t="shared" si="13"/>
        <v>&gt;&gt; 200° - [[Scheda 200° papa -  Urbano V| Urbano V]]</v>
      </c>
    </row>
    <row r="227" spans="1:5" x14ac:dyDescent="0.35">
      <c r="A227" s="54">
        <v>6</v>
      </c>
      <c r="B227" s="54">
        <v>199</v>
      </c>
      <c r="C227" s="54" t="s">
        <v>5289</v>
      </c>
      <c r="D227" s="54" t="s">
        <v>5324</v>
      </c>
      <c r="E227" s="54" t="str">
        <f t="shared" si="13"/>
        <v>&gt;&gt; 199° - [[Scheda 199° papa -  Innocenzo VI| Innocenzo VI]]</v>
      </c>
    </row>
    <row r="228" spans="1:5" x14ac:dyDescent="0.35">
      <c r="A228" s="54">
        <v>5</v>
      </c>
      <c r="B228" s="54">
        <v>198</v>
      </c>
      <c r="C228" s="54" t="s">
        <v>5289</v>
      </c>
      <c r="D228" s="54" t="s">
        <v>5323</v>
      </c>
      <c r="E228" s="54" t="str">
        <f t="shared" si="13"/>
        <v>&gt;&gt; 198° - [[Scheda 198° papa -  Clemente VI| Clemente VI]]</v>
      </c>
    </row>
    <row r="229" spans="1:5" x14ac:dyDescent="0.35">
      <c r="A229" s="54">
        <v>4</v>
      </c>
      <c r="B229" s="54">
        <v>197</v>
      </c>
      <c r="C229" s="54" t="s">
        <v>5289</v>
      </c>
      <c r="D229" s="54" t="s">
        <v>5322</v>
      </c>
      <c r="E229" s="54" t="str">
        <f t="shared" si="13"/>
        <v>&gt;&gt; 197° - [[Scheda 197° papa -  Benedetto XII| Benedetto XII]]</v>
      </c>
    </row>
    <row r="230" spans="1:5" x14ac:dyDescent="0.35">
      <c r="A230" s="54">
        <v>3</v>
      </c>
      <c r="B230" s="54">
        <v>196</v>
      </c>
      <c r="C230" s="54" t="s">
        <v>5289</v>
      </c>
      <c r="D230" s="54" t="s">
        <v>5321</v>
      </c>
      <c r="E230" s="54" t="str">
        <f t="shared" si="13"/>
        <v>&gt;&gt; 196° - [[Scheda 196° papa -  Giovanni XXII| Giovanni XXII]]</v>
      </c>
    </row>
    <row r="231" spans="1:5" x14ac:dyDescent="0.35">
      <c r="A231" s="54">
        <v>2</v>
      </c>
      <c r="B231" s="54">
        <v>195</v>
      </c>
      <c r="C231" s="54" t="s">
        <v>5289</v>
      </c>
      <c r="D231" s="54" t="s">
        <v>5320</v>
      </c>
      <c r="E231" s="54" t="str">
        <f t="shared" si="13"/>
        <v>&gt;&gt; 195° - [[Scheda 195° papa -  Clemente V| Clemente V]]</v>
      </c>
    </row>
    <row r="232" spans="1:5" x14ac:dyDescent="0.35">
      <c r="A232" s="54">
        <v>1</v>
      </c>
      <c r="B232" s="54">
        <v>194</v>
      </c>
      <c r="C232" s="54" t="s">
        <v>5289</v>
      </c>
      <c r="D232" s="54" t="s">
        <v>5319</v>
      </c>
      <c r="E232" s="54" t="str">
        <f t="shared" si="13"/>
        <v>&gt;&gt; 194° - [[Scheda 194° papa -  Benedetto XI| Benedetto XI]]</v>
      </c>
    </row>
    <row r="233" spans="1:5" x14ac:dyDescent="0.35">
      <c r="B233" s="54" t="s">
        <v>5300</v>
      </c>
      <c r="E233" s="54" t="str">
        <f>B233</f>
        <v>&gt;</v>
      </c>
    </row>
    <row r="234" spans="1:5" x14ac:dyDescent="0.35">
      <c r="B234" s="54" t="s">
        <v>738</v>
      </c>
      <c r="C234" s="54" t="s">
        <v>5245</v>
      </c>
      <c r="D234" s="54" t="s">
        <v>5288</v>
      </c>
      <c r="E234" s="54" t="str">
        <f>_xlfn.CONCAT(D234," ","[!info]- ",B234," ",C234)</f>
        <v>&gt;&gt; [!info]- XV secolo</v>
      </c>
    </row>
    <row r="235" spans="1:5" x14ac:dyDescent="0.35">
      <c r="A235" s="54">
        <v>11</v>
      </c>
      <c r="B235" s="54">
        <v>214</v>
      </c>
      <c r="C235" s="54" t="s">
        <v>5289</v>
      </c>
      <c r="D235" s="54" t="s">
        <v>5339</v>
      </c>
      <c r="E235" s="54" t="str">
        <f t="shared" ref="E235:E245" si="14">_xlfn.CONCAT("&gt;&gt; ",B235,"° - ","[[Scheda ",B235,"° papa - ",D235,"|",D235,"]]")</f>
        <v>&gt;&gt; 214° - [[Scheda 214° papa -  Alessandro VI| Alessandro VI]]</v>
      </c>
    </row>
    <row r="236" spans="1:5" x14ac:dyDescent="0.35">
      <c r="A236" s="54">
        <v>10</v>
      </c>
      <c r="B236" s="54">
        <v>213</v>
      </c>
      <c r="C236" s="54" t="s">
        <v>5289</v>
      </c>
      <c r="D236" s="54" t="s">
        <v>5338</v>
      </c>
      <c r="E236" s="54" t="str">
        <f t="shared" si="14"/>
        <v>&gt;&gt; 213° - [[Scheda 213° papa -  Innocenzo VIII| Innocenzo VIII]]</v>
      </c>
    </row>
    <row r="237" spans="1:5" x14ac:dyDescent="0.35">
      <c r="A237" s="54">
        <v>9</v>
      </c>
      <c r="B237" s="54">
        <v>212</v>
      </c>
      <c r="C237" s="54" t="s">
        <v>5289</v>
      </c>
      <c r="D237" s="54" t="s">
        <v>5337</v>
      </c>
      <c r="E237" s="54" t="str">
        <f t="shared" si="14"/>
        <v>&gt;&gt; 212° - [[Scheda 212° papa -  Sisto IV| Sisto IV]]</v>
      </c>
    </row>
    <row r="238" spans="1:5" x14ac:dyDescent="0.35">
      <c r="A238" s="54">
        <v>8</v>
      </c>
      <c r="B238" s="54">
        <v>211</v>
      </c>
      <c r="C238" s="54" t="s">
        <v>5289</v>
      </c>
      <c r="D238" s="54" t="s">
        <v>5336</v>
      </c>
      <c r="E238" s="54" t="str">
        <f t="shared" si="14"/>
        <v>&gt;&gt; 211° - [[Scheda 211° papa -  Paolo II| Paolo II]]</v>
      </c>
    </row>
    <row r="239" spans="1:5" x14ac:dyDescent="0.35">
      <c r="A239" s="54">
        <v>7</v>
      </c>
      <c r="B239" s="54">
        <v>210</v>
      </c>
      <c r="C239" s="54" t="s">
        <v>5289</v>
      </c>
      <c r="D239" s="54" t="s">
        <v>5335</v>
      </c>
      <c r="E239" s="54" t="str">
        <f t="shared" si="14"/>
        <v>&gt;&gt; 210° - [[Scheda 210° papa -  Pio II| Pio II]]</v>
      </c>
    </row>
    <row r="240" spans="1:5" x14ac:dyDescent="0.35">
      <c r="A240" s="54">
        <v>6</v>
      </c>
      <c r="B240" s="54">
        <v>209</v>
      </c>
      <c r="C240" s="54" t="s">
        <v>5289</v>
      </c>
      <c r="D240" s="54" t="s">
        <v>5334</v>
      </c>
      <c r="E240" s="54" t="str">
        <f t="shared" si="14"/>
        <v>&gt;&gt; 209° - [[Scheda 209° papa -  Callisto III| Callisto III]]</v>
      </c>
    </row>
    <row r="241" spans="1:5" x14ac:dyDescent="0.35">
      <c r="A241" s="54">
        <v>5</v>
      </c>
      <c r="B241" s="54">
        <v>208</v>
      </c>
      <c r="C241" s="54" t="s">
        <v>5289</v>
      </c>
      <c r="D241" s="54" t="s">
        <v>5333</v>
      </c>
      <c r="E241" s="54" t="str">
        <f t="shared" si="14"/>
        <v>&gt;&gt; 208° - [[Scheda 208° papa -  Niccolò V| Niccolò V]]</v>
      </c>
    </row>
    <row r="242" spans="1:5" x14ac:dyDescent="0.35">
      <c r="A242" s="54">
        <v>4</v>
      </c>
      <c r="B242" s="54">
        <v>207</v>
      </c>
      <c r="C242" s="54" t="s">
        <v>5289</v>
      </c>
      <c r="D242" s="54" t="s">
        <v>5332</v>
      </c>
      <c r="E242" s="54" t="str">
        <f t="shared" si="14"/>
        <v>&gt;&gt; 207° - [[Scheda 207° papa -  Eugenio IV| Eugenio IV]]</v>
      </c>
    </row>
    <row r="243" spans="1:5" x14ac:dyDescent="0.35">
      <c r="A243" s="54">
        <v>3</v>
      </c>
      <c r="B243" s="54">
        <v>206</v>
      </c>
      <c r="C243" s="54" t="s">
        <v>5289</v>
      </c>
      <c r="D243" s="54" t="s">
        <v>5331</v>
      </c>
      <c r="E243" s="54" t="str">
        <f t="shared" si="14"/>
        <v>&gt;&gt; 206° - [[Scheda 206° papa -  Martino V| Martino V]]</v>
      </c>
    </row>
    <row r="244" spans="1:5" x14ac:dyDescent="0.35">
      <c r="A244" s="54">
        <v>2</v>
      </c>
      <c r="B244" s="54">
        <v>205</v>
      </c>
      <c r="C244" s="54" t="s">
        <v>5289</v>
      </c>
      <c r="D244" s="54" t="s">
        <v>5330</v>
      </c>
      <c r="E244" s="54" t="str">
        <f t="shared" si="14"/>
        <v>&gt;&gt; 205° - [[Scheda 205° papa -  Gregorio XII| Gregorio XII]]</v>
      </c>
    </row>
    <row r="245" spans="1:5" x14ac:dyDescent="0.35">
      <c r="A245" s="54">
        <v>1</v>
      </c>
      <c r="B245" s="54">
        <v>204</v>
      </c>
      <c r="C245" s="54" t="s">
        <v>5289</v>
      </c>
      <c r="D245" s="54" t="s">
        <v>5329</v>
      </c>
      <c r="E245" s="54" t="str">
        <f t="shared" si="14"/>
        <v>&gt;&gt; 204° - [[Scheda 204° papa -  Innocenzo VII| Innocenzo VII]]</v>
      </c>
    </row>
    <row r="246" spans="1:5" x14ac:dyDescent="0.35">
      <c r="B246" s="54" t="s">
        <v>5300</v>
      </c>
      <c r="E246" s="54" t="str">
        <f>B246</f>
        <v>&gt;</v>
      </c>
    </row>
    <row r="247" spans="1:5" x14ac:dyDescent="0.35">
      <c r="B247" s="54" t="s">
        <v>700</v>
      </c>
      <c r="C247" s="54" t="s">
        <v>5245</v>
      </c>
      <c r="D247" s="54" t="s">
        <v>5288</v>
      </c>
      <c r="E247" s="54" t="str">
        <f>_xlfn.CONCAT(D247," ","[!info]- ",B247," ",C247)</f>
        <v>&gt;&gt; [!info]- XVI secolo</v>
      </c>
    </row>
    <row r="248" spans="1:5" x14ac:dyDescent="0.35">
      <c r="A248" s="54">
        <v>17</v>
      </c>
      <c r="B248" s="54">
        <v>231</v>
      </c>
      <c r="C248" s="54" t="s">
        <v>5289</v>
      </c>
      <c r="D248" s="54" t="s">
        <v>5356</v>
      </c>
      <c r="E248" s="54" t="str">
        <f t="shared" ref="E248:E264" si="15">_xlfn.CONCAT("&gt;&gt; ",B248,"° - ","[[Scheda ",B248,"° papa - ",D248,"|",D248,"]]")</f>
        <v>&gt;&gt; 231° - [[Scheda 231° papa -  Clemente VIII| Clemente VIII]]</v>
      </c>
    </row>
    <row r="249" spans="1:5" x14ac:dyDescent="0.35">
      <c r="A249" s="54">
        <v>16</v>
      </c>
      <c r="B249" s="54">
        <v>230</v>
      </c>
      <c r="C249" s="54" t="s">
        <v>5289</v>
      </c>
      <c r="D249" s="54" t="s">
        <v>5355</v>
      </c>
      <c r="E249" s="54" t="str">
        <f t="shared" si="15"/>
        <v>&gt;&gt; 230° - [[Scheda 230° papa -  Innocenzo IX| Innocenzo IX]]</v>
      </c>
    </row>
    <row r="250" spans="1:5" x14ac:dyDescent="0.35">
      <c r="A250" s="54">
        <v>15</v>
      </c>
      <c r="B250" s="54">
        <v>229</v>
      </c>
      <c r="C250" s="54" t="s">
        <v>5289</v>
      </c>
      <c r="D250" s="54" t="s">
        <v>5354</v>
      </c>
      <c r="E250" s="54" t="str">
        <f t="shared" si="15"/>
        <v>&gt;&gt; 229° - [[Scheda 229° papa -  Gregorio XIV| Gregorio XIV]]</v>
      </c>
    </row>
    <row r="251" spans="1:5" x14ac:dyDescent="0.35">
      <c r="A251" s="54">
        <v>14</v>
      </c>
      <c r="B251" s="54">
        <v>228</v>
      </c>
      <c r="C251" s="54" t="s">
        <v>5289</v>
      </c>
      <c r="D251" s="54" t="s">
        <v>5353</v>
      </c>
      <c r="E251" s="54" t="str">
        <f t="shared" si="15"/>
        <v>&gt;&gt; 228° - [[Scheda 228° papa -  Urbano VII| Urbano VII]]</v>
      </c>
    </row>
    <row r="252" spans="1:5" x14ac:dyDescent="0.35">
      <c r="A252" s="54">
        <v>13</v>
      </c>
      <c r="B252" s="54">
        <v>227</v>
      </c>
      <c r="C252" s="54" t="s">
        <v>5289</v>
      </c>
      <c r="D252" s="54" t="s">
        <v>5352</v>
      </c>
      <c r="E252" s="54" t="str">
        <f t="shared" si="15"/>
        <v>&gt;&gt; 227° - [[Scheda 227° papa -  Sisto V| Sisto V]]</v>
      </c>
    </row>
    <row r="253" spans="1:5" x14ac:dyDescent="0.35">
      <c r="A253" s="54">
        <v>12</v>
      </c>
      <c r="B253" s="54">
        <v>226</v>
      </c>
      <c r="C253" s="54" t="s">
        <v>5289</v>
      </c>
      <c r="D253" s="54" t="s">
        <v>5351</v>
      </c>
      <c r="E253" s="54" t="str">
        <f t="shared" si="15"/>
        <v>&gt;&gt; 226° - [[Scheda 226° papa -  Gregorio XIII| Gregorio XIII]]</v>
      </c>
    </row>
    <row r="254" spans="1:5" x14ac:dyDescent="0.35">
      <c r="A254" s="54">
        <v>11</v>
      </c>
      <c r="B254" s="54">
        <v>225</v>
      </c>
      <c r="C254" s="54" t="s">
        <v>5289</v>
      </c>
      <c r="D254" s="54" t="s">
        <v>5350</v>
      </c>
      <c r="E254" s="54" t="str">
        <f t="shared" si="15"/>
        <v>&gt;&gt; 225° - [[Scheda 225° papa -  Pio V| Pio V]]</v>
      </c>
    </row>
    <row r="255" spans="1:5" x14ac:dyDescent="0.35">
      <c r="A255" s="54">
        <v>10</v>
      </c>
      <c r="B255" s="54">
        <v>224</v>
      </c>
      <c r="C255" s="54" t="s">
        <v>5289</v>
      </c>
      <c r="D255" s="54" t="s">
        <v>5349</v>
      </c>
      <c r="E255" s="54" t="str">
        <f t="shared" si="15"/>
        <v>&gt;&gt; 224° - [[Scheda 224° papa -  Pio IV| Pio IV]]</v>
      </c>
    </row>
    <row r="256" spans="1:5" x14ac:dyDescent="0.35">
      <c r="A256" s="54">
        <v>9</v>
      </c>
      <c r="B256" s="54">
        <v>223</v>
      </c>
      <c r="C256" s="54" t="s">
        <v>5289</v>
      </c>
      <c r="D256" s="54" t="s">
        <v>5348</v>
      </c>
      <c r="E256" s="54" t="str">
        <f t="shared" si="15"/>
        <v>&gt;&gt; 223° - [[Scheda 223° papa -  Paolo IV| Paolo IV]]</v>
      </c>
    </row>
    <row r="257" spans="1:5" x14ac:dyDescent="0.35">
      <c r="A257" s="54">
        <v>8</v>
      </c>
      <c r="B257" s="54">
        <v>222</v>
      </c>
      <c r="C257" s="54" t="s">
        <v>5289</v>
      </c>
      <c r="D257" s="54" t="s">
        <v>5347</v>
      </c>
      <c r="E257" s="54" t="str">
        <f t="shared" si="15"/>
        <v>&gt;&gt; 222° - [[Scheda 222° papa -  Marcello II| Marcello II]]</v>
      </c>
    </row>
    <row r="258" spans="1:5" x14ac:dyDescent="0.35">
      <c r="A258" s="54">
        <v>7</v>
      </c>
      <c r="B258" s="54">
        <v>221</v>
      </c>
      <c r="C258" s="54" t="s">
        <v>5289</v>
      </c>
      <c r="D258" s="54" t="s">
        <v>5346</v>
      </c>
      <c r="E258" s="54" t="str">
        <f t="shared" si="15"/>
        <v>&gt;&gt; 221° - [[Scheda 221° papa -  Giulio III| Giulio III]]</v>
      </c>
    </row>
    <row r="259" spans="1:5" x14ac:dyDescent="0.35">
      <c r="A259" s="54">
        <v>6</v>
      </c>
      <c r="B259" s="54">
        <v>220</v>
      </c>
      <c r="C259" s="54" t="s">
        <v>5289</v>
      </c>
      <c r="D259" s="54" t="s">
        <v>5345</v>
      </c>
      <c r="E259" s="54" t="str">
        <f t="shared" si="15"/>
        <v>&gt;&gt; 220° - [[Scheda 220° papa -  Paolo III| Paolo III]]</v>
      </c>
    </row>
    <row r="260" spans="1:5" x14ac:dyDescent="0.35">
      <c r="A260" s="54">
        <v>5</v>
      </c>
      <c r="B260" s="54">
        <v>219</v>
      </c>
      <c r="C260" s="54" t="s">
        <v>5289</v>
      </c>
      <c r="D260" s="54" t="s">
        <v>5344</v>
      </c>
      <c r="E260" s="54" t="str">
        <f t="shared" si="15"/>
        <v>&gt;&gt; 219° - [[Scheda 219° papa -  Clemente VII| Clemente VII]]</v>
      </c>
    </row>
    <row r="261" spans="1:5" x14ac:dyDescent="0.35">
      <c r="A261" s="54">
        <v>4</v>
      </c>
      <c r="B261" s="54">
        <v>218</v>
      </c>
      <c r="C261" s="54" t="s">
        <v>5289</v>
      </c>
      <c r="D261" s="54" t="s">
        <v>5343</v>
      </c>
      <c r="E261" s="54" t="str">
        <f t="shared" si="15"/>
        <v>&gt;&gt; 218° - [[Scheda 218° papa -  Adriano VI| Adriano VI]]</v>
      </c>
    </row>
    <row r="262" spans="1:5" x14ac:dyDescent="0.35">
      <c r="A262" s="54">
        <v>3</v>
      </c>
      <c r="B262" s="54">
        <v>217</v>
      </c>
      <c r="C262" s="54" t="s">
        <v>5289</v>
      </c>
      <c r="D262" s="54" t="s">
        <v>5342</v>
      </c>
      <c r="E262" s="54" t="str">
        <f t="shared" si="15"/>
        <v>&gt;&gt; 217° - [[Scheda 217° papa -  Leone X| Leone X]]</v>
      </c>
    </row>
    <row r="263" spans="1:5" x14ac:dyDescent="0.35">
      <c r="A263" s="54">
        <v>2</v>
      </c>
      <c r="B263" s="54">
        <v>216</v>
      </c>
      <c r="C263" s="54" t="s">
        <v>5289</v>
      </c>
      <c r="D263" s="54" t="s">
        <v>5341</v>
      </c>
      <c r="E263" s="54" t="str">
        <f t="shared" si="15"/>
        <v>&gt;&gt; 216° - [[Scheda 216° papa -  Giulio II| Giulio II]]</v>
      </c>
    </row>
    <row r="264" spans="1:5" x14ac:dyDescent="0.35">
      <c r="A264" s="54">
        <v>1</v>
      </c>
      <c r="B264" s="54">
        <v>215</v>
      </c>
      <c r="C264" s="54" t="s">
        <v>5289</v>
      </c>
      <c r="D264" s="54" t="s">
        <v>5340</v>
      </c>
      <c r="E264" s="54" t="str">
        <f t="shared" si="15"/>
        <v>&gt;&gt; 215° - [[Scheda 215° papa -  Pio III| Pio III]]</v>
      </c>
    </row>
    <row r="265" spans="1:5" x14ac:dyDescent="0.35">
      <c r="B265" s="54" t="s">
        <v>5300</v>
      </c>
      <c r="E265" s="54" t="str">
        <f>B265</f>
        <v>&gt;</v>
      </c>
    </row>
    <row r="266" spans="1:5" x14ac:dyDescent="0.35">
      <c r="B266" s="54" t="s">
        <v>5240</v>
      </c>
      <c r="C266" s="54" t="s">
        <v>5245</v>
      </c>
      <c r="D266" s="54" t="s">
        <v>5288</v>
      </c>
      <c r="E266" s="54" t="str">
        <f>_xlfn.CONCAT(D266," ","[!info]- ",B266," ",C266)</f>
        <v>&gt;&gt; [!info]- XVII secolo</v>
      </c>
    </row>
    <row r="267" spans="1:5" x14ac:dyDescent="0.35">
      <c r="A267" s="54">
        <v>11</v>
      </c>
      <c r="B267" s="54">
        <v>242</v>
      </c>
      <c r="C267" s="54" t="s">
        <v>5289</v>
      </c>
      <c r="D267" s="54" t="s">
        <v>5367</v>
      </c>
      <c r="E267" s="54" t="str">
        <f t="shared" ref="E267:E277" si="16">_xlfn.CONCAT("&gt;&gt; ",B267,"° - ","[[Scheda ",B267,"° papa - ",D267,"|",D267,"]]")</f>
        <v>&gt;&gt; 242° - [[Scheda 242° papa -  Innocenzo XII| Innocenzo XII]]</v>
      </c>
    </row>
    <row r="268" spans="1:5" x14ac:dyDescent="0.35">
      <c r="A268" s="54">
        <v>10</v>
      </c>
      <c r="B268" s="54">
        <v>241</v>
      </c>
      <c r="C268" s="54" t="s">
        <v>5289</v>
      </c>
      <c r="D268" s="54" t="s">
        <v>5366</v>
      </c>
      <c r="E268" s="54" t="str">
        <f t="shared" si="16"/>
        <v>&gt;&gt; 241° - [[Scheda 241° papa -  Alessandro VIII| Alessandro VIII]]</v>
      </c>
    </row>
    <row r="269" spans="1:5" x14ac:dyDescent="0.35">
      <c r="A269" s="54">
        <v>9</v>
      </c>
      <c r="B269" s="54">
        <v>240</v>
      </c>
      <c r="C269" s="54" t="s">
        <v>5289</v>
      </c>
      <c r="D269" s="54" t="s">
        <v>5365</v>
      </c>
      <c r="E269" s="54" t="str">
        <f t="shared" si="16"/>
        <v>&gt;&gt; 240° - [[Scheda 240° papa -  Innocenzo XI| Innocenzo XI]]</v>
      </c>
    </row>
    <row r="270" spans="1:5" x14ac:dyDescent="0.35">
      <c r="A270" s="54">
        <v>8</v>
      </c>
      <c r="B270" s="54">
        <v>239</v>
      </c>
      <c r="C270" s="54" t="s">
        <v>5289</v>
      </c>
      <c r="D270" s="54" t="s">
        <v>5364</v>
      </c>
      <c r="E270" s="54" t="str">
        <f t="shared" si="16"/>
        <v>&gt;&gt; 239° - [[Scheda 239° papa -  Clemente X| Clemente X]]</v>
      </c>
    </row>
    <row r="271" spans="1:5" x14ac:dyDescent="0.35">
      <c r="A271" s="54">
        <v>7</v>
      </c>
      <c r="B271" s="54">
        <v>238</v>
      </c>
      <c r="C271" s="54" t="s">
        <v>5289</v>
      </c>
      <c r="D271" s="54" t="s">
        <v>5363</v>
      </c>
      <c r="E271" s="54" t="str">
        <f t="shared" si="16"/>
        <v>&gt;&gt; 238° - [[Scheda 238° papa -  Clemente IX| Clemente IX]]</v>
      </c>
    </row>
    <row r="272" spans="1:5" x14ac:dyDescent="0.35">
      <c r="A272" s="54">
        <v>6</v>
      </c>
      <c r="B272" s="54">
        <v>237</v>
      </c>
      <c r="C272" s="54" t="s">
        <v>5289</v>
      </c>
      <c r="D272" s="54" t="s">
        <v>5362</v>
      </c>
      <c r="E272" s="54" t="str">
        <f t="shared" si="16"/>
        <v>&gt;&gt; 237° - [[Scheda 237° papa -  Alessandro VII| Alessandro VII]]</v>
      </c>
    </row>
    <row r="273" spans="1:5" x14ac:dyDescent="0.35">
      <c r="A273" s="54">
        <v>5</v>
      </c>
      <c r="B273" s="54">
        <v>236</v>
      </c>
      <c r="C273" s="54" t="s">
        <v>5289</v>
      </c>
      <c r="D273" s="54" t="s">
        <v>5361</v>
      </c>
      <c r="E273" s="54" t="str">
        <f t="shared" si="16"/>
        <v>&gt;&gt; 236° - [[Scheda 236° papa -  Innocenzo X| Innocenzo X]]</v>
      </c>
    </row>
    <row r="274" spans="1:5" x14ac:dyDescent="0.35">
      <c r="A274" s="54">
        <v>4</v>
      </c>
      <c r="B274" s="54">
        <v>235</v>
      </c>
      <c r="C274" s="54" t="s">
        <v>5289</v>
      </c>
      <c r="D274" s="54" t="s">
        <v>5360</v>
      </c>
      <c r="E274" s="54" t="str">
        <f t="shared" si="16"/>
        <v>&gt;&gt; 235° - [[Scheda 235° papa -  Urbano VIII| Urbano VIII]]</v>
      </c>
    </row>
    <row r="275" spans="1:5" x14ac:dyDescent="0.35">
      <c r="A275" s="54">
        <v>3</v>
      </c>
      <c r="B275" s="54">
        <v>234</v>
      </c>
      <c r="C275" s="54" t="s">
        <v>5289</v>
      </c>
      <c r="D275" s="54" t="s">
        <v>5359</v>
      </c>
      <c r="E275" s="54" t="str">
        <f t="shared" si="16"/>
        <v>&gt;&gt; 234° - [[Scheda 234° papa -  Gregorio XV| Gregorio XV]]</v>
      </c>
    </row>
    <row r="276" spans="1:5" x14ac:dyDescent="0.35">
      <c r="A276" s="54">
        <v>2</v>
      </c>
      <c r="B276" s="54">
        <v>233</v>
      </c>
      <c r="C276" s="54" t="s">
        <v>5289</v>
      </c>
      <c r="D276" s="54" t="s">
        <v>5358</v>
      </c>
      <c r="E276" s="54" t="str">
        <f t="shared" si="16"/>
        <v>&gt;&gt; 233° - [[Scheda 233° papa -  Paolo V| Paolo V]]</v>
      </c>
    </row>
    <row r="277" spans="1:5" x14ac:dyDescent="0.35">
      <c r="A277" s="54">
        <v>1</v>
      </c>
      <c r="B277" s="54">
        <v>232</v>
      </c>
      <c r="C277" s="54" t="s">
        <v>5289</v>
      </c>
      <c r="D277" s="54" t="s">
        <v>5357</v>
      </c>
      <c r="E277" s="54" t="str">
        <f t="shared" si="16"/>
        <v>&gt;&gt; 232° - [[Scheda 232° papa -  Leone XI| Leone XI]]</v>
      </c>
    </row>
    <row r="278" spans="1:5" x14ac:dyDescent="0.35">
      <c r="B278" s="54" t="s">
        <v>5300</v>
      </c>
      <c r="E278" s="54" t="str">
        <f>B278</f>
        <v>&gt;</v>
      </c>
    </row>
    <row r="279" spans="1:5" x14ac:dyDescent="0.35">
      <c r="B279" s="54" t="s">
        <v>5241</v>
      </c>
      <c r="C279" s="54" t="s">
        <v>5245</v>
      </c>
      <c r="D279" s="54" t="s">
        <v>5288</v>
      </c>
      <c r="E279" s="54" t="str">
        <f>_xlfn.CONCAT(D279," ","[!info]- ",B279," ",C279)</f>
        <v>&gt;&gt; [!info]- XVIII secolo</v>
      </c>
    </row>
    <row r="280" spans="1:5" x14ac:dyDescent="0.35">
      <c r="A280" s="54">
        <v>8</v>
      </c>
      <c r="B280" s="54">
        <v>243</v>
      </c>
      <c r="C280" s="54" t="s">
        <v>5289</v>
      </c>
      <c r="D280" s="54" t="s">
        <v>5290</v>
      </c>
      <c r="E280" s="54" t="str">
        <f t="shared" ref="E280:E287" si="17">_xlfn.CONCAT("&gt;&gt; ",B280,"° - ","[[Scheda ",B280,"° papa - ",D280,"|",D280,"]]")</f>
        <v>&gt;&gt; 243° - [[Scheda 243° papa - Clemente XI|Clemente XI]]</v>
      </c>
    </row>
    <row r="281" spans="1:5" x14ac:dyDescent="0.35">
      <c r="A281" s="54">
        <v>7</v>
      </c>
      <c r="B281" s="54">
        <v>244</v>
      </c>
      <c r="C281" s="54" t="s">
        <v>5289</v>
      </c>
      <c r="D281" s="54" t="s">
        <v>5291</v>
      </c>
      <c r="E281" s="54" t="str">
        <f t="shared" si="17"/>
        <v>&gt;&gt; 244° - [[Scheda 244° papa - Innocenzo XIII|Innocenzo XIII]]</v>
      </c>
    </row>
    <row r="282" spans="1:5" x14ac:dyDescent="0.35">
      <c r="A282" s="54">
        <v>6</v>
      </c>
      <c r="B282" s="54">
        <v>245</v>
      </c>
      <c r="C282" s="54" t="s">
        <v>5289</v>
      </c>
      <c r="D282" s="54" t="s">
        <v>5292</v>
      </c>
      <c r="E282" s="54" t="str">
        <f t="shared" si="17"/>
        <v>&gt;&gt; 245° - [[Scheda 245° papa - Benedetto XIII|Benedetto XIII]]</v>
      </c>
    </row>
    <row r="283" spans="1:5" x14ac:dyDescent="0.35">
      <c r="A283" s="54">
        <v>5</v>
      </c>
      <c r="B283" s="54">
        <v>246</v>
      </c>
      <c r="C283" s="54" t="s">
        <v>5289</v>
      </c>
      <c r="D283" s="54" t="s">
        <v>5293</v>
      </c>
      <c r="E283" s="54" t="str">
        <f t="shared" si="17"/>
        <v>&gt;&gt; 246° - [[Scheda 246° papa - Clemente XII|Clemente XII]]</v>
      </c>
    </row>
    <row r="284" spans="1:5" x14ac:dyDescent="0.35">
      <c r="A284" s="54">
        <v>4</v>
      </c>
      <c r="B284" s="54">
        <v>247</v>
      </c>
      <c r="C284" s="54" t="s">
        <v>5289</v>
      </c>
      <c r="D284" s="54" t="s">
        <v>1138</v>
      </c>
      <c r="E284" s="54" t="str">
        <f t="shared" si="17"/>
        <v>&gt;&gt; 247° - [[Scheda 247° papa - Benedetto XIV|Benedetto XIV]]</v>
      </c>
    </row>
    <row r="285" spans="1:5" x14ac:dyDescent="0.35">
      <c r="A285" s="54">
        <v>3</v>
      </c>
      <c r="B285" s="54">
        <v>248</v>
      </c>
      <c r="C285" s="54" t="s">
        <v>5289</v>
      </c>
      <c r="D285" s="54" t="s">
        <v>1139</v>
      </c>
      <c r="E285" s="54" t="str">
        <f t="shared" si="17"/>
        <v>&gt;&gt; 248° - [[Scheda 248° papa - Clemente XIII|Clemente XIII]]</v>
      </c>
    </row>
    <row r="286" spans="1:5" x14ac:dyDescent="0.35">
      <c r="A286" s="54">
        <v>2</v>
      </c>
      <c r="B286" s="54">
        <v>249</v>
      </c>
      <c r="C286" s="54" t="s">
        <v>5289</v>
      </c>
      <c r="D286" s="54" t="s">
        <v>1140</v>
      </c>
      <c r="E286" s="54" t="str">
        <f t="shared" si="17"/>
        <v>&gt;&gt; 249° - [[Scheda 249° papa - Clemente XIV|Clemente XIV]]</v>
      </c>
    </row>
    <row r="287" spans="1:5" x14ac:dyDescent="0.35">
      <c r="A287" s="54">
        <v>1</v>
      </c>
      <c r="B287" s="54">
        <v>250</v>
      </c>
      <c r="C287" s="54" t="s">
        <v>5289</v>
      </c>
      <c r="D287" s="54" t="s">
        <v>1141</v>
      </c>
      <c r="E287" s="54" t="str">
        <f t="shared" si="17"/>
        <v>&gt;&gt; 250° - [[Scheda 250° papa - Pio VI|Pio VI]]</v>
      </c>
    </row>
    <row r="288" spans="1:5" x14ac:dyDescent="0.35">
      <c r="B288" s="54" t="s">
        <v>5300</v>
      </c>
      <c r="E288" s="54" t="str">
        <f>B288</f>
        <v>&gt;</v>
      </c>
    </row>
    <row r="289" spans="1:5" x14ac:dyDescent="0.35">
      <c r="B289" s="54" t="s">
        <v>5242</v>
      </c>
      <c r="C289" s="54" t="s">
        <v>5245</v>
      </c>
      <c r="D289" s="54" t="s">
        <v>5288</v>
      </c>
      <c r="E289" s="54" t="str">
        <f>_xlfn.CONCAT(D289," ","[!info]- ",B289," ",C289)</f>
        <v>&gt;&gt; [!info]- XIX secolo</v>
      </c>
    </row>
    <row r="290" spans="1:5" x14ac:dyDescent="0.35">
      <c r="A290" s="54">
        <v>6</v>
      </c>
      <c r="B290" s="54">
        <v>251</v>
      </c>
      <c r="C290" s="54" t="s">
        <v>5289</v>
      </c>
      <c r="D290" s="54" t="s">
        <v>1142</v>
      </c>
      <c r="E290" s="54" t="str">
        <f t="shared" ref="E290:E295" si="18">_xlfn.CONCAT("&gt;&gt; ",B290,"° - ","[[Scheda ",B290,"° papa - ",D290,"|",D290,"]]")</f>
        <v>&gt;&gt; 251° - [[Scheda 251° papa - Pio VII|Pio VII]]</v>
      </c>
    </row>
    <row r="291" spans="1:5" x14ac:dyDescent="0.35">
      <c r="A291" s="54">
        <v>5</v>
      </c>
      <c r="B291" s="54">
        <v>252</v>
      </c>
      <c r="C291" s="54" t="s">
        <v>5289</v>
      </c>
      <c r="D291" s="54" t="s">
        <v>1143</v>
      </c>
      <c r="E291" s="54" t="str">
        <f t="shared" si="18"/>
        <v>&gt;&gt; 252° - [[Scheda 252° papa - Leone XII|Leone XII]]</v>
      </c>
    </row>
    <row r="292" spans="1:5" x14ac:dyDescent="0.35">
      <c r="A292" s="54">
        <v>4</v>
      </c>
      <c r="B292" s="54">
        <v>253</v>
      </c>
      <c r="C292" s="54" t="s">
        <v>5289</v>
      </c>
      <c r="D292" s="54" t="s">
        <v>1144</v>
      </c>
      <c r="E292" s="54" t="str">
        <f t="shared" si="18"/>
        <v>&gt;&gt; 253° - [[Scheda 253° papa - Pio VIII|Pio VIII]]</v>
      </c>
    </row>
    <row r="293" spans="1:5" x14ac:dyDescent="0.35">
      <c r="A293" s="54">
        <v>3</v>
      </c>
      <c r="B293" s="54">
        <v>254</v>
      </c>
      <c r="C293" s="54" t="s">
        <v>5289</v>
      </c>
      <c r="D293" s="54" t="s">
        <v>1145</v>
      </c>
      <c r="E293" s="54" t="str">
        <f t="shared" si="18"/>
        <v>&gt;&gt; 254° - [[Scheda 254° papa - Gregorio XVI|Gregorio XVI]]</v>
      </c>
    </row>
    <row r="294" spans="1:5" x14ac:dyDescent="0.35">
      <c r="A294" s="54">
        <v>2</v>
      </c>
      <c r="B294" s="54">
        <v>255</v>
      </c>
      <c r="C294" s="54" t="s">
        <v>5289</v>
      </c>
      <c r="D294" s="54" t="s">
        <v>1146</v>
      </c>
      <c r="E294" s="54" t="str">
        <f t="shared" si="18"/>
        <v>&gt;&gt; 255° - [[Scheda 255° papa - Pio IX|Pio IX]]</v>
      </c>
    </row>
    <row r="295" spans="1:5" x14ac:dyDescent="0.35">
      <c r="A295" s="54">
        <v>1</v>
      </c>
      <c r="B295" s="54">
        <v>256</v>
      </c>
      <c r="C295" s="54" t="s">
        <v>5289</v>
      </c>
      <c r="D295" s="54" t="s">
        <v>1147</v>
      </c>
      <c r="E295" s="54" t="str">
        <f t="shared" si="18"/>
        <v>&gt;&gt; 256° - [[Scheda 256° papa - Leone XIII|Leone XIII]]</v>
      </c>
    </row>
    <row r="296" spans="1:5" x14ac:dyDescent="0.35">
      <c r="B296" s="54" t="s">
        <v>5300</v>
      </c>
      <c r="E296" s="54" t="str">
        <f>B296</f>
        <v>&gt;</v>
      </c>
    </row>
    <row r="297" spans="1:5" x14ac:dyDescent="0.35">
      <c r="B297" s="54" t="s">
        <v>5243</v>
      </c>
      <c r="C297" s="54" t="s">
        <v>5245</v>
      </c>
      <c r="D297" s="54" t="s">
        <v>5288</v>
      </c>
      <c r="E297" s="54" t="str">
        <f>_xlfn.CONCAT(D297," ","[!info]- ",B297," ",C297)</f>
        <v>&gt;&gt; [!info]- XX secolo</v>
      </c>
    </row>
    <row r="298" spans="1:5" x14ac:dyDescent="0.35">
      <c r="A298" s="54">
        <v>8</v>
      </c>
      <c r="B298" s="54">
        <v>257</v>
      </c>
      <c r="C298" s="54" t="s">
        <v>5289</v>
      </c>
      <c r="D298" s="54" t="s">
        <v>1148</v>
      </c>
      <c r="E298" s="54" t="str">
        <f t="shared" ref="E298:E305" si="19">_xlfn.CONCAT("&gt;&gt; ",B298,"° - ","[[Scheda ",B298,"° papa - ",D298,"|",D298,"]]")</f>
        <v>&gt;&gt; 257° - [[Scheda 257° papa - Pio X|Pio X]]</v>
      </c>
    </row>
    <row r="299" spans="1:5" x14ac:dyDescent="0.35">
      <c r="A299" s="54">
        <v>7</v>
      </c>
      <c r="B299" s="54">
        <v>258</v>
      </c>
      <c r="C299" s="54" t="s">
        <v>5289</v>
      </c>
      <c r="D299" s="54" t="s">
        <v>1149</v>
      </c>
      <c r="E299" s="54" t="str">
        <f t="shared" si="19"/>
        <v>&gt;&gt; 258° - [[Scheda 258° papa - Benedetto XV|Benedetto XV]]</v>
      </c>
    </row>
    <row r="300" spans="1:5" x14ac:dyDescent="0.35">
      <c r="A300" s="54">
        <v>6</v>
      </c>
      <c r="B300" s="54">
        <v>259</v>
      </c>
      <c r="C300" s="54" t="s">
        <v>5289</v>
      </c>
      <c r="D300" s="54" t="s">
        <v>1150</v>
      </c>
      <c r="E300" s="54" t="str">
        <f t="shared" si="19"/>
        <v>&gt;&gt; 259° - [[Scheda 259° papa - Pio XI|Pio XI]]</v>
      </c>
    </row>
    <row r="301" spans="1:5" x14ac:dyDescent="0.35">
      <c r="A301" s="54">
        <v>5</v>
      </c>
      <c r="B301" s="54">
        <v>260</v>
      </c>
      <c r="C301" s="54" t="s">
        <v>5289</v>
      </c>
      <c r="D301" s="54" t="s">
        <v>1151</v>
      </c>
      <c r="E301" s="54" t="str">
        <f t="shared" si="19"/>
        <v>&gt;&gt; 260° - [[Scheda 260° papa - Pio XII|Pio XII]]</v>
      </c>
    </row>
    <row r="302" spans="1:5" x14ac:dyDescent="0.35">
      <c r="A302" s="54">
        <v>4</v>
      </c>
      <c r="B302" s="54">
        <v>261</v>
      </c>
      <c r="C302" s="54" t="s">
        <v>5289</v>
      </c>
      <c r="D302" s="54" t="s">
        <v>1152</v>
      </c>
      <c r="E302" s="54" t="str">
        <f t="shared" si="19"/>
        <v>&gt;&gt; 261° - [[Scheda 261° papa - Giovanni XXIII|Giovanni XXIII]]</v>
      </c>
    </row>
    <row r="303" spans="1:5" x14ac:dyDescent="0.35">
      <c r="A303" s="54">
        <v>3</v>
      </c>
      <c r="B303" s="54">
        <v>262</v>
      </c>
      <c r="C303" s="54" t="s">
        <v>5289</v>
      </c>
      <c r="D303" s="54" t="s">
        <v>1153</v>
      </c>
      <c r="E303" s="54" t="str">
        <f t="shared" si="19"/>
        <v>&gt;&gt; 262° - [[Scheda 262° papa - Paolo VI|Paolo VI]]</v>
      </c>
    </row>
    <row r="304" spans="1:5" x14ac:dyDescent="0.35">
      <c r="A304" s="54">
        <v>2</v>
      </c>
      <c r="B304" s="54">
        <v>263</v>
      </c>
      <c r="C304" s="54" t="s">
        <v>5289</v>
      </c>
      <c r="D304" s="54" t="s">
        <v>5294</v>
      </c>
      <c r="E304" s="54" t="str">
        <f t="shared" si="19"/>
        <v>&gt;&gt; 263° - [[Scheda 263° papa - Giovanni Paolo I|Giovanni Paolo I]]</v>
      </c>
    </row>
    <row r="305" spans="1:5" x14ac:dyDescent="0.35">
      <c r="A305" s="54">
        <v>1</v>
      </c>
      <c r="B305" s="54">
        <v>264</v>
      </c>
      <c r="C305" s="54" t="s">
        <v>5289</v>
      </c>
      <c r="D305" s="54" t="s">
        <v>1154</v>
      </c>
      <c r="E305" s="54" t="str">
        <f t="shared" si="19"/>
        <v>&gt;&gt; 264° - [[Scheda 264° papa - Giovanni Paolo II|Giovanni Paolo II]]</v>
      </c>
    </row>
    <row r="306" spans="1:5" x14ac:dyDescent="0.35">
      <c r="B306" s="54" t="s">
        <v>5300</v>
      </c>
      <c r="E306" s="54" t="str">
        <f>B306</f>
        <v>&gt;</v>
      </c>
    </row>
    <row r="307" spans="1:5" x14ac:dyDescent="0.35">
      <c r="B307" s="54" t="s">
        <v>5244</v>
      </c>
      <c r="C307" s="54" t="s">
        <v>5245</v>
      </c>
      <c r="D307" s="54" t="s">
        <v>5288</v>
      </c>
      <c r="E307" s="54" t="str">
        <f>_xlfn.CONCAT(D307," ","[!info]- ",B307," ",C307)</f>
        <v>&gt;&gt; [!info]- XXI secolo</v>
      </c>
    </row>
    <row r="308" spans="1:5" x14ac:dyDescent="0.35">
      <c r="A308" s="54">
        <v>3</v>
      </c>
      <c r="B308" s="54">
        <v>265</v>
      </c>
      <c r="C308" s="54" t="s">
        <v>5289</v>
      </c>
      <c r="D308" s="54" t="s">
        <v>1155</v>
      </c>
      <c r="E308" s="54" t="str">
        <f>_xlfn.CONCAT("&gt;&gt; ",B308,"° - ","[[Scheda ",B308,"° papa - ",D308,"|",D308,"]]")</f>
        <v>&gt;&gt; 265° - [[Scheda 265° papa - Benedetto XVI|Benedetto XVI]]</v>
      </c>
    </row>
    <row r="309" spans="1:5" x14ac:dyDescent="0.35">
      <c r="A309" s="54">
        <v>2</v>
      </c>
      <c r="B309" s="54">
        <v>266</v>
      </c>
      <c r="C309" s="54" t="s">
        <v>5289</v>
      </c>
      <c r="D309" s="54" t="s">
        <v>1156</v>
      </c>
      <c r="E309" s="54" t="str">
        <f>_xlfn.CONCAT("&gt;&gt; ",B309,"° - ","[[Scheda ",B309,"° papa - ",D309,"|",D309,"]]")</f>
        <v>&gt;&gt; 266° - [[Scheda 266° papa - Francesco I|Francesco I]]</v>
      </c>
    </row>
    <row r="310" spans="1:5" x14ac:dyDescent="0.35">
      <c r="A310" s="54">
        <v>1</v>
      </c>
      <c r="B310" s="54">
        <v>267</v>
      </c>
      <c r="C310" s="54" t="s">
        <v>5289</v>
      </c>
      <c r="D310" s="54" t="s">
        <v>5295</v>
      </c>
      <c r="E310" s="54"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topLeftCell="A31" workbookViewId="0">
      <selection activeCell="K46" sqref="K46"/>
    </sheetView>
  </sheetViews>
  <sheetFormatPr defaultRowHeight="15" x14ac:dyDescent="0.25"/>
  <cols>
    <col min="9" max="9" width="5" bestFit="1" customWidth="1"/>
    <col min="10" max="10" width="2.28515625" bestFit="1" customWidth="1"/>
    <col min="11" max="11" width="26.7109375" style="55" bestFit="1" customWidth="1"/>
    <col min="12" max="12" width="22.42578125" style="55" bestFit="1" customWidth="1"/>
    <col min="13" max="13" width="25.140625" style="55" bestFit="1" customWidth="1"/>
    <col min="14" max="14" width="23.85546875" style="55" bestFit="1" customWidth="1"/>
  </cols>
  <sheetData>
    <row r="1" spans="9:14" s="56" customFormat="1" ht="30" customHeight="1" x14ac:dyDescent="0.25">
      <c r="K1" s="57" t="s">
        <v>5541</v>
      </c>
      <c r="L1" s="57" t="s">
        <v>5546</v>
      </c>
      <c r="M1" s="57" t="s">
        <v>5542</v>
      </c>
      <c r="N1" s="57" t="s">
        <v>5545</v>
      </c>
    </row>
    <row r="3" spans="9:14" x14ac:dyDescent="0.25">
      <c r="I3">
        <v>2027</v>
      </c>
      <c r="J3" t="s">
        <v>5540</v>
      </c>
    </row>
    <row r="4" spans="9:14" x14ac:dyDescent="0.25">
      <c r="I4">
        <v>2026</v>
      </c>
      <c r="J4" t="s">
        <v>5544</v>
      </c>
      <c r="K4" s="55">
        <v>45991</v>
      </c>
      <c r="L4" s="55">
        <v>46034</v>
      </c>
      <c r="M4" s="55">
        <v>46071</v>
      </c>
      <c r="N4" s="55">
        <v>46166</v>
      </c>
    </row>
    <row r="5" spans="9:14" x14ac:dyDescent="0.25">
      <c r="I5">
        <v>2025</v>
      </c>
      <c r="J5" t="s">
        <v>5543</v>
      </c>
      <c r="K5" s="55">
        <v>45627</v>
      </c>
      <c r="L5" s="55">
        <v>45670</v>
      </c>
      <c r="M5" s="55">
        <v>45721</v>
      </c>
      <c r="N5" s="55">
        <v>45816</v>
      </c>
    </row>
    <row r="6" spans="9:14" x14ac:dyDescent="0.25">
      <c r="I6">
        <v>2024</v>
      </c>
      <c r="J6" t="s">
        <v>5540</v>
      </c>
      <c r="K6" s="55">
        <v>45263</v>
      </c>
      <c r="L6" s="55">
        <v>45299</v>
      </c>
      <c r="M6" s="55">
        <v>45336</v>
      </c>
      <c r="N6" s="55">
        <v>45431</v>
      </c>
    </row>
    <row r="7" spans="9:14" x14ac:dyDescent="0.25">
      <c r="I7">
        <v>2023</v>
      </c>
      <c r="J7" t="s">
        <v>5544</v>
      </c>
    </row>
    <row r="8" spans="9:14" x14ac:dyDescent="0.25">
      <c r="I8">
        <v>2022</v>
      </c>
      <c r="J8" t="s">
        <v>5543</v>
      </c>
      <c r="K8" s="55">
        <v>44528</v>
      </c>
    </row>
    <row r="9" spans="9:14" x14ac:dyDescent="0.25">
      <c r="I9">
        <v>2021</v>
      </c>
      <c r="J9" t="s">
        <v>5540</v>
      </c>
    </row>
    <row r="10" spans="9:14" x14ac:dyDescent="0.25">
      <c r="I10">
        <v>2020</v>
      </c>
      <c r="J10" t="s">
        <v>5544</v>
      </c>
    </row>
    <row r="11" spans="9:14" x14ac:dyDescent="0.25">
      <c r="I11">
        <v>2019</v>
      </c>
      <c r="J11" t="s">
        <v>5543</v>
      </c>
    </row>
    <row r="12" spans="9:14" x14ac:dyDescent="0.25">
      <c r="I12">
        <v>2018</v>
      </c>
      <c r="J12" t="s">
        <v>5540</v>
      </c>
    </row>
    <row r="13" spans="9:14" x14ac:dyDescent="0.25">
      <c r="I13">
        <v>2017</v>
      </c>
      <c r="J13" t="s">
        <v>5544</v>
      </c>
    </row>
    <row r="14" spans="9:14" x14ac:dyDescent="0.25">
      <c r="I14">
        <v>2016</v>
      </c>
      <c r="J14" t="s">
        <v>5543</v>
      </c>
    </row>
    <row r="15" spans="9:14" x14ac:dyDescent="0.25">
      <c r="I15">
        <v>2015</v>
      </c>
      <c r="J15" t="s">
        <v>5540</v>
      </c>
    </row>
    <row r="16" spans="9:14" x14ac:dyDescent="0.25">
      <c r="I16">
        <v>2014</v>
      </c>
      <c r="J16" t="s">
        <v>5544</v>
      </c>
    </row>
    <row r="17" spans="9:10" x14ac:dyDescent="0.25">
      <c r="I17">
        <v>2013</v>
      </c>
      <c r="J17" t="s">
        <v>5543</v>
      </c>
    </row>
    <row r="18" spans="9:10" x14ac:dyDescent="0.25">
      <c r="I18">
        <v>2012</v>
      </c>
      <c r="J18" t="s">
        <v>5540</v>
      </c>
    </row>
    <row r="19" spans="9:10" x14ac:dyDescent="0.25">
      <c r="I19">
        <v>2011</v>
      </c>
      <c r="J19" t="s">
        <v>5544</v>
      </c>
    </row>
    <row r="20" spans="9:10" x14ac:dyDescent="0.25">
      <c r="I20">
        <v>2010</v>
      </c>
      <c r="J20" t="s">
        <v>5543</v>
      </c>
    </row>
    <row r="21" spans="9:10" x14ac:dyDescent="0.25">
      <c r="I21">
        <v>2009</v>
      </c>
      <c r="J21" t="s">
        <v>5540</v>
      </c>
    </row>
    <row r="22" spans="9:10" x14ac:dyDescent="0.25">
      <c r="I22">
        <v>2008</v>
      </c>
      <c r="J22" t="s">
        <v>5544</v>
      </c>
    </row>
    <row r="23" spans="9:10" x14ac:dyDescent="0.25">
      <c r="I23">
        <v>2007</v>
      </c>
      <c r="J23" t="s">
        <v>5543</v>
      </c>
    </row>
    <row r="24" spans="9:10" x14ac:dyDescent="0.25">
      <c r="I24">
        <v>2006</v>
      </c>
      <c r="J24" t="s">
        <v>5540</v>
      </c>
    </row>
    <row r="25" spans="9:10" x14ac:dyDescent="0.25">
      <c r="I25">
        <v>2005</v>
      </c>
      <c r="J25" t="s">
        <v>5544</v>
      </c>
    </row>
    <row r="26" spans="9:10" x14ac:dyDescent="0.25">
      <c r="I26">
        <v>2004</v>
      </c>
      <c r="J26" t="s">
        <v>5543</v>
      </c>
    </row>
    <row r="27" spans="9:10" x14ac:dyDescent="0.25">
      <c r="I27">
        <v>2003</v>
      </c>
      <c r="J27" t="s">
        <v>5540</v>
      </c>
    </row>
    <row r="28" spans="9:10" x14ac:dyDescent="0.25">
      <c r="I28">
        <v>2002</v>
      </c>
      <c r="J28" t="s">
        <v>5544</v>
      </c>
    </row>
    <row r="29" spans="9:10" x14ac:dyDescent="0.25">
      <c r="I29">
        <v>2001</v>
      </c>
      <c r="J29" t="s">
        <v>5543</v>
      </c>
    </row>
    <row r="30" spans="9:10" x14ac:dyDescent="0.25">
      <c r="I30">
        <v>2000</v>
      </c>
      <c r="J30" t="s">
        <v>5540</v>
      </c>
    </row>
    <row r="31" spans="9:10" x14ac:dyDescent="0.25">
      <c r="I31">
        <v>1999</v>
      </c>
      <c r="J31" t="s">
        <v>5544</v>
      </c>
    </row>
    <row r="32" spans="9:10" x14ac:dyDescent="0.25">
      <c r="I32">
        <v>1998</v>
      </c>
      <c r="J32" t="s">
        <v>5543</v>
      </c>
    </row>
    <row r="33" spans="9:13" x14ac:dyDescent="0.25">
      <c r="I33">
        <v>1997</v>
      </c>
      <c r="J33" t="s">
        <v>5540</v>
      </c>
    </row>
    <row r="34" spans="9:13" x14ac:dyDescent="0.25">
      <c r="I34">
        <v>1996</v>
      </c>
      <c r="J34" t="s">
        <v>5544</v>
      </c>
    </row>
    <row r="35" spans="9:13" x14ac:dyDescent="0.25">
      <c r="I35">
        <v>1995</v>
      </c>
      <c r="J35" t="s">
        <v>5543</v>
      </c>
    </row>
    <row r="36" spans="9:13" x14ac:dyDescent="0.25">
      <c r="I36">
        <v>1994</v>
      </c>
      <c r="J36" t="s">
        <v>5540</v>
      </c>
    </row>
    <row r="37" spans="9:13" x14ac:dyDescent="0.25">
      <c r="I37">
        <v>1993</v>
      </c>
      <c r="J37" t="s">
        <v>5544</v>
      </c>
    </row>
    <row r="38" spans="9:13" x14ac:dyDescent="0.25">
      <c r="I38">
        <v>1992</v>
      </c>
      <c r="J38" t="s">
        <v>5543</v>
      </c>
    </row>
    <row r="39" spans="9:13" x14ac:dyDescent="0.25">
      <c r="I39">
        <v>1991</v>
      </c>
      <c r="J39" t="s">
        <v>5540</v>
      </c>
    </row>
    <row r="40" spans="9:13" x14ac:dyDescent="0.25">
      <c r="I40">
        <v>1990</v>
      </c>
      <c r="J40" t="s">
        <v>5544</v>
      </c>
    </row>
    <row r="41" spans="9:13" x14ac:dyDescent="0.25">
      <c r="I41">
        <v>1989</v>
      </c>
      <c r="J41" t="s">
        <v>5543</v>
      </c>
    </row>
    <row r="42" spans="9:13" x14ac:dyDescent="0.25">
      <c r="I42">
        <v>1988</v>
      </c>
      <c r="J42" t="s">
        <v>5540</v>
      </c>
    </row>
    <row r="43" spans="9:13" x14ac:dyDescent="0.25">
      <c r="I43">
        <v>1987</v>
      </c>
      <c r="J43" t="s">
        <v>5544</v>
      </c>
    </row>
    <row r="44" spans="9:13" x14ac:dyDescent="0.25">
      <c r="I44">
        <v>1986</v>
      </c>
      <c r="J44" t="s">
        <v>5543</v>
      </c>
    </row>
    <row r="45" spans="9:13" x14ac:dyDescent="0.25">
      <c r="I45">
        <v>1985</v>
      </c>
      <c r="J45" t="s">
        <v>5540</v>
      </c>
    </row>
    <row r="46" spans="9:13" x14ac:dyDescent="0.25">
      <c r="I46">
        <v>1984</v>
      </c>
      <c r="J46" t="s">
        <v>5544</v>
      </c>
      <c r="K46" s="55">
        <v>30647</v>
      </c>
    </row>
    <row r="47" spans="9:13" x14ac:dyDescent="0.25">
      <c r="I47">
        <v>1983</v>
      </c>
      <c r="J47" t="s">
        <v>5543</v>
      </c>
      <c r="K47" s="55">
        <v>30283</v>
      </c>
      <c r="M47" s="55">
        <v>30363</v>
      </c>
    </row>
    <row r="48" spans="9:13" x14ac:dyDescent="0.25">
      <c r="I48">
        <v>1982</v>
      </c>
      <c r="J48" t="s">
        <v>5540</v>
      </c>
      <c r="M48" s="55">
        <v>30006</v>
      </c>
    </row>
    <row r="49" spans="9:10" x14ac:dyDescent="0.25">
      <c r="I49">
        <v>1981</v>
      </c>
      <c r="J49" t="s">
        <v>5544</v>
      </c>
    </row>
    <row r="50" spans="9:10" x14ac:dyDescent="0.25">
      <c r="I50">
        <v>1980</v>
      </c>
      <c r="J50" t="s">
        <v>5543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F9DEB-B434-425C-862E-6F40A41838EB}">
  <sheetPr codeName="Foglio15"/>
  <dimension ref="A1:D19"/>
  <sheetViews>
    <sheetView workbookViewId="0"/>
  </sheetViews>
  <sheetFormatPr defaultRowHeight="15" x14ac:dyDescent="0.25"/>
  <cols>
    <col min="1" max="1" width="51.5703125" bestFit="1" customWidth="1"/>
    <col min="2" max="2" width="22" bestFit="1" customWidth="1"/>
    <col min="3" max="3" width="25" bestFit="1" customWidth="1"/>
    <col min="4" max="4" width="11.140625" bestFit="1" customWidth="1"/>
  </cols>
  <sheetData>
    <row r="1" spans="1:4" x14ac:dyDescent="0.25">
      <c r="A1" t="s">
        <v>1082</v>
      </c>
      <c r="B1" t="s">
        <v>1083</v>
      </c>
      <c r="C1" t="s">
        <v>1084</v>
      </c>
      <c r="D1" t="s">
        <v>1085</v>
      </c>
    </row>
    <row r="2" spans="1:4" x14ac:dyDescent="0.25">
      <c r="A2" t="s">
        <v>1167</v>
      </c>
      <c r="B2" t="s">
        <v>1168</v>
      </c>
      <c r="C2" t="s">
        <v>1087</v>
      </c>
      <c r="D2" t="s">
        <v>1088</v>
      </c>
    </row>
    <row r="3" spans="1:4" x14ac:dyDescent="0.25">
      <c r="A3" t="s">
        <v>1169</v>
      </c>
      <c r="B3" t="s">
        <v>1170</v>
      </c>
      <c r="C3" t="s">
        <v>1087</v>
      </c>
      <c r="D3" t="s">
        <v>1088</v>
      </c>
    </row>
    <row r="4" spans="1:4" x14ac:dyDescent="0.25">
      <c r="A4" t="s">
        <v>1171</v>
      </c>
      <c r="B4" t="s">
        <v>1172</v>
      </c>
      <c r="C4" t="s">
        <v>1087</v>
      </c>
      <c r="D4" t="s">
        <v>1088</v>
      </c>
    </row>
    <row r="5" spans="1:4" x14ac:dyDescent="0.25">
      <c r="A5" t="s">
        <v>1173</v>
      </c>
      <c r="B5" t="s">
        <v>319</v>
      </c>
      <c r="C5" t="s">
        <v>1087</v>
      </c>
      <c r="D5" t="s">
        <v>1088</v>
      </c>
    </row>
    <row r="6" spans="1:4" x14ac:dyDescent="0.25">
      <c r="A6" t="s">
        <v>1174</v>
      </c>
      <c r="B6" t="s">
        <v>1175</v>
      </c>
      <c r="C6" t="s">
        <v>1087</v>
      </c>
      <c r="D6" t="s">
        <v>1088</v>
      </c>
    </row>
    <row r="7" spans="1:4" x14ac:dyDescent="0.25">
      <c r="A7" t="s">
        <v>1176</v>
      </c>
      <c r="B7" t="s">
        <v>1177</v>
      </c>
      <c r="C7" t="s">
        <v>1087</v>
      </c>
      <c r="D7" t="s">
        <v>1088</v>
      </c>
    </row>
    <row r="8" spans="1:4" x14ac:dyDescent="0.25">
      <c r="A8" t="s">
        <v>1178</v>
      </c>
      <c r="B8" t="s">
        <v>1179</v>
      </c>
      <c r="C8" t="s">
        <v>1087</v>
      </c>
      <c r="D8" t="s">
        <v>1088</v>
      </c>
    </row>
    <row r="9" spans="1:4" x14ac:dyDescent="0.25">
      <c r="A9" t="s">
        <v>1180</v>
      </c>
      <c r="B9" t="s">
        <v>1181</v>
      </c>
      <c r="C9" t="s">
        <v>1087</v>
      </c>
      <c r="D9" t="s">
        <v>1088</v>
      </c>
    </row>
    <row r="10" spans="1:4" x14ac:dyDescent="0.25">
      <c r="A10" t="s">
        <v>1182</v>
      </c>
      <c r="B10" t="s">
        <v>318</v>
      </c>
      <c r="C10" t="s">
        <v>1087</v>
      </c>
      <c r="D10" t="s">
        <v>1088</v>
      </c>
    </row>
    <row r="11" spans="1:4" x14ac:dyDescent="0.25">
      <c r="A11" t="s">
        <v>1183</v>
      </c>
      <c r="B11" t="s">
        <v>1184</v>
      </c>
      <c r="C11" t="s">
        <v>1087</v>
      </c>
      <c r="D11" t="s">
        <v>1088</v>
      </c>
    </row>
    <row r="12" spans="1:4" x14ac:dyDescent="0.25">
      <c r="A12" t="s">
        <v>1185</v>
      </c>
      <c r="B12" t="s">
        <v>1186</v>
      </c>
      <c r="C12" t="s">
        <v>1087</v>
      </c>
      <c r="D12" t="s">
        <v>1088</v>
      </c>
    </row>
    <row r="13" spans="1:4" x14ac:dyDescent="0.25">
      <c r="A13" t="s">
        <v>1187</v>
      </c>
      <c r="B13" t="s">
        <v>1188</v>
      </c>
      <c r="C13" t="s">
        <v>1087</v>
      </c>
      <c r="D13" t="s">
        <v>1088</v>
      </c>
    </row>
    <row r="14" spans="1:4" x14ac:dyDescent="0.25">
      <c r="A14" t="s">
        <v>1189</v>
      </c>
      <c r="B14" t="s">
        <v>1190</v>
      </c>
      <c r="C14" t="s">
        <v>1087</v>
      </c>
      <c r="D14" t="s">
        <v>1088</v>
      </c>
    </row>
    <row r="15" spans="1:4" x14ac:dyDescent="0.25">
      <c r="A15" t="s">
        <v>1191</v>
      </c>
      <c r="B15" t="s">
        <v>1192</v>
      </c>
      <c r="C15" t="s">
        <v>1087</v>
      </c>
      <c r="D15" t="s">
        <v>1088</v>
      </c>
    </row>
    <row r="16" spans="1:4" x14ac:dyDescent="0.25">
      <c r="A16" t="s">
        <v>1193</v>
      </c>
      <c r="B16" t="s">
        <v>1194</v>
      </c>
      <c r="C16" t="s">
        <v>1087</v>
      </c>
      <c r="D16" t="s">
        <v>1088</v>
      </c>
    </row>
    <row r="17" spans="1:4" x14ac:dyDescent="0.25">
      <c r="A17" t="s">
        <v>1195</v>
      </c>
      <c r="B17" t="s">
        <v>317</v>
      </c>
      <c r="C17" t="s">
        <v>1087</v>
      </c>
      <c r="D17" t="s">
        <v>1088</v>
      </c>
    </row>
    <row r="18" spans="1:4" x14ac:dyDescent="0.25">
      <c r="A18" t="s">
        <v>1196</v>
      </c>
      <c r="B18" t="s">
        <v>316</v>
      </c>
      <c r="C18" t="s">
        <v>1087</v>
      </c>
      <c r="D18" t="s">
        <v>1088</v>
      </c>
    </row>
    <row r="19" spans="1:4" x14ac:dyDescent="0.25">
      <c r="A19" t="s">
        <v>1197</v>
      </c>
      <c r="B19" t="s">
        <v>1198</v>
      </c>
      <c r="C19" t="s">
        <v>1087</v>
      </c>
      <c r="D19" t="s">
        <v>1088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5219D-47F1-4EF1-966E-8C23CCFFA8F4}">
  <sheetPr codeName="Foglio16"/>
  <dimension ref="A1:I35"/>
  <sheetViews>
    <sheetView topLeftCell="A5" workbookViewId="0">
      <selection activeCell="F1" sqref="F1:I1"/>
    </sheetView>
  </sheetViews>
  <sheetFormatPr defaultRowHeight="15" x14ac:dyDescent="0.25"/>
  <cols>
    <col min="1" max="1" width="45.140625" bestFit="1" customWidth="1"/>
    <col min="2" max="2" width="22.85546875" bestFit="1" customWidth="1"/>
    <col min="3" max="3" width="25.140625" bestFit="1" customWidth="1"/>
    <col min="4" max="4" width="11.140625" bestFit="1" customWidth="1"/>
    <col min="5" max="5" width="4" customWidth="1"/>
    <col min="6" max="6" width="48.28515625" bestFit="1" customWidth="1"/>
    <col min="7" max="7" width="23.42578125" bestFit="1" customWidth="1"/>
    <col min="8" max="8" width="25.140625" bestFit="1" customWidth="1"/>
    <col min="9" max="9" width="11.140625" bestFit="1" customWidth="1"/>
    <col min="10" max="10" width="4.28515625" customWidth="1"/>
    <col min="11" max="11" width="43.140625" bestFit="1" customWidth="1"/>
    <col min="12" max="12" width="15.28515625" bestFit="1" customWidth="1"/>
    <col min="13" max="13" width="25" bestFit="1" customWidth="1"/>
    <col min="14" max="14" width="11.5703125" bestFit="1" customWidth="1"/>
  </cols>
  <sheetData>
    <row r="1" spans="1:9" ht="23.25" x14ac:dyDescent="0.35">
      <c r="A1" s="66" t="s">
        <v>1128</v>
      </c>
      <c r="B1" s="66"/>
      <c r="C1" s="66"/>
      <c r="D1" s="66"/>
      <c r="F1" s="66" t="s">
        <v>1129</v>
      </c>
      <c r="G1" s="66"/>
      <c r="H1" s="66"/>
      <c r="I1" s="66"/>
    </row>
    <row r="5" spans="1:9" x14ac:dyDescent="0.25">
      <c r="A5" t="s">
        <v>1082</v>
      </c>
      <c r="B5" t="s">
        <v>1083</v>
      </c>
      <c r="C5" t="s">
        <v>1084</v>
      </c>
      <c r="D5" t="s">
        <v>1085</v>
      </c>
      <c r="F5" t="s">
        <v>1082</v>
      </c>
      <c r="G5" t="s">
        <v>1083</v>
      </c>
      <c r="H5" t="s">
        <v>1084</v>
      </c>
      <c r="I5" t="s">
        <v>1085</v>
      </c>
    </row>
    <row r="6" spans="1:9" x14ac:dyDescent="0.25">
      <c r="A6" t="s">
        <v>1086</v>
      </c>
      <c r="B6" t="s">
        <v>876</v>
      </c>
      <c r="C6" t="s">
        <v>1087</v>
      </c>
      <c r="D6" t="s">
        <v>1088</v>
      </c>
      <c r="F6" t="s">
        <v>1108</v>
      </c>
      <c r="G6" t="s">
        <v>857</v>
      </c>
      <c r="H6" t="s">
        <v>1087</v>
      </c>
      <c r="I6" t="s">
        <v>1088</v>
      </c>
    </row>
    <row r="7" spans="1:9" x14ac:dyDescent="0.25">
      <c r="A7" t="s">
        <v>1089</v>
      </c>
      <c r="B7" t="s">
        <v>875</v>
      </c>
      <c r="C7" t="s">
        <v>1087</v>
      </c>
      <c r="D7" t="s">
        <v>1088</v>
      </c>
      <c r="F7" t="s">
        <v>1109</v>
      </c>
      <c r="G7" t="s">
        <v>856</v>
      </c>
      <c r="H7" t="s">
        <v>1087</v>
      </c>
      <c r="I7" t="s">
        <v>1088</v>
      </c>
    </row>
    <row r="8" spans="1:9" x14ac:dyDescent="0.25">
      <c r="A8" t="s">
        <v>1090</v>
      </c>
      <c r="B8" t="s">
        <v>874</v>
      </c>
      <c r="C8" t="s">
        <v>1087</v>
      </c>
      <c r="D8" t="s">
        <v>1088</v>
      </c>
      <c r="F8" t="s">
        <v>1110</v>
      </c>
      <c r="G8" t="s">
        <v>855</v>
      </c>
      <c r="H8" t="s">
        <v>1087</v>
      </c>
      <c r="I8" t="s">
        <v>1088</v>
      </c>
    </row>
    <row r="9" spans="1:9" x14ac:dyDescent="0.25">
      <c r="A9" t="s">
        <v>1091</v>
      </c>
      <c r="B9" t="s">
        <v>873</v>
      </c>
      <c r="C9" t="s">
        <v>1087</v>
      </c>
      <c r="D9" t="s">
        <v>1088</v>
      </c>
      <c r="F9" t="s">
        <v>1111</v>
      </c>
      <c r="G9" t="s">
        <v>854</v>
      </c>
      <c r="H9" t="s">
        <v>1087</v>
      </c>
      <c r="I9" t="s">
        <v>1088</v>
      </c>
    </row>
    <row r="10" spans="1:9" x14ac:dyDescent="0.25">
      <c r="A10" t="s">
        <v>1092</v>
      </c>
      <c r="B10" t="s">
        <v>872</v>
      </c>
      <c r="C10" t="s">
        <v>1087</v>
      </c>
      <c r="D10" t="s">
        <v>1088</v>
      </c>
      <c r="F10" t="s">
        <v>1112</v>
      </c>
      <c r="G10" t="s">
        <v>853</v>
      </c>
      <c r="H10" t="s">
        <v>1087</v>
      </c>
      <c r="I10" t="s">
        <v>1088</v>
      </c>
    </row>
    <row r="11" spans="1:9" x14ac:dyDescent="0.25">
      <c r="A11" t="s">
        <v>1093</v>
      </c>
      <c r="B11" t="s">
        <v>871</v>
      </c>
      <c r="C11" t="s">
        <v>1087</v>
      </c>
      <c r="D11" t="s">
        <v>1088</v>
      </c>
      <c r="F11" t="s">
        <v>1113</v>
      </c>
      <c r="G11" t="s">
        <v>852</v>
      </c>
      <c r="H11" t="s">
        <v>1087</v>
      </c>
      <c r="I11" t="s">
        <v>1088</v>
      </c>
    </row>
    <row r="12" spans="1:9" x14ac:dyDescent="0.25">
      <c r="A12" t="s">
        <v>1094</v>
      </c>
      <c r="B12" t="s">
        <v>870</v>
      </c>
      <c r="C12" t="s">
        <v>1087</v>
      </c>
      <c r="D12" t="s">
        <v>1088</v>
      </c>
      <c r="F12" t="s">
        <v>1114</v>
      </c>
      <c r="G12" t="s">
        <v>851</v>
      </c>
      <c r="H12" t="s">
        <v>1087</v>
      </c>
      <c r="I12" t="s">
        <v>1088</v>
      </c>
    </row>
    <row r="13" spans="1:9" x14ac:dyDescent="0.25">
      <c r="A13" t="s">
        <v>1095</v>
      </c>
      <c r="B13" t="s">
        <v>869</v>
      </c>
      <c r="C13" t="s">
        <v>1087</v>
      </c>
      <c r="D13" t="s">
        <v>1088</v>
      </c>
      <c r="F13" t="s">
        <v>1115</v>
      </c>
      <c r="G13" t="s">
        <v>850</v>
      </c>
      <c r="H13" t="s">
        <v>1087</v>
      </c>
      <c r="I13" t="s">
        <v>1088</v>
      </c>
    </row>
    <row r="14" spans="1:9" x14ac:dyDescent="0.25">
      <c r="A14" t="s">
        <v>1096</v>
      </c>
      <c r="B14" t="s">
        <v>868</v>
      </c>
      <c r="C14" t="s">
        <v>1087</v>
      </c>
      <c r="D14" t="s">
        <v>1088</v>
      </c>
      <c r="F14" t="s">
        <v>1116</v>
      </c>
      <c r="G14" t="s">
        <v>849</v>
      </c>
      <c r="H14" t="s">
        <v>1087</v>
      </c>
      <c r="I14" t="s">
        <v>1088</v>
      </c>
    </row>
    <row r="15" spans="1:9" x14ac:dyDescent="0.25">
      <c r="A15" t="s">
        <v>1097</v>
      </c>
      <c r="B15" t="s">
        <v>867</v>
      </c>
      <c r="C15" t="s">
        <v>1087</v>
      </c>
      <c r="D15" t="s">
        <v>1088</v>
      </c>
      <c r="F15" t="s">
        <v>1117</v>
      </c>
      <c r="G15" t="s">
        <v>848</v>
      </c>
      <c r="H15" t="s">
        <v>1087</v>
      </c>
      <c r="I15" t="s">
        <v>1088</v>
      </c>
    </row>
    <row r="16" spans="1:9" x14ac:dyDescent="0.25">
      <c r="A16" t="s">
        <v>1098</v>
      </c>
      <c r="B16" t="s">
        <v>866</v>
      </c>
      <c r="C16" t="s">
        <v>1087</v>
      </c>
      <c r="D16" t="s">
        <v>1088</v>
      </c>
      <c r="F16" t="s">
        <v>1118</v>
      </c>
      <c r="G16" t="s">
        <v>847</v>
      </c>
      <c r="H16" t="s">
        <v>1087</v>
      </c>
      <c r="I16" t="s">
        <v>1088</v>
      </c>
    </row>
    <row r="17" spans="1:9" x14ac:dyDescent="0.25">
      <c r="A17" t="s">
        <v>1099</v>
      </c>
      <c r="B17" t="s">
        <v>865</v>
      </c>
      <c r="C17" t="s">
        <v>1087</v>
      </c>
      <c r="D17" t="s">
        <v>1088</v>
      </c>
      <c r="F17" t="s">
        <v>1119</v>
      </c>
      <c r="G17" t="s">
        <v>846</v>
      </c>
      <c r="H17" t="s">
        <v>1087</v>
      </c>
      <c r="I17" t="s">
        <v>1088</v>
      </c>
    </row>
    <row r="18" spans="1:9" x14ac:dyDescent="0.25">
      <c r="A18" t="s">
        <v>1100</v>
      </c>
      <c r="B18" t="s">
        <v>864</v>
      </c>
      <c r="C18" t="s">
        <v>1087</v>
      </c>
      <c r="D18" t="s">
        <v>1088</v>
      </c>
      <c r="F18" t="s">
        <v>1120</v>
      </c>
      <c r="G18" t="s">
        <v>845</v>
      </c>
      <c r="H18" t="s">
        <v>1087</v>
      </c>
      <c r="I18" t="s">
        <v>1088</v>
      </c>
    </row>
    <row r="19" spans="1:9" x14ac:dyDescent="0.25">
      <c r="A19" t="s">
        <v>1101</v>
      </c>
      <c r="B19" t="s">
        <v>863</v>
      </c>
      <c r="C19" t="s">
        <v>1087</v>
      </c>
      <c r="D19" t="s">
        <v>1088</v>
      </c>
      <c r="F19" t="s">
        <v>1121</v>
      </c>
      <c r="G19" t="s">
        <v>844</v>
      </c>
      <c r="H19" t="s">
        <v>1087</v>
      </c>
      <c r="I19" t="s">
        <v>1088</v>
      </c>
    </row>
    <row r="20" spans="1:9" x14ac:dyDescent="0.25">
      <c r="A20" t="s">
        <v>1102</v>
      </c>
      <c r="B20" t="s">
        <v>358</v>
      </c>
      <c r="C20" t="s">
        <v>1087</v>
      </c>
      <c r="D20" t="s">
        <v>1088</v>
      </c>
      <c r="F20" t="s">
        <v>1122</v>
      </c>
      <c r="G20" t="s">
        <v>843</v>
      </c>
      <c r="H20" t="s">
        <v>1087</v>
      </c>
      <c r="I20" t="s">
        <v>1088</v>
      </c>
    </row>
    <row r="21" spans="1:9" x14ac:dyDescent="0.25">
      <c r="A21" t="s">
        <v>1103</v>
      </c>
      <c r="B21" t="s">
        <v>862</v>
      </c>
      <c r="C21" t="s">
        <v>1087</v>
      </c>
      <c r="D21" t="s">
        <v>1088</v>
      </c>
      <c r="F21" t="s">
        <v>1123</v>
      </c>
      <c r="G21" t="s">
        <v>842</v>
      </c>
      <c r="H21" t="s">
        <v>1087</v>
      </c>
      <c r="I21" t="s">
        <v>1088</v>
      </c>
    </row>
    <row r="22" spans="1:9" x14ac:dyDescent="0.25">
      <c r="A22" t="s">
        <v>1104</v>
      </c>
      <c r="B22" t="s">
        <v>861</v>
      </c>
      <c r="C22" t="s">
        <v>1087</v>
      </c>
      <c r="D22" t="s">
        <v>1088</v>
      </c>
      <c r="F22" t="s">
        <v>1124</v>
      </c>
      <c r="G22" t="s">
        <v>943</v>
      </c>
      <c r="H22" t="s">
        <v>1087</v>
      </c>
      <c r="I22" t="s">
        <v>1088</v>
      </c>
    </row>
    <row r="23" spans="1:9" x14ac:dyDescent="0.25">
      <c r="A23" t="s">
        <v>1105</v>
      </c>
      <c r="B23" t="s">
        <v>860</v>
      </c>
      <c r="C23" t="s">
        <v>1087</v>
      </c>
      <c r="D23" t="s">
        <v>1088</v>
      </c>
      <c r="F23" t="s">
        <v>1125</v>
      </c>
      <c r="G23" t="s">
        <v>841</v>
      </c>
      <c r="H23" t="s">
        <v>1087</v>
      </c>
      <c r="I23" t="s">
        <v>1088</v>
      </c>
    </row>
    <row r="24" spans="1:9" x14ac:dyDescent="0.25">
      <c r="A24" t="s">
        <v>1106</v>
      </c>
      <c r="B24" t="s">
        <v>859</v>
      </c>
      <c r="C24" t="s">
        <v>1087</v>
      </c>
      <c r="D24" t="s">
        <v>1088</v>
      </c>
      <c r="F24" t="s">
        <v>1126</v>
      </c>
      <c r="G24" t="s">
        <v>840</v>
      </c>
      <c r="H24" t="s">
        <v>1087</v>
      </c>
      <c r="I24" t="s">
        <v>1088</v>
      </c>
    </row>
    <row r="25" spans="1:9" x14ac:dyDescent="0.25">
      <c r="A25" t="s">
        <v>1107</v>
      </c>
      <c r="B25" t="s">
        <v>858</v>
      </c>
      <c r="C25" t="s">
        <v>1087</v>
      </c>
      <c r="D25" t="s">
        <v>1088</v>
      </c>
      <c r="F25" t="s">
        <v>1127</v>
      </c>
      <c r="G25" t="s">
        <v>839</v>
      </c>
      <c r="H25" t="s">
        <v>1087</v>
      </c>
      <c r="I25" t="s">
        <v>1088</v>
      </c>
    </row>
    <row r="28" spans="1:9" ht="23.25" x14ac:dyDescent="0.35">
      <c r="F28" s="66" t="s">
        <v>1130</v>
      </c>
      <c r="G28" s="66"/>
      <c r="H28" s="66"/>
      <c r="I28" s="66"/>
    </row>
    <row r="32" spans="1:9" x14ac:dyDescent="0.25">
      <c r="F32" t="s">
        <v>1131</v>
      </c>
      <c r="G32" t="s">
        <v>1132</v>
      </c>
      <c r="H32" t="s">
        <v>1133</v>
      </c>
      <c r="I32" t="s">
        <v>1134</v>
      </c>
    </row>
    <row r="33" spans="6:9" x14ac:dyDescent="0.25">
      <c r="F33" t="s">
        <v>1135</v>
      </c>
      <c r="G33" t="s">
        <v>877</v>
      </c>
      <c r="H33" t="s">
        <v>1087</v>
      </c>
      <c r="I33" t="s">
        <v>1088</v>
      </c>
    </row>
    <row r="34" spans="6:9" x14ac:dyDescent="0.25">
      <c r="F34" t="s">
        <v>1136</v>
      </c>
      <c r="G34" t="s">
        <v>838</v>
      </c>
      <c r="H34" t="s">
        <v>1087</v>
      </c>
      <c r="I34" t="s">
        <v>1088</v>
      </c>
    </row>
    <row r="35" spans="6:9" x14ac:dyDescent="0.25">
      <c r="F35" t="s">
        <v>1137</v>
      </c>
      <c r="G35" t="s">
        <v>3</v>
      </c>
      <c r="H35" t="s">
        <v>1087</v>
      </c>
      <c r="I35" t="s">
        <v>1088</v>
      </c>
    </row>
  </sheetData>
  <mergeCells count="3">
    <mergeCell ref="A1:D1"/>
    <mergeCell ref="F1:I1"/>
    <mergeCell ref="F28:I28"/>
  </mergeCells>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TipDoc</vt:lpstr>
      <vt:lpstr>Conc.Ecum.Vaticano II</vt:lpstr>
      <vt:lpstr>Documenti Vari</vt:lpstr>
      <vt:lpstr>CIC</vt:lpstr>
      <vt:lpstr>Il Catechismo</vt:lpstr>
      <vt:lpstr>Papi</vt:lpstr>
      <vt:lpstr>Enc</vt:lpstr>
      <vt:lpstr>EncDb</vt:lpstr>
      <vt:lpstr>DocDb</vt:lpstr>
      <vt:lpstr>x Obsidian</vt:lpstr>
      <vt:lpstr>Giovanni Paolo II</vt:lpstr>
      <vt:lpstr>Versetti</vt:lpstr>
      <vt:lpstr>Foglio1</vt:lpstr>
      <vt:lpstr>Elenco completo Papi x Obsidian</vt:lpstr>
      <vt:lpstr>Anni liturgici</vt:lpstr>
      <vt:lpstr>Pio VII</vt:lpstr>
      <vt:lpstr>BenedettoXIV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2025-06-14T21:37:43Z</dcterms:modified>
</cp:coreProperties>
</file>